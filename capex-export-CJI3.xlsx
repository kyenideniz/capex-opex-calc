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xgroup-my.sharepoint.com/personal/kerem_yenideniz_etexgroup_com/Documents/Desktop/"/>
    </mc:Choice>
  </mc:AlternateContent>
  <xr:revisionPtr revIDLastSave="488" documentId="11_B63A3E55C4094E4AB14FD007BA02FE05019B6409" xr6:coauthVersionLast="47" xr6:coauthVersionMax="47" xr10:uidLastSave="{A2B00683-649F-4BC5-BD4E-F0071F0DCC14}"/>
  <bookViews>
    <workbookView xWindow="-110" yWindow="-110" windowWidth="19420" windowHeight="11500" firstSheet="3" activeTab="5" xr2:uid="{00000000-000D-0000-FFFF-FFFF00000000}"/>
  </bookViews>
  <sheets>
    <sheet name="CAPEX CJI3" sheetId="1" r:id="rId1"/>
    <sheet name="OPEX CJI3" sheetId="2" r:id="rId2"/>
    <sheet name="CAPEX Tables" sheetId="3" r:id="rId3"/>
    <sheet name="Opex Tables" sheetId="4" r:id="rId4"/>
    <sheet name="codes match" sheetId="5" r:id="rId5"/>
    <sheet name="Planisware Input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6" l="1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H9" i="6"/>
  <c r="F9" i="6"/>
  <c r="E9" i="6"/>
  <c r="D9" i="6"/>
  <c r="C9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AY58" i="4"/>
  <c r="AW57" i="4"/>
  <c r="AW56" i="4"/>
  <c r="AW55" i="4"/>
  <c r="AW54" i="4"/>
  <c r="AW53" i="4"/>
  <c r="AW52" i="4"/>
  <c r="AW51" i="4"/>
  <c r="AW50" i="4"/>
  <c r="AW49" i="4"/>
  <c r="AW48" i="4"/>
  <c r="AW47" i="4"/>
  <c r="AW46" i="4"/>
  <c r="AW45" i="4"/>
  <c r="AW44" i="4"/>
  <c r="AW43" i="4"/>
  <c r="AW42" i="4"/>
  <c r="AW41" i="4"/>
  <c r="AW40" i="4"/>
  <c r="AW39" i="4"/>
  <c r="AW38" i="4"/>
  <c r="AW37" i="4"/>
  <c r="AW36" i="4"/>
  <c r="AW35" i="4"/>
  <c r="AW34" i="4"/>
  <c r="AW33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W2" i="4"/>
  <c r="AE132" i="4"/>
  <c r="AB132" i="4"/>
  <c r="T132" i="4"/>
  <c r="R132" i="4"/>
  <c r="K132" i="4"/>
  <c r="H132" i="4"/>
  <c r="L132" i="4" s="1"/>
  <c r="AC132" i="4" s="1"/>
  <c r="AD132" i="4" s="1"/>
  <c r="AE131" i="4"/>
  <c r="AC131" i="4"/>
  <c r="AB131" i="4"/>
  <c r="T131" i="4"/>
  <c r="R131" i="4"/>
  <c r="K131" i="4"/>
  <c r="H131" i="4"/>
  <c r="L131" i="4" s="1"/>
  <c r="AE130" i="4"/>
  <c r="AB130" i="4"/>
  <c r="T130" i="4"/>
  <c r="R130" i="4"/>
  <c r="L130" i="4"/>
  <c r="AC130" i="4" s="1"/>
  <c r="AD130" i="4" s="1"/>
  <c r="K130" i="4"/>
  <c r="H130" i="4"/>
  <c r="AE129" i="4"/>
  <c r="AB129" i="4"/>
  <c r="T129" i="4"/>
  <c r="R129" i="4"/>
  <c r="K129" i="4"/>
  <c r="H129" i="4"/>
  <c r="L129" i="4" s="1"/>
  <c r="AC129" i="4" s="1"/>
  <c r="AD129" i="4" s="1"/>
  <c r="AE128" i="4"/>
  <c r="AB128" i="4"/>
  <c r="T128" i="4"/>
  <c r="R128" i="4"/>
  <c r="K128" i="4"/>
  <c r="H128" i="4"/>
  <c r="L128" i="4" s="1"/>
  <c r="AC128" i="4" s="1"/>
  <c r="AD128" i="4" s="1"/>
  <c r="AE127" i="4"/>
  <c r="AB127" i="4"/>
  <c r="T127" i="4"/>
  <c r="R127" i="4"/>
  <c r="K127" i="4"/>
  <c r="H127" i="4"/>
  <c r="L127" i="4" s="1"/>
  <c r="AC127" i="4" s="1"/>
  <c r="AD127" i="4" s="1"/>
  <c r="AE126" i="4"/>
  <c r="AB126" i="4"/>
  <c r="T126" i="4"/>
  <c r="R126" i="4"/>
  <c r="L126" i="4"/>
  <c r="AC126" i="4" s="1"/>
  <c r="AD126" i="4" s="1"/>
  <c r="K126" i="4"/>
  <c r="H126" i="4"/>
  <c r="AE125" i="4"/>
  <c r="AC125" i="4"/>
  <c r="AD125" i="4" s="1"/>
  <c r="AB125" i="4"/>
  <c r="T125" i="4"/>
  <c r="R125" i="4"/>
  <c r="K125" i="4"/>
  <c r="H125" i="4"/>
  <c r="L125" i="4" s="1"/>
  <c r="AE124" i="4"/>
  <c r="AB124" i="4"/>
  <c r="T124" i="4"/>
  <c r="R124" i="4"/>
  <c r="L124" i="4"/>
  <c r="AC124" i="4" s="1"/>
  <c r="AD124" i="4" s="1"/>
  <c r="K124" i="4"/>
  <c r="H124" i="4"/>
  <c r="AE123" i="4"/>
  <c r="AB123" i="4"/>
  <c r="T123" i="4"/>
  <c r="R123" i="4"/>
  <c r="K123" i="4"/>
  <c r="H123" i="4"/>
  <c r="L123" i="4" s="1"/>
  <c r="AC123" i="4" s="1"/>
  <c r="AD123" i="4" s="1"/>
  <c r="AE122" i="4"/>
  <c r="AC122" i="4"/>
  <c r="AD122" i="4" s="1"/>
  <c r="AB122" i="4"/>
  <c r="T122" i="4"/>
  <c r="R122" i="4"/>
  <c r="L122" i="4"/>
  <c r="K122" i="4"/>
  <c r="H122" i="4"/>
  <c r="AE121" i="4"/>
  <c r="AB121" i="4"/>
  <c r="T121" i="4"/>
  <c r="R121" i="4"/>
  <c r="L121" i="4"/>
  <c r="AC121" i="4" s="1"/>
  <c r="AD121" i="4" s="1"/>
  <c r="K121" i="4"/>
  <c r="H121" i="4"/>
  <c r="AE120" i="4"/>
  <c r="AB120" i="4"/>
  <c r="T120" i="4"/>
  <c r="S120" i="4"/>
  <c r="R120" i="4"/>
  <c r="U120" i="4" s="1"/>
  <c r="K120" i="4"/>
  <c r="H120" i="4"/>
  <c r="L120" i="4" s="1"/>
  <c r="AC120" i="4" s="1"/>
  <c r="AD120" i="4" s="1"/>
  <c r="AE119" i="4"/>
  <c r="AB119" i="4"/>
  <c r="T119" i="4"/>
  <c r="R119" i="4"/>
  <c r="K119" i="4"/>
  <c r="H119" i="4"/>
  <c r="L119" i="4" s="1"/>
  <c r="AC119" i="4" s="1"/>
  <c r="AD119" i="4" s="1"/>
  <c r="AE118" i="4"/>
  <c r="AC118" i="4"/>
  <c r="AD118" i="4" s="1"/>
  <c r="AB118" i="4"/>
  <c r="T118" i="4"/>
  <c r="R118" i="4"/>
  <c r="K118" i="4"/>
  <c r="H118" i="4"/>
  <c r="L118" i="4" s="1"/>
  <c r="AE117" i="4"/>
  <c r="AB117" i="4"/>
  <c r="T117" i="4"/>
  <c r="R117" i="4"/>
  <c r="L117" i="4"/>
  <c r="AC117" i="4" s="1"/>
  <c r="AD117" i="4" s="1"/>
  <c r="K117" i="4"/>
  <c r="H117" i="4"/>
  <c r="AE116" i="4"/>
  <c r="AB116" i="4"/>
  <c r="T116" i="4"/>
  <c r="R116" i="4"/>
  <c r="K116" i="4"/>
  <c r="H116" i="4"/>
  <c r="L116" i="4" s="1"/>
  <c r="AC116" i="4" s="1"/>
  <c r="AD116" i="4" s="1"/>
  <c r="AE115" i="4"/>
  <c r="AD115" i="4"/>
  <c r="AB115" i="4"/>
  <c r="T115" i="4"/>
  <c r="R115" i="4"/>
  <c r="K115" i="4"/>
  <c r="H115" i="4"/>
  <c r="L115" i="4" s="1"/>
  <c r="AC115" i="4" s="1"/>
  <c r="AE114" i="4"/>
  <c r="AB114" i="4"/>
  <c r="T114" i="4"/>
  <c r="R114" i="4"/>
  <c r="K114" i="4"/>
  <c r="H114" i="4"/>
  <c r="L114" i="4" s="1"/>
  <c r="AC114" i="4" s="1"/>
  <c r="AD114" i="4" s="1"/>
  <c r="AE113" i="4"/>
  <c r="AB113" i="4"/>
  <c r="T113" i="4"/>
  <c r="R113" i="4"/>
  <c r="L113" i="4"/>
  <c r="AC113" i="4" s="1"/>
  <c r="AD113" i="4" s="1"/>
  <c r="K113" i="4"/>
  <c r="H113" i="4"/>
  <c r="AE112" i="4"/>
  <c r="AB112" i="4"/>
  <c r="T112" i="4"/>
  <c r="R112" i="4"/>
  <c r="K112" i="4"/>
  <c r="H112" i="4"/>
  <c r="L112" i="4" s="1"/>
  <c r="AC112" i="4" s="1"/>
  <c r="AD112" i="4" s="1"/>
  <c r="AE111" i="4"/>
  <c r="AB111" i="4"/>
  <c r="T111" i="4"/>
  <c r="R111" i="4"/>
  <c r="L111" i="4"/>
  <c r="AC111" i="4" s="1"/>
  <c r="AD111" i="4" s="1"/>
  <c r="K111" i="4"/>
  <c r="H111" i="4"/>
  <c r="AE110" i="4"/>
  <c r="AB110" i="4"/>
  <c r="T110" i="4"/>
  <c r="R110" i="4"/>
  <c r="K110" i="4"/>
  <c r="H110" i="4"/>
  <c r="L110" i="4" s="1"/>
  <c r="AC110" i="4" s="1"/>
  <c r="AD110" i="4" s="1"/>
  <c r="AE109" i="4"/>
  <c r="AC109" i="4"/>
  <c r="AD109" i="4" s="1"/>
  <c r="AB109" i="4"/>
  <c r="T109" i="4"/>
  <c r="R109" i="4"/>
  <c r="L109" i="4"/>
  <c r="K109" i="4"/>
  <c r="H109" i="4"/>
  <c r="AE108" i="4"/>
  <c r="AB108" i="4"/>
  <c r="T108" i="4"/>
  <c r="R108" i="4"/>
  <c r="L108" i="4"/>
  <c r="AC108" i="4" s="1"/>
  <c r="K108" i="4"/>
  <c r="H108" i="4"/>
  <c r="AE107" i="4"/>
  <c r="AB107" i="4"/>
  <c r="T107" i="4"/>
  <c r="R107" i="4"/>
  <c r="K107" i="4"/>
  <c r="H107" i="4"/>
  <c r="L107" i="4" s="1"/>
  <c r="AC107" i="4" s="1"/>
  <c r="AD107" i="4" s="1"/>
  <c r="AE106" i="4"/>
  <c r="AD106" i="4"/>
  <c r="AB106" i="4"/>
  <c r="T106" i="4"/>
  <c r="R106" i="4"/>
  <c r="K106" i="4"/>
  <c r="H106" i="4"/>
  <c r="L106" i="4" s="1"/>
  <c r="AC106" i="4" s="1"/>
  <c r="AE105" i="4"/>
  <c r="AC105" i="4"/>
  <c r="AB105" i="4"/>
  <c r="T105" i="4"/>
  <c r="R105" i="4"/>
  <c r="L105" i="4"/>
  <c r="K105" i="4"/>
  <c r="H105" i="4"/>
  <c r="AE104" i="4"/>
  <c r="AB104" i="4"/>
  <c r="T104" i="4"/>
  <c r="R104" i="4"/>
  <c r="K104" i="4"/>
  <c r="H104" i="4"/>
  <c r="L104" i="4" s="1"/>
  <c r="AC104" i="4" s="1"/>
  <c r="AD104" i="4" s="1"/>
  <c r="AE103" i="4"/>
  <c r="AB103" i="4"/>
  <c r="T103" i="4"/>
  <c r="R103" i="4"/>
  <c r="K103" i="4"/>
  <c r="H103" i="4"/>
  <c r="L103" i="4" s="1"/>
  <c r="AC103" i="4" s="1"/>
  <c r="AD103" i="4" s="1"/>
  <c r="AE102" i="4"/>
  <c r="AC102" i="4"/>
  <c r="AD102" i="4" s="1"/>
  <c r="AB102" i="4"/>
  <c r="T102" i="4"/>
  <c r="R102" i="4"/>
  <c r="K102" i="4"/>
  <c r="H102" i="4"/>
  <c r="L102" i="4" s="1"/>
  <c r="AE101" i="4"/>
  <c r="AB101" i="4"/>
  <c r="T101" i="4"/>
  <c r="R101" i="4"/>
  <c r="L101" i="4"/>
  <c r="AC101" i="4" s="1"/>
  <c r="AD101" i="4" s="1"/>
  <c r="K101" i="4"/>
  <c r="H101" i="4"/>
  <c r="AE100" i="4"/>
  <c r="AB100" i="4"/>
  <c r="T100" i="4"/>
  <c r="R100" i="4"/>
  <c r="K100" i="4"/>
  <c r="H100" i="4"/>
  <c r="L100" i="4" s="1"/>
  <c r="AC100" i="4" s="1"/>
  <c r="AD100" i="4" s="1"/>
  <c r="AE99" i="4"/>
  <c r="AB99" i="4"/>
  <c r="T99" i="4"/>
  <c r="R99" i="4"/>
  <c r="K99" i="4"/>
  <c r="H99" i="4"/>
  <c r="L99" i="4" s="1"/>
  <c r="AC99" i="4" s="1"/>
  <c r="AD99" i="4" s="1"/>
  <c r="AE98" i="4"/>
  <c r="AB98" i="4"/>
  <c r="T98" i="4"/>
  <c r="R98" i="4"/>
  <c r="K98" i="4"/>
  <c r="H98" i="4"/>
  <c r="L98" i="4" s="1"/>
  <c r="AC98" i="4" s="1"/>
  <c r="AD98" i="4" s="1"/>
  <c r="AE97" i="4"/>
  <c r="AB97" i="4"/>
  <c r="T97" i="4"/>
  <c r="R97" i="4"/>
  <c r="L97" i="4"/>
  <c r="AC97" i="4" s="1"/>
  <c r="AD97" i="4" s="1"/>
  <c r="K97" i="4"/>
  <c r="H97" i="4"/>
  <c r="AE96" i="4"/>
  <c r="AC96" i="4"/>
  <c r="AD96" i="4" s="1"/>
  <c r="AB96" i="4"/>
  <c r="T96" i="4"/>
  <c r="R96" i="4"/>
  <c r="K96" i="4"/>
  <c r="H96" i="4"/>
  <c r="L96" i="4" s="1"/>
  <c r="AE95" i="4"/>
  <c r="AB95" i="4"/>
  <c r="T95" i="4"/>
  <c r="R95" i="4"/>
  <c r="L95" i="4"/>
  <c r="AC95" i="4" s="1"/>
  <c r="AD95" i="4" s="1"/>
  <c r="K95" i="4"/>
  <c r="H95" i="4"/>
  <c r="AE94" i="4"/>
  <c r="AB94" i="4"/>
  <c r="T94" i="4"/>
  <c r="R94" i="4"/>
  <c r="K94" i="4"/>
  <c r="H94" i="4"/>
  <c r="L94" i="4" s="1"/>
  <c r="AC94" i="4" s="1"/>
  <c r="AD94" i="4" s="1"/>
  <c r="AE93" i="4"/>
  <c r="AC93" i="4"/>
  <c r="AD93" i="4" s="1"/>
  <c r="AB93" i="4"/>
  <c r="T93" i="4"/>
  <c r="R93" i="4"/>
  <c r="L93" i="4"/>
  <c r="K93" i="4"/>
  <c r="H93" i="4"/>
  <c r="AE92" i="4"/>
  <c r="AB92" i="4"/>
  <c r="T92" i="4"/>
  <c r="R92" i="4"/>
  <c r="L92" i="4"/>
  <c r="AC92" i="4" s="1"/>
  <c r="AD92" i="4" s="1"/>
  <c r="K92" i="4"/>
  <c r="H92" i="4"/>
  <c r="AE91" i="4"/>
  <c r="AB91" i="4"/>
  <c r="T91" i="4"/>
  <c r="R91" i="4"/>
  <c r="K91" i="4"/>
  <c r="H91" i="4"/>
  <c r="L91" i="4" s="1"/>
  <c r="AC91" i="4" s="1"/>
  <c r="AD91" i="4" s="1"/>
  <c r="AE90" i="4"/>
  <c r="AB90" i="4"/>
  <c r="T90" i="4"/>
  <c r="R90" i="4"/>
  <c r="K90" i="4"/>
  <c r="H90" i="4"/>
  <c r="L90" i="4" s="1"/>
  <c r="AC90" i="4" s="1"/>
  <c r="AD90" i="4" s="1"/>
  <c r="AE89" i="4"/>
  <c r="AC89" i="4"/>
  <c r="AB89" i="4"/>
  <c r="T89" i="4"/>
  <c r="R89" i="4"/>
  <c r="L89" i="4"/>
  <c r="K89" i="4"/>
  <c r="H89" i="4"/>
  <c r="AE88" i="4"/>
  <c r="AB88" i="4"/>
  <c r="T88" i="4"/>
  <c r="R88" i="4"/>
  <c r="K88" i="4"/>
  <c r="H88" i="4"/>
  <c r="L88" i="4" s="1"/>
  <c r="AC88" i="4" s="1"/>
  <c r="AD88" i="4" s="1"/>
  <c r="AE87" i="4"/>
  <c r="AB87" i="4"/>
  <c r="T87" i="4"/>
  <c r="R87" i="4"/>
  <c r="K87" i="4"/>
  <c r="H87" i="4"/>
  <c r="L87" i="4" s="1"/>
  <c r="AC87" i="4" s="1"/>
  <c r="AD87" i="4" s="1"/>
  <c r="AE86" i="4"/>
  <c r="AC86" i="4"/>
  <c r="AD86" i="4" s="1"/>
  <c r="AB86" i="4"/>
  <c r="T86" i="4"/>
  <c r="R86" i="4"/>
  <c r="K86" i="4"/>
  <c r="H86" i="4"/>
  <c r="L86" i="4" s="1"/>
  <c r="AE85" i="4"/>
  <c r="AB85" i="4"/>
  <c r="T85" i="4"/>
  <c r="R85" i="4"/>
  <c r="L85" i="4"/>
  <c r="AC85" i="4" s="1"/>
  <c r="AD85" i="4" s="1"/>
  <c r="K85" i="4"/>
  <c r="H85" i="4"/>
  <c r="AE84" i="4"/>
  <c r="AB84" i="4"/>
  <c r="T84" i="4"/>
  <c r="R84" i="4"/>
  <c r="K84" i="4"/>
  <c r="H84" i="4"/>
  <c r="L84" i="4" s="1"/>
  <c r="AC84" i="4" s="1"/>
  <c r="AD84" i="4" s="1"/>
  <c r="AE83" i="4"/>
  <c r="AB83" i="4"/>
  <c r="T83" i="4"/>
  <c r="R83" i="4"/>
  <c r="K83" i="4"/>
  <c r="H83" i="4"/>
  <c r="L83" i="4" s="1"/>
  <c r="AC83" i="4" s="1"/>
  <c r="AD83" i="4" s="1"/>
  <c r="AE82" i="4"/>
  <c r="AB82" i="4"/>
  <c r="T82" i="4"/>
  <c r="R82" i="4"/>
  <c r="K82" i="4"/>
  <c r="H82" i="4"/>
  <c r="L82" i="4" s="1"/>
  <c r="AC82" i="4" s="1"/>
  <c r="AD82" i="4" s="1"/>
  <c r="AE81" i="4"/>
  <c r="AB81" i="4"/>
  <c r="T81" i="4"/>
  <c r="R81" i="4"/>
  <c r="L81" i="4"/>
  <c r="AC81" i="4" s="1"/>
  <c r="AD81" i="4" s="1"/>
  <c r="K81" i="4"/>
  <c r="H81" i="4"/>
  <c r="AE80" i="4"/>
  <c r="AC80" i="4"/>
  <c r="AD80" i="4" s="1"/>
  <c r="AB80" i="4"/>
  <c r="T80" i="4"/>
  <c r="R80" i="4"/>
  <c r="K80" i="4"/>
  <c r="H80" i="4"/>
  <c r="L80" i="4" s="1"/>
  <c r="AE79" i="4"/>
  <c r="AB79" i="4"/>
  <c r="T79" i="4"/>
  <c r="R79" i="4"/>
  <c r="L79" i="4"/>
  <c r="AC79" i="4" s="1"/>
  <c r="AD79" i="4" s="1"/>
  <c r="K79" i="4"/>
  <c r="H79" i="4"/>
  <c r="AE78" i="4"/>
  <c r="AB78" i="4"/>
  <c r="T78" i="4"/>
  <c r="R78" i="4"/>
  <c r="K78" i="4"/>
  <c r="H78" i="4"/>
  <c r="L78" i="4" s="1"/>
  <c r="AC78" i="4" s="1"/>
  <c r="AD78" i="4" s="1"/>
  <c r="AE77" i="4"/>
  <c r="AC77" i="4"/>
  <c r="AD77" i="4" s="1"/>
  <c r="AB77" i="4"/>
  <c r="T77" i="4"/>
  <c r="R77" i="4"/>
  <c r="L77" i="4"/>
  <c r="K77" i="4"/>
  <c r="H77" i="4"/>
  <c r="AE76" i="4"/>
  <c r="AB76" i="4"/>
  <c r="T76" i="4"/>
  <c r="R76" i="4"/>
  <c r="L76" i="4"/>
  <c r="AC76" i="4" s="1"/>
  <c r="AD76" i="4" s="1"/>
  <c r="K76" i="4"/>
  <c r="H76" i="4"/>
  <c r="AE75" i="4"/>
  <c r="AB75" i="4"/>
  <c r="T75" i="4"/>
  <c r="R75" i="4"/>
  <c r="K75" i="4"/>
  <c r="H75" i="4"/>
  <c r="L75" i="4" s="1"/>
  <c r="AC75" i="4" s="1"/>
  <c r="AD75" i="4" s="1"/>
  <c r="AE74" i="4"/>
  <c r="AB74" i="4"/>
  <c r="T74" i="4"/>
  <c r="R74" i="4"/>
  <c r="K74" i="4"/>
  <c r="H74" i="4"/>
  <c r="L74" i="4" s="1"/>
  <c r="AC74" i="4" s="1"/>
  <c r="AD74" i="4" s="1"/>
  <c r="AE73" i="4"/>
  <c r="AC73" i="4"/>
  <c r="AB73" i="4"/>
  <c r="T73" i="4"/>
  <c r="R73" i="4"/>
  <c r="L73" i="4"/>
  <c r="K73" i="4"/>
  <c r="H73" i="4"/>
  <c r="AE72" i="4"/>
  <c r="AB72" i="4"/>
  <c r="T72" i="4"/>
  <c r="R72" i="4"/>
  <c r="L72" i="4"/>
  <c r="AC72" i="4" s="1"/>
  <c r="AD72" i="4" s="1"/>
  <c r="K72" i="4"/>
  <c r="H72" i="4"/>
  <c r="AE71" i="4"/>
  <c r="AB71" i="4"/>
  <c r="T71" i="4"/>
  <c r="R71" i="4"/>
  <c r="K71" i="4"/>
  <c r="H71" i="4"/>
  <c r="L71" i="4" s="1"/>
  <c r="AC71" i="4" s="1"/>
  <c r="AD71" i="4" s="1"/>
  <c r="AE70" i="4"/>
  <c r="AC70" i="4"/>
  <c r="AD70" i="4" s="1"/>
  <c r="AB70" i="4"/>
  <c r="T70" i="4"/>
  <c r="R70" i="4"/>
  <c r="K70" i="4"/>
  <c r="H70" i="4"/>
  <c r="L70" i="4" s="1"/>
  <c r="AE69" i="4"/>
  <c r="AB69" i="4"/>
  <c r="T69" i="4"/>
  <c r="R69" i="4"/>
  <c r="L69" i="4"/>
  <c r="AC69" i="4" s="1"/>
  <c r="AD69" i="4" s="1"/>
  <c r="K69" i="4"/>
  <c r="H69" i="4"/>
  <c r="AE68" i="4"/>
  <c r="AB68" i="4"/>
  <c r="T68" i="4"/>
  <c r="R68" i="4"/>
  <c r="K68" i="4"/>
  <c r="H68" i="4"/>
  <c r="L68" i="4" s="1"/>
  <c r="AC68" i="4" s="1"/>
  <c r="AD68" i="4" s="1"/>
  <c r="AE67" i="4"/>
  <c r="AB67" i="4"/>
  <c r="T67" i="4"/>
  <c r="R67" i="4"/>
  <c r="K67" i="4"/>
  <c r="H67" i="4"/>
  <c r="L67" i="4" s="1"/>
  <c r="AC67" i="4" s="1"/>
  <c r="AD67" i="4" s="1"/>
  <c r="AE66" i="4"/>
  <c r="AB66" i="4"/>
  <c r="T66" i="4"/>
  <c r="R66" i="4"/>
  <c r="K66" i="4"/>
  <c r="H66" i="4"/>
  <c r="L66" i="4" s="1"/>
  <c r="AC66" i="4" s="1"/>
  <c r="AD66" i="4" s="1"/>
  <c r="AE65" i="4"/>
  <c r="AB65" i="4"/>
  <c r="T65" i="4"/>
  <c r="R65" i="4"/>
  <c r="L65" i="4"/>
  <c r="AC65" i="4" s="1"/>
  <c r="AD65" i="4" s="1"/>
  <c r="K65" i="4"/>
  <c r="H65" i="4"/>
  <c r="AE64" i="4"/>
  <c r="AB64" i="4"/>
  <c r="T64" i="4"/>
  <c r="R64" i="4"/>
  <c r="K64" i="4"/>
  <c r="H64" i="4"/>
  <c r="L64" i="4" s="1"/>
  <c r="AC64" i="4" s="1"/>
  <c r="AD64" i="4" s="1"/>
  <c r="AE63" i="4"/>
  <c r="AB63" i="4"/>
  <c r="T63" i="4"/>
  <c r="R63" i="4"/>
  <c r="L63" i="4"/>
  <c r="AC63" i="4" s="1"/>
  <c r="AD63" i="4" s="1"/>
  <c r="K63" i="4"/>
  <c r="H63" i="4"/>
  <c r="AE62" i="4"/>
  <c r="AB62" i="4"/>
  <c r="T62" i="4"/>
  <c r="R62" i="4"/>
  <c r="K62" i="4"/>
  <c r="H62" i="4"/>
  <c r="L62" i="4" s="1"/>
  <c r="AC62" i="4" s="1"/>
  <c r="AD62" i="4" s="1"/>
  <c r="AE61" i="4"/>
  <c r="AC61" i="4"/>
  <c r="AD61" i="4" s="1"/>
  <c r="AB61" i="4"/>
  <c r="T61" i="4"/>
  <c r="R61" i="4"/>
  <c r="L61" i="4"/>
  <c r="K61" i="4"/>
  <c r="H61" i="4"/>
  <c r="AE60" i="4"/>
  <c r="AB60" i="4"/>
  <c r="T60" i="4"/>
  <c r="R60" i="4"/>
  <c r="L60" i="4"/>
  <c r="AC60" i="4" s="1"/>
  <c r="AD60" i="4" s="1"/>
  <c r="K60" i="4"/>
  <c r="H60" i="4"/>
  <c r="AE59" i="4"/>
  <c r="AB59" i="4"/>
  <c r="T59" i="4"/>
  <c r="R59" i="4"/>
  <c r="K59" i="4"/>
  <c r="H59" i="4"/>
  <c r="L59" i="4" s="1"/>
  <c r="AC59" i="4" s="1"/>
  <c r="AD59" i="4" s="1"/>
  <c r="AE58" i="4"/>
  <c r="AD58" i="4"/>
  <c r="AB58" i="4"/>
  <c r="T58" i="4"/>
  <c r="R58" i="4"/>
  <c r="K58" i="4"/>
  <c r="H58" i="4"/>
  <c r="L58" i="4" s="1"/>
  <c r="AC58" i="4" s="1"/>
  <c r="AE57" i="4"/>
  <c r="AC57" i="4"/>
  <c r="AB57" i="4"/>
  <c r="T57" i="4"/>
  <c r="R57" i="4"/>
  <c r="L57" i="4"/>
  <c r="K57" i="4"/>
  <c r="H57" i="4"/>
  <c r="AE56" i="4"/>
  <c r="AB56" i="4"/>
  <c r="T56" i="4"/>
  <c r="R56" i="4"/>
  <c r="K56" i="4"/>
  <c r="H56" i="4"/>
  <c r="L56" i="4" s="1"/>
  <c r="AC56" i="4" s="1"/>
  <c r="AD56" i="4" s="1"/>
  <c r="AE55" i="4"/>
  <c r="AB55" i="4"/>
  <c r="T55" i="4"/>
  <c r="R55" i="4"/>
  <c r="K55" i="4"/>
  <c r="H55" i="4"/>
  <c r="L55" i="4" s="1"/>
  <c r="AC55" i="4" s="1"/>
  <c r="AD55" i="4" s="1"/>
  <c r="AE54" i="4"/>
  <c r="AC54" i="4"/>
  <c r="AD54" i="4" s="1"/>
  <c r="AB54" i="4"/>
  <c r="T54" i="4"/>
  <c r="R54" i="4"/>
  <c r="K54" i="4"/>
  <c r="H54" i="4"/>
  <c r="L54" i="4" s="1"/>
  <c r="AE53" i="4"/>
  <c r="AB53" i="4"/>
  <c r="T53" i="4"/>
  <c r="R53" i="4"/>
  <c r="L53" i="4"/>
  <c r="AC53" i="4" s="1"/>
  <c r="AD53" i="4" s="1"/>
  <c r="K53" i="4"/>
  <c r="H53" i="4"/>
  <c r="AE52" i="4"/>
  <c r="AB52" i="4"/>
  <c r="T52" i="4"/>
  <c r="R52" i="4"/>
  <c r="K52" i="4"/>
  <c r="H52" i="4"/>
  <c r="L52" i="4" s="1"/>
  <c r="AC52" i="4" s="1"/>
  <c r="AD52" i="4" s="1"/>
  <c r="AE51" i="4"/>
  <c r="AD51" i="4"/>
  <c r="AB51" i="4"/>
  <c r="T51" i="4"/>
  <c r="R51" i="4"/>
  <c r="K51" i="4"/>
  <c r="H51" i="4"/>
  <c r="L51" i="4" s="1"/>
  <c r="AC51" i="4" s="1"/>
  <c r="AE50" i="4"/>
  <c r="AC50" i="4"/>
  <c r="AB50" i="4"/>
  <c r="T50" i="4"/>
  <c r="R50" i="4"/>
  <c r="K50" i="4"/>
  <c r="H50" i="4"/>
  <c r="L50" i="4" s="1"/>
  <c r="AE49" i="4"/>
  <c r="AB49" i="4"/>
  <c r="T49" i="4"/>
  <c r="R49" i="4"/>
  <c r="L49" i="4"/>
  <c r="AC49" i="4" s="1"/>
  <c r="AD49" i="4" s="1"/>
  <c r="K49" i="4"/>
  <c r="H49" i="4"/>
  <c r="AE48" i="4"/>
  <c r="AB48" i="4"/>
  <c r="T48" i="4"/>
  <c r="R48" i="4"/>
  <c r="K48" i="4"/>
  <c r="H48" i="4"/>
  <c r="L48" i="4" s="1"/>
  <c r="AC48" i="4" s="1"/>
  <c r="AD48" i="4" s="1"/>
  <c r="AE47" i="4"/>
  <c r="AB47" i="4"/>
  <c r="T47" i="4"/>
  <c r="R47" i="4"/>
  <c r="K47" i="4"/>
  <c r="H47" i="4"/>
  <c r="L47" i="4" s="1"/>
  <c r="AC47" i="4" s="1"/>
  <c r="AD47" i="4" s="1"/>
  <c r="AE46" i="4"/>
  <c r="AB46" i="4"/>
  <c r="T46" i="4"/>
  <c r="R46" i="4"/>
  <c r="K46" i="4"/>
  <c r="H46" i="4"/>
  <c r="L46" i="4" s="1"/>
  <c r="AC46" i="4" s="1"/>
  <c r="AD46" i="4" s="1"/>
  <c r="AE45" i="4"/>
  <c r="AB45" i="4"/>
  <c r="T45" i="4"/>
  <c r="R45" i="4"/>
  <c r="L45" i="4"/>
  <c r="AC45" i="4" s="1"/>
  <c r="AD45" i="4" s="1"/>
  <c r="K45" i="4"/>
  <c r="H45" i="4"/>
  <c r="AE44" i="4"/>
  <c r="AC44" i="4"/>
  <c r="AD44" i="4" s="1"/>
  <c r="AB44" i="4"/>
  <c r="T44" i="4"/>
  <c r="R44" i="4"/>
  <c r="K44" i="4"/>
  <c r="H44" i="4"/>
  <c r="L44" i="4" s="1"/>
  <c r="AE43" i="4"/>
  <c r="AB43" i="4"/>
  <c r="T43" i="4"/>
  <c r="R43" i="4"/>
  <c r="L43" i="4"/>
  <c r="AC43" i="4" s="1"/>
  <c r="AD43" i="4" s="1"/>
  <c r="K43" i="4"/>
  <c r="H43" i="4"/>
  <c r="AE42" i="4"/>
  <c r="AB42" i="4"/>
  <c r="T42" i="4"/>
  <c r="R42" i="4"/>
  <c r="K42" i="4"/>
  <c r="H42" i="4"/>
  <c r="L42" i="4" s="1"/>
  <c r="AC42" i="4" s="1"/>
  <c r="AD42" i="4" s="1"/>
  <c r="AE41" i="4"/>
  <c r="AB41" i="4"/>
  <c r="T41" i="4"/>
  <c r="R41" i="4"/>
  <c r="L41" i="4"/>
  <c r="AC41" i="4" s="1"/>
  <c r="AD41" i="4" s="1"/>
  <c r="K41" i="4"/>
  <c r="H41" i="4"/>
  <c r="AE40" i="4"/>
  <c r="AB40" i="4"/>
  <c r="T40" i="4"/>
  <c r="R40" i="4"/>
  <c r="K40" i="4"/>
  <c r="H40" i="4"/>
  <c r="L40" i="4" s="1"/>
  <c r="AC40" i="4" s="1"/>
  <c r="AD40" i="4" s="1"/>
  <c r="AE39" i="4"/>
  <c r="AB39" i="4"/>
  <c r="T39" i="4"/>
  <c r="R39" i="4"/>
  <c r="K39" i="4"/>
  <c r="H39" i="4"/>
  <c r="L39" i="4" s="1"/>
  <c r="AC39" i="4" s="1"/>
  <c r="AD39" i="4" s="1"/>
  <c r="AE38" i="4"/>
  <c r="AB38" i="4"/>
  <c r="T38" i="4"/>
  <c r="R38" i="4"/>
  <c r="K38" i="4"/>
  <c r="H38" i="4"/>
  <c r="L38" i="4" s="1"/>
  <c r="AC38" i="4" s="1"/>
  <c r="AD38" i="4" s="1"/>
  <c r="AE37" i="4"/>
  <c r="AC37" i="4"/>
  <c r="AD37" i="4" s="1"/>
  <c r="AB37" i="4"/>
  <c r="T37" i="4"/>
  <c r="R37" i="4"/>
  <c r="L37" i="4"/>
  <c r="K37" i="4"/>
  <c r="H37" i="4"/>
  <c r="AE36" i="4"/>
  <c r="AB36" i="4"/>
  <c r="T36" i="4"/>
  <c r="R36" i="4"/>
  <c r="L36" i="4"/>
  <c r="AC36" i="4" s="1"/>
  <c r="AD36" i="4" s="1"/>
  <c r="K36" i="4"/>
  <c r="H36" i="4"/>
  <c r="AE35" i="4"/>
  <c r="AB35" i="4"/>
  <c r="T35" i="4"/>
  <c r="R35" i="4"/>
  <c r="U35" i="4" s="1"/>
  <c r="K35" i="4"/>
  <c r="H35" i="4"/>
  <c r="L35" i="4" s="1"/>
  <c r="AC35" i="4" s="1"/>
  <c r="AD35" i="4" s="1"/>
  <c r="AE34" i="4"/>
  <c r="AB34" i="4"/>
  <c r="T34" i="4"/>
  <c r="R34" i="4"/>
  <c r="K34" i="4"/>
  <c r="H34" i="4"/>
  <c r="L34" i="4" s="1"/>
  <c r="AC34" i="4" s="1"/>
  <c r="AD34" i="4" s="1"/>
  <c r="AE33" i="4"/>
  <c r="AC33" i="4"/>
  <c r="AD33" i="4" s="1"/>
  <c r="AB33" i="4"/>
  <c r="T33" i="4"/>
  <c r="R33" i="4"/>
  <c r="L33" i="4"/>
  <c r="K33" i="4"/>
  <c r="H33" i="4"/>
  <c r="AE32" i="4"/>
  <c r="AB32" i="4"/>
  <c r="T32" i="4"/>
  <c r="R32" i="4"/>
  <c r="L32" i="4"/>
  <c r="AC32" i="4" s="1"/>
  <c r="AD32" i="4" s="1"/>
  <c r="K32" i="4"/>
  <c r="H32" i="4"/>
  <c r="AE31" i="4"/>
  <c r="AB31" i="4"/>
  <c r="T31" i="4"/>
  <c r="R31" i="4"/>
  <c r="K31" i="4"/>
  <c r="H31" i="4"/>
  <c r="L31" i="4" s="1"/>
  <c r="AC31" i="4" s="1"/>
  <c r="AD31" i="4" s="1"/>
  <c r="AE30" i="4"/>
  <c r="AB30" i="4"/>
  <c r="T30" i="4"/>
  <c r="R30" i="4"/>
  <c r="K30" i="4"/>
  <c r="H30" i="4"/>
  <c r="L30" i="4" s="1"/>
  <c r="AC30" i="4" s="1"/>
  <c r="AD30" i="4" s="1"/>
  <c r="AE29" i="4"/>
  <c r="AC29" i="4"/>
  <c r="AD29" i="4" s="1"/>
  <c r="AB29" i="4"/>
  <c r="T29" i="4"/>
  <c r="R29" i="4"/>
  <c r="L29" i="4"/>
  <c r="K29" i="4"/>
  <c r="H29" i="4"/>
  <c r="AE28" i="4"/>
  <c r="AB28" i="4"/>
  <c r="T28" i="4"/>
  <c r="R28" i="4"/>
  <c r="L28" i="4"/>
  <c r="AC28" i="4" s="1"/>
  <c r="AD28" i="4" s="1"/>
  <c r="K28" i="4"/>
  <c r="H28" i="4"/>
  <c r="AE27" i="4"/>
  <c r="AB27" i="4"/>
  <c r="T27" i="4"/>
  <c r="R27" i="4"/>
  <c r="K27" i="4"/>
  <c r="H27" i="4"/>
  <c r="L27" i="4" s="1"/>
  <c r="AC27" i="4" s="1"/>
  <c r="AD27" i="4" s="1"/>
  <c r="AE26" i="4"/>
  <c r="AC26" i="4"/>
  <c r="AD26" i="4" s="1"/>
  <c r="AB26" i="4"/>
  <c r="T26" i="4"/>
  <c r="R26" i="4"/>
  <c r="K26" i="4"/>
  <c r="H26" i="4"/>
  <c r="L26" i="4" s="1"/>
  <c r="AE25" i="4"/>
  <c r="AB25" i="4"/>
  <c r="T25" i="4"/>
  <c r="R25" i="4"/>
  <c r="L25" i="4"/>
  <c r="AC25" i="4" s="1"/>
  <c r="AD25" i="4" s="1"/>
  <c r="K25" i="4"/>
  <c r="H25" i="4"/>
  <c r="AE24" i="4"/>
  <c r="AB24" i="4"/>
  <c r="T24" i="4"/>
  <c r="R24" i="4"/>
  <c r="K24" i="4"/>
  <c r="H24" i="4"/>
  <c r="L24" i="4" s="1"/>
  <c r="AC24" i="4" s="1"/>
  <c r="AD24" i="4" s="1"/>
  <c r="AE23" i="4"/>
  <c r="AB23" i="4"/>
  <c r="T23" i="4"/>
  <c r="R23" i="4"/>
  <c r="K23" i="4"/>
  <c r="H23" i="4"/>
  <c r="L23" i="4" s="1"/>
  <c r="AC23" i="4" s="1"/>
  <c r="AD23" i="4" s="1"/>
  <c r="AE22" i="4"/>
  <c r="AB22" i="4"/>
  <c r="T22" i="4"/>
  <c r="R22" i="4"/>
  <c r="L22" i="4"/>
  <c r="AC22" i="4" s="1"/>
  <c r="AD22" i="4" s="1"/>
  <c r="K22" i="4"/>
  <c r="H22" i="4"/>
  <c r="AE21" i="4"/>
  <c r="AB21" i="4"/>
  <c r="T21" i="4"/>
  <c r="R21" i="4"/>
  <c r="L21" i="4"/>
  <c r="AC21" i="4" s="1"/>
  <c r="AD21" i="4" s="1"/>
  <c r="K21" i="4"/>
  <c r="H21" i="4"/>
  <c r="AE20" i="4"/>
  <c r="AB20" i="4"/>
  <c r="T20" i="4"/>
  <c r="R20" i="4"/>
  <c r="K20" i="4"/>
  <c r="H20" i="4"/>
  <c r="L20" i="4" s="1"/>
  <c r="AC20" i="4" s="1"/>
  <c r="AD20" i="4" s="1"/>
  <c r="AE19" i="4"/>
  <c r="AB19" i="4"/>
  <c r="T19" i="4"/>
  <c r="R19" i="4"/>
  <c r="K19" i="4"/>
  <c r="H19" i="4"/>
  <c r="L19" i="4" s="1"/>
  <c r="AC19" i="4" s="1"/>
  <c r="AE18" i="4"/>
  <c r="AB18" i="4"/>
  <c r="T18" i="4"/>
  <c r="R18" i="4"/>
  <c r="K18" i="4"/>
  <c r="H18" i="4"/>
  <c r="L18" i="4" s="1"/>
  <c r="AC18" i="4" s="1"/>
  <c r="AD18" i="4" s="1"/>
  <c r="AE17" i="4"/>
  <c r="AB17" i="4"/>
  <c r="T17" i="4"/>
  <c r="R17" i="4"/>
  <c r="L17" i="4"/>
  <c r="AC17" i="4" s="1"/>
  <c r="AD17" i="4" s="1"/>
  <c r="K17" i="4"/>
  <c r="H17" i="4"/>
  <c r="AE16" i="4"/>
  <c r="AB16" i="4"/>
  <c r="T16" i="4"/>
  <c r="R16" i="4"/>
  <c r="K16" i="4"/>
  <c r="H16" i="4"/>
  <c r="L16" i="4" s="1"/>
  <c r="AC16" i="4" s="1"/>
  <c r="AD16" i="4" s="1"/>
  <c r="AE15" i="4"/>
  <c r="AB15" i="4"/>
  <c r="T15" i="4"/>
  <c r="R15" i="4"/>
  <c r="L15" i="4"/>
  <c r="AC15" i="4" s="1"/>
  <c r="AD15" i="4" s="1"/>
  <c r="K15" i="4"/>
  <c r="H15" i="4"/>
  <c r="AE14" i="4"/>
  <c r="AB14" i="4"/>
  <c r="T14" i="4"/>
  <c r="R14" i="4"/>
  <c r="L14" i="4"/>
  <c r="AC14" i="4" s="1"/>
  <c r="AD14" i="4" s="1"/>
  <c r="K14" i="4"/>
  <c r="H14" i="4"/>
  <c r="AE13" i="4"/>
  <c r="AB13" i="4"/>
  <c r="T13" i="4"/>
  <c r="R13" i="4"/>
  <c r="L13" i="4"/>
  <c r="AC13" i="4" s="1"/>
  <c r="AD13" i="4" s="1"/>
  <c r="K13" i="4"/>
  <c r="H13" i="4"/>
  <c r="AE12" i="4"/>
  <c r="AB12" i="4"/>
  <c r="T12" i="4"/>
  <c r="R12" i="4"/>
  <c r="K12" i="4"/>
  <c r="H12" i="4"/>
  <c r="L12" i="4" s="1"/>
  <c r="AC12" i="4" s="1"/>
  <c r="AD12" i="4" s="1"/>
  <c r="AE11" i="4"/>
  <c r="AB11" i="4"/>
  <c r="T11" i="4"/>
  <c r="R11" i="4"/>
  <c r="L11" i="4"/>
  <c r="AC11" i="4" s="1"/>
  <c r="AD11" i="4" s="1"/>
  <c r="K11" i="4"/>
  <c r="K133" i="4" s="1"/>
  <c r="H11" i="4"/>
  <c r="AE10" i="4"/>
  <c r="AB10" i="4"/>
  <c r="T10" i="4"/>
  <c r="R10" i="4"/>
  <c r="K10" i="4"/>
  <c r="H10" i="4"/>
  <c r="L10" i="4" s="1"/>
  <c r="AC10" i="4" s="1"/>
  <c r="AD10" i="4" s="1"/>
  <c r="AE9" i="4"/>
  <c r="AC9" i="4"/>
  <c r="AD9" i="4" s="1"/>
  <c r="AB9" i="4"/>
  <c r="T9" i="4"/>
  <c r="R9" i="4"/>
  <c r="L9" i="4"/>
  <c r="K9" i="4"/>
  <c r="H9" i="4"/>
  <c r="AE8" i="4"/>
  <c r="AB8" i="4"/>
  <c r="T8" i="4"/>
  <c r="R8" i="4"/>
  <c r="L8" i="4"/>
  <c r="AC8" i="4" s="1"/>
  <c r="AD8" i="4" s="1"/>
  <c r="K8" i="4"/>
  <c r="H8" i="4"/>
  <c r="AE7" i="4"/>
  <c r="AB7" i="4"/>
  <c r="T7" i="4"/>
  <c r="R7" i="4"/>
  <c r="K7" i="4"/>
  <c r="H7" i="4"/>
  <c r="L7" i="4" s="1"/>
  <c r="AC7" i="4" s="1"/>
  <c r="AD7" i="4" s="1"/>
  <c r="AE6" i="4"/>
  <c r="AE133" i="4" s="1"/>
  <c r="AC6" i="4"/>
  <c r="AD6" i="4" s="1"/>
  <c r="AB6" i="4"/>
  <c r="T6" i="4"/>
  <c r="R6" i="4"/>
  <c r="K6" i="4"/>
  <c r="H6" i="4"/>
  <c r="L6" i="4" s="1"/>
  <c r="AE5" i="4"/>
  <c r="AC5" i="4"/>
  <c r="AD5" i="4" s="1"/>
  <c r="AB5" i="4"/>
  <c r="T5" i="4"/>
  <c r="R5" i="4"/>
  <c r="L5" i="4"/>
  <c r="K5" i="4"/>
  <c r="H5" i="4"/>
  <c r="AE4" i="4"/>
  <c r="AB4" i="4"/>
  <c r="T4" i="4"/>
  <c r="R4" i="4"/>
  <c r="K4" i="4"/>
  <c r="H4" i="4"/>
  <c r="L4" i="4" s="1"/>
  <c r="AC4" i="4" s="1"/>
  <c r="AD4" i="4" s="1"/>
  <c r="AE3" i="4"/>
  <c r="AB3" i="4"/>
  <c r="T3" i="4"/>
  <c r="R3" i="4"/>
  <c r="K3" i="4"/>
  <c r="H3" i="4"/>
  <c r="L3" i="4" s="1"/>
  <c r="AC3" i="4" s="1"/>
  <c r="AD3" i="4" s="1"/>
  <c r="AE2" i="4"/>
  <c r="AB2" i="4"/>
  <c r="T2" i="4"/>
  <c r="R2" i="4"/>
  <c r="K2" i="4"/>
  <c r="H2" i="4"/>
  <c r="L2" i="4" s="1"/>
  <c r="AC2" i="4" s="1"/>
  <c r="AD2" i="4" s="1"/>
  <c r="F89" i="3" a="1"/>
  <c r="F89" i="3" s="1"/>
  <c r="D89" i="3"/>
  <c r="D89" i="3" a="1"/>
  <c r="C89" i="3"/>
  <c r="E89" i="3" s="1"/>
  <c r="C89" i="3" a="1"/>
  <c r="F88" i="3" a="1"/>
  <c r="F88" i="3" s="1"/>
  <c r="D88" i="3"/>
  <c r="D88" i="3" a="1"/>
  <c r="C88" i="3" a="1"/>
  <c r="C88" i="3" s="1"/>
  <c r="E88" i="3" s="1"/>
  <c r="F87" i="3" a="1"/>
  <c r="F87" i="3" s="1"/>
  <c r="D87" i="3"/>
  <c r="D87" i="3" a="1"/>
  <c r="C87" i="3" a="1"/>
  <c r="C87" i="3" s="1"/>
  <c r="E87" i="3" s="1"/>
  <c r="F86" i="3"/>
  <c r="F86" i="3" a="1"/>
  <c r="D86" i="3" a="1"/>
  <c r="D86" i="3" s="1"/>
  <c r="C86" i="3" a="1"/>
  <c r="C86" i="3" s="1"/>
  <c r="F85" i="3" a="1"/>
  <c r="F85" i="3" s="1"/>
  <c r="D85" i="3" a="1"/>
  <c r="D85" i="3" s="1"/>
  <c r="C85" i="3" a="1"/>
  <c r="C85" i="3" s="1"/>
  <c r="F84" i="3"/>
  <c r="F84" i="3" a="1"/>
  <c r="D84" i="3" a="1"/>
  <c r="D84" i="3" s="1"/>
  <c r="C84" i="3" a="1"/>
  <c r="C84" i="3" s="1"/>
  <c r="E84" i="3" s="1"/>
  <c r="F83" i="3"/>
  <c r="F83" i="3" a="1"/>
  <c r="D83" i="3" a="1"/>
  <c r="D83" i="3" s="1"/>
  <c r="E83" i="3" s="1"/>
  <c r="C83" i="3"/>
  <c r="C83" i="3" a="1"/>
  <c r="F82" i="3"/>
  <c r="F82" i="3" a="1"/>
  <c r="D82" i="3" a="1"/>
  <c r="D82" i="3" s="1"/>
  <c r="E82" i="3" s="1"/>
  <c r="C82" i="3"/>
  <c r="C82" i="3" a="1"/>
  <c r="F81" i="3"/>
  <c r="F81" i="3" a="1"/>
  <c r="E81" i="3"/>
  <c r="D81" i="3"/>
  <c r="D81" i="3" a="1"/>
  <c r="C81" i="3"/>
  <c r="C81" i="3" a="1"/>
  <c r="F80" i="3"/>
  <c r="F80" i="3" a="1"/>
  <c r="D80" i="3"/>
  <c r="D80" i="3" a="1"/>
  <c r="C80" i="3"/>
  <c r="E80" i="3" s="1"/>
  <c r="C80" i="3" a="1"/>
  <c r="F79" i="3"/>
  <c r="F79" i="3" a="1"/>
  <c r="D79" i="3"/>
  <c r="D79" i="3" a="1"/>
  <c r="C79" i="3"/>
  <c r="E79" i="3" s="1"/>
  <c r="C79" i="3" a="1"/>
  <c r="F78" i="3"/>
  <c r="F78" i="3" a="1"/>
  <c r="D78" i="3" a="1"/>
  <c r="D78" i="3" s="1"/>
  <c r="C78" i="3"/>
  <c r="E78" i="3" s="1"/>
  <c r="C78" i="3" a="1"/>
  <c r="F77" i="3" a="1"/>
  <c r="F77" i="3" s="1"/>
  <c r="D77" i="3"/>
  <c r="D77" i="3" a="1"/>
  <c r="C77" i="3"/>
  <c r="E77" i="3" s="1"/>
  <c r="C77" i="3" a="1"/>
  <c r="F76" i="3" a="1"/>
  <c r="F76" i="3" s="1"/>
  <c r="D76" i="3"/>
  <c r="D76" i="3" a="1"/>
  <c r="C76" i="3" a="1"/>
  <c r="C76" i="3" s="1"/>
  <c r="E76" i="3" s="1"/>
  <c r="F75" i="3" a="1"/>
  <c r="F75" i="3" s="1"/>
  <c r="D75" i="3"/>
  <c r="D75" i="3" a="1"/>
  <c r="C75" i="3" a="1"/>
  <c r="C75" i="3" s="1"/>
  <c r="E75" i="3" s="1"/>
  <c r="F74" i="3"/>
  <c r="F74" i="3" a="1"/>
  <c r="D74" i="3" a="1"/>
  <c r="D74" i="3" s="1"/>
  <c r="C74" i="3" a="1"/>
  <c r="C74" i="3" s="1"/>
  <c r="E74" i="3" s="1"/>
  <c r="F73" i="3" a="1"/>
  <c r="F73" i="3" s="1"/>
  <c r="D73" i="3" a="1"/>
  <c r="D73" i="3" s="1"/>
  <c r="C73" i="3"/>
  <c r="E73" i="3" s="1"/>
  <c r="C73" i="3" a="1"/>
  <c r="F72" i="3"/>
  <c r="F72" i="3" a="1"/>
  <c r="D72" i="3" a="1"/>
  <c r="D72" i="3" s="1"/>
  <c r="C72" i="3" a="1"/>
  <c r="C72" i="3" s="1"/>
  <c r="E72" i="3" s="1"/>
  <c r="F71" i="3"/>
  <c r="F71" i="3" a="1"/>
  <c r="D71" i="3" a="1"/>
  <c r="D71" i="3" s="1"/>
  <c r="E71" i="3" s="1"/>
  <c r="C71" i="3"/>
  <c r="C71" i="3" a="1"/>
  <c r="F70" i="3"/>
  <c r="F70" i="3" a="1"/>
  <c r="D70" i="3" a="1"/>
  <c r="D70" i="3" s="1"/>
  <c r="E70" i="3" s="1"/>
  <c r="C70" i="3"/>
  <c r="C70" i="3" a="1"/>
  <c r="F69" i="3"/>
  <c r="F69" i="3" a="1"/>
  <c r="E69" i="3"/>
  <c r="D69" i="3"/>
  <c r="D69" i="3" a="1"/>
  <c r="C69" i="3"/>
  <c r="C69" i="3" a="1"/>
  <c r="F68" i="3"/>
  <c r="F68" i="3" a="1"/>
  <c r="D68" i="3"/>
  <c r="D68" i="3" a="1"/>
  <c r="C68" i="3"/>
  <c r="E68" i="3" s="1"/>
  <c r="C68" i="3" a="1"/>
  <c r="F67" i="3"/>
  <c r="F67" i="3" a="1"/>
  <c r="D67" i="3"/>
  <c r="D67" i="3" a="1"/>
  <c r="C67" i="3"/>
  <c r="E67" i="3" s="1"/>
  <c r="C67" i="3" a="1"/>
  <c r="F66" i="3"/>
  <c r="F66" i="3" a="1"/>
  <c r="D66" i="3" a="1"/>
  <c r="D66" i="3" s="1"/>
  <c r="C66" i="3"/>
  <c r="C66" i="3" a="1"/>
  <c r="F65" i="3" a="1"/>
  <c r="F65" i="3" s="1"/>
  <c r="D65" i="3"/>
  <c r="D65" i="3" a="1"/>
  <c r="C65" i="3"/>
  <c r="E65" i="3" s="1"/>
  <c r="C65" i="3" a="1"/>
  <c r="F64" i="3" a="1"/>
  <c r="F64" i="3" s="1"/>
  <c r="D64" i="3"/>
  <c r="D64" i="3" a="1"/>
  <c r="C64" i="3" a="1"/>
  <c r="C64" i="3" s="1"/>
  <c r="E64" i="3" s="1"/>
  <c r="F63" i="3" a="1"/>
  <c r="F63" i="3" s="1"/>
  <c r="D63" i="3"/>
  <c r="D63" i="3" a="1"/>
  <c r="C63" i="3" a="1"/>
  <c r="C63" i="3" s="1"/>
  <c r="E63" i="3" s="1"/>
  <c r="F62" i="3"/>
  <c r="F62" i="3" a="1"/>
  <c r="D62" i="3" a="1"/>
  <c r="D62" i="3" s="1"/>
  <c r="C62" i="3" a="1"/>
  <c r="C62" i="3" s="1"/>
  <c r="F61" i="3" a="1"/>
  <c r="F61" i="3" s="1"/>
  <c r="D61" i="3" a="1"/>
  <c r="D61" i="3" s="1"/>
  <c r="C61" i="3"/>
  <c r="E61" i="3" s="1"/>
  <c r="C61" i="3" a="1"/>
  <c r="F60" i="3"/>
  <c r="F60" i="3" a="1"/>
  <c r="D60" i="3" a="1"/>
  <c r="D60" i="3" s="1"/>
  <c r="C60" i="3" a="1"/>
  <c r="C60" i="3" s="1"/>
  <c r="E60" i="3" s="1"/>
  <c r="F59" i="3"/>
  <c r="F59" i="3" a="1"/>
  <c r="D59" i="3" a="1"/>
  <c r="D59" i="3" s="1"/>
  <c r="E59" i="3" s="1"/>
  <c r="C59" i="3"/>
  <c r="C59" i="3" a="1"/>
  <c r="M54" i="3"/>
  <c r="M54" i="3" a="1"/>
  <c r="L54" i="3"/>
  <c r="L54" i="3" a="1"/>
  <c r="H54" i="3" a="1"/>
  <c r="H54" i="3" s="1"/>
  <c r="G54" i="3" a="1"/>
  <c r="G54" i="3" s="1"/>
  <c r="F54" i="3"/>
  <c r="I54" i="3" s="1"/>
  <c r="D54" i="3"/>
  <c r="D54" i="3" a="1"/>
  <c r="C54" i="3"/>
  <c r="C54" i="3" a="1"/>
  <c r="B54" i="3"/>
  <c r="E54" i="3" s="1"/>
  <c r="M53" i="3"/>
  <c r="M53" i="3" a="1"/>
  <c r="L53" i="3"/>
  <c r="L53" i="3" a="1"/>
  <c r="H53" i="3" a="1"/>
  <c r="H53" i="3" s="1"/>
  <c r="G53" i="3" a="1"/>
  <c r="G53" i="3" s="1"/>
  <c r="I53" i="3" s="1"/>
  <c r="F53" i="3"/>
  <c r="D53" i="3"/>
  <c r="D53" i="3" a="1"/>
  <c r="C53" i="3"/>
  <c r="C53" i="3" a="1"/>
  <c r="B53" i="3"/>
  <c r="E53" i="3" s="1"/>
  <c r="M52" i="3"/>
  <c r="M52" i="3" a="1"/>
  <c r="L52" i="3"/>
  <c r="L52" i="3" a="1"/>
  <c r="H52" i="3"/>
  <c r="H52" i="3" a="1"/>
  <c r="G52" i="3" a="1"/>
  <c r="G52" i="3" s="1"/>
  <c r="F52" i="3"/>
  <c r="I52" i="3" s="1"/>
  <c r="D52" i="3" a="1"/>
  <c r="D52" i="3" s="1"/>
  <c r="C52" i="3"/>
  <c r="C52" i="3" a="1"/>
  <c r="B52" i="3"/>
  <c r="M51" i="3" a="1"/>
  <c r="M51" i="3" s="1"/>
  <c r="L51" i="3"/>
  <c r="L51" i="3" a="1"/>
  <c r="I51" i="3"/>
  <c r="H51" i="3"/>
  <c r="H51" i="3" a="1"/>
  <c r="G51" i="3"/>
  <c r="G51" i="3" a="1"/>
  <c r="F51" i="3"/>
  <c r="D51" i="3" a="1"/>
  <c r="D51" i="3" s="1"/>
  <c r="E51" i="3" s="1"/>
  <c r="J51" i="3" s="1"/>
  <c r="C51" i="3"/>
  <c r="C51" i="3" a="1"/>
  <c r="B51" i="3"/>
  <c r="M50" i="3"/>
  <c r="M50" i="3" a="1"/>
  <c r="L50" i="3" a="1"/>
  <c r="L50" i="3" s="1"/>
  <c r="H50" i="3"/>
  <c r="H50" i="3" a="1"/>
  <c r="G50" i="3"/>
  <c r="G50" i="3" a="1"/>
  <c r="F50" i="3"/>
  <c r="I50" i="3" s="1"/>
  <c r="D50" i="3" a="1"/>
  <c r="D50" i="3" s="1"/>
  <c r="C50" i="3" a="1"/>
  <c r="C50" i="3" s="1"/>
  <c r="B50" i="3"/>
  <c r="M49" i="3" a="1"/>
  <c r="M49" i="3" s="1"/>
  <c r="L49" i="3" a="1"/>
  <c r="L49" i="3" s="1"/>
  <c r="H49" i="3"/>
  <c r="H49" i="3" a="1"/>
  <c r="G49" i="3"/>
  <c r="G49" i="3" a="1"/>
  <c r="F49" i="3"/>
  <c r="I49" i="3" s="1"/>
  <c r="D49" i="3" a="1"/>
  <c r="D49" i="3" s="1"/>
  <c r="C49" i="3" a="1"/>
  <c r="C49" i="3" s="1"/>
  <c r="B49" i="3"/>
  <c r="E49" i="3" s="1"/>
  <c r="J49" i="3" s="1"/>
  <c r="M48" i="3" a="1"/>
  <c r="M48" i="3" s="1"/>
  <c r="L48" i="3" a="1"/>
  <c r="L48" i="3" s="1"/>
  <c r="H48" i="3"/>
  <c r="H48" i="3" a="1"/>
  <c r="G48" i="3"/>
  <c r="I48" i="3" s="1"/>
  <c r="G48" i="3" a="1"/>
  <c r="F48" i="3"/>
  <c r="D48" i="3" a="1"/>
  <c r="D48" i="3" s="1"/>
  <c r="C48" i="3" a="1"/>
  <c r="C48" i="3" s="1"/>
  <c r="B48" i="3"/>
  <c r="E48" i="3" s="1"/>
  <c r="J48" i="3" s="1"/>
  <c r="M47" i="3"/>
  <c r="M47" i="3" a="1"/>
  <c r="L47" i="3" a="1"/>
  <c r="L47" i="3" s="1"/>
  <c r="H47" i="3"/>
  <c r="H47" i="3" a="1"/>
  <c r="G47" i="3"/>
  <c r="G47" i="3" a="1"/>
  <c r="F47" i="3"/>
  <c r="I47" i="3" s="1"/>
  <c r="D47" i="3"/>
  <c r="D47" i="3" a="1"/>
  <c r="C47" i="3" a="1"/>
  <c r="C47" i="3" s="1"/>
  <c r="E47" i="3" s="1"/>
  <c r="B47" i="3"/>
  <c r="M46" i="3"/>
  <c r="M46" i="3" a="1"/>
  <c r="L46" i="3" a="1"/>
  <c r="L46" i="3" s="1"/>
  <c r="H46" i="3" a="1"/>
  <c r="H46" i="3" s="1"/>
  <c r="G46" i="3"/>
  <c r="G46" i="3" a="1"/>
  <c r="F46" i="3"/>
  <c r="D46" i="3"/>
  <c r="D46" i="3" a="1"/>
  <c r="C46" i="3" a="1"/>
  <c r="C46" i="3" s="1"/>
  <c r="B46" i="3"/>
  <c r="E46" i="3" s="1"/>
  <c r="M45" i="3"/>
  <c r="M45" i="3" a="1"/>
  <c r="L45" i="3"/>
  <c r="L45" i="3" a="1"/>
  <c r="H45" i="3" a="1"/>
  <c r="H45" i="3" s="1"/>
  <c r="I45" i="3" s="1"/>
  <c r="G45" i="3"/>
  <c r="G45" i="3" a="1"/>
  <c r="F45" i="3"/>
  <c r="D45" i="3"/>
  <c r="E45" i="3" s="1"/>
  <c r="J45" i="3" s="1"/>
  <c r="D45" i="3" a="1"/>
  <c r="C45" i="3"/>
  <c r="C45" i="3" a="1"/>
  <c r="B45" i="3"/>
  <c r="M44" i="3"/>
  <c r="M44" i="3" a="1"/>
  <c r="L44" i="3"/>
  <c r="L44" i="3" a="1"/>
  <c r="H44" i="3" a="1"/>
  <c r="H44" i="3" s="1"/>
  <c r="G44" i="3" a="1"/>
  <c r="G44" i="3" s="1"/>
  <c r="I44" i="3" s="1"/>
  <c r="F44" i="3"/>
  <c r="D44" i="3"/>
  <c r="D44" i="3" a="1"/>
  <c r="C44" i="3"/>
  <c r="C44" i="3" a="1"/>
  <c r="B44" i="3"/>
  <c r="E44" i="3" s="1"/>
  <c r="J44" i="3" s="1"/>
  <c r="M43" i="3"/>
  <c r="M43" i="3" a="1"/>
  <c r="L43" i="3"/>
  <c r="L43" i="3" a="1"/>
  <c r="H43" i="3" a="1"/>
  <c r="H43" i="3" s="1"/>
  <c r="G43" i="3" a="1"/>
  <c r="G43" i="3" s="1"/>
  <c r="F43" i="3"/>
  <c r="I43" i="3" s="1"/>
  <c r="D43" i="3"/>
  <c r="D43" i="3" a="1"/>
  <c r="C43" i="3"/>
  <c r="C43" i="3" a="1"/>
  <c r="B43" i="3"/>
  <c r="E43" i="3" s="1"/>
  <c r="J43" i="3" s="1"/>
  <c r="M42" i="3"/>
  <c r="M42" i="3" a="1"/>
  <c r="L42" i="3"/>
  <c r="L42" i="3" a="1"/>
  <c r="H42" i="3" a="1"/>
  <c r="H42" i="3" s="1"/>
  <c r="G42" i="3" a="1"/>
  <c r="G42" i="3" s="1"/>
  <c r="F42" i="3"/>
  <c r="I42" i="3" s="1"/>
  <c r="D42" i="3"/>
  <c r="D42" i="3" a="1"/>
  <c r="C42" i="3"/>
  <c r="E42" i="3" s="1"/>
  <c r="J42" i="3" s="1"/>
  <c r="C42" i="3" a="1"/>
  <c r="B42" i="3"/>
  <c r="M41" i="3"/>
  <c r="M41" i="3" a="1"/>
  <c r="L41" i="3"/>
  <c r="L41" i="3" a="1"/>
  <c r="H41" i="3"/>
  <c r="H41" i="3" a="1"/>
  <c r="G41" i="3" a="1"/>
  <c r="G41" i="3" s="1"/>
  <c r="I41" i="3" s="1"/>
  <c r="F41" i="3"/>
  <c r="D41" i="3"/>
  <c r="D41" i="3" a="1"/>
  <c r="C41" i="3"/>
  <c r="C41" i="3" a="1"/>
  <c r="B41" i="3"/>
  <c r="E41" i="3" s="1"/>
  <c r="J41" i="3" s="1"/>
  <c r="M40" i="3" a="1"/>
  <c r="M40" i="3" s="1"/>
  <c r="L40" i="3"/>
  <c r="L40" i="3" a="1"/>
  <c r="H40" i="3"/>
  <c r="H40" i="3" a="1"/>
  <c r="G40" i="3" a="1"/>
  <c r="G40" i="3" s="1"/>
  <c r="F40" i="3"/>
  <c r="I40" i="3" s="1"/>
  <c r="D40" i="3" a="1"/>
  <c r="D40" i="3" s="1"/>
  <c r="C40" i="3" a="1"/>
  <c r="C40" i="3" s="1"/>
  <c r="B40" i="3"/>
  <c r="E40" i="3" s="1"/>
  <c r="M39" i="3" a="1"/>
  <c r="M39" i="3" s="1"/>
  <c r="L39" i="3" a="1"/>
  <c r="L39" i="3" s="1"/>
  <c r="I39" i="3"/>
  <c r="H39" i="3"/>
  <c r="H39" i="3" a="1"/>
  <c r="G39" i="3"/>
  <c r="G39" i="3" a="1"/>
  <c r="F39" i="3"/>
  <c r="D39" i="3" a="1"/>
  <c r="D39" i="3" s="1"/>
  <c r="C39" i="3" a="1"/>
  <c r="C39" i="3" s="1"/>
  <c r="B39" i="3"/>
  <c r="M38" i="3"/>
  <c r="M38" i="3" a="1"/>
  <c r="L38" i="3" a="1"/>
  <c r="L38" i="3" s="1"/>
  <c r="H38" i="3"/>
  <c r="I38" i="3" s="1"/>
  <c r="H38" i="3" a="1"/>
  <c r="G38" i="3"/>
  <c r="G38" i="3" a="1"/>
  <c r="F38" i="3"/>
  <c r="D38" i="3"/>
  <c r="D38" i="3" a="1"/>
  <c r="C38" i="3" a="1"/>
  <c r="C38" i="3" s="1"/>
  <c r="E38" i="3" s="1"/>
  <c r="B38" i="3"/>
  <c r="M37" i="3" a="1"/>
  <c r="M37" i="3" s="1"/>
  <c r="L37" i="3"/>
  <c r="L37" i="3" a="1"/>
  <c r="H37" i="3" a="1"/>
  <c r="H37" i="3" s="1"/>
  <c r="G37" i="3"/>
  <c r="G37" i="3" a="1"/>
  <c r="F37" i="3"/>
  <c r="D37" i="3" a="1"/>
  <c r="D37" i="3" s="1"/>
  <c r="C37" i="3"/>
  <c r="C37" i="3" a="1"/>
  <c r="B37" i="3"/>
  <c r="E37" i="3" s="1"/>
  <c r="M36" i="3" a="1"/>
  <c r="M36" i="3" s="1"/>
  <c r="L36" i="3" a="1"/>
  <c r="L36" i="3" s="1"/>
  <c r="H36" i="3" a="1"/>
  <c r="H36" i="3" s="1"/>
  <c r="I36" i="3" s="1"/>
  <c r="G36" i="3"/>
  <c r="G36" i="3" a="1"/>
  <c r="F36" i="3"/>
  <c r="D36" i="3" a="1"/>
  <c r="D36" i="3" s="1"/>
  <c r="C36" i="3" a="1"/>
  <c r="C36" i="3" s="1"/>
  <c r="B36" i="3"/>
  <c r="M35" i="3"/>
  <c r="M35" i="3" a="1"/>
  <c r="L35" i="3" a="1"/>
  <c r="L35" i="3" s="1"/>
  <c r="H35" i="3" a="1"/>
  <c r="H35" i="3" s="1"/>
  <c r="G35" i="3" a="1"/>
  <c r="G35" i="3" s="1"/>
  <c r="F35" i="3"/>
  <c r="D35" i="3"/>
  <c r="D35" i="3" a="1"/>
  <c r="C35" i="3" a="1"/>
  <c r="C35" i="3" s="1"/>
  <c r="B35" i="3"/>
  <c r="E35" i="3" s="1"/>
  <c r="M34" i="3"/>
  <c r="M34" i="3" a="1"/>
  <c r="L34" i="3" a="1"/>
  <c r="L34" i="3" s="1"/>
  <c r="H34" i="3" a="1"/>
  <c r="H34" i="3" s="1"/>
  <c r="G34" i="3"/>
  <c r="G34" i="3" a="1"/>
  <c r="F34" i="3"/>
  <c r="D34" i="3"/>
  <c r="D34" i="3" a="1"/>
  <c r="C34" i="3" a="1"/>
  <c r="C34" i="3" s="1"/>
  <c r="B34" i="3"/>
  <c r="M33" i="3"/>
  <c r="M33" i="3" a="1"/>
  <c r="L33" i="3"/>
  <c r="L33" i="3" a="1"/>
  <c r="H33" i="3"/>
  <c r="H33" i="3" a="1"/>
  <c r="G33" i="3" a="1"/>
  <c r="G33" i="3" s="1"/>
  <c r="I33" i="3" s="1"/>
  <c r="F33" i="3"/>
  <c r="D33" i="3"/>
  <c r="D33" i="3" a="1"/>
  <c r="C33" i="3"/>
  <c r="E33" i="3" s="1"/>
  <c r="J33" i="3" s="1"/>
  <c r="C33" i="3" a="1"/>
  <c r="B33" i="3"/>
  <c r="M32" i="3"/>
  <c r="M32" i="3" a="1"/>
  <c r="L32" i="3"/>
  <c r="L32" i="3" a="1"/>
  <c r="G32" i="3" a="1"/>
  <c r="G32" i="3" s="1"/>
  <c r="I32" i="3" s="1"/>
  <c r="F32" i="3"/>
  <c r="D32" i="3"/>
  <c r="D32" i="3" a="1"/>
  <c r="C32" i="3"/>
  <c r="E32" i="3" s="1"/>
  <c r="C32" i="3" a="1"/>
  <c r="B32" i="3"/>
  <c r="M31" i="3" a="1"/>
  <c r="M31" i="3" s="1"/>
  <c r="L31" i="3" a="1"/>
  <c r="L31" i="3" s="1"/>
  <c r="H31" i="3"/>
  <c r="H31" i="3" a="1"/>
  <c r="G31" i="3" a="1"/>
  <c r="G31" i="3" s="1"/>
  <c r="F31" i="3"/>
  <c r="D31" i="3" a="1"/>
  <c r="D31" i="3" s="1"/>
  <c r="C31" i="3" a="1"/>
  <c r="C31" i="3" s="1"/>
  <c r="B31" i="3"/>
  <c r="E31" i="3" s="1"/>
  <c r="M30" i="3" a="1"/>
  <c r="M30" i="3" s="1"/>
  <c r="L30" i="3"/>
  <c r="L30" i="3" a="1"/>
  <c r="H30" i="3"/>
  <c r="H30" i="3" a="1"/>
  <c r="G30" i="3" a="1"/>
  <c r="G30" i="3" s="1"/>
  <c r="F30" i="3"/>
  <c r="I30" i="3" s="1"/>
  <c r="D30" i="3" a="1"/>
  <c r="D30" i="3" s="1"/>
  <c r="C30" i="3"/>
  <c r="C30" i="3" a="1"/>
  <c r="B30" i="3"/>
  <c r="M29" i="3"/>
  <c r="M29" i="3" a="1"/>
  <c r="L29" i="3" a="1"/>
  <c r="L29" i="3" s="1"/>
  <c r="I29" i="3"/>
  <c r="H29" i="3"/>
  <c r="H29" i="3" a="1"/>
  <c r="G29" i="3"/>
  <c r="G29" i="3" a="1"/>
  <c r="F29" i="3"/>
  <c r="D29" i="3"/>
  <c r="D29" i="3" a="1"/>
  <c r="C29" i="3" a="1"/>
  <c r="C29" i="3" s="1"/>
  <c r="E29" i="3" s="1"/>
  <c r="J29" i="3" s="1"/>
  <c r="B29" i="3"/>
  <c r="M28" i="3"/>
  <c r="M28" i="3" a="1"/>
  <c r="L28" i="3" a="1"/>
  <c r="L28" i="3" s="1"/>
  <c r="H28" i="3"/>
  <c r="I28" i="3" s="1"/>
  <c r="H28" i="3" a="1"/>
  <c r="G28" i="3"/>
  <c r="G28" i="3" a="1"/>
  <c r="F28" i="3"/>
  <c r="D28" i="3"/>
  <c r="D28" i="3" a="1"/>
  <c r="C28" i="3" a="1"/>
  <c r="C28" i="3" s="1"/>
  <c r="E28" i="3" s="1"/>
  <c r="J28" i="3" s="1"/>
  <c r="B28" i="3"/>
  <c r="M27" i="3" a="1"/>
  <c r="M27" i="3" s="1"/>
  <c r="L27" i="3"/>
  <c r="L27" i="3" a="1"/>
  <c r="H27" i="3" a="1"/>
  <c r="H27" i="3" s="1"/>
  <c r="G27" i="3"/>
  <c r="G27" i="3" a="1"/>
  <c r="F27" i="3"/>
  <c r="D27" i="3" a="1"/>
  <c r="D27" i="3" s="1"/>
  <c r="E27" i="3" s="1"/>
  <c r="C27" i="3"/>
  <c r="C27" i="3" a="1"/>
  <c r="B27" i="3"/>
  <c r="M26" i="3" a="1"/>
  <c r="M26" i="3" s="1"/>
  <c r="L26" i="3" a="1"/>
  <c r="L26" i="3" s="1"/>
  <c r="H26" i="3" a="1"/>
  <c r="H26" i="3" s="1"/>
  <c r="I26" i="3" s="1"/>
  <c r="G26" i="3"/>
  <c r="G26" i="3" a="1"/>
  <c r="F26" i="3"/>
  <c r="D26" i="3" a="1"/>
  <c r="D26" i="3" s="1"/>
  <c r="C26" i="3" a="1"/>
  <c r="C26" i="3" s="1"/>
  <c r="B26" i="3"/>
  <c r="E26" i="3" s="1"/>
  <c r="M25" i="3"/>
  <c r="M25" i="3" a="1"/>
  <c r="L25" i="3" a="1"/>
  <c r="L25" i="3" s="1"/>
  <c r="H25" i="3" a="1"/>
  <c r="H25" i="3" s="1"/>
  <c r="G25" i="3" a="1"/>
  <c r="G25" i="3" s="1"/>
  <c r="F25" i="3"/>
  <c r="I25" i="3" s="1"/>
  <c r="D25" i="3"/>
  <c r="D25" i="3" a="1"/>
  <c r="C25" i="3" a="1"/>
  <c r="C25" i="3" s="1"/>
  <c r="E25" i="3" s="1"/>
  <c r="B25" i="3"/>
  <c r="M24" i="3"/>
  <c r="M24" i="3" a="1"/>
  <c r="L24" i="3" a="1"/>
  <c r="L24" i="3" s="1"/>
  <c r="H24" i="3" a="1"/>
  <c r="H24" i="3" s="1"/>
  <c r="G24" i="3" a="1"/>
  <c r="G24" i="3" s="1"/>
  <c r="F24" i="3"/>
  <c r="D24" i="3"/>
  <c r="D24" i="3" a="1"/>
  <c r="C24" i="3" a="1"/>
  <c r="C24" i="3" s="1"/>
  <c r="B24" i="3"/>
  <c r="E24" i="3" s="1"/>
  <c r="M23" i="3"/>
  <c r="M23" i="3" a="1"/>
  <c r="L23" i="3"/>
  <c r="L23" i="3" a="1"/>
  <c r="H23" i="3"/>
  <c r="H23" i="3" a="1"/>
  <c r="G23" i="3" a="1"/>
  <c r="G23" i="3" s="1"/>
  <c r="I23" i="3" s="1"/>
  <c r="F23" i="3"/>
  <c r="D23" i="3"/>
  <c r="D23" i="3" a="1"/>
  <c r="C23" i="3"/>
  <c r="E23" i="3" s="1"/>
  <c r="C23" i="3" a="1"/>
  <c r="B23" i="3"/>
  <c r="M22" i="3"/>
  <c r="M22" i="3" a="1"/>
  <c r="L22" i="3" a="1"/>
  <c r="L22" i="3" s="1"/>
  <c r="G22" i="3"/>
  <c r="G22" i="3" a="1"/>
  <c r="F22" i="3"/>
  <c r="I22" i="3" s="1"/>
  <c r="D22" i="3" a="1"/>
  <c r="D22" i="3" s="1"/>
  <c r="E22" i="3" s="1"/>
  <c r="C22" i="3"/>
  <c r="C22" i="3" a="1"/>
  <c r="B22" i="3"/>
  <c r="M21" i="3" a="1"/>
  <c r="M21" i="3" s="1"/>
  <c r="L21" i="3" a="1"/>
  <c r="L21" i="3" s="1"/>
  <c r="H21" i="3" a="1"/>
  <c r="H21" i="3" s="1"/>
  <c r="G21" i="3"/>
  <c r="I21" i="3" s="1"/>
  <c r="G21" i="3" a="1"/>
  <c r="F21" i="3"/>
  <c r="D21" i="3" a="1"/>
  <c r="D21" i="3" s="1"/>
  <c r="C21" i="3" a="1"/>
  <c r="C21" i="3" s="1"/>
  <c r="B21" i="3"/>
  <c r="M20" i="3"/>
  <c r="M20" i="3" a="1"/>
  <c r="L20" i="3" a="1"/>
  <c r="L20" i="3" s="1"/>
  <c r="H20" i="3" a="1"/>
  <c r="H20" i="3" s="1"/>
  <c r="G20" i="3" a="1"/>
  <c r="G20" i="3" s="1"/>
  <c r="F20" i="3"/>
  <c r="D20" i="3"/>
  <c r="D20" i="3" a="1"/>
  <c r="C20" i="3" a="1"/>
  <c r="C20" i="3" s="1"/>
  <c r="E20" i="3" s="1"/>
  <c r="B20" i="3"/>
  <c r="M19" i="3"/>
  <c r="M19" i="3" a="1"/>
  <c r="L19" i="3" a="1"/>
  <c r="L19" i="3" s="1"/>
  <c r="H19" i="3" a="1"/>
  <c r="H19" i="3" s="1"/>
  <c r="G19" i="3" a="1"/>
  <c r="G19" i="3" s="1"/>
  <c r="F19" i="3"/>
  <c r="D19" i="3"/>
  <c r="D19" i="3" a="1"/>
  <c r="C19" i="3" a="1"/>
  <c r="C19" i="3" s="1"/>
  <c r="B19" i="3"/>
  <c r="E19" i="3" s="1"/>
  <c r="M18" i="3"/>
  <c r="M18" i="3" a="1"/>
  <c r="L18" i="3"/>
  <c r="L18" i="3" a="1"/>
  <c r="I18" i="3"/>
  <c r="G18" i="3"/>
  <c r="G18" i="3" a="1"/>
  <c r="F18" i="3"/>
  <c r="D18" i="3" a="1"/>
  <c r="D18" i="3" s="1"/>
  <c r="C18" i="3"/>
  <c r="C18" i="3" a="1"/>
  <c r="B18" i="3"/>
  <c r="E18" i="3" s="1"/>
  <c r="J18" i="3" s="1"/>
  <c r="M17" i="3" a="1"/>
  <c r="M17" i="3" s="1"/>
  <c r="L17" i="3"/>
  <c r="L17" i="3" a="1"/>
  <c r="H17" i="3" a="1"/>
  <c r="H17" i="3" s="1"/>
  <c r="G17" i="3" a="1"/>
  <c r="G17" i="3" s="1"/>
  <c r="F17" i="3"/>
  <c r="I17" i="3" s="1"/>
  <c r="D17" i="3" a="1"/>
  <c r="D17" i="3" s="1"/>
  <c r="C17" i="3"/>
  <c r="E17" i="3" s="1"/>
  <c r="C17" i="3" a="1"/>
  <c r="B17" i="3"/>
  <c r="M16" i="3" a="1"/>
  <c r="M16" i="3" s="1"/>
  <c r="L16" i="3" a="1"/>
  <c r="L16" i="3" s="1"/>
  <c r="H16" i="3" a="1"/>
  <c r="H16" i="3" s="1"/>
  <c r="G16" i="3" a="1"/>
  <c r="G16" i="3" s="1"/>
  <c r="F16" i="3"/>
  <c r="D16" i="3" a="1"/>
  <c r="D16" i="3" s="1"/>
  <c r="C16" i="3" a="1"/>
  <c r="C16" i="3" s="1"/>
  <c r="B16" i="3"/>
  <c r="E16" i="3" s="1"/>
  <c r="M15" i="3" a="1"/>
  <c r="M15" i="3" s="1"/>
  <c r="L15" i="3" a="1"/>
  <c r="L15" i="3" s="1"/>
  <c r="H15" i="3"/>
  <c r="H15" i="3" a="1"/>
  <c r="G15" i="3" a="1"/>
  <c r="G15" i="3" s="1"/>
  <c r="F15" i="3"/>
  <c r="I15" i="3" s="1"/>
  <c r="D15" i="3" a="1"/>
  <c r="D15" i="3" s="1"/>
  <c r="C15" i="3" a="1"/>
  <c r="C15" i="3" s="1"/>
  <c r="B15" i="3"/>
  <c r="E5" i="3" s="1"/>
  <c r="M14" i="3"/>
  <c r="M14" i="3" a="1"/>
  <c r="L14" i="3" a="1"/>
  <c r="L14" i="3" s="1"/>
  <c r="H14" i="3"/>
  <c r="H14" i="3" a="1"/>
  <c r="G14" i="3" a="1"/>
  <c r="G14" i="3" s="1"/>
  <c r="F14" i="3"/>
  <c r="D14" i="3"/>
  <c r="D14" i="3" a="1"/>
  <c r="C14" i="3" a="1"/>
  <c r="C14" i="3" s="1"/>
  <c r="E14" i="3" s="1"/>
  <c r="B14" i="3"/>
  <c r="M13" i="3" a="1"/>
  <c r="M13" i="3" s="1"/>
  <c r="L13" i="3" a="1"/>
  <c r="L13" i="3" s="1"/>
  <c r="H13" i="3"/>
  <c r="I13" i="3" s="1"/>
  <c r="H13" i="3" a="1"/>
  <c r="G13" i="3"/>
  <c r="G13" i="3" a="1"/>
  <c r="F13" i="3"/>
  <c r="D13" i="3" a="1"/>
  <c r="D13" i="3" s="1"/>
  <c r="C13" i="3" a="1"/>
  <c r="C13" i="3" s="1"/>
  <c r="B13" i="3"/>
  <c r="E13" i="3" s="1"/>
  <c r="J13" i="3" s="1"/>
  <c r="M12" i="3" a="1"/>
  <c r="M12" i="3" s="1"/>
  <c r="L12" i="3"/>
  <c r="L12" i="3" a="1"/>
  <c r="G12" i="3" a="1"/>
  <c r="G12" i="3" s="1"/>
  <c r="F12" i="3"/>
  <c r="D12" i="3" a="1"/>
  <c r="D12" i="3" s="1"/>
  <c r="C12" i="3" a="1"/>
  <c r="C12" i="3" s="1"/>
  <c r="B12" i="3"/>
  <c r="M11" i="3"/>
  <c r="M11" i="3" a="1"/>
  <c r="L11" i="3" a="1"/>
  <c r="L11" i="3" s="1"/>
  <c r="G11" i="3" a="1"/>
  <c r="G11" i="3" s="1"/>
  <c r="F11" i="3"/>
  <c r="D11" i="3"/>
  <c r="E11" i="3" s="1"/>
  <c r="D11" i="3" a="1"/>
  <c r="C11" i="3"/>
  <c r="C11" i="3" a="1"/>
  <c r="B11" i="3"/>
  <c r="M10" i="3" a="1"/>
  <c r="M10" i="3" s="1"/>
  <c r="L10" i="3"/>
  <c r="L10" i="3" a="1"/>
  <c r="H10" i="3" a="1"/>
  <c r="H10" i="3" s="1"/>
  <c r="I10" i="3" s="1"/>
  <c r="G10" i="3"/>
  <c r="G10" i="3" a="1"/>
  <c r="F10" i="3"/>
  <c r="D10" i="3" a="1"/>
  <c r="D10" i="3" s="1"/>
  <c r="C10" i="3" a="1"/>
  <c r="C10" i="3" s="1"/>
  <c r="B10" i="3"/>
  <c r="M9" i="3" a="1"/>
  <c r="M9" i="3" s="1"/>
  <c r="L9" i="3"/>
  <c r="L9" i="3" a="1"/>
  <c r="H9" i="3" a="1"/>
  <c r="H9" i="3" s="1"/>
  <c r="G9" i="3" a="1"/>
  <c r="G9" i="3" s="1"/>
  <c r="F9" i="3"/>
  <c r="D9" i="3" a="1"/>
  <c r="D9" i="3" s="1"/>
  <c r="C9" i="3"/>
  <c r="E9" i="3" s="1"/>
  <c r="C9" i="3" a="1"/>
  <c r="B9" i="3"/>
  <c r="M8" i="3" a="1"/>
  <c r="M8" i="3" s="1"/>
  <c r="L8" i="3" a="1"/>
  <c r="L8" i="3" s="1"/>
  <c r="H8" i="3" a="1"/>
  <c r="H8" i="3" s="1"/>
  <c r="G8" i="3" a="1"/>
  <c r="G8" i="3" s="1"/>
  <c r="I8" i="3" s="1"/>
  <c r="F8" i="3"/>
  <c r="D8" i="3" a="1"/>
  <c r="D8" i="3" s="1"/>
  <c r="C8" i="3" a="1"/>
  <c r="C8" i="3" s="1"/>
  <c r="B8" i="3"/>
  <c r="AD105" i="4" l="1"/>
  <c r="AD131" i="4"/>
  <c r="AD50" i="4"/>
  <c r="AD57" i="4"/>
  <c r="AD19" i="4"/>
  <c r="AD108" i="4"/>
  <c r="AD73" i="4"/>
  <c r="AD89" i="4"/>
  <c r="J16" i="3"/>
  <c r="I12" i="3"/>
  <c r="J32" i="3"/>
  <c r="E10" i="3"/>
  <c r="J10" i="3" s="1"/>
  <c r="E21" i="3"/>
  <c r="J21" i="3" s="1"/>
  <c r="J22" i="3"/>
  <c r="O22" i="3" s="1"/>
  <c r="I24" i="3"/>
  <c r="I35" i="3"/>
  <c r="E30" i="3"/>
  <c r="J30" i="3" s="1"/>
  <c r="I34" i="3"/>
  <c r="J40" i="3"/>
  <c r="J46" i="3"/>
  <c r="J47" i="3"/>
  <c r="I16" i="3"/>
  <c r="I11" i="3"/>
  <c r="J11" i="3" s="1"/>
  <c r="I31" i="3"/>
  <c r="J31" i="3" s="1"/>
  <c r="J37" i="3"/>
  <c r="J38" i="3"/>
  <c r="E39" i="3"/>
  <c r="J39" i="3" s="1"/>
  <c r="E66" i="3"/>
  <c r="E85" i="3"/>
  <c r="I27" i="3"/>
  <c r="I46" i="3"/>
  <c r="J27" i="3"/>
  <c r="E8" i="3"/>
  <c r="J8" i="3" s="1"/>
  <c r="I9" i="3"/>
  <c r="J9" i="3" s="1"/>
  <c r="I20" i="3"/>
  <c r="J20" i="3" s="1"/>
  <c r="E36" i="3"/>
  <c r="J36" i="3" s="1"/>
  <c r="E86" i="3"/>
  <c r="J26" i="3"/>
  <c r="H5" i="3"/>
  <c r="J25" i="3"/>
  <c r="I37" i="3"/>
  <c r="K5" i="3"/>
  <c r="J17" i="3"/>
  <c r="I19" i="3"/>
  <c r="I14" i="3" s="1"/>
  <c r="J14" i="3" s="1"/>
  <c r="J24" i="3"/>
  <c r="J35" i="3"/>
  <c r="E52" i="3"/>
  <c r="J52" i="3" s="1"/>
  <c r="J53" i="3"/>
  <c r="J54" i="3"/>
  <c r="E12" i="3"/>
  <c r="J12" i="3" s="1"/>
  <c r="J23" i="3"/>
  <c r="E34" i="3"/>
  <c r="E50" i="3"/>
  <c r="J50" i="3" s="1"/>
  <c r="E62" i="3"/>
  <c r="E15" i="3"/>
  <c r="J15" i="3" s="1"/>
  <c r="J34" i="3" l="1"/>
  <c r="J19" i="3"/>
  <c r="B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<sst xmlns="http://schemas.openxmlformats.org/spreadsheetml/2006/main" count="80456" uniqueCount="1148">
  <si>
    <t>N7941/2507</t>
  </si>
  <si>
    <t>6190000001</t>
  </si>
  <si>
    <t>4791010474</t>
  </si>
  <si>
    <t>EUR</t>
  </si>
  <si>
    <t>SAP BELGIUM NV/Redesign Profitability Model-_30632</t>
  </si>
  <si>
    <t>2025</t>
  </si>
  <si>
    <t>9</t>
  </si>
  <si>
    <t>Purch Investment IT</t>
  </si>
  <si>
    <t>10</t>
  </si>
  <si>
    <t/>
  </si>
  <si>
    <t>Reclass internal hours from OPEX to Capex</t>
  </si>
  <si>
    <t>11</t>
  </si>
  <si>
    <t>12</t>
  </si>
  <si>
    <t>2026</t>
  </si>
  <si>
    <t>1</t>
  </si>
  <si>
    <t>2</t>
  </si>
  <si>
    <t>3</t>
  </si>
  <si>
    <t>4</t>
  </si>
  <si>
    <t>5</t>
  </si>
  <si>
    <t>6</t>
  </si>
  <si>
    <t>SAP BELGIUM N/Redesign Profitability Model-_306324</t>
  </si>
  <si>
    <t>7</t>
  </si>
  <si>
    <t>8</t>
  </si>
  <si>
    <t>O6300/2603</t>
  </si>
  <si>
    <t>4631069083</t>
  </si>
  <si>
    <t>COMPUTACENTER NV/FortiGate switch controller</t>
  </si>
  <si>
    <t>O7941/2513</t>
  </si>
  <si>
    <t>4791010526</t>
  </si>
  <si>
    <t>PLANISWARE BELGIUM SRL/2025-Symphony implementatio</t>
  </si>
  <si>
    <t>PLANISWARE BELGIUM SRL/2025-licences</t>
  </si>
  <si>
    <t>4791010606</t>
  </si>
  <si>
    <t>TEAM4P/2025 implementation of Planisware softw</t>
  </si>
  <si>
    <t>PLANISWARE BELGIUM SRL/2025-essential travel</t>
  </si>
  <si>
    <t>7405000000</t>
  </si>
  <si>
    <t>7941 - Engineering - Symphony Project</t>
  </si>
  <si>
    <t>IC-Technical assistance &amp;  man fees</t>
  </si>
  <si>
    <t>6405000000</t>
  </si>
  <si>
    <t>IC Oth oper chgs Tech assist &amp; man fees</t>
  </si>
  <si>
    <t>Reclass</t>
  </si>
  <si>
    <t>TEAM4P/2026 implementation of Planisware softw</t>
  </si>
  <si>
    <t>4791010688</t>
  </si>
  <si>
    <t>PLANISWARE BELGIUM SRL/2026-symphony licences</t>
  </si>
  <si>
    <t>PLANISWARE BELGIUM SRL/2026-symphony implementatio</t>
  </si>
  <si>
    <t>PLANISWARE BELGIUM SRL/2026-essential travel</t>
  </si>
  <si>
    <t>WBS Correction</t>
  </si>
  <si>
    <t>Reclass: WBS Correction</t>
  </si>
  <si>
    <t>4791010791</t>
  </si>
  <si>
    <t>PLANISWARE BELGIUM SR/2026-Additional Scope releas</t>
  </si>
  <si>
    <t>Symphony Project - Etex Engineering Fees</t>
  </si>
  <si>
    <t>7941 - Symphony Project - Etex Engineering Fees</t>
  </si>
  <si>
    <t>O7941/2517</t>
  </si>
  <si>
    <t>6113000040</t>
  </si>
  <si>
    <t>Tagetik Subscription</t>
  </si>
  <si>
    <t>Maintenance contracts Equipments</t>
  </si>
  <si>
    <t>4791010583</t>
  </si>
  <si>
    <t>ERNST &amp; YOUNG CONSULTI/Tacos - CCH Tagetik impleme</t>
  </si>
  <si>
    <t>ERNST &amp; YOUNG CONSUL/2026 Tacos - CCH Tagetik impl</t>
  </si>
  <si>
    <t>703 finance 04.2026</t>
  </si>
  <si>
    <t>703 finance  01-02.2026</t>
  </si>
  <si>
    <t>703 finance 03.2026</t>
  </si>
  <si>
    <t>703 finance 05.2026</t>
  </si>
  <si>
    <t>703 finance 06.2026</t>
  </si>
  <si>
    <t>703 finance 07.2026</t>
  </si>
  <si>
    <t>Tagetik subscription</t>
  </si>
  <si>
    <t>703 finance 08.2026</t>
  </si>
  <si>
    <t>Tagetik costs</t>
  </si>
  <si>
    <t>WBS O7941/2517</t>
  </si>
  <si>
    <t>O7941/2519</t>
  </si>
  <si>
    <t>4791010579</t>
  </si>
  <si>
    <t>ROCKWELL AUTOMATION INC/2025-deployment Plex MES-s</t>
  </si>
  <si>
    <t>4791010621</t>
  </si>
  <si>
    <t>AVVALE SPA/SAP PLEX integration</t>
  </si>
  <si>
    <t>Invoice PLM - WBS O7941/2503/2  01.2026</t>
  </si>
  <si>
    <t>Invoice PLM - WBS O7941/2503/2  02.2026</t>
  </si>
  <si>
    <t>Invoice PLM - WBS O7941/2519 03.2026</t>
  </si>
  <si>
    <t>Invoice PLM - WBS O7941/2519 04.2026</t>
  </si>
  <si>
    <t>O7941/26PR03 – Nexus</t>
  </si>
  <si>
    <t>4791010778</t>
  </si>
  <si>
    <t>ROCKWELL AUTOMATION INC - PLE/2026-Sandbox trainin</t>
  </si>
  <si>
    <t>Invoice PLM - WBS O7941/2519 05.2026</t>
  </si>
  <si>
    <t>ROCKWELL AUTOMATION INC/2026-deployment Plex MES-s</t>
  </si>
  <si>
    <t>Invoice PLM - WBS O7941/2519 06.2026</t>
  </si>
  <si>
    <t>Invoice PLM - WBS O7941/2519 07.2026</t>
  </si>
  <si>
    <t>Nexus - Etex Engineering Fees</t>
  </si>
  <si>
    <t>ROCKWELL AUTOMATION/2025-deployment Plex MES-servi</t>
  </si>
  <si>
    <t>Invoice PLM - WBS O7941/2519 08.2026</t>
  </si>
  <si>
    <t>O7941/2523</t>
  </si>
  <si>
    <t>4791010626</t>
  </si>
  <si>
    <t>SOTERICS NV/RfP Teleport</t>
  </si>
  <si>
    <t>4791010967</t>
  </si>
  <si>
    <t>SOTERICS NV/Wallix Licenses and Mgmd Services</t>
  </si>
  <si>
    <t>O7941/2524</t>
  </si>
  <si>
    <t>4791010750</t>
  </si>
  <si>
    <t>IO BELGIUM/2026-SOW9-UK future of specification</t>
  </si>
  <si>
    <t>IO BELGIUM/2026-SOW10-Travel 2026</t>
  </si>
  <si>
    <t>WBS O7941/2524</t>
  </si>
  <si>
    <t>O7941/2524/1</t>
  </si>
  <si>
    <t>WBS O7941/2524 (reclass iO costs)</t>
  </si>
  <si>
    <t>O7941/2524/2</t>
  </si>
  <si>
    <t>6133000130</t>
  </si>
  <si>
    <t>4791010588</t>
  </si>
  <si>
    <t>DUALOOP/2025-Product delivery lead-Clothilde</t>
  </si>
  <si>
    <t>Consultants</t>
  </si>
  <si>
    <t>Product delivery lead-Clothilde</t>
  </si>
  <si>
    <t>DUALOOP/2026-Product delivery lead-Clothilde</t>
  </si>
  <si>
    <t>O7941/2524/3</t>
  </si>
  <si>
    <t>O7941/26PR02 - Future of Specification</t>
  </si>
  <si>
    <t>Future of Specification - Etex Engineering Fees</t>
  </si>
  <si>
    <t>O7941/26PR02 - Future of Specification - Etex Engi</t>
  </si>
  <si>
    <t>O7941/2524/4</t>
  </si>
  <si>
    <t>4791010880</t>
  </si>
  <si>
    <t>FORYOUANDYOURCUSTOMERS AMSTERDAM B./2026 - FOS</t>
  </si>
  <si>
    <t>6133000035</t>
  </si>
  <si>
    <t>WBS O7941/2524/4</t>
  </si>
  <si>
    <t>Service IT</t>
  </si>
  <si>
    <t>O7941/2524/5</t>
  </si>
  <si>
    <t>WBS O7941/2524 (reclass travel costs)</t>
  </si>
  <si>
    <t>DUALOOP/2026-travel expenses</t>
  </si>
  <si>
    <t>O7941/2524/6</t>
  </si>
  <si>
    <t>4791010972</t>
  </si>
  <si>
    <t>USD</t>
  </si>
  <si>
    <t>ASPOSE PTY LTD/2026-Aspose PDF for NET - dev</t>
  </si>
  <si>
    <t>O7941/2524/7</t>
  </si>
  <si>
    <t>FYAYC costs</t>
  </si>
  <si>
    <t>O7941/2603</t>
  </si>
  <si>
    <t>4791010700</t>
  </si>
  <si>
    <t>FIS CAPITAL MARKETS US LLC/2026-FIS TMS request</t>
  </si>
  <si>
    <t>WBS O7941/2603</t>
  </si>
  <si>
    <t>O7941/2604</t>
  </si>
  <si>
    <t>4791010675</t>
  </si>
  <si>
    <t>DELOITTE CONSULTING &amp; ADVISORY/2026 Talent process</t>
  </si>
  <si>
    <t>O7941/2605</t>
  </si>
  <si>
    <t>4791010716</t>
  </si>
  <si>
    <t>BMATIX NV/2026-Power BI dev. - ADB</t>
  </si>
  <si>
    <t>O7941/2606</t>
  </si>
  <si>
    <t>4791010721</t>
  </si>
  <si>
    <t>SYSARB AB/2026-Sysarb licences-structure</t>
  </si>
  <si>
    <t>SYSARB AB/2026-Sysarb implementation+training</t>
  </si>
  <si>
    <t>O7941/2607</t>
  </si>
  <si>
    <t>O7941/2609/2</t>
  </si>
  <si>
    <t>2716 - EHS - Review and Improvements</t>
  </si>
  <si>
    <t>4791010744</t>
  </si>
  <si>
    <t>BMATIX NV/2026-expert analyst EHS-JV</t>
  </si>
  <si>
    <t>O7941/2610</t>
  </si>
  <si>
    <t>O7941/2611</t>
  </si>
  <si>
    <t>O7941/2612</t>
  </si>
  <si>
    <t>O7941/2613</t>
  </si>
  <si>
    <t>4791010437</t>
  </si>
  <si>
    <t>ERNST &amp; YOUNG CONSULTIN/2026 ESG Tagetik implement</t>
  </si>
  <si>
    <t>O7941/2614</t>
  </si>
  <si>
    <t>2026-additions-improve Mendix OEE</t>
  </si>
  <si>
    <t>Bmatix - 2026-OEE - ADB</t>
  </si>
  <si>
    <t>4791010773</t>
  </si>
  <si>
    <t>APVINE NV/2026-Mendix OEE Appl. cont. improvements</t>
  </si>
  <si>
    <t>4791010742</t>
  </si>
  <si>
    <t>BMATIX NV/2026- H2 OEE - ADB</t>
  </si>
  <si>
    <t>WBS O7941/2614</t>
  </si>
  <si>
    <t>O7941/2615</t>
  </si>
  <si>
    <t>O7941/2616</t>
  </si>
  <si>
    <t>O7941/2617</t>
  </si>
  <si>
    <t>4791010827</t>
  </si>
  <si>
    <t>COGNIZANT WORLDWIDE LIM/ SoW2026-036 - Exchange up</t>
  </si>
  <si>
    <t>O7941/2618</t>
  </si>
  <si>
    <t>4791010854</t>
  </si>
  <si>
    <t>COGNIZANT WORLDWIDE LIMIT/SoW2026-035 - SWP OT dev</t>
  </si>
  <si>
    <t>O7941/2620</t>
  </si>
  <si>
    <t>4791010643</t>
  </si>
  <si>
    <t>FORYOUANDYOURCUSTOMERS AMSTER/2026-MDM roll outs -</t>
  </si>
  <si>
    <t>O7941/2622</t>
  </si>
  <si>
    <t>Costs iO Jan-May</t>
  </si>
  <si>
    <t>IO COSTS O7941/2622</t>
  </si>
  <si>
    <t>iO cost July</t>
  </si>
  <si>
    <t>O7941/2623</t>
  </si>
  <si>
    <t>4791010930</t>
  </si>
  <si>
    <t>GBP</t>
  </si>
  <si>
    <t>BROWSER LONDON LIMITED/2026-Travel Data sources</t>
  </si>
  <si>
    <t>O7941/2624</t>
  </si>
  <si>
    <t>O7941/2625</t>
  </si>
  <si>
    <t>IO COSTS O7941/2625</t>
  </si>
  <si>
    <t>O7941/2627</t>
  </si>
  <si>
    <t>O7941/2628</t>
  </si>
  <si>
    <t>4791010986</t>
  </si>
  <si>
    <t>TEKST AI BV/2026-AI powered doc process&amp;order entr</t>
  </si>
  <si>
    <t>O7941/2629</t>
  </si>
  <si>
    <t>Project 2595 - Polaris OPEX to Capex (External)</t>
  </si>
  <si>
    <t>Project 2595 - Polaris OPEX to Capex (Internal)</t>
  </si>
  <si>
    <t>WBS O7941/2629</t>
  </si>
  <si>
    <t>O7941/2631</t>
  </si>
  <si>
    <t>O7941/2632</t>
  </si>
  <si>
    <t>O7941/2633</t>
  </si>
  <si>
    <t>O7941/2634</t>
  </si>
  <si>
    <t>4791010985</t>
  </si>
  <si>
    <t>FLEXSO SUPPLY CHAI/2026-Replacing APO planning run</t>
  </si>
  <si>
    <t>FLEXSO SUPPLY CHAIN NV/2026-Basic setup of ePPDS</t>
  </si>
  <si>
    <t>O7941/2635</t>
  </si>
  <si>
    <t>O7941/2636</t>
  </si>
  <si>
    <t>IO COSTS O7941/2636</t>
  </si>
  <si>
    <t>O7941/2637</t>
  </si>
  <si>
    <t>IO COSTS O7941/2637</t>
  </si>
  <si>
    <t>O7941/2638</t>
  </si>
  <si>
    <t>O7942/2602</t>
  </si>
  <si>
    <t>O9100/2601</t>
  </si>
  <si>
    <t>4999999901</t>
  </si>
  <si>
    <t>4911063092</t>
  </si>
  <si>
    <t>Waiting account</t>
  </si>
  <si>
    <t>I240000030</t>
  </si>
  <si>
    <t>IT Hardware (Acq)</t>
  </si>
  <si>
    <t>WBS Element</t>
  </si>
  <si>
    <t>Document Date</t>
  </si>
  <si>
    <t>Object</t>
  </si>
  <si>
    <t>Cost Element</t>
  </si>
  <si>
    <t>Purchasing Document</t>
  </si>
  <si>
    <t>Value in Obj. Crcy</t>
  </si>
  <si>
    <t>Value TranCurr</t>
  </si>
  <si>
    <t>CO area currency</t>
  </si>
  <si>
    <t>Transaction Currency</t>
  </si>
  <si>
    <t>Name</t>
  </si>
  <si>
    <t>Ref. Fiscal Year</t>
  </si>
  <si>
    <t>From Period</t>
  </si>
  <si>
    <t>Cost element descr.</t>
  </si>
  <si>
    <t>Posting Date</t>
  </si>
  <si>
    <t>C7941/1896/1</t>
  </si>
  <si>
    <t>2024</t>
  </si>
  <si>
    <t>Period 5</t>
  </si>
  <si>
    <t>Period 6</t>
  </si>
  <si>
    <t>2023</t>
  </si>
  <si>
    <t>Period 11</t>
  </si>
  <si>
    <t>2022</t>
  </si>
  <si>
    <t>Period 12</t>
  </si>
  <si>
    <t>C7941/1896/2/1</t>
  </si>
  <si>
    <t>App Mandays Dec 2021</t>
  </si>
  <si>
    <t>App Mandays Jan 2022</t>
  </si>
  <si>
    <t>App Mandays Jan 2023</t>
  </si>
  <si>
    <t>IT Business Solutions Mandays Jan 2024</t>
  </si>
  <si>
    <t>Period 1</t>
  </si>
  <si>
    <t>App Mandays Feb 2022</t>
  </si>
  <si>
    <t>Techn Mandays Feb 2022</t>
  </si>
  <si>
    <t>App Mandays Feb 2023</t>
  </si>
  <si>
    <t>IT Business Solutions Mandays Feb 2024</t>
  </si>
  <si>
    <t>Period 2</t>
  </si>
  <si>
    <t>App Mandays Mar 2022</t>
  </si>
  <si>
    <t>Techn Mandays Mar 2022</t>
  </si>
  <si>
    <t>App Mandays Mar 2023</t>
  </si>
  <si>
    <t>IT Business Solutions Mandays Mar 2024</t>
  </si>
  <si>
    <t>Period 3</t>
  </si>
  <si>
    <t>App Mandays Apr 2022</t>
  </si>
  <si>
    <t>Techn Mandays Apr 2022</t>
  </si>
  <si>
    <t>App Mandays Apr 2023</t>
  </si>
  <si>
    <t>IT Business Solutions Mandays Apr 2024</t>
  </si>
  <si>
    <t>Period 4</t>
  </si>
  <si>
    <t>App Mandays May 2022</t>
  </si>
  <si>
    <t>Techn Mandays May 2022</t>
  </si>
  <si>
    <t>App Mandays May 2023</t>
  </si>
  <si>
    <t>IT Business Solutions Mandays May 2024</t>
  </si>
  <si>
    <t>App Mandays Jun 2022</t>
  </si>
  <si>
    <t>Techn Mandays Jun 2022</t>
  </si>
  <si>
    <t>App Mandays June 2023</t>
  </si>
  <si>
    <t>IT Business Solutions Mandays June 2024</t>
  </si>
  <si>
    <t>App Mandays Jul 2022</t>
  </si>
  <si>
    <t>Techn Mandays Jul 2022</t>
  </si>
  <si>
    <t>App Mandays July 2023</t>
  </si>
  <si>
    <t>IT Business Solutions Mandays July 2024</t>
  </si>
  <si>
    <t>Period 7</t>
  </si>
  <si>
    <t>App Mandays Aug 2022</t>
  </si>
  <si>
    <t>Techn Mandays Aug 2022</t>
  </si>
  <si>
    <t>App Mandays Aug 2023</t>
  </si>
  <si>
    <t>IT Business Solutions Mandays August 2024</t>
  </si>
  <si>
    <t>Period 8</t>
  </si>
  <si>
    <t>App Mandays Sep 2022</t>
  </si>
  <si>
    <t>Techn Mandays Sep 2022</t>
  </si>
  <si>
    <t>App Mandays Sept 2023</t>
  </si>
  <si>
    <t>IT Business Solutions Mandays September 2024</t>
  </si>
  <si>
    <t>Period 9</t>
  </si>
  <si>
    <t>App Mandays Oct 2022</t>
  </si>
  <si>
    <t>Serv Mandays Oct 2022</t>
  </si>
  <si>
    <t>Techn Mandays Oct 2022</t>
  </si>
  <si>
    <t>App Mandays Oct 2023</t>
  </si>
  <si>
    <t>IT Business Solutions Mandays October 2024</t>
  </si>
  <si>
    <t>Period 10</t>
  </si>
  <si>
    <t>App Mandays Nov 2022</t>
  </si>
  <si>
    <t>Serv Mandays Nov 2022</t>
  </si>
  <si>
    <t>Techn Mandays Nov 2022</t>
  </si>
  <si>
    <t>App Mandays Nov 2023</t>
  </si>
  <si>
    <t>IT Business Solutions Mandays November 2024</t>
  </si>
  <si>
    <t>6133000010</t>
  </si>
  <si>
    <t>3rd Party Service General</t>
  </si>
  <si>
    <t>2021</t>
  </si>
  <si>
    <t>ETEX COLOMBIA SA</t>
  </si>
  <si>
    <t>App Mandays Dec 2022</t>
  </si>
  <si>
    <t>Serv Mandays Dec 2022</t>
  </si>
  <si>
    <t>Techn Mandays Dec 2022</t>
  </si>
  <si>
    <t>App Mandays Dec 2023</t>
  </si>
  <si>
    <t>IT Business Solutions Mandays December 2024</t>
  </si>
  <si>
    <t>C7941/1896/2/2</t>
  </si>
  <si>
    <t>4791007908</t>
  </si>
  <si>
    <t>eMaint EMEA Limited/2021-subscription+support</t>
  </si>
  <si>
    <t>C7941/2023/2/1</t>
  </si>
  <si>
    <t>IT Business Solutions Mandays January 2025</t>
  </si>
  <si>
    <t>IT Business Solutions December 2025</t>
  </si>
  <si>
    <t>IT Core Services December 2025</t>
  </si>
  <si>
    <t>IT Business Solutions January 2026</t>
  </si>
  <si>
    <t>7200000000</t>
  </si>
  <si>
    <t>Own Production fixed assets Labour</t>
  </si>
  <si>
    <t>IT Business Solutions Mandays February 2025</t>
  </si>
  <si>
    <t>IT Business Solutions February 2026</t>
  </si>
  <si>
    <t>IT Business Solutions Mandays March 2025</t>
  </si>
  <si>
    <t>IT Core Services Mandays March 2025</t>
  </si>
  <si>
    <t>IT Business Solutions March 2026</t>
  </si>
  <si>
    <t>IT Business Solutions Mandays April 2025</t>
  </si>
  <si>
    <t>IT Core Services Mandays April 2025</t>
  </si>
  <si>
    <t>IT Business Solutions April 2026</t>
  </si>
  <si>
    <t>IT Business Solutions Mandays May 2025</t>
  </si>
  <si>
    <t>IT Core Services Mandays May 2025</t>
  </si>
  <si>
    <t>IT Business Solutions May 2026</t>
  </si>
  <si>
    <t>IT Business Solutions Mandays June 2025</t>
  </si>
  <si>
    <t>IT Core Services Mandays June 2025</t>
  </si>
  <si>
    <t>Business Solutions June 2026</t>
  </si>
  <si>
    <t>IT Business Solutions Mandays July 2025</t>
  </si>
  <si>
    <t>IT Core Services Mandays July 2025</t>
  </si>
  <si>
    <t>Business Solutions July 2026</t>
  </si>
  <si>
    <t>IT Business Solutions Mandays August 2025</t>
  </si>
  <si>
    <t>IT Core Services Mandays August 2025</t>
  </si>
  <si>
    <t>Business Solutions August 2026</t>
  </si>
  <si>
    <t>IT Business Solutions Mandays September 2025</t>
  </si>
  <si>
    <t>IT Core Services Mandays September 2025</t>
  </si>
  <si>
    <t>IT Business Solutions October 2025</t>
  </si>
  <si>
    <t>IT Core Services October 2025</t>
  </si>
  <si>
    <t>IT Core Services Mandays November 2024</t>
  </si>
  <si>
    <t>IT Business Solutions November 2025</t>
  </si>
  <si>
    <t>IT Core Services November 2025</t>
  </si>
  <si>
    <t>IT Core Services Mandays December 2024</t>
  </si>
  <si>
    <t>C7941/2036/1</t>
  </si>
  <si>
    <t>C7941/2036/2/1</t>
  </si>
  <si>
    <t>IT Core Services Mandays Jan 2024</t>
  </si>
  <si>
    <t>IT Core Services Mandays Feb 2024</t>
  </si>
  <si>
    <t>IT Core Services Mandays Mar 2024</t>
  </si>
  <si>
    <t>IT Core Services Mandays Apr 2024</t>
  </si>
  <si>
    <t>IT Core Services Mandays May 2024</t>
  </si>
  <si>
    <t>IT Core Services Mandays June 2024</t>
  </si>
  <si>
    <t>Techn Mandays July 2023</t>
  </si>
  <si>
    <t>IT Core Services Mandays July 2024</t>
  </si>
  <si>
    <t>IT Business Solutions July 2026</t>
  </si>
  <si>
    <t>Techn Mandays Aug 2023</t>
  </si>
  <si>
    <t>IT Core Services Mandays August 2024</t>
  </si>
  <si>
    <t>Techn Mandays Sept 2023</t>
  </si>
  <si>
    <t>IT Core Services Mandays September 2024</t>
  </si>
  <si>
    <t>Techn Mandays Oct 2023</t>
  </si>
  <si>
    <t>IT Core Services Mandays October 2024</t>
  </si>
  <si>
    <t>Techn Mandays Nov 2023</t>
  </si>
  <si>
    <t>Techn Mandays Dec 2023</t>
  </si>
  <si>
    <t>C7941/2036/2/2</t>
  </si>
  <si>
    <t>4791009063</t>
  </si>
  <si>
    <t>SAP BELGIUM NV./2023 - AG51 - SFSF</t>
  </si>
  <si>
    <t>4791010172</t>
  </si>
  <si>
    <t>DELOITTE CONSULTING &amp; ADVISORY C/2025 France Payro</t>
  </si>
  <si>
    <t>4791010252</t>
  </si>
  <si>
    <t>DATATUNE BV/2025-France HR controlling dashboard</t>
  </si>
  <si>
    <t>4791009269</t>
  </si>
  <si>
    <t>SAP BELGIUM NV./SAP SFSF HXM test Tenant</t>
  </si>
  <si>
    <t>4791007485</t>
  </si>
  <si>
    <t>DELOITTE CONSULTING &amp; ADVISO/2024: France Payroll</t>
  </si>
  <si>
    <t>DELOITTE CONSULTING &amp; ADVISO/2023: France Payroll</t>
  </si>
  <si>
    <t>F1224-0787 SAP BELGIUM NV./2024 - AG51 - SFSF</t>
  </si>
  <si>
    <t>2036 - France Payroll Project</t>
  </si>
  <si>
    <t>4791009405</t>
  </si>
  <si>
    <t>EPI USE NV/Licences+maintenance fee</t>
  </si>
  <si>
    <t>C7941/2130/2/1</t>
  </si>
  <si>
    <t>IT Core Services January 2026</t>
  </si>
  <si>
    <t>IT Core Services February 2026</t>
  </si>
  <si>
    <t>IT Core Services March 2026</t>
  </si>
  <si>
    <t>IT Core Services April 2026</t>
  </si>
  <si>
    <t>IT Core Services May 2026</t>
  </si>
  <si>
    <t>Core Services June 2026</t>
  </si>
  <si>
    <t>Core Services July 2026</t>
  </si>
  <si>
    <t>IT Core Services August 2026</t>
  </si>
  <si>
    <t>C7941/2133/2/1</t>
  </si>
  <si>
    <t>internal hours</t>
  </si>
  <si>
    <t>C7941/2133/2/2</t>
  </si>
  <si>
    <t>Tagetik Tagetik - ESG module CCH</t>
  </si>
  <si>
    <t>ERNST &amp; YOUNG CONSULTING/ESG Tagetik implementatio</t>
  </si>
  <si>
    <t>C7941/2134/2/1</t>
  </si>
  <si>
    <t>IT Data &amp; Automation December 2025</t>
  </si>
  <si>
    <t>IT Data &amp; Automation Mandays July 2025</t>
  </si>
  <si>
    <t>IT Data &amp; Automation Mandays August 2025</t>
  </si>
  <si>
    <t>IT Data &amp; Automation Mandays September 2025</t>
  </si>
  <si>
    <t>IT Data &amp; Automation October 2025</t>
  </si>
  <si>
    <t>IT Data &amp; Automation Mandays November 2024</t>
  </si>
  <si>
    <t>IT Data &amp; Automation November 2025</t>
  </si>
  <si>
    <t>IT Data &amp; Automation Mandays December 2024</t>
  </si>
  <si>
    <t>C7941/2150/2/1</t>
  </si>
  <si>
    <t>IT Data &amp; Automation Mandays January 2025</t>
  </si>
  <si>
    <t>IT Data &amp; Automation January 2026</t>
  </si>
  <si>
    <t>IT Data &amp; Automation Mandays February 2025</t>
  </si>
  <si>
    <t>IT Data &amp; Automation February 2026</t>
  </si>
  <si>
    <t>IT Data &amp; Automation Mandays March 2025</t>
  </si>
  <si>
    <t>IT Data &amp; Automation March 2026</t>
  </si>
  <si>
    <t>IT Data &amp; Automation Mandays April 2025</t>
  </si>
  <si>
    <t>IT Data &amp; Automation Mandays May 2025</t>
  </si>
  <si>
    <t>IT Data &amp; Automation Mandays June 2025</t>
  </si>
  <si>
    <t>C7941/2329/2/1</t>
  </si>
  <si>
    <t>C7941/2383/2/1</t>
  </si>
  <si>
    <t>C7941/2411/2/1</t>
  </si>
  <si>
    <t>C7941/2439/1</t>
  </si>
  <si>
    <t>C7941/2439/2/1</t>
  </si>
  <si>
    <t>C7941/2439/2/2</t>
  </si>
  <si>
    <t>Vonage licenses cost</t>
  </si>
  <si>
    <t>C7941/2567/2/1</t>
  </si>
  <si>
    <t>C7941/2567/2/2</t>
  </si>
  <si>
    <t>6230000290</t>
  </si>
  <si>
    <t>Training Costs</t>
  </si>
  <si>
    <t>4791009873</t>
  </si>
  <si>
    <t>Flexso Digital NV/SOW Polaris - SAP BTP training</t>
  </si>
  <si>
    <t>Costs of Alok, SOW 202 – May-July</t>
  </si>
  <si>
    <t>Costs of Alok, SOW 202 – Aug</t>
  </si>
  <si>
    <t>Reclass Flexso - Polaris - SAP BTP training</t>
  </si>
  <si>
    <t>Costs of Alok, SOW 202 – Sep</t>
  </si>
  <si>
    <t>C7941/2577/2/1</t>
  </si>
  <si>
    <t>C7941/2577/2/2</t>
  </si>
  <si>
    <t>4791009997</t>
  </si>
  <si>
    <t>THEVALUECHAIN NV/Clean Core principle</t>
  </si>
  <si>
    <t>C7941/2588/2/1</t>
  </si>
  <si>
    <t>C7941/2595/1</t>
  </si>
  <si>
    <t>C7941/2595/2/1</t>
  </si>
  <si>
    <t>IT Data &amp; Automation April 2026</t>
  </si>
  <si>
    <t>6153000080</t>
  </si>
  <si>
    <t>Travel &amp; Rep Travel Tickets</t>
  </si>
  <si>
    <t>Travel costs April</t>
  </si>
  <si>
    <t>IT Data &amp; Automation May 2026</t>
  </si>
  <si>
    <t>Data &amp; Automation June 2026</t>
  </si>
  <si>
    <t>Data &amp; Automation July 2026</t>
  </si>
  <si>
    <t>Core Services August 2026</t>
  </si>
  <si>
    <t>Data &amp; Automation August 2026</t>
  </si>
  <si>
    <t>C7941/2595/2/2</t>
  </si>
  <si>
    <t>4791010411</t>
  </si>
  <si>
    <t>COGNIZANT WORLDWIDE L/SoW2025-048 - Skamol Develop</t>
  </si>
  <si>
    <t>DSR - Michael Drozdov Jan</t>
  </si>
  <si>
    <t>4791010508</t>
  </si>
  <si>
    <t>DSR GLOBAL LIMITED/2025-21-C1008-PLM ECTR</t>
  </si>
  <si>
    <t>4791010218</t>
  </si>
  <si>
    <t>DELOITTE CONSULTING &amp; ADVISORY C/Polaris - Skamol</t>
  </si>
  <si>
    <t>DELOITTE CONSULTING &amp; ADVISORY CVB/Polaris - Skamo</t>
  </si>
  <si>
    <t>6153000070</t>
  </si>
  <si>
    <t>Travel &amp; Rep Hotel</t>
  </si>
  <si>
    <t>DELOITTE CONSULTING &amp; ADVISORY CVBA/Travel Skamol</t>
  </si>
  <si>
    <t>DSR GLOBAL LIMITED/2026-21-C1008-PLM ECTR</t>
  </si>
  <si>
    <t>COGNIZANT WORLDWIDE LIM/SoW2025-048 - Skamol Devel</t>
  </si>
  <si>
    <t>DSR - Michael Drozdov Aug</t>
  </si>
  <si>
    <t>DSR - Michael Drozdov Sep</t>
  </si>
  <si>
    <t>DSR - Michael Drozdov Oct</t>
  </si>
  <si>
    <t>C7941/2600/1</t>
  </si>
  <si>
    <t>C7941/2600/2/1</t>
  </si>
  <si>
    <t>C7941/2600/2/2</t>
  </si>
  <si>
    <t>4791010064</t>
  </si>
  <si>
    <t>BROWSER LONDON LIMITED/Ewelina Stawicka - Dec 1</t>
  </si>
  <si>
    <t>BROWSER LONDON LIMITED/Ewelina Stawicka - Dec 2</t>
  </si>
  <si>
    <t>BROWSER LONDON LIMITED/Ewelina Stawicka - Nov</t>
  </si>
  <si>
    <t>C7941/2610/1</t>
  </si>
  <si>
    <t>C7941/2610/2/1</t>
  </si>
  <si>
    <t>C7941/2610/2/2</t>
  </si>
  <si>
    <t>Anaplan licenses costs</t>
  </si>
  <si>
    <t>C7941/2612/1</t>
  </si>
  <si>
    <t>C7941/2612/2/1</t>
  </si>
  <si>
    <t>C7941/2612/2/2</t>
  </si>
  <si>
    <t>C7941/2619/2/1</t>
  </si>
  <si>
    <t>C7941/2619/2/2</t>
  </si>
  <si>
    <t>4791010402</t>
  </si>
  <si>
    <t>COGNIZANT WORLDWIDE LI/SOW 2025-043-Front End Dev.</t>
  </si>
  <si>
    <t>C7941/2622/2/1</t>
  </si>
  <si>
    <t>C7941/2623/1</t>
  </si>
  <si>
    <t>C7941/2623/2/1</t>
  </si>
  <si>
    <t>C7941/2623/2/2</t>
  </si>
  <si>
    <t>DSR - Michael Drozdov Mar-Apr</t>
  </si>
  <si>
    <t>DSR - Michael Drozdov May</t>
  </si>
  <si>
    <t>DSR - Michael Drozdov June</t>
  </si>
  <si>
    <t>C7941/2628/2/1</t>
  </si>
  <si>
    <t>Internal hours of the project 2020</t>
  </si>
  <si>
    <t>C7941/2633/2/1</t>
  </si>
  <si>
    <t>C7941/2635/2/1</t>
  </si>
  <si>
    <t>C7941/2637/2/1</t>
  </si>
  <si>
    <t>C7941/2640/2/1</t>
  </si>
  <si>
    <t>C7941/2643/1</t>
  </si>
  <si>
    <t>C7941/2643/2/1</t>
  </si>
  <si>
    <t>Travel Dries pr 2643</t>
  </si>
  <si>
    <t>C7941/2643/2/2</t>
  </si>
  <si>
    <t>DSR - Michael Drozdov July</t>
  </si>
  <si>
    <t>4791010242</t>
  </si>
  <si>
    <t>IO BELGIUM/2025-Project Ignite&amp;My Etex revamp</t>
  </si>
  <si>
    <t>C7941/2644/1</t>
  </si>
  <si>
    <t>C7941/2644/2/1</t>
  </si>
  <si>
    <t>C7941/2644/2/2</t>
  </si>
  <si>
    <t>4791010282</t>
  </si>
  <si>
    <t>COGNIZANT WORLDWIDE/SoW2025-238 - Additi Staffing</t>
  </si>
  <si>
    <t>IO BELGIUM/2025-FC new segments website</t>
  </si>
  <si>
    <t>C7941/2650/1</t>
  </si>
  <si>
    <t>C7941/2650/2/1</t>
  </si>
  <si>
    <t>C7941/2662/2/1</t>
  </si>
  <si>
    <t>2662 - Global O2C enhancements to WBS element</t>
  </si>
  <si>
    <t>C7941/2663/2/1</t>
  </si>
  <si>
    <t>ERP March 2026</t>
  </si>
  <si>
    <t>ERP April 2026</t>
  </si>
  <si>
    <t>ERP May 2026</t>
  </si>
  <si>
    <t>ERP June 2026</t>
  </si>
  <si>
    <t>ERP July 2026</t>
  </si>
  <si>
    <t>ERP August 2026</t>
  </si>
  <si>
    <t>C7941/2665/2/1</t>
  </si>
  <si>
    <t>C7941/2669/2/1</t>
  </si>
  <si>
    <t>Finance R&amp;C August 2026</t>
  </si>
  <si>
    <t>C7941/2671/1</t>
  </si>
  <si>
    <t>C7941/2671/2/1</t>
  </si>
  <si>
    <t>Sadikul Islam May</t>
  </si>
  <si>
    <t>Sadikul Islam June</t>
  </si>
  <si>
    <t>Manufacturing August 2026</t>
  </si>
  <si>
    <t>C7941/2672/1</t>
  </si>
  <si>
    <t>C7941/2672/2/1</t>
  </si>
  <si>
    <t>C7941/2672/2/2</t>
  </si>
  <si>
    <t>4791010340</t>
  </si>
  <si>
    <t>ECE CVBA/Etex derived roles on plant level</t>
  </si>
  <si>
    <t>C7941/2673/1</t>
  </si>
  <si>
    <t>C7941/2673/2/1</t>
  </si>
  <si>
    <t>C7941/2673/2/2</t>
  </si>
  <si>
    <t>4791010356</t>
  </si>
  <si>
    <t>DELOITTE CONSULTING &amp; AD/2025-CR04-Polaris FSI-Ska</t>
  </si>
  <si>
    <t>DELOITTE CONSULTING &amp; AD/2025-CR01-Polaris FSI-Ska</t>
  </si>
  <si>
    <t>C7941/2675/1</t>
  </si>
  <si>
    <t>C7941/2675/2/1</t>
  </si>
  <si>
    <t>C7941/2675/2/2</t>
  </si>
  <si>
    <t>4791010429</t>
  </si>
  <si>
    <t>DSR GLOBAL LIMIT/Consultancy Julio Cesar Santos Ju</t>
  </si>
  <si>
    <t>DSR GLOBAL LIMITED/Consultancy J.C.S.J.</t>
  </si>
  <si>
    <t>C7941/2676/2/1</t>
  </si>
  <si>
    <t>C7941/2677/1</t>
  </si>
  <si>
    <t>C7941/2677/2/1</t>
  </si>
  <si>
    <t>C7941/2677/2/2</t>
  </si>
  <si>
    <t>4791010232</t>
  </si>
  <si>
    <t>EDICOM CAPITAL, S/2025-B2B AR E-invoicing proj.-se</t>
  </si>
  <si>
    <t>4791010687</t>
  </si>
  <si>
    <t>EDICOM CAPITAL, S./2026-PDF customization-e-inv. B</t>
  </si>
  <si>
    <t>EDICOM CAPITAL, S. L./2026-SAP PDF layout- Belgium</t>
  </si>
  <si>
    <t>EDICOM CAPITAL, S. L/2026-Extended hypercare- Belg</t>
  </si>
  <si>
    <t>C7941/2678/2/1</t>
  </si>
  <si>
    <t>C7941/2678/2/2</t>
  </si>
  <si>
    <t>4791010417</t>
  </si>
  <si>
    <t>VIVIDKRAFT D.O./2025-e-CMR-SAP integration -Transp</t>
  </si>
  <si>
    <t>C7941/2679/1</t>
  </si>
  <si>
    <t>C7941/2679/2/1</t>
  </si>
  <si>
    <t>Core Finance August 2026</t>
  </si>
  <si>
    <t>C7941/2679/2/2</t>
  </si>
  <si>
    <t>4791010538</t>
  </si>
  <si>
    <t>VIVIDKRAFT D.O.O./2025-eInvoice SAP integr. -Polan</t>
  </si>
  <si>
    <t>VIVIDKRAFT D.O.O./2025-eInvoice SAP integr. -Croat</t>
  </si>
  <si>
    <t>VIVIDKRAFT D.O.O./2025-eInvoice SAP integr. -Niger</t>
  </si>
  <si>
    <t>DSR - Malik Steven Jan</t>
  </si>
  <si>
    <t>Vividkrafr costs</t>
  </si>
  <si>
    <t>4791010523</t>
  </si>
  <si>
    <t>EDICOM CAPITAL, S. L./2025-e-invoice project Polan</t>
  </si>
  <si>
    <t>4791010746</t>
  </si>
  <si>
    <t>EDICOM CAPITAL, S. L./2026-e-invoicing Poland</t>
  </si>
  <si>
    <t>EDICOM CAPITAL, S. L./2026-extended hypercare</t>
  </si>
  <si>
    <t>DSR - Malik Stevens Oct</t>
  </si>
  <si>
    <t>DSR - Malik Stevens Nov-Dec</t>
  </si>
  <si>
    <t>C7941/2680/1</t>
  </si>
  <si>
    <t>C7941/2680/2/1</t>
  </si>
  <si>
    <t>Core Finance May 2026</t>
  </si>
  <si>
    <t>Core Finance June 2026</t>
  </si>
  <si>
    <t>Core Finance July 2026</t>
  </si>
  <si>
    <t>C7941/2682/2/1</t>
  </si>
  <si>
    <t>C7941/2682/2/2</t>
  </si>
  <si>
    <t>4791010165</t>
  </si>
  <si>
    <t>NV APVINE/2025 Additions-improve Mendix</t>
  </si>
  <si>
    <t>NV APVINE/2025 quality app reporting improvement</t>
  </si>
  <si>
    <t>C7941/2683/2/1</t>
  </si>
  <si>
    <t>C7941/2685/1</t>
  </si>
  <si>
    <t>C7941/2685/2/1</t>
  </si>
  <si>
    <t>Core Finance April 2026</t>
  </si>
  <si>
    <t>Travel costs: Madrid Fit Gap Workshop</t>
  </si>
  <si>
    <t>IT Core Services   November 2025</t>
  </si>
  <si>
    <t>C7941/2685/2/2</t>
  </si>
  <si>
    <t>4791010661</t>
  </si>
  <si>
    <t>SERRALA EMEA BV/2026-support connection BME servic</t>
  </si>
  <si>
    <t>4791010628</t>
  </si>
  <si>
    <t>DSR GLOBAL LIMITED/2026-Stasik Maciej consultancy</t>
  </si>
  <si>
    <t>4791010566</t>
  </si>
  <si>
    <t>DELOITTE CONSULTING &amp; ADVISO/Polaris - URSA - Desi</t>
  </si>
  <si>
    <t>4791010689</t>
  </si>
  <si>
    <t>DSR GLOBAL LIMIT/2026- Oleksandr Biedin - PP consu</t>
  </si>
  <si>
    <t>4791010771</t>
  </si>
  <si>
    <t>DSR GLOBAL LIMITED/2026-S4Hana Warehouse mgnt-MDS</t>
  </si>
  <si>
    <t>4791010759</t>
  </si>
  <si>
    <t>DSR GLOBAL LIMITED/2026-SD integration M-L P.</t>
  </si>
  <si>
    <t>4791010715</t>
  </si>
  <si>
    <t>SEEBURGER INFORMATICA SL/2026-New process mapping</t>
  </si>
  <si>
    <t>4791010845</t>
  </si>
  <si>
    <t>COGNIZANT WORLDWIDE L/SoW2026-037-development for</t>
  </si>
  <si>
    <t>4791010843</t>
  </si>
  <si>
    <t>DELOITTE CONSULTING &amp; ADV/2026-Polaris Ursa - Buil</t>
  </si>
  <si>
    <t>4791010834</t>
  </si>
  <si>
    <t>DSR GLOBAL LIMITE/2026-SAP SD E-invoicing Consulta</t>
  </si>
  <si>
    <t>4791010660</t>
  </si>
  <si>
    <t>TRANSPOREON GmbH/2026-URSA migration</t>
  </si>
  <si>
    <t>4791010860</t>
  </si>
  <si>
    <t>DELOITTE CONSULTING &amp; AD/2026-Polaris Insulation-P</t>
  </si>
  <si>
    <t>ECE CVBA costs</t>
  </si>
  <si>
    <t>4791010893</t>
  </si>
  <si>
    <t>DSR GLOBAL LIMITED/2026 - S4Hana PP consultant</t>
  </si>
  <si>
    <t>DELOITTE CONSULTING &amp; ADVISOR/2026-Polaris Ursa -</t>
  </si>
  <si>
    <t>4791010924</t>
  </si>
  <si>
    <t>FINGERFOOD BV/Foodtruck Polaris Insulation 12%</t>
  </si>
  <si>
    <t>FINGERFOOD BV/Foodtruck Polaris Insulation 21%</t>
  </si>
  <si>
    <t>4791010921</t>
  </si>
  <si>
    <t>FOUBERT IJS BVBA/Ijskar Polaris Insulation</t>
  </si>
  <si>
    <t>ECE - Sudhansh May</t>
  </si>
  <si>
    <t>DELOITTE CONSULTING &amp; ADVIS/2026-Polaris Ursa - Bu</t>
  </si>
  <si>
    <t>4791010922</t>
  </si>
  <si>
    <t>HIRCUNUS DOO BEOGRAD-VRACA/2026- Serbia e-invoicin</t>
  </si>
  <si>
    <t>DELOITTE CONSULTING &amp; ADVISORY/Polaris - URSA - Pr</t>
  </si>
  <si>
    <t>DELOITTE CONSULTING &amp; ADVISORY/Polaris - URSA - De</t>
  </si>
  <si>
    <t>DELOITTE CONSULTING &amp; ADVISORY/Polaris - URSA - Tr</t>
  </si>
  <si>
    <t>C7941/2686/1</t>
  </si>
  <si>
    <t>C7941/2686/2/1</t>
  </si>
  <si>
    <t>C7941/2688/1</t>
  </si>
  <si>
    <t>C7941/2688/2/1</t>
  </si>
  <si>
    <t>C7941/2688/2/2</t>
  </si>
  <si>
    <t>4791010524</t>
  </si>
  <si>
    <t>EDICOM CAPITAL, S./2025-B2B E-invoicing project Ni</t>
  </si>
  <si>
    <t>C7941/2689/2/1</t>
  </si>
  <si>
    <t>C7941/2690/2/1</t>
  </si>
  <si>
    <t>C7941/2692/1</t>
  </si>
  <si>
    <t>C7941/2692/2/1</t>
  </si>
  <si>
    <t>IT Core Services July 2026</t>
  </si>
  <si>
    <t>Jelle Leenknegt Sep-Oct</t>
  </si>
  <si>
    <t>Jelle Leenknegt Nov-Dec</t>
  </si>
  <si>
    <t>C7941/2693/1</t>
  </si>
  <si>
    <t>C7941/2693/2/1</t>
  </si>
  <si>
    <t>C7941/2694/2/1</t>
  </si>
  <si>
    <t>C7941/2695/1</t>
  </si>
  <si>
    <t>C7941/2695/2/1</t>
  </si>
  <si>
    <t>C7941/2696/1</t>
  </si>
  <si>
    <t>C7941/2696/2/1</t>
  </si>
  <si>
    <t>C7941/2699/1</t>
  </si>
  <si>
    <t>C7941/2699/2/1</t>
  </si>
  <si>
    <t>C7941/2700/1</t>
  </si>
  <si>
    <t>C7941/2700/2/1</t>
  </si>
  <si>
    <t>C7941/2701/1</t>
  </si>
  <si>
    <t>C7941/2701/2/1</t>
  </si>
  <si>
    <t>C7941/2701/2/2</t>
  </si>
  <si>
    <t>COGNIZANT WORLDWIDE/SoW2025-238 - Addit Staffing C</t>
  </si>
  <si>
    <t>COGNIZANT WORLDWIDE/SoW2025-238 - Addit Staffi Com</t>
  </si>
  <si>
    <t>C7941/2703/1</t>
  </si>
  <si>
    <t>C7941/2703/2/1</t>
  </si>
  <si>
    <t>C7941/2704/1</t>
  </si>
  <si>
    <t>C7941/2704/2/1</t>
  </si>
  <si>
    <t>C7941/2705/1</t>
  </si>
  <si>
    <t>C7941/2705/2/2</t>
  </si>
  <si>
    <t>Biztory – Annex 03</t>
  </si>
  <si>
    <t>C7941/2706/1</t>
  </si>
  <si>
    <t>C7941/2706/2/1</t>
  </si>
  <si>
    <t>C7941/2708/2/1</t>
  </si>
  <si>
    <t>C7941/2709/2/1</t>
  </si>
  <si>
    <t>C7941/2710/1</t>
  </si>
  <si>
    <t>C7941/2711/2/1</t>
  </si>
  <si>
    <t>C7941/2712/2/1</t>
  </si>
  <si>
    <t>C7941/2713/2/1</t>
  </si>
  <si>
    <t>C7941/2714/2/1</t>
  </si>
  <si>
    <t>C7941/2714/2/2</t>
  </si>
  <si>
    <t>4791010605</t>
  </si>
  <si>
    <t>STIBO SYSTEMS A/S/2026-additional services-QQ-0523</t>
  </si>
  <si>
    <t>C7941/2715/2/1</t>
  </si>
  <si>
    <t>C7941/2716/2/1</t>
  </si>
  <si>
    <t>C7941/2717/2/1</t>
  </si>
  <si>
    <t>C7941/2718/2/1</t>
  </si>
  <si>
    <t>C7941/2720/2/1</t>
  </si>
  <si>
    <t>C7941/2722/2/1</t>
  </si>
  <si>
    <t>C7941/2723/2/1</t>
  </si>
  <si>
    <t>C7941/2724/1</t>
  </si>
  <si>
    <t>C7941/2724/2/1</t>
  </si>
  <si>
    <t>C7941/2726/1</t>
  </si>
  <si>
    <t>C7941/2726/2/1</t>
  </si>
  <si>
    <t>C7941/2730/2/1</t>
  </si>
  <si>
    <t>C7941/2738/2/1</t>
  </si>
  <si>
    <t>C7941/2739/1</t>
  </si>
  <si>
    <t>C7941/2739/2/1</t>
  </si>
  <si>
    <t>C7941/2739/2/2</t>
  </si>
  <si>
    <t>C7941/2740/1</t>
  </si>
  <si>
    <t>C7941/2740/2/1</t>
  </si>
  <si>
    <t>C7941/2741/2/1</t>
  </si>
  <si>
    <t>C7941/2742/2/1</t>
  </si>
  <si>
    <t>C7941/2743/2/1</t>
  </si>
  <si>
    <t>C7941/2744/1</t>
  </si>
  <si>
    <t>C7941/2744/2/1</t>
  </si>
  <si>
    <t>IT Business Solutions August 2026</t>
  </si>
  <si>
    <t>C7941/2745/1</t>
  </si>
  <si>
    <t>C7941/2745/2/1</t>
  </si>
  <si>
    <t>C7941/2746/1</t>
  </si>
  <si>
    <t>C7941/2746/2/1</t>
  </si>
  <si>
    <t>C7941/2749/1</t>
  </si>
  <si>
    <t>C7941/2749/2/1</t>
  </si>
  <si>
    <t>C7941/2749/2/2</t>
  </si>
  <si>
    <t>4791010712</t>
  </si>
  <si>
    <t>ANAPLAN LIMITED/2026-28-Hyperbyte 100GB Package</t>
  </si>
  <si>
    <t>C7941/2750/2/1</t>
  </si>
  <si>
    <t>C7941/2751/2/1</t>
  </si>
  <si>
    <t>C7941/2755/2/1</t>
  </si>
  <si>
    <t>C7941/2756/2/1</t>
  </si>
  <si>
    <t>C7941/2758/2/1</t>
  </si>
  <si>
    <t>C7941/2759/2/1</t>
  </si>
  <si>
    <t>C7941/2760/2/1</t>
  </si>
  <si>
    <t>Internal mandays reclass</t>
  </si>
  <si>
    <t>C7941/2761/2/2</t>
  </si>
  <si>
    <t>4791010977</t>
  </si>
  <si>
    <t>DSR GLOBAL LIMIT/2026-C1008-Ann 54 - PLM Torsten R</t>
  </si>
  <si>
    <t>C7941/2762/2/1</t>
  </si>
  <si>
    <t>C7941/2763/2/1</t>
  </si>
  <si>
    <t>C7941/2764/2/1</t>
  </si>
  <si>
    <t>C7941/2776/2/1</t>
  </si>
  <si>
    <t>C7941/2777/2/1</t>
  </si>
  <si>
    <t>internal mandays reclass</t>
  </si>
  <si>
    <t>C7941/2778/2/1</t>
  </si>
  <si>
    <t>C7941/2779/2/1</t>
  </si>
  <si>
    <t>C7941/2783/2/1</t>
  </si>
  <si>
    <t>C7941/2784/2/1</t>
  </si>
  <si>
    <t>Digital performance lead &amp; AI August 2026</t>
  </si>
  <si>
    <t>C7941/2785/2/1</t>
  </si>
  <si>
    <t>C7941/2786/2/1</t>
  </si>
  <si>
    <t>C7941/8100/1</t>
  </si>
  <si>
    <t>C7941/8100/2/1</t>
  </si>
  <si>
    <t>C7941/8101/2/1</t>
  </si>
  <si>
    <t>C7941/8105/2/1</t>
  </si>
  <si>
    <t>C7941/8112/2/1</t>
  </si>
  <si>
    <t>C7941/8114/1</t>
  </si>
  <si>
    <t>C7941/8114/2/1</t>
  </si>
  <si>
    <t>C7941/8117/1</t>
  </si>
  <si>
    <t>C7941/8117/2/1</t>
  </si>
  <si>
    <t>C7941/8138/2/1</t>
  </si>
  <si>
    <t>C7941/8141/2/1</t>
  </si>
  <si>
    <t>C7941/8142/2/1</t>
  </si>
  <si>
    <t>C7941/8185/2/1</t>
  </si>
  <si>
    <t>C7941/8188/2/1</t>
  </si>
  <si>
    <t>C7941/8189/2/1</t>
  </si>
  <si>
    <t>C7941/8190/1</t>
  </si>
  <si>
    <t>C7941/8190/2/1</t>
  </si>
  <si>
    <t>C7941/8192/2/1</t>
  </si>
  <si>
    <t>C7941/8196/1</t>
  </si>
  <si>
    <t>C7941/8196/2/1</t>
  </si>
  <si>
    <t>IT Data &amp; Automation June 2026</t>
  </si>
  <si>
    <t>C7941/8197/1</t>
  </si>
  <si>
    <t>C7941/8197/2/1</t>
  </si>
  <si>
    <t>C7941/8206/2/1</t>
  </si>
  <si>
    <t>C7941/8210/2/1</t>
  </si>
  <si>
    <t>C7941/8213/2/1</t>
  </si>
  <si>
    <t>C7941/8214/2/1</t>
  </si>
  <si>
    <t>C7941/8216/2/1</t>
  </si>
  <si>
    <t>C7941/8217/2/1</t>
  </si>
  <si>
    <t>C7941/8218/2/1</t>
  </si>
  <si>
    <t>C7941/8222/2/1</t>
  </si>
  <si>
    <t>WBS N7941/2507</t>
  </si>
  <si>
    <t>O2326/2609</t>
  </si>
  <si>
    <t>6123000015</t>
  </si>
  <si>
    <t>4012885559</t>
  </si>
  <si>
    <t>COMPUTACENTER NV/Switch FortiSwitch FS224E</t>
  </si>
  <si>
    <t>Office Equipment IT</t>
  </si>
  <si>
    <t>RON</t>
  </si>
  <si>
    <t>WBS O2326/2609</t>
  </si>
  <si>
    <t>WBS O6300/2603</t>
  </si>
  <si>
    <t>O7941/2509/1</t>
  </si>
  <si>
    <t>4791010274</t>
  </si>
  <si>
    <t>FLEXSO FOR PEOPLE NV/SAP Concur</t>
  </si>
  <si>
    <t>WBS O7941/2509/1</t>
  </si>
  <si>
    <t>WBS O7941/2513</t>
  </si>
  <si>
    <t>WBS O7941/2519</t>
  </si>
  <si>
    <t>ROCKWELL AUTOMATION NV/2026-Sandbox training</t>
  </si>
  <si>
    <t>WBS O7941/2523</t>
  </si>
  <si>
    <t>WBS O7941/2604</t>
  </si>
  <si>
    <t>WBS O7941/2605</t>
  </si>
  <si>
    <t>WBS O7941/2606</t>
  </si>
  <si>
    <t>WBS O7941/2607</t>
  </si>
  <si>
    <t>WBS O7941/2609/2</t>
  </si>
  <si>
    <t>WBS O7941/2610</t>
  </si>
  <si>
    <t>WBS O7941/2611</t>
  </si>
  <si>
    <t>WBS O7941/2612</t>
  </si>
  <si>
    <t>WBS O7941/2613</t>
  </si>
  <si>
    <t>WBS O7941/2615</t>
  </si>
  <si>
    <t>WBS O7941/2616</t>
  </si>
  <si>
    <t>WBS O7941/2617</t>
  </si>
  <si>
    <t>WBS O7941/2618</t>
  </si>
  <si>
    <t>WBS O7941/2620</t>
  </si>
  <si>
    <t>WBS O7941/2622</t>
  </si>
  <si>
    <t>WBS O7941/2623</t>
  </si>
  <si>
    <t>WBS O7941/2624</t>
  </si>
  <si>
    <t>WBS O7941/2625</t>
  </si>
  <si>
    <t>WBS O7941/2627</t>
  </si>
  <si>
    <t>WBS O7941/2628</t>
  </si>
  <si>
    <t>WBS O7941/2631</t>
  </si>
  <si>
    <t>WBS O7941/2632</t>
  </si>
  <si>
    <t>WBS O7941/2633</t>
  </si>
  <si>
    <t>WBS O7941/2634</t>
  </si>
  <si>
    <t>WBS O7941/2635</t>
  </si>
  <si>
    <t>WBS O7941/2636</t>
  </si>
  <si>
    <t>WBS O7941/2637</t>
  </si>
  <si>
    <t>WBS O7941/2638</t>
  </si>
  <si>
    <t>WBS O7942/2602</t>
  </si>
  <si>
    <t>CAPEX Spend Overview</t>
  </si>
  <si>
    <t>Project and vendor spend from Capex CJI3 | Fiscal years 2025–2026</t>
  </si>
  <si>
    <t>Classification: Internal Reclass includes descriptions containing ‘Reclass internal hours’; External includes transactions with a Purchasing Document; Other includes remaining non-PO CAPEX postings after excluding WBS-correction transfer rows and duplicate 6405 intercompany entries. For O7941/2513, 7405 charges before the March 2026 correction period are also excluded. Subtotal rows are excluded.</t>
  </si>
  <si>
    <t>Total Spend</t>
  </si>
  <si>
    <t>Internal Reclass</t>
  </si>
  <si>
    <t>External</t>
  </si>
  <si>
    <t>Other</t>
  </si>
  <si>
    <t>PROJECT SPEND BY YEAR AND CLASSIFICATION</t>
  </si>
  <si>
    <t>CAPEX WBS</t>
  </si>
  <si>
    <t>2025 Internal Reclass</t>
  </si>
  <si>
    <t>2025 External</t>
  </si>
  <si>
    <t>2025 Other</t>
  </si>
  <si>
    <t>2025 Total</t>
  </si>
  <si>
    <t>2026 Internal Reclass</t>
  </si>
  <si>
    <t>2026 External</t>
  </si>
  <si>
    <t>2026 Other</t>
  </si>
  <si>
    <t>2026 Total</t>
  </si>
  <si>
    <t>Grand Total</t>
  </si>
  <si>
    <t>Latest Posting</t>
  </si>
  <si>
    <t>Transactions</t>
  </si>
  <si>
    <t>PO Lines</t>
  </si>
  <si>
    <t>Currency</t>
  </si>
  <si>
    <t>Project Budget</t>
  </si>
  <si>
    <t>EXTERNAL VENDOR SPEND BY PROJECT</t>
  </si>
  <si>
    <t>Vendor</t>
  </si>
  <si>
    <t>Vendor Total</t>
  </si>
  <si>
    <t>SAP BELGIUM NV</t>
  </si>
  <si>
    <t>COMPUTACENTER NV</t>
  </si>
  <si>
    <t>PLANISWARE BELGIUM SRL</t>
  </si>
  <si>
    <t>TEAM4P</t>
  </si>
  <si>
    <t>ERNST &amp; YOUNG CONSULTING</t>
  </si>
  <si>
    <t>AVVALE SPA</t>
  </si>
  <si>
    <t>ROCKWELL AUTOMATION</t>
  </si>
  <si>
    <t>ROCKWELL AUTOMATION INC</t>
  </si>
  <si>
    <t>ROCKWELL AUTOMATION INC - PLE</t>
  </si>
  <si>
    <t>SOTERICS NV</t>
  </si>
  <si>
    <t>IO BELGIUM</t>
  </si>
  <si>
    <t>DUALOOP</t>
  </si>
  <si>
    <t>FORYOUANDYOURCUSTOMERS AMSTERDAM B.</t>
  </si>
  <si>
    <t>ASPOSE PTY LTD</t>
  </si>
  <si>
    <t>FIS CAPITAL MARKETS US LLC</t>
  </si>
  <si>
    <t>DELOITTE CONSULTING &amp; ADVISORY</t>
  </si>
  <si>
    <t>BMATIX NV</t>
  </si>
  <si>
    <t>SYSARB AB</t>
  </si>
  <si>
    <t>APVINE NV</t>
  </si>
  <si>
    <t>COGNIZANT WORLDWIDE LIM</t>
  </si>
  <si>
    <t>COGNIZANT WORLDWIDE LIMIT</t>
  </si>
  <si>
    <t>FORYOUANDYOURCUSTOMERS AMSTER</t>
  </si>
  <si>
    <t>BROWSER LONDON LIMITED</t>
  </si>
  <si>
    <t>TEKST AI BV</t>
  </si>
  <si>
    <t>FLEXSO SUPPLY CHAIN NV</t>
  </si>
  <si>
    <t>Unknown vendor</t>
  </si>
  <si>
    <t>Project ID</t>
  </si>
  <si>
    <t>2021 Internal</t>
  </si>
  <si>
    <t>2022 Internal</t>
  </si>
  <si>
    <t>2023 Internal</t>
  </si>
  <si>
    <t>2024 Internal</t>
  </si>
  <si>
    <t>2025 Internal</t>
  </si>
  <si>
    <t>Update Status</t>
  </si>
  <si>
    <t>Before 2025 Internal Total</t>
  </si>
  <si>
    <t>2026 Internal (Through May 31)</t>
  </si>
  <si>
    <t>2026 Internal (From Jun 1)</t>
  </si>
  <si>
    <t>Internal Budget</t>
  </si>
  <si>
    <t>Internal Total</t>
  </si>
  <si>
    <t>2021 External</t>
  </si>
  <si>
    <t>2022 External</t>
  </si>
  <si>
    <t>2023 External</t>
  </si>
  <si>
    <t>2024 External</t>
  </si>
  <si>
    <t>Before 2025 Total External</t>
  </si>
  <si>
    <t>External Budget</t>
  </si>
  <si>
    <t>External Total</t>
  </si>
  <si>
    <t>2021 Invoicing</t>
  </si>
  <si>
    <t>2022 Invoicing</t>
  </si>
  <si>
    <t>2023 Invoicing</t>
  </si>
  <si>
    <t>2024 Invoicing</t>
  </si>
  <si>
    <t>2025 Invoicing</t>
  </si>
  <si>
    <t>2026 Invoicing</t>
  </si>
  <si>
    <t>Invoicing Total</t>
  </si>
  <si>
    <t>Total Project Costs</t>
  </si>
  <si>
    <t>Net Project Actual</t>
  </si>
  <si>
    <t>Total Project Budget</t>
  </si>
  <si>
    <t>C7941/1896</t>
  </si>
  <si>
    <t>Done</t>
  </si>
  <si>
    <t>C7941/2023</t>
  </si>
  <si>
    <t>Check</t>
  </si>
  <si>
    <t>C7941/2036</t>
  </si>
  <si>
    <t>C7941/2130</t>
  </si>
  <si>
    <t>C7941/2133</t>
  </si>
  <si>
    <t>C7941/2134</t>
  </si>
  <si>
    <t>C7941/2150</t>
  </si>
  <si>
    <t>C7941/2329</t>
  </si>
  <si>
    <t>C7941/2383</t>
  </si>
  <si>
    <t>C7941/2411</t>
  </si>
  <si>
    <t>C7941/2439</t>
  </si>
  <si>
    <t>C7941/2567</t>
  </si>
  <si>
    <t>C7941/2577</t>
  </si>
  <si>
    <t>C7941/2588</t>
  </si>
  <si>
    <t>C7941/2595</t>
  </si>
  <si>
    <t>C7941/2600</t>
  </si>
  <si>
    <t>C7941/2610</t>
  </si>
  <si>
    <t>C7941/2612</t>
  </si>
  <si>
    <t>C7941/2619</t>
  </si>
  <si>
    <t>C7941/2622</t>
  </si>
  <si>
    <t>C7941/2623</t>
  </si>
  <si>
    <t>C7941/2628</t>
  </si>
  <si>
    <t>C7941/2633</t>
  </si>
  <si>
    <t>C7941/2635</t>
  </si>
  <si>
    <t>C7941/2637</t>
  </si>
  <si>
    <t>C7941/2640</t>
  </si>
  <si>
    <t>C7941/2643</t>
  </si>
  <si>
    <t>C7941/2644</t>
  </si>
  <si>
    <t>C7941/2650</t>
  </si>
  <si>
    <t>C7941/2662</t>
  </si>
  <si>
    <t>C7941/2663</t>
  </si>
  <si>
    <t>C7941/2665</t>
  </si>
  <si>
    <t>C7941/2669</t>
  </si>
  <si>
    <t>C7941/2671</t>
  </si>
  <si>
    <t>C7941/2672</t>
  </si>
  <si>
    <t>C7941/2673</t>
  </si>
  <si>
    <t>C7941/2675</t>
  </si>
  <si>
    <t>C7941/2676</t>
  </si>
  <si>
    <t>C7941/2677</t>
  </si>
  <si>
    <t>C7941/2678</t>
  </si>
  <si>
    <t>C7941/2679</t>
  </si>
  <si>
    <t>C7941/2680</t>
  </si>
  <si>
    <t>C7941/2682</t>
  </si>
  <si>
    <t>C7941/2683</t>
  </si>
  <si>
    <t>C7941/2685</t>
  </si>
  <si>
    <t>C7941/2686</t>
  </si>
  <si>
    <t>C7941/2688</t>
  </si>
  <si>
    <t>C7941/2689</t>
  </si>
  <si>
    <t>C7941/2690</t>
  </si>
  <si>
    <t>C7941/2692</t>
  </si>
  <si>
    <t>C7941/2693</t>
  </si>
  <si>
    <t>C7941/2694</t>
  </si>
  <si>
    <t>C7941/2695</t>
  </si>
  <si>
    <t>C7941/2696</t>
  </si>
  <si>
    <t>C7941/2699</t>
  </si>
  <si>
    <t>C7941/2700</t>
  </si>
  <si>
    <t>C7941/2701</t>
  </si>
  <si>
    <t>C7941/2703</t>
  </si>
  <si>
    <t>C7941/2704</t>
  </si>
  <si>
    <t>C7941/2705</t>
  </si>
  <si>
    <t>C7941/2706</t>
  </si>
  <si>
    <t>C7941/2708</t>
  </si>
  <si>
    <t>C7941/2709</t>
  </si>
  <si>
    <t>C7941/2710</t>
  </si>
  <si>
    <t>C7941/2711</t>
  </si>
  <si>
    <t>C7941/2712</t>
  </si>
  <si>
    <t>C7941/2713</t>
  </si>
  <si>
    <t>C7941/2714</t>
  </si>
  <si>
    <t>C7941/2715</t>
  </si>
  <si>
    <t>C7941/2716</t>
  </si>
  <si>
    <t>C7941/2717</t>
  </si>
  <si>
    <t>C7941/2718</t>
  </si>
  <si>
    <t>C7941/2720</t>
  </si>
  <si>
    <t>C7941/2722</t>
  </si>
  <si>
    <t>C7941/2723</t>
  </si>
  <si>
    <t>C7941/2724</t>
  </si>
  <si>
    <t>C7941/2726</t>
  </si>
  <si>
    <t>C7941/2730</t>
  </si>
  <si>
    <t>C7941/2738</t>
  </si>
  <si>
    <t>C7941/2739</t>
  </si>
  <si>
    <t>C7941/2740</t>
  </si>
  <si>
    <t>C7941/2741</t>
  </si>
  <si>
    <t>C7941/2742</t>
  </si>
  <si>
    <t>C7941/2743</t>
  </si>
  <si>
    <t>C7941/2744</t>
  </si>
  <si>
    <t>C7941/2745</t>
  </si>
  <si>
    <t>C7941/2746</t>
  </si>
  <si>
    <t>C7941/2749</t>
  </si>
  <si>
    <t>C7941/2750</t>
  </si>
  <si>
    <t>C7941/2751</t>
  </si>
  <si>
    <t>C7941/2755</t>
  </si>
  <si>
    <t>C7941/2756</t>
  </si>
  <si>
    <t>C7941/2758</t>
  </si>
  <si>
    <t>C7941/2759</t>
  </si>
  <si>
    <t>C7941/2760</t>
  </si>
  <si>
    <t>C7941/2761</t>
  </si>
  <si>
    <t>C7941/2762</t>
  </si>
  <si>
    <t>C7941/2763</t>
  </si>
  <si>
    <t>C7941/2764</t>
  </si>
  <si>
    <t>C7941/2776</t>
  </si>
  <si>
    <t>C7941/2777</t>
  </si>
  <si>
    <t>C7941/2778</t>
  </si>
  <si>
    <t>C7941/2779</t>
  </si>
  <si>
    <t>C7941/2783</t>
  </si>
  <si>
    <t>C7941/2784</t>
  </si>
  <si>
    <t>C7941/2785</t>
  </si>
  <si>
    <t>C7941/2786</t>
  </si>
  <si>
    <t>C7941/8100</t>
  </si>
  <si>
    <t>C7941/8101</t>
  </si>
  <si>
    <t>C7941/8105</t>
  </si>
  <si>
    <t>C7941/8112</t>
  </si>
  <si>
    <t>C7941/8114</t>
  </si>
  <si>
    <t>C7941/8117</t>
  </si>
  <si>
    <t>C7941/8138</t>
  </si>
  <si>
    <t>C7941/8141</t>
  </si>
  <si>
    <t>C7941/8142</t>
  </si>
  <si>
    <t>C7941/8185</t>
  </si>
  <si>
    <t>C7941/8188</t>
  </si>
  <si>
    <t>C7941/8189</t>
  </si>
  <si>
    <t>C7941/8190</t>
  </si>
  <si>
    <t>C7941/8192</t>
  </si>
  <si>
    <t>C7941/8196</t>
  </si>
  <si>
    <t>C7941/8197</t>
  </si>
  <si>
    <t>C7941/8206</t>
  </si>
  <si>
    <t>C7941/8210</t>
  </si>
  <si>
    <t>C7941/8213</t>
  </si>
  <si>
    <t>C7941/8214</t>
  </si>
  <si>
    <t>C7941/8216</t>
  </si>
  <si>
    <t>C7941/8217</t>
  </si>
  <si>
    <t>C7941/8218</t>
  </si>
  <si>
    <t>C7941/8222</t>
  </si>
  <si>
    <t>Before 2026 External Total</t>
  </si>
  <si>
    <t>Total Vendor Spend</t>
  </si>
  <si>
    <t>eMaint EMEA</t>
  </si>
  <si>
    <t>Datatune BV</t>
  </si>
  <si>
    <t>Deloitte</t>
  </si>
  <si>
    <t>EPI USE NV</t>
  </si>
  <si>
    <t>SAP</t>
  </si>
  <si>
    <t>Tagetik / CCH</t>
  </si>
  <si>
    <t>Vonage</t>
  </si>
  <si>
    <t>Alok (SOW 202)</t>
  </si>
  <si>
    <t>Not Done</t>
  </si>
  <si>
    <t>Flexso</t>
  </si>
  <si>
    <t>TheValueChain</t>
  </si>
  <si>
    <t>Cognizant</t>
  </si>
  <si>
    <t>DSR Global</t>
  </si>
  <si>
    <t>IO Belgium</t>
  </si>
  <si>
    <t>ECE CVBA</t>
  </si>
  <si>
    <t>EDICOM CAPITAL, S</t>
  </si>
  <si>
    <t>EDICOM CAPITAL, S.</t>
  </si>
  <si>
    <t>EDICOM CAPITAL, S. L</t>
  </si>
  <si>
    <t>EDICOM CAPITAL, S. L.</t>
  </si>
  <si>
    <t>VIVIDKRAFT D.O.</t>
  </si>
  <si>
    <t>VIVIDKRAFT D.O.O.</t>
  </si>
  <si>
    <t>NV APVINE</t>
  </si>
  <si>
    <t>Fingerfood BV</t>
  </si>
  <si>
    <t>Foubert Ijs</t>
  </si>
  <si>
    <t>Hircunus DOO</t>
  </si>
  <si>
    <t>Seeburger</t>
  </si>
  <si>
    <t>Serrala</t>
  </si>
  <si>
    <t>Transporeon</t>
  </si>
  <si>
    <t>STIBO SYSTEMS A</t>
  </si>
  <si>
    <t>ANAPLAN LIMITED</t>
  </si>
  <si>
    <t>Project CAPEX ID</t>
  </si>
  <si>
    <t>Project OPEX ID</t>
  </si>
  <si>
    <t>IT-00002 - 2663 Symphony</t>
  </si>
  <si>
    <t>IT-i00015 - 2655-Concur URSA/FSI/Skamol</t>
  </si>
  <si>
    <t>IT-i00034 - 2023-Treasury Management System</t>
  </si>
  <si>
    <t>C7941/2655</t>
  </si>
  <si>
    <t>IT-00106 - 2750-EPD Pulse &amp; Support for R&amp;D</t>
  </si>
  <si>
    <t>IT-00108 - 8197-Ursa Support 2026-AnalyticsTeam</t>
  </si>
  <si>
    <t>Not needed</t>
  </si>
  <si>
    <t>IT-00150 - 2789 - Self Service Enablement 2026-P2</t>
  </si>
  <si>
    <t>O7941/2639</t>
  </si>
  <si>
    <t>IT-i00020 - 2743-Intelligent Autom Inıt 2026</t>
  </si>
  <si>
    <t>IT-i00052 - 2714-One MDM Stibo STIBO</t>
  </si>
  <si>
    <t>IT-i00058 - 2720-Self Service Enablement 2026-P1</t>
  </si>
  <si>
    <t>IT-i00097 - 2741-Data Platform 360</t>
  </si>
  <si>
    <t>IT-i00098 - 2742-Security and Compliance</t>
  </si>
  <si>
    <t>IT-00025 - Design System Activation</t>
  </si>
  <si>
    <t>IT-00036 - 2644 One FC Website (DIG-001312)</t>
  </si>
  <si>
    <t>IT-00042 - Marketing Performance Dashboard​ (DIG-001642)</t>
  </si>
  <si>
    <t>IT-00048 - Customer Portal - My Etex revamp 2026</t>
  </si>
  <si>
    <t>IT-00093 - Digital BAU</t>
  </si>
  <si>
    <t>IT-00094 - Q1 2026 Digital BAU</t>
  </si>
  <si>
    <t>IT-00095 - Q2 2026 Digital BAU</t>
  </si>
  <si>
    <t>IT-00096 - Q3 2026 Digital Website Improvements</t>
  </si>
  <si>
    <t>IT-00097 - Q4 2026 Digital BAU</t>
  </si>
  <si>
    <t>IT-00137 - 2676-Virtual Agent PH1 chatbot/website</t>
  </si>
  <si>
    <t>O7941/2640</t>
  </si>
  <si>
    <t>IT-m00028 - 2712 - Future of Specification</t>
  </si>
  <si>
    <t>IT-00112 - 2760 - Polaris template enrichment</t>
  </si>
  <si>
    <t>IT-00109 - 8222- Finance MDP activities 2026</t>
  </si>
  <si>
    <t>IT-i00024 - 2669-Resedign Profitability Model</t>
  </si>
  <si>
    <t>IT-i00042 - 2689-TACOS</t>
  </si>
  <si>
    <t>IT-00061 - 2751-EC&amp;SuccessFactors Change</t>
  </si>
  <si>
    <t>O7941/2621</t>
  </si>
  <si>
    <t>IT-i00001 - 2717 - Comp &amp; Ben + Perf Review 2026</t>
  </si>
  <si>
    <t>IT-i00082 - 2727 EU Pay transparency Directive</t>
  </si>
  <si>
    <t>C7941/2727</t>
  </si>
  <si>
    <t>IT-00054 - 8190-IT/OT Convergence Villeneuve SL</t>
  </si>
  <si>
    <t>O9567/26-002</t>
  </si>
  <si>
    <t>IT-00070 - 8192 - IT/OT Convergence : Loriol</t>
  </si>
  <si>
    <t>O9563/2608</t>
  </si>
  <si>
    <t>IT-00074 - 8214 IT/OT Convergence Romania</t>
  </si>
  <si>
    <t>IT-00075 - 8215-IT/OT Converge for OEE Filago(IT)</t>
  </si>
  <si>
    <t>IT-00151 - 8223-IT/OT Convergence Portillo (ES)</t>
  </si>
  <si>
    <t>C7941/8223</t>
  </si>
  <si>
    <t>IT-00031 - 2690 Nexus - MVP - Ferrybridge</t>
  </si>
  <si>
    <t>IT-i00003 - 2722-Mendix-OEE Appl- Continuous Imprv</t>
  </si>
  <si>
    <t>IT-i00054 - 2721- Hybrid CPM Digital</t>
  </si>
  <si>
    <t>IT-i00056 - 2715-EMS - Energy Monitoring Sys</t>
  </si>
  <si>
    <t>IT-i00057 - 2716-EHS - Review and Improvements 2026</t>
  </si>
  <si>
    <t>O7941/2609</t>
  </si>
  <si>
    <t>IT-i00112 - 2730 - MDP Warehouse Building 2026</t>
  </si>
  <si>
    <t>IT-00089 - 2759 - OTIF &amp; SLA KPIs rollout</t>
  </si>
  <si>
    <t>IT-00091 - 2764 AI-Driven Order Intake - Tekst.com</t>
  </si>
  <si>
    <t>IT-i00119 - 8206-Procurement data and automation</t>
  </si>
  <si>
    <t>IT-00084 - 2763 - EWM migration Valdemoro</t>
  </si>
  <si>
    <t>IT-i00055 - 2713-PTV migration to cloud</t>
  </si>
  <si>
    <t>O7941/2602</t>
  </si>
  <si>
    <t>IT-00080 - 2762-APO decommissioning</t>
  </si>
  <si>
    <t>IT-00103 - 2755- Supply Chain MDP activities 2026</t>
  </si>
  <si>
    <t>IT-i00033 - 2133-Sust Applications - Greendata</t>
  </si>
  <si>
    <t>IT-00078 - 2747-Upgrade on-prem Exchange servers</t>
  </si>
  <si>
    <t>IT-00079 - 2748-Onboard OT Devices to Intune</t>
  </si>
  <si>
    <t>IT-i00051 - 2709-Teleport - 3rd party connectivity</t>
  </si>
  <si>
    <t>IT-i00080 - 8188-Optimize Microsoft E5 services</t>
  </si>
  <si>
    <t>OPEX External</t>
  </si>
  <si>
    <t>Planisware Entry &amp; Reconciliation Guide</t>
  </si>
  <si>
    <t>Use ENTER columns to load actuals. Use COMPARE columns only to reconcile SAP against Planisware after June 1, 2026.</t>
  </si>
  <si>
    <t>OPEX INTERNAL HOURS — ENTRY VS COMPARISON</t>
  </si>
  <si>
    <t>Project</t>
  </si>
  <si>
    <t>OPEX Code</t>
  </si>
  <si>
    <t>Before 2026 — ENTER</t>
  </si>
  <si>
    <t>Jan–May 2026 — ENTER</t>
  </si>
  <si>
    <t>Jun+ 2026 — COMPARE</t>
  </si>
  <si>
    <t>Action / Check</t>
  </si>
  <si>
    <t>CAPEX INTERNAL HOURS — ENTRY VS COMPARISON</t>
  </si>
  <si>
    <t>Project / Shared Pool</t>
  </si>
  <si>
    <t>CAPEX Code</t>
  </si>
  <si>
    <t>Full CAPEX Internal</t>
  </si>
  <si>
    <t>OPEX↔CAPEX Reclass Bridge</t>
  </si>
  <si>
    <t>SHARED CAPEX POOL — IT-00093 - Digital BAU | IT-00094 - Q1 2026 Digital BAU | IT-00095 - Q2 2026 Digital BAU | IT-00097 - Q4 2026 Digital BAU</t>
  </si>
  <si>
    <t>EXTERNAL COSTS BY VENDOR + REQUIRED ADJUSTMENTS</t>
  </si>
  <si>
    <t>Cost Bucket</t>
  </si>
  <si>
    <t>SAP Code</t>
  </si>
  <si>
    <t>Vendor / Adjustment</t>
  </si>
  <si>
    <t>OPEX Invoicing Adj.</t>
  </si>
  <si>
    <t>Non-vendor adjustment</t>
  </si>
  <si>
    <t>CAPEX External</t>
  </si>
  <si>
    <t>CAPEX Other / non-PO</t>
  </si>
  <si>
    <t>Non-vendor CAPEX</t>
  </si>
  <si>
    <t>INTERNAL: Never enter negative OPEX reclassification credits in Planisware. Enter positive internal hours once: OPEX if they remain OPEX, or CAPEX if capitalized. Enter amounts before 2026 and Jan–May 2026; compare Jun+ 2026 only.</t>
  </si>
  <si>
    <t>SAP hierarchy Result nets the OPEX credit against the CAPEX debit and is therefore a transfer-neutral accounting view—not the Planisware project-cost input total. Yellow reclass credits are evidence only and must not be entered.</t>
  </si>
  <si>
    <t>Before 2026 — ENTER POSITIVE ONLY</t>
  </si>
  <si>
    <t>Jan–May 2026 — ENTER POSITIVE ONLY</t>
  </si>
  <si>
    <t>Jun+ 2026 — COMPARE POSITIVE ONLY</t>
  </si>
  <si>
    <t>Planisware Internal Cost</t>
  </si>
  <si>
    <t>Gross Reclass Credits — DO NOT ENTER</t>
  </si>
  <si>
    <t>2026 — ENTER POSITIVE ONLY</t>
  </si>
  <si>
    <t>SAP Signed Control Total</t>
  </si>
  <si>
    <t>EXTERNAL: Enter positive vendor costs by Before 2026 and 2026. Negative invoicing/correction amounts are SAP accounting credits: do not enter them as negative Planisware costs. They remain visible only in SAP Signed Control Total for reconciliation.</t>
  </si>
  <si>
    <t>ALLOCATE SHARED POOL</t>
  </si>
  <si>
    <t>Allocate; do not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</si>
</sst>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;[Red]\-\€#,##0.00"/>
    <numFmt numFmtId="165" formatCode="yyyy\-mm\-dd"/>
    <numFmt numFmtId="166" formatCode="\€#,##0.00;[Red]\-\€#,##0.00;\€0.00"/>
  </numFmts>
  <fonts count="17" x14ac:knownFonts="1">
    <font>
      <sz val="10"/>
      <name val="Arial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2F5597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  <scheme val="minor"/>
    </font>
    <font>
      <sz val="9"/>
      <name val="ROBOTO"/>
      <family val="2"/>
    </font>
    <font>
      <sz val="9"/>
      <color rgb="FF000000"/>
      <name val="ROBOTO"/>
      <family val="2"/>
    </font>
    <font>
      <b/>
      <sz val="18"/>
      <color rgb="FFFFFFFF"/>
      <name val="Aptos"/>
      <family val="2"/>
    </font>
    <font>
      <i/>
      <sz val="10"/>
      <color rgb="FF44546A"/>
      <name val="Aptos"/>
      <family val="2"/>
    </font>
    <font>
      <sz val="10"/>
      <color rgb="FF44546A"/>
      <name val="Aptos"/>
      <family val="2"/>
    </font>
    <font>
      <sz val="10"/>
      <name val="Aptos"/>
      <family val="2"/>
    </font>
    <font>
      <b/>
      <sz val="12"/>
      <color rgb="FFFFFFFF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9FBFD"/>
        <bgColor rgb="FFF9FBFD"/>
      </patternFill>
    </fill>
    <fill>
      <patternFill patternType="solid">
        <fgColor rgb="FF2F5597"/>
        <bgColor rgb="FF2F5597"/>
      </patternFill>
    </fill>
    <fill>
      <patternFill patternType="solid">
        <fgColor rgb="FFF0F0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5" borderId="0" xfId="0" applyFont="1" applyFill="1"/>
    <xf numFmtId="0" fontId="0" fillId="0" borderId="0" xfId="0"/>
    <xf numFmtId="0" fontId="5" fillId="0" borderId="0" xfId="0" applyFont="1"/>
    <xf numFmtId="0" fontId="0" fillId="6" borderId="0" xfId="0" applyFill="1" applyAlignment="1">
      <alignment wrapText="1"/>
    </xf>
    <xf numFmtId="0" fontId="6" fillId="0" borderId="0" xfId="0" applyFont="1"/>
    <xf numFmtId="164" fontId="2" fillId="0" borderId="0" xfId="0" applyNumberFormat="1" applyFont="1"/>
    <xf numFmtId="0" fontId="7" fillId="7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0" fillId="8" borderId="0" xfId="0" applyNumberFormat="1" applyFill="1"/>
    <xf numFmtId="164" fontId="0" fillId="9" borderId="0" xfId="0" applyNumberFormat="1" applyFill="1"/>
    <xf numFmtId="0" fontId="1" fillId="0" borderId="0" xfId="0" applyFont="1"/>
    <xf numFmtId="164" fontId="1" fillId="0" borderId="0" xfId="0" applyNumberFormat="1" applyFont="1"/>
    <xf numFmtId="164" fontId="1" fillId="8" borderId="0" xfId="0" applyNumberFormat="1" applyFont="1" applyFill="1"/>
    <xf numFmtId="165" fontId="1" fillId="0" borderId="0" xfId="0" applyNumberFormat="1" applyFont="1"/>
    <xf numFmtId="3" fontId="1" fillId="0" borderId="0" xfId="0" applyNumberFormat="1" applyFont="1"/>
    <xf numFmtId="164" fontId="0" fillId="10" borderId="0" xfId="0" applyNumberFormat="1" applyFill="1"/>
    <xf numFmtId="0" fontId="8" fillId="11" borderId="1" xfId="0" applyFont="1" applyFill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/>
    </xf>
    <xf numFmtId="4" fontId="0" fillId="12" borderId="3" xfId="0" applyNumberForma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0" fontId="9" fillId="0" borderId="3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right" vertical="center"/>
    </xf>
    <xf numFmtId="4" fontId="0" fillId="0" borderId="0" xfId="0" applyNumberFormat="1" applyAlignment="1">
      <alignment vertical="top"/>
    </xf>
    <xf numFmtId="0" fontId="8" fillId="13" borderId="1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" fontId="0" fillId="0" borderId="0" xfId="0" applyNumberFormat="1"/>
    <xf numFmtId="0" fontId="11" fillId="15" borderId="5" xfId="0" applyFont="1" applyFill="1" applyBorder="1" applyAlignment="1">
      <alignment vertical="center" wrapText="1"/>
    </xf>
    <xf numFmtId="0" fontId="11" fillId="16" borderId="5" xfId="0" applyFont="1" applyFill="1" applyBorder="1" applyAlignment="1" applyProtection="1">
      <alignment vertical="center" wrapText="1"/>
      <protection locked="0"/>
    </xf>
    <xf numFmtId="0" fontId="10" fillId="14" borderId="4" xfId="0" applyFont="1" applyFill="1" applyBorder="1" applyAlignment="1" applyProtection="1">
      <alignment wrapText="1"/>
      <protection locked="0"/>
    </xf>
    <xf numFmtId="0" fontId="0" fillId="0" borderId="0" xfId="0" applyAlignment="1">
      <alignment vertical="top" wrapText="1"/>
    </xf>
    <xf numFmtId="0" fontId="14" fillId="21" borderId="0" xfId="0" applyFont="1" applyFill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5" fillId="20" borderId="0" xfId="0" applyFont="1" applyFill="1" applyAlignment="1">
      <alignment vertical="top" wrapText="1"/>
    </xf>
    <xf numFmtId="0" fontId="12" fillId="5" borderId="0" xfId="0" applyFont="1" applyFill="1" applyAlignment="1">
      <alignment vertical="top" wrapText="1"/>
    </xf>
    <xf numFmtId="0" fontId="13" fillId="17" borderId="0" xfId="0" applyFont="1" applyFill="1" applyAlignment="1">
      <alignment vertical="top" wrapText="1"/>
    </xf>
    <xf numFmtId="166" fontId="15" fillId="18" borderId="0" xfId="0" applyNumberFormat="1" applyFont="1" applyFill="1" applyAlignment="1">
      <alignment vertical="top" wrapText="1"/>
    </xf>
    <xf numFmtId="166" fontId="15" fillId="19" borderId="0" xfId="0" applyNumberFormat="1" applyFont="1" applyFill="1" applyAlignment="1">
      <alignment vertical="top" wrapText="1"/>
    </xf>
    <xf numFmtId="166" fontId="15" fillId="0" borderId="0" xfId="0" applyNumberFormat="1" applyFont="1" applyAlignment="1">
      <alignment vertical="top" wrapText="1"/>
    </xf>
    <xf numFmtId="166" fontId="15" fillId="20" borderId="0" xfId="0" applyNumberFormat="1" applyFont="1" applyFill="1" applyAlignment="1">
      <alignment vertical="top" wrapText="1"/>
    </xf>
  </cellXfs>
  <cellStyles count="1">
    <cellStyle name="Normal" xfId="0" builtinId="0"/>
  </cellStyles>
  <dxfs count="56">
    <dxf>
      <font>
        <name val="Aptos"/>
      </font>
      <numFmt numFmtId="166" formatCode="\€#,##0.00;[Red]\-\€#,##0.00;\€0.00"/>
      <fill>
        <patternFill patternType="solid">
          <fgColor indexed="64"/>
          <bgColor rgb="FFE7E6E6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numFmt numFmtId="0" formatCode="General"/>
      <fill>
        <patternFill patternType="solid">
          <fgColor indexed="64"/>
          <bgColor rgb="FFFFF2CC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FFF2CC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fill>
        <patternFill patternType="solid">
          <fgColor indexed="64"/>
          <bgColor rgb="FFFFF2CC"/>
        </patternFill>
      </fill>
      <alignment wrapText="1"/>
    </dxf>
    <dxf>
      <font>
        <name val="Aptos"/>
      </font>
      <numFmt numFmtId="166" formatCode="\€#,##0.00;[Red]\-\€#,##0.00;\€0.00"/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numFmt numFmtId="0" formatCode="General"/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FFF2CC"/>
        </patternFill>
      </fill>
      <alignment wrapText="1"/>
    </dxf>
    <dxf>
      <font>
        <name val="Aptos"/>
      </font>
      <numFmt numFmtId="166" formatCode="\€#,##0.00;[Red]\-\€#,##0.00;\€0.00"/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7E6E6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numFmt numFmtId="166" formatCode="\€#,##0.00;[Red]\-\€#,##0.00;\€0.00"/>
      <fill>
        <patternFill patternType="solid">
          <fgColor indexed="64"/>
          <bgColor rgb="FFE2F0D9"/>
        </patternFill>
      </fill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3" formatCode="#,##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3" formatCode="#,##0"/>
    </dxf>
    <dxf>
      <numFmt numFmtId="3" formatCode="#,##0"/>
    </dxf>
    <dxf>
      <numFmt numFmtId="165" formatCode="yyyy\-mm\-dd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  <dxf>
      <numFmt numFmtId="164" formatCode="\€#,##0.00;[Red]\-\€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lanisware_Master_Reconciliation_FullHistoryy.xlsx" TargetMode="External"/><Relationship Id="rId2" Type="http://schemas.openxmlformats.org/officeDocument/2006/relationships/externalLinkPath" Target="https://etexgroup-my.sharepoint.com/personal/kerem_yenideniz_etexgroup_com/Documents/Planisware_Master_Reconciliation_FullHistoryy.xlsx" TargetMode="External"/><Relationship Id="rId1" Type="http://schemas.openxmlformats.org/officeDocument/2006/relationships/externalLinkPath" Target="/personal/kerem_yenideniz_etexgroup_com/Documents/Planisware_Master_Reconciliation_FullHistory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ject Overview by Year"/>
      <sheetName val="Opex Update track"/>
      <sheetName val="Capex CJI3"/>
      <sheetName val="Capex Overview"/>
      <sheetName val="Vendor Spend by Year"/>
      <sheetName val="S_ALR Export"/>
    </sheetNames>
    <sheetDataSet>
      <sheetData sheetId="0"/>
      <sheetData sheetId="1"/>
      <sheetData sheetId="2">
        <row r="2">
          <cell r="A2" t="str">
            <v>N7941/2507</v>
          </cell>
          <cell r="D2" t="str">
            <v>6190000001</v>
          </cell>
          <cell r="E2" t="str">
            <v>4791010474</v>
          </cell>
          <cell r="F2">
            <v>1145</v>
          </cell>
          <cell r="J2" t="str">
            <v>SAP BELGIUM NV/Redesign Profitability Model-_30632</v>
          </cell>
          <cell r="K2" t="str">
            <v>2025</v>
          </cell>
          <cell r="L2" t="str">
            <v>9</v>
          </cell>
        </row>
        <row r="3">
          <cell r="A3" t="str">
            <v>N7941/2507</v>
          </cell>
          <cell r="D3" t="str">
            <v>6190000001</v>
          </cell>
          <cell r="E3" t="str">
            <v>4791010474</v>
          </cell>
          <cell r="F3">
            <v>2290</v>
          </cell>
          <cell r="J3" t="str">
            <v>SAP BELGIUM NV/Redesign Profitability Model-_30632</v>
          </cell>
          <cell r="K3" t="str">
            <v>2025</v>
          </cell>
          <cell r="L3" t="str">
            <v>10</v>
          </cell>
        </row>
        <row r="4">
          <cell r="A4" t="str">
            <v>N7941/2507</v>
          </cell>
          <cell r="D4" t="str">
            <v>6190000001</v>
          </cell>
          <cell r="E4" t="str">
            <v/>
          </cell>
          <cell r="F4">
            <v>10950</v>
          </cell>
          <cell r="J4" t="str">
            <v>Reclass internal hours from OPEX to Capex</v>
          </cell>
          <cell r="K4" t="str">
            <v>2025</v>
          </cell>
          <cell r="L4" t="str">
            <v>10</v>
          </cell>
        </row>
        <row r="5">
          <cell r="A5" t="str">
            <v>N7941/2507</v>
          </cell>
          <cell r="D5" t="str">
            <v>6190000001</v>
          </cell>
          <cell r="E5" t="str">
            <v/>
          </cell>
          <cell r="F5">
            <v>1400</v>
          </cell>
          <cell r="J5" t="str">
            <v>Reclass internal hours from OPEX to Capex</v>
          </cell>
          <cell r="K5" t="str">
            <v>2025</v>
          </cell>
          <cell r="L5" t="str">
            <v>11</v>
          </cell>
        </row>
        <row r="6">
          <cell r="A6" t="str">
            <v>N7941/2507</v>
          </cell>
          <cell r="D6" t="str">
            <v>6190000001</v>
          </cell>
          <cell r="E6" t="str">
            <v>4791010474</v>
          </cell>
          <cell r="F6">
            <v>2290</v>
          </cell>
          <cell r="J6" t="str">
            <v>SAP BELGIUM NV/Redesign Profitability Model-_30632</v>
          </cell>
          <cell r="K6" t="str">
            <v>2025</v>
          </cell>
          <cell r="L6" t="str">
            <v>12</v>
          </cell>
        </row>
        <row r="7">
          <cell r="A7" t="str">
            <v>N7941/2507</v>
          </cell>
          <cell r="D7" t="str">
            <v>6190000001</v>
          </cell>
          <cell r="E7" t="str">
            <v>4791010474</v>
          </cell>
          <cell r="F7">
            <v>2290</v>
          </cell>
          <cell r="J7" t="str">
            <v>SAP BELGIUM NV/Redesign Profitability Model-_30632</v>
          </cell>
          <cell r="K7" t="str">
            <v>2025</v>
          </cell>
          <cell r="L7" t="str">
            <v>12</v>
          </cell>
        </row>
        <row r="8">
          <cell r="A8" t="str">
            <v>N7941/2507</v>
          </cell>
          <cell r="D8" t="str">
            <v>6190000001</v>
          </cell>
          <cell r="E8" t="str">
            <v/>
          </cell>
          <cell r="F8">
            <v>800</v>
          </cell>
          <cell r="J8" t="str">
            <v>Reclass internal hours from OPEX to Capex</v>
          </cell>
          <cell r="K8" t="str">
            <v>2025</v>
          </cell>
          <cell r="L8" t="str">
            <v>12</v>
          </cell>
        </row>
        <row r="9">
          <cell r="A9" t="str">
            <v>N7941/2507</v>
          </cell>
          <cell r="D9" t="str">
            <v>6190000001</v>
          </cell>
          <cell r="E9" t="str">
            <v/>
          </cell>
          <cell r="F9">
            <v>3300</v>
          </cell>
          <cell r="J9" t="str">
            <v>Reclass internal hours from OPEX to Capex</v>
          </cell>
          <cell r="K9" t="str">
            <v>2026</v>
          </cell>
          <cell r="L9" t="str">
            <v>1</v>
          </cell>
        </row>
        <row r="10">
          <cell r="A10" t="str">
            <v>N7941/2507</v>
          </cell>
          <cell r="D10" t="str">
            <v>6190000001</v>
          </cell>
          <cell r="E10" t="str">
            <v/>
          </cell>
          <cell r="F10">
            <v>3100</v>
          </cell>
          <cell r="J10" t="str">
            <v>Reclass internal hours from OPEX to Capex</v>
          </cell>
          <cell r="K10" t="str">
            <v>2026</v>
          </cell>
          <cell r="L10" t="str">
            <v>2</v>
          </cell>
        </row>
        <row r="11">
          <cell r="A11" t="str">
            <v>N7941/2507</v>
          </cell>
          <cell r="D11" t="str">
            <v>6190000001</v>
          </cell>
          <cell r="E11" t="str">
            <v/>
          </cell>
          <cell r="F11">
            <v>1100</v>
          </cell>
          <cell r="J11" t="str">
            <v>Reclass internal hours from OPEX to Capex</v>
          </cell>
          <cell r="K11" t="str">
            <v>2026</v>
          </cell>
          <cell r="L11" t="str">
            <v>3</v>
          </cell>
        </row>
        <row r="12">
          <cell r="A12" t="str">
            <v>N7941/2507</v>
          </cell>
          <cell r="D12" t="str">
            <v>6190000001</v>
          </cell>
          <cell r="E12" t="str">
            <v/>
          </cell>
          <cell r="F12">
            <v>9400</v>
          </cell>
          <cell r="J12" t="str">
            <v>Reclass internal hours from OPEX to Capex</v>
          </cell>
          <cell r="K12" t="str">
            <v>2026</v>
          </cell>
          <cell r="L12" t="str">
            <v>4</v>
          </cell>
        </row>
        <row r="13">
          <cell r="A13" t="str">
            <v>N7941/2507</v>
          </cell>
          <cell r="D13" t="str">
            <v>6190000001</v>
          </cell>
          <cell r="E13" t="str">
            <v/>
          </cell>
          <cell r="F13">
            <v>3400</v>
          </cell>
          <cell r="J13" t="str">
            <v>Reclass internal hours from OPEX to Capex</v>
          </cell>
          <cell r="K13" t="str">
            <v>2026</v>
          </cell>
          <cell r="L13" t="str">
            <v>5</v>
          </cell>
        </row>
        <row r="14">
          <cell r="A14" t="str">
            <v>N7941/2507</v>
          </cell>
          <cell r="D14" t="str">
            <v>6190000001</v>
          </cell>
          <cell r="E14" t="str">
            <v/>
          </cell>
          <cell r="F14">
            <v>6175.28</v>
          </cell>
          <cell r="J14" t="str">
            <v>Reclass internal hours from OPEX to Capex</v>
          </cell>
          <cell r="K14" t="str">
            <v>2026</v>
          </cell>
          <cell r="L14" t="str">
            <v>6</v>
          </cell>
        </row>
        <row r="15">
          <cell r="A15" t="str">
            <v>N7941/2507</v>
          </cell>
          <cell r="D15" t="str">
            <v>6190000001</v>
          </cell>
          <cell r="E15" t="str">
            <v>4791010474</v>
          </cell>
          <cell r="F15">
            <v>2290</v>
          </cell>
          <cell r="J15" t="str">
            <v>SAP BELGIUM N/Redesign Profitability Model-_306324</v>
          </cell>
          <cell r="K15" t="str">
            <v>2026</v>
          </cell>
          <cell r="L15" t="str">
            <v>7</v>
          </cell>
        </row>
        <row r="16">
          <cell r="A16" t="str">
            <v>N7941/2507</v>
          </cell>
          <cell r="D16" t="str">
            <v>6190000001</v>
          </cell>
          <cell r="E16" t="str">
            <v/>
          </cell>
          <cell r="F16">
            <v>3774.72</v>
          </cell>
          <cell r="J16" t="str">
            <v>Reclass internal hours from OPEX to Capex</v>
          </cell>
          <cell r="K16" t="str">
            <v>2026</v>
          </cell>
          <cell r="L16" t="str">
            <v>7</v>
          </cell>
        </row>
        <row r="17">
          <cell r="A17" t="str">
            <v>N7941/2507</v>
          </cell>
          <cell r="D17" t="str">
            <v>6190000001</v>
          </cell>
          <cell r="E17" t="str">
            <v/>
          </cell>
          <cell r="F17">
            <v>14668</v>
          </cell>
          <cell r="J17" t="str">
            <v>Reclass internal hours from OPEX to Capex</v>
          </cell>
          <cell r="K17" t="str">
            <v>2026</v>
          </cell>
          <cell r="L17" t="str">
            <v>8</v>
          </cell>
        </row>
        <row r="18">
          <cell r="A18" t="str">
            <v>N7941/2507</v>
          </cell>
          <cell r="D18" t="str">
            <v/>
          </cell>
          <cell r="E18" t="str">
            <v/>
          </cell>
          <cell r="F18">
            <v>68373</v>
          </cell>
          <cell r="J18" t="str">
            <v/>
          </cell>
          <cell r="K18" t="str">
            <v/>
          </cell>
          <cell r="L18" t="str">
            <v/>
          </cell>
        </row>
        <row r="19">
          <cell r="A19" t="str">
            <v>O6300/2603</v>
          </cell>
          <cell r="D19" t="str">
            <v>6190000001</v>
          </cell>
          <cell r="E19" t="str">
            <v>4631069083</v>
          </cell>
          <cell r="F19">
            <v>571.85</v>
          </cell>
          <cell r="J19" t="str">
            <v>COMPUTACENTER NV/FortiGate switch controller</v>
          </cell>
          <cell r="K19" t="str">
            <v>2026</v>
          </cell>
          <cell r="L19" t="str">
            <v>8</v>
          </cell>
        </row>
        <row r="20">
          <cell r="A20" t="str">
            <v>O6300/2603</v>
          </cell>
          <cell r="D20" t="str">
            <v/>
          </cell>
          <cell r="E20" t="str">
            <v/>
          </cell>
          <cell r="F20">
            <v>571.85</v>
          </cell>
          <cell r="J20" t="str">
            <v/>
          </cell>
          <cell r="K20" t="str">
            <v/>
          </cell>
          <cell r="L20" t="str">
            <v/>
          </cell>
        </row>
        <row r="21">
          <cell r="A21" t="str">
            <v>O7941/2513</v>
          </cell>
          <cell r="D21" t="str">
            <v>6190000001</v>
          </cell>
          <cell r="E21" t="str">
            <v/>
          </cell>
          <cell r="F21">
            <v>3800</v>
          </cell>
          <cell r="J21" t="str">
            <v>Reclass internal hours from OPEX to Capex</v>
          </cell>
          <cell r="K21" t="str">
            <v>2025</v>
          </cell>
          <cell r="L21" t="str">
            <v>10</v>
          </cell>
        </row>
        <row r="22">
          <cell r="A22" t="str">
            <v>O7941/2513</v>
          </cell>
          <cell r="D22" t="str">
            <v>6190000001</v>
          </cell>
          <cell r="E22" t="str">
            <v/>
          </cell>
          <cell r="F22">
            <v>1500</v>
          </cell>
          <cell r="J22" t="str">
            <v>Reclass internal hours from OPEX to Capex</v>
          </cell>
          <cell r="K22" t="str">
            <v>2025</v>
          </cell>
          <cell r="L22" t="str">
            <v>11</v>
          </cell>
        </row>
        <row r="23">
          <cell r="A23" t="str">
            <v>O7941/2513</v>
          </cell>
          <cell r="D23" t="str">
            <v>6190000001</v>
          </cell>
          <cell r="E23" t="str">
            <v>4791010526</v>
          </cell>
          <cell r="F23">
            <v>60000</v>
          </cell>
          <cell r="J23" t="str">
            <v>PLANISWARE BELGIUM SRL/2025-Symphony implementatio</v>
          </cell>
          <cell r="K23" t="str">
            <v>2025</v>
          </cell>
          <cell r="L23" t="str">
            <v>12</v>
          </cell>
        </row>
        <row r="24">
          <cell r="A24" t="str">
            <v>O7941/2513</v>
          </cell>
          <cell r="D24" t="str">
            <v>6190000001</v>
          </cell>
          <cell r="E24" t="str">
            <v>4791010526</v>
          </cell>
          <cell r="F24">
            <v>15000</v>
          </cell>
          <cell r="J24" t="str">
            <v>PLANISWARE BELGIUM SRL/2025-licences</v>
          </cell>
          <cell r="K24" t="str">
            <v>2025</v>
          </cell>
          <cell r="L24" t="str">
            <v>12</v>
          </cell>
        </row>
        <row r="25">
          <cell r="A25" t="str">
            <v>O7941/2513</v>
          </cell>
          <cell r="D25" t="str">
            <v>6190000001</v>
          </cell>
          <cell r="E25" t="str">
            <v>4791010526</v>
          </cell>
          <cell r="F25">
            <v>40000</v>
          </cell>
          <cell r="J25" t="str">
            <v>PLANISWARE BELGIUM SRL/2025-Symphony implementatio</v>
          </cell>
          <cell r="K25" t="str">
            <v>2025</v>
          </cell>
          <cell r="L25" t="str">
            <v>12</v>
          </cell>
        </row>
        <row r="26">
          <cell r="A26" t="str">
            <v>O7941/2513</v>
          </cell>
          <cell r="D26" t="str">
            <v>6190000001</v>
          </cell>
          <cell r="E26" t="str">
            <v>4791010606</v>
          </cell>
          <cell r="F26">
            <v>11760</v>
          </cell>
          <cell r="J26" t="str">
            <v>TEAM4P/2025 implementation of Planisware softw</v>
          </cell>
          <cell r="K26" t="str">
            <v>2025</v>
          </cell>
          <cell r="L26" t="str">
            <v>12</v>
          </cell>
        </row>
        <row r="27">
          <cell r="A27" t="str">
            <v>O7941/2513</v>
          </cell>
          <cell r="D27" t="str">
            <v>6190000001</v>
          </cell>
          <cell r="E27" t="str">
            <v>4791010526</v>
          </cell>
          <cell r="F27">
            <v>1687.8</v>
          </cell>
          <cell r="J27" t="str">
            <v>PLANISWARE BELGIUM SRL/2025-essential travel</v>
          </cell>
          <cell r="K27" t="str">
            <v>2025</v>
          </cell>
          <cell r="L27" t="str">
            <v>12</v>
          </cell>
        </row>
        <row r="28">
          <cell r="A28" t="str">
            <v>O7941/2513</v>
          </cell>
          <cell r="D28" t="str">
            <v>7405000000</v>
          </cell>
          <cell r="E28" t="str">
            <v/>
          </cell>
          <cell r="F28">
            <v>17548</v>
          </cell>
          <cell r="J28" t="str">
            <v>7941 - Engineering - Symphony Project</v>
          </cell>
          <cell r="K28" t="str">
            <v>2025</v>
          </cell>
          <cell r="L28" t="str">
            <v>12</v>
          </cell>
        </row>
        <row r="29">
          <cell r="A29" t="str">
            <v>O7941/2513</v>
          </cell>
          <cell r="D29" t="str">
            <v>6190000001</v>
          </cell>
          <cell r="E29" t="str">
            <v/>
          </cell>
          <cell r="F29">
            <v>12700</v>
          </cell>
          <cell r="J29" t="str">
            <v>Reclass internal hours from OPEX to Capex</v>
          </cell>
          <cell r="K29" t="str">
            <v>2025</v>
          </cell>
          <cell r="L29" t="str">
            <v>12</v>
          </cell>
        </row>
        <row r="30">
          <cell r="A30" t="str">
            <v>O7941/2513</v>
          </cell>
          <cell r="D30" t="str">
            <v>6405000000</v>
          </cell>
          <cell r="E30" t="str">
            <v/>
          </cell>
          <cell r="F30">
            <v>17548</v>
          </cell>
          <cell r="J30" t="str">
            <v>7941 - Engineering - Symphony Project</v>
          </cell>
          <cell r="K30" t="str">
            <v>2025</v>
          </cell>
          <cell r="L30" t="str">
            <v>12</v>
          </cell>
        </row>
        <row r="31">
          <cell r="A31" t="str">
            <v>O7941/2513</v>
          </cell>
          <cell r="D31" t="str">
            <v>7405000000</v>
          </cell>
          <cell r="E31" t="str">
            <v/>
          </cell>
          <cell r="F31">
            <v>26475</v>
          </cell>
          <cell r="J31" t="str">
            <v>7941 - Engineering - Symphony Project</v>
          </cell>
          <cell r="K31" t="str">
            <v>2026</v>
          </cell>
          <cell r="L31" t="str">
            <v>1</v>
          </cell>
        </row>
        <row r="32">
          <cell r="A32" t="str">
            <v>O7941/2513</v>
          </cell>
          <cell r="D32" t="str">
            <v>7405000000</v>
          </cell>
          <cell r="E32" t="str">
            <v/>
          </cell>
          <cell r="F32">
            <v>2675</v>
          </cell>
          <cell r="J32" t="str">
            <v>7941 - Engineering - Symphony Project</v>
          </cell>
          <cell r="K32" t="str">
            <v>2026</v>
          </cell>
          <cell r="L32" t="str">
            <v>1</v>
          </cell>
        </row>
        <row r="33">
          <cell r="A33" t="str">
            <v>O7941/2513</v>
          </cell>
          <cell r="D33" t="str">
            <v>6190000001</v>
          </cell>
          <cell r="E33" t="str">
            <v/>
          </cell>
          <cell r="F33">
            <v>1800</v>
          </cell>
          <cell r="J33" t="str">
            <v>Reclass internal hours from OPEX to Capex</v>
          </cell>
          <cell r="K33" t="str">
            <v>2026</v>
          </cell>
          <cell r="L33" t="str">
            <v>1</v>
          </cell>
        </row>
        <row r="34">
          <cell r="A34" t="str">
            <v>O7941/2513</v>
          </cell>
          <cell r="D34" t="str">
            <v>6190000001</v>
          </cell>
          <cell r="E34" t="str">
            <v/>
          </cell>
          <cell r="F34">
            <v>2675</v>
          </cell>
          <cell r="J34" t="str">
            <v>Reclass</v>
          </cell>
          <cell r="K34" t="str">
            <v>2026</v>
          </cell>
          <cell r="L34" t="str">
            <v>1</v>
          </cell>
        </row>
        <row r="35">
          <cell r="A35" t="str">
            <v>O7941/2513</v>
          </cell>
          <cell r="D35" t="str">
            <v>6190000001</v>
          </cell>
          <cell r="E35" t="str">
            <v>4791010606</v>
          </cell>
          <cell r="F35">
            <v>3570</v>
          </cell>
          <cell r="J35" t="str">
            <v>TEAM4P/2026 implementation of Planisware softw</v>
          </cell>
          <cell r="K35" t="str">
            <v>2026</v>
          </cell>
          <cell r="L35" t="str">
            <v>2</v>
          </cell>
        </row>
        <row r="36">
          <cell r="A36" t="str">
            <v>O7941/2513</v>
          </cell>
          <cell r="D36" t="str">
            <v>7405000000</v>
          </cell>
          <cell r="E36" t="str">
            <v/>
          </cell>
          <cell r="F36">
            <v>7543.5</v>
          </cell>
          <cell r="J36" t="str">
            <v>7941 - Engineering - Symphony Project</v>
          </cell>
          <cell r="K36" t="str">
            <v>2026</v>
          </cell>
          <cell r="L36" t="str">
            <v>2</v>
          </cell>
        </row>
        <row r="37">
          <cell r="A37" t="str">
            <v>O7941/2513</v>
          </cell>
          <cell r="D37" t="str">
            <v>6190000001</v>
          </cell>
          <cell r="E37" t="str">
            <v/>
          </cell>
          <cell r="F37">
            <v>5085</v>
          </cell>
          <cell r="J37" t="str">
            <v>Reclass internal hours from OPEX to Capex</v>
          </cell>
          <cell r="K37" t="str">
            <v>2026</v>
          </cell>
          <cell r="L37" t="str">
            <v>2</v>
          </cell>
        </row>
        <row r="38">
          <cell r="A38" t="str">
            <v>O7941/2513</v>
          </cell>
          <cell r="D38" t="str">
            <v>6190000001</v>
          </cell>
          <cell r="E38" t="str">
            <v>4791010606</v>
          </cell>
          <cell r="F38">
            <v>5600</v>
          </cell>
          <cell r="J38" t="str">
            <v>TEAM4P/2026 implementation of Planisware softw</v>
          </cell>
          <cell r="K38" t="str">
            <v>2026</v>
          </cell>
          <cell r="L38" t="str">
            <v>3</v>
          </cell>
        </row>
        <row r="39">
          <cell r="A39" t="str">
            <v>O7941/2513</v>
          </cell>
          <cell r="D39" t="str">
            <v>6190000001</v>
          </cell>
          <cell r="E39" t="str">
            <v/>
          </cell>
          <cell r="F39">
            <v>7543.5</v>
          </cell>
          <cell r="J39" t="str">
            <v>Reclass</v>
          </cell>
          <cell r="K39" t="str">
            <v>2026</v>
          </cell>
          <cell r="L39" t="str">
            <v>2</v>
          </cell>
        </row>
        <row r="40">
          <cell r="A40" t="str">
            <v>O7941/2513</v>
          </cell>
          <cell r="D40" t="str">
            <v>6190000001</v>
          </cell>
          <cell r="E40" t="str">
            <v>4791010688</v>
          </cell>
          <cell r="F40">
            <v>15000</v>
          </cell>
          <cell r="J40" t="str">
            <v>PLANISWARE BELGIUM SRL/2026-symphony licences</v>
          </cell>
          <cell r="K40" t="str">
            <v>2026</v>
          </cell>
          <cell r="L40" t="str">
            <v>3</v>
          </cell>
        </row>
        <row r="41">
          <cell r="A41" t="str">
            <v>O7941/2513</v>
          </cell>
          <cell r="D41" t="str">
            <v>6190000001</v>
          </cell>
          <cell r="E41" t="str">
            <v>4791010688</v>
          </cell>
          <cell r="F41">
            <v>40000</v>
          </cell>
          <cell r="J41" t="str">
            <v>PLANISWARE BELGIUM SRL/2026-symphony implementatio</v>
          </cell>
          <cell r="K41" t="str">
            <v>2026</v>
          </cell>
          <cell r="L41" t="str">
            <v>3</v>
          </cell>
        </row>
        <row r="42">
          <cell r="A42" t="str">
            <v>O7941/2513</v>
          </cell>
          <cell r="D42" t="str">
            <v>6190000001</v>
          </cell>
          <cell r="E42" t="str">
            <v>4791010688</v>
          </cell>
          <cell r="F42">
            <v>382.98</v>
          </cell>
          <cell r="J42" t="str">
            <v>PLANISWARE BELGIUM SRL/2026-essential travel</v>
          </cell>
          <cell r="K42" t="str">
            <v>2026</v>
          </cell>
          <cell r="L42" t="str">
            <v>3</v>
          </cell>
        </row>
        <row r="43">
          <cell r="A43" t="str">
            <v>O7941/2513</v>
          </cell>
          <cell r="D43" t="str">
            <v>7405000000</v>
          </cell>
          <cell r="E43" t="str">
            <v/>
          </cell>
          <cell r="F43">
            <v>17708.5</v>
          </cell>
          <cell r="J43" t="str">
            <v>7941 - Engineering - Symphony Project</v>
          </cell>
          <cell r="K43" t="str">
            <v>2026</v>
          </cell>
          <cell r="L43" t="str">
            <v>3</v>
          </cell>
        </row>
        <row r="44">
          <cell r="A44" t="str">
            <v>O7941/2513</v>
          </cell>
          <cell r="D44" t="str">
            <v>6190000001</v>
          </cell>
          <cell r="E44" t="str">
            <v>4791010688</v>
          </cell>
          <cell r="F44">
            <v>40000</v>
          </cell>
          <cell r="J44" t="str">
            <v>PLANISWARE BELGIUM SRL/2026-symphony implementatio</v>
          </cell>
          <cell r="K44" t="str">
            <v>2026</v>
          </cell>
          <cell r="L44" t="str">
            <v>3</v>
          </cell>
        </row>
        <row r="45">
          <cell r="A45" t="str">
            <v>O7941/2513</v>
          </cell>
          <cell r="D45" t="str">
            <v>6190000001</v>
          </cell>
          <cell r="E45" t="str">
            <v>4791010688</v>
          </cell>
          <cell r="F45">
            <v>343.2</v>
          </cell>
          <cell r="J45" t="str">
            <v>PLANISWARE BELGIUM SRL/2026-essential travel</v>
          </cell>
          <cell r="K45" t="str">
            <v>2026</v>
          </cell>
          <cell r="L45" t="str">
            <v>3</v>
          </cell>
        </row>
        <row r="46">
          <cell r="A46" t="str">
            <v>O7941/2513</v>
          </cell>
          <cell r="D46" t="str">
            <v>6190000001</v>
          </cell>
          <cell r="E46" t="str">
            <v/>
          </cell>
          <cell r="F46">
            <v>10105</v>
          </cell>
          <cell r="J46" t="str">
            <v>Reclass internal hours from OPEX to Capex</v>
          </cell>
          <cell r="K46" t="str">
            <v>2026</v>
          </cell>
          <cell r="L46" t="str">
            <v>3</v>
          </cell>
        </row>
        <row r="47">
          <cell r="A47" t="str">
            <v>O7941/2513</v>
          </cell>
          <cell r="D47" t="str">
            <v>6190000001</v>
          </cell>
          <cell r="E47" t="str">
            <v>4791010606</v>
          </cell>
          <cell r="F47">
            <v>6090</v>
          </cell>
          <cell r="J47" t="str">
            <v>TEAM4P/2026 implementation of Planisware softw</v>
          </cell>
          <cell r="K47" t="str">
            <v>2026</v>
          </cell>
          <cell r="L47" t="str">
            <v>4</v>
          </cell>
        </row>
        <row r="48">
          <cell r="A48" t="str">
            <v>O7941/2513</v>
          </cell>
          <cell r="D48" t="str">
            <v>6190000001</v>
          </cell>
          <cell r="E48" t="str">
            <v/>
          </cell>
          <cell r="F48">
            <v>343.2</v>
          </cell>
          <cell r="J48" t="str">
            <v>WBS Correction</v>
          </cell>
          <cell r="K48" t="str">
            <v>2026</v>
          </cell>
          <cell r="L48" t="str">
            <v>3</v>
          </cell>
        </row>
        <row r="49">
          <cell r="A49" t="str">
            <v>O7941/2513</v>
          </cell>
          <cell r="D49" t="str">
            <v>6190000001</v>
          </cell>
          <cell r="E49" t="str">
            <v/>
          </cell>
          <cell r="F49">
            <v>382.98</v>
          </cell>
          <cell r="J49" t="str">
            <v>WBS Correction</v>
          </cell>
          <cell r="K49" t="str">
            <v>2026</v>
          </cell>
          <cell r="L49" t="str">
            <v>3</v>
          </cell>
        </row>
        <row r="50">
          <cell r="A50" t="str">
            <v>O7941/2513</v>
          </cell>
          <cell r="D50" t="str">
            <v>6190000001</v>
          </cell>
          <cell r="E50" t="str">
            <v/>
          </cell>
          <cell r="F50">
            <v>5600</v>
          </cell>
          <cell r="J50" t="str">
            <v>WBS Correction</v>
          </cell>
          <cell r="K50" t="str">
            <v>2026</v>
          </cell>
          <cell r="L50" t="str">
            <v>3</v>
          </cell>
        </row>
        <row r="51">
          <cell r="A51" t="str">
            <v>O7941/2513</v>
          </cell>
          <cell r="D51" t="str">
            <v>6190000001</v>
          </cell>
          <cell r="E51" t="str">
            <v/>
          </cell>
          <cell r="F51">
            <v>10105</v>
          </cell>
          <cell r="J51" t="str">
            <v>WBS Correction</v>
          </cell>
          <cell r="K51" t="str">
            <v>2026</v>
          </cell>
          <cell r="L51" t="str">
            <v>3</v>
          </cell>
        </row>
        <row r="52">
          <cell r="A52" t="str">
            <v>O7941/2513</v>
          </cell>
          <cell r="D52" t="str">
            <v>6190000001</v>
          </cell>
          <cell r="E52" t="str">
            <v/>
          </cell>
          <cell r="F52">
            <v>15000</v>
          </cell>
          <cell r="J52" t="str">
            <v>WBS Correction</v>
          </cell>
          <cell r="K52" t="str">
            <v>2026</v>
          </cell>
          <cell r="L52" t="str">
            <v>3</v>
          </cell>
        </row>
        <row r="53">
          <cell r="A53" t="str">
            <v>O7941/2513</v>
          </cell>
          <cell r="D53" t="str">
            <v>6190000001</v>
          </cell>
          <cell r="E53" t="str">
            <v/>
          </cell>
          <cell r="F53">
            <v>40000</v>
          </cell>
          <cell r="J53" t="str">
            <v>WBS Correction</v>
          </cell>
          <cell r="K53" t="str">
            <v>2026</v>
          </cell>
          <cell r="L53" t="str">
            <v>3</v>
          </cell>
        </row>
        <row r="54">
          <cell r="A54" t="str">
            <v>O7941/2513</v>
          </cell>
          <cell r="D54" t="str">
            <v>6190000001</v>
          </cell>
          <cell r="E54" t="str">
            <v/>
          </cell>
          <cell r="F54">
            <v>40000</v>
          </cell>
          <cell r="J54" t="str">
            <v>WBS Correction</v>
          </cell>
          <cell r="K54" t="str">
            <v>2026</v>
          </cell>
          <cell r="L54" t="str">
            <v>3</v>
          </cell>
        </row>
        <row r="55">
          <cell r="A55" t="str">
            <v>O7941/2513</v>
          </cell>
          <cell r="D55" t="str">
            <v>7405000000</v>
          </cell>
          <cell r="E55" t="str">
            <v/>
          </cell>
          <cell r="F55">
            <v>343.2</v>
          </cell>
          <cell r="J55" t="str">
            <v>WBS Correction</v>
          </cell>
          <cell r="K55" t="str">
            <v>2026</v>
          </cell>
          <cell r="L55" t="str">
            <v>3</v>
          </cell>
        </row>
        <row r="56">
          <cell r="A56" t="str">
            <v>O7941/2513</v>
          </cell>
          <cell r="D56" t="str">
            <v>7405000000</v>
          </cell>
          <cell r="E56" t="str">
            <v/>
          </cell>
          <cell r="F56">
            <v>382.98</v>
          </cell>
          <cell r="J56" t="str">
            <v>WBS Correction</v>
          </cell>
          <cell r="K56" t="str">
            <v>2026</v>
          </cell>
          <cell r="L56" t="str">
            <v>3</v>
          </cell>
        </row>
        <row r="57">
          <cell r="A57" t="str">
            <v>O7941/2513</v>
          </cell>
          <cell r="D57" t="str">
            <v>7405000000</v>
          </cell>
          <cell r="E57" t="str">
            <v/>
          </cell>
          <cell r="F57">
            <v>5600</v>
          </cell>
          <cell r="J57" t="str">
            <v>WBS Correction</v>
          </cell>
          <cell r="K57" t="str">
            <v>2026</v>
          </cell>
          <cell r="L57" t="str">
            <v>3</v>
          </cell>
        </row>
        <row r="58">
          <cell r="A58" t="str">
            <v>O7941/2513</v>
          </cell>
          <cell r="D58" t="str">
            <v>7405000000</v>
          </cell>
          <cell r="E58" t="str">
            <v/>
          </cell>
          <cell r="F58">
            <v>10105</v>
          </cell>
          <cell r="J58" t="str">
            <v>WBS Correction</v>
          </cell>
          <cell r="K58" t="str">
            <v>2026</v>
          </cell>
          <cell r="L58" t="str">
            <v>3</v>
          </cell>
        </row>
        <row r="59">
          <cell r="A59" t="str">
            <v>O7941/2513</v>
          </cell>
          <cell r="D59" t="str">
            <v>7405000000</v>
          </cell>
          <cell r="E59" t="str">
            <v/>
          </cell>
          <cell r="F59">
            <v>15000</v>
          </cell>
          <cell r="J59" t="str">
            <v>WBS Correction</v>
          </cell>
          <cell r="K59" t="str">
            <v>2026</v>
          </cell>
          <cell r="L59" t="str">
            <v>3</v>
          </cell>
        </row>
        <row r="60">
          <cell r="A60" t="str">
            <v>O7941/2513</v>
          </cell>
          <cell r="D60" t="str">
            <v>7405000000</v>
          </cell>
          <cell r="E60" t="str">
            <v/>
          </cell>
          <cell r="F60">
            <v>40000</v>
          </cell>
          <cell r="J60" t="str">
            <v>WBS Correction</v>
          </cell>
          <cell r="K60" t="str">
            <v>2026</v>
          </cell>
          <cell r="L60" t="str">
            <v>3</v>
          </cell>
        </row>
        <row r="61">
          <cell r="A61" t="str">
            <v>O7941/2513</v>
          </cell>
          <cell r="D61" t="str">
            <v>7405000000</v>
          </cell>
          <cell r="E61" t="str">
            <v/>
          </cell>
          <cell r="F61">
            <v>40000</v>
          </cell>
          <cell r="J61" t="str">
            <v>WBS Correction</v>
          </cell>
          <cell r="K61" t="str">
            <v>2026</v>
          </cell>
          <cell r="L61" t="str">
            <v>3</v>
          </cell>
        </row>
        <row r="62">
          <cell r="A62" t="str">
            <v>O7941/2513</v>
          </cell>
          <cell r="D62" t="str">
            <v>7405000000</v>
          </cell>
          <cell r="E62" t="str">
            <v/>
          </cell>
          <cell r="F62">
            <v>343.2</v>
          </cell>
          <cell r="J62" t="str">
            <v>WBS Correction</v>
          </cell>
          <cell r="K62" t="str">
            <v>2026</v>
          </cell>
          <cell r="L62" t="str">
            <v>3</v>
          </cell>
        </row>
        <row r="63">
          <cell r="A63" t="str">
            <v>O7941/2513</v>
          </cell>
          <cell r="D63" t="str">
            <v>7405000000</v>
          </cell>
          <cell r="E63" t="str">
            <v/>
          </cell>
          <cell r="F63">
            <v>382.98</v>
          </cell>
          <cell r="J63" t="str">
            <v>WBS Correction</v>
          </cell>
          <cell r="K63" t="str">
            <v>2026</v>
          </cell>
          <cell r="L63" t="str">
            <v>3</v>
          </cell>
        </row>
        <row r="64">
          <cell r="A64" t="str">
            <v>O7941/2513</v>
          </cell>
          <cell r="D64" t="str">
            <v>7405000000</v>
          </cell>
          <cell r="E64" t="str">
            <v/>
          </cell>
          <cell r="F64">
            <v>5600</v>
          </cell>
          <cell r="J64" t="str">
            <v>WBS Correction</v>
          </cell>
          <cell r="K64" t="str">
            <v>2026</v>
          </cell>
          <cell r="L64" t="str">
            <v>3</v>
          </cell>
        </row>
        <row r="65">
          <cell r="A65" t="str">
            <v>O7941/2513</v>
          </cell>
          <cell r="D65" t="str">
            <v>7405000000</v>
          </cell>
          <cell r="E65" t="str">
            <v/>
          </cell>
          <cell r="F65">
            <v>10105</v>
          </cell>
          <cell r="J65" t="str">
            <v>WBS Correction</v>
          </cell>
          <cell r="K65" t="str">
            <v>2026</v>
          </cell>
          <cell r="L65" t="str">
            <v>3</v>
          </cell>
        </row>
        <row r="66">
          <cell r="A66" t="str">
            <v>O7941/2513</v>
          </cell>
          <cell r="D66" t="str">
            <v>7405000000</v>
          </cell>
          <cell r="E66" t="str">
            <v/>
          </cell>
          <cell r="F66">
            <v>15000</v>
          </cell>
          <cell r="J66" t="str">
            <v>WBS Correction</v>
          </cell>
          <cell r="K66" t="str">
            <v>2026</v>
          </cell>
          <cell r="L66" t="str">
            <v>3</v>
          </cell>
        </row>
        <row r="67">
          <cell r="A67" t="str">
            <v>O7941/2513</v>
          </cell>
          <cell r="D67" t="str">
            <v>7405000000</v>
          </cell>
          <cell r="E67" t="str">
            <v/>
          </cell>
          <cell r="F67">
            <v>40000</v>
          </cell>
          <cell r="J67" t="str">
            <v>WBS Correction</v>
          </cell>
          <cell r="K67" t="str">
            <v>2026</v>
          </cell>
          <cell r="L67" t="str">
            <v>3</v>
          </cell>
        </row>
        <row r="68">
          <cell r="A68" t="str">
            <v>O7941/2513</v>
          </cell>
          <cell r="D68" t="str">
            <v>7405000000</v>
          </cell>
          <cell r="E68" t="str">
            <v/>
          </cell>
          <cell r="F68">
            <v>40000</v>
          </cell>
          <cell r="J68" t="str">
            <v>WBS Correction</v>
          </cell>
          <cell r="K68" t="str">
            <v>2026</v>
          </cell>
          <cell r="L68" t="str">
            <v>3</v>
          </cell>
        </row>
        <row r="69">
          <cell r="A69" t="str">
            <v>O7941/2513</v>
          </cell>
          <cell r="D69" t="str">
            <v>6190000001</v>
          </cell>
          <cell r="E69" t="str">
            <v/>
          </cell>
          <cell r="F69">
            <v>343.2</v>
          </cell>
          <cell r="J69" t="str">
            <v>Reclass: WBS Correction</v>
          </cell>
          <cell r="K69" t="str">
            <v>2026</v>
          </cell>
          <cell r="L69" t="str">
            <v>3</v>
          </cell>
        </row>
        <row r="70">
          <cell r="A70" t="str">
            <v>O7941/2513</v>
          </cell>
          <cell r="D70" t="str">
            <v>6190000001</v>
          </cell>
          <cell r="E70" t="str">
            <v/>
          </cell>
          <cell r="F70">
            <v>382.98</v>
          </cell>
          <cell r="J70" t="str">
            <v>Reclass: WBS Correction</v>
          </cell>
          <cell r="K70" t="str">
            <v>2026</v>
          </cell>
          <cell r="L70" t="str">
            <v>3</v>
          </cell>
        </row>
        <row r="71">
          <cell r="A71" t="str">
            <v>O7941/2513</v>
          </cell>
          <cell r="D71" t="str">
            <v>6190000001</v>
          </cell>
          <cell r="E71" t="str">
            <v/>
          </cell>
          <cell r="F71">
            <v>5600</v>
          </cell>
          <cell r="J71" t="str">
            <v>Reclass: WBS Correction</v>
          </cell>
          <cell r="K71" t="str">
            <v>2026</v>
          </cell>
          <cell r="L71" t="str">
            <v>3</v>
          </cell>
        </row>
        <row r="72">
          <cell r="A72" t="str">
            <v>O7941/2513</v>
          </cell>
          <cell r="D72" t="str">
            <v>6190000001</v>
          </cell>
          <cell r="E72" t="str">
            <v/>
          </cell>
          <cell r="F72">
            <v>10105</v>
          </cell>
          <cell r="J72" t="str">
            <v>Reclass: WBS Correction</v>
          </cell>
          <cell r="K72" t="str">
            <v>2026</v>
          </cell>
          <cell r="L72" t="str">
            <v>3</v>
          </cell>
        </row>
        <row r="73">
          <cell r="A73" t="str">
            <v>O7941/2513</v>
          </cell>
          <cell r="D73" t="str">
            <v>6190000001</v>
          </cell>
          <cell r="E73" t="str">
            <v/>
          </cell>
          <cell r="F73">
            <v>15000</v>
          </cell>
          <cell r="J73" t="str">
            <v>Reclass: WBS Correction</v>
          </cell>
          <cell r="K73" t="str">
            <v>2026</v>
          </cell>
          <cell r="L73" t="str">
            <v>3</v>
          </cell>
        </row>
        <row r="74">
          <cell r="A74" t="str">
            <v>O7941/2513</v>
          </cell>
          <cell r="D74" t="str">
            <v>6190000001</v>
          </cell>
          <cell r="E74" t="str">
            <v/>
          </cell>
          <cell r="F74">
            <v>40000</v>
          </cell>
          <cell r="J74" t="str">
            <v>Reclass: WBS Correction</v>
          </cell>
          <cell r="K74" t="str">
            <v>2026</v>
          </cell>
          <cell r="L74" t="str">
            <v>3</v>
          </cell>
        </row>
        <row r="75">
          <cell r="A75" t="str">
            <v>O7941/2513</v>
          </cell>
          <cell r="D75" t="str">
            <v>6190000001</v>
          </cell>
          <cell r="E75" t="str">
            <v/>
          </cell>
          <cell r="F75">
            <v>40000</v>
          </cell>
          <cell r="J75" t="str">
            <v>Reclass: WBS Correction</v>
          </cell>
          <cell r="K75" t="str">
            <v>2026</v>
          </cell>
          <cell r="L75" t="str">
            <v>3</v>
          </cell>
        </row>
        <row r="76">
          <cell r="A76" t="str">
            <v>O7941/2513</v>
          </cell>
          <cell r="D76" t="str">
            <v>6190000001</v>
          </cell>
          <cell r="E76" t="str">
            <v/>
          </cell>
          <cell r="F76">
            <v>17708.5</v>
          </cell>
          <cell r="J76" t="str">
            <v>Reclass: WBS Correction</v>
          </cell>
          <cell r="K76" t="str">
            <v>2026</v>
          </cell>
          <cell r="L76" t="str">
            <v>3</v>
          </cell>
        </row>
        <row r="77">
          <cell r="A77" t="str">
            <v>O7941/2513</v>
          </cell>
          <cell r="D77" t="str">
            <v>7405000000</v>
          </cell>
          <cell r="E77" t="str">
            <v/>
          </cell>
          <cell r="F77">
            <v>17922.5</v>
          </cell>
          <cell r="J77" t="str">
            <v>7941 - Engineering - Symphony Project</v>
          </cell>
          <cell r="K77" t="str">
            <v>2026</v>
          </cell>
          <cell r="L77" t="str">
            <v>4</v>
          </cell>
        </row>
        <row r="78">
          <cell r="A78" t="str">
            <v>O7941/2513</v>
          </cell>
          <cell r="D78" t="str">
            <v>6190000001</v>
          </cell>
          <cell r="E78" t="str">
            <v>4791010688</v>
          </cell>
          <cell r="F78">
            <v>20000</v>
          </cell>
          <cell r="J78" t="str">
            <v>PLANISWARE BELGIUM SRL/2026-symphony implementatio</v>
          </cell>
          <cell r="K78" t="str">
            <v>2026</v>
          </cell>
          <cell r="L78" t="str">
            <v>4</v>
          </cell>
        </row>
        <row r="79">
          <cell r="A79" t="str">
            <v>O7941/2513</v>
          </cell>
          <cell r="D79" t="str">
            <v>6190000001</v>
          </cell>
          <cell r="E79" t="str">
            <v>4791010688</v>
          </cell>
          <cell r="F79">
            <v>648.48</v>
          </cell>
          <cell r="J79" t="str">
            <v>PLANISWARE BELGIUM SRL/2026-essential travel</v>
          </cell>
          <cell r="K79" t="str">
            <v>2026</v>
          </cell>
          <cell r="L79" t="str">
            <v>4</v>
          </cell>
        </row>
        <row r="80">
          <cell r="A80" t="str">
            <v>O7941/2513</v>
          </cell>
          <cell r="D80" t="str">
            <v>6190000001</v>
          </cell>
          <cell r="E80" t="str">
            <v/>
          </cell>
          <cell r="F80">
            <v>17922.5</v>
          </cell>
          <cell r="J80" t="str">
            <v>Reclass: WBS Correction</v>
          </cell>
          <cell r="K80" t="str">
            <v>2026</v>
          </cell>
          <cell r="L80" t="str">
            <v>4</v>
          </cell>
        </row>
        <row r="81">
          <cell r="A81" t="str">
            <v>O7941/2513</v>
          </cell>
          <cell r="D81" t="str">
            <v>6190000001</v>
          </cell>
          <cell r="E81" t="str">
            <v/>
          </cell>
          <cell r="F81">
            <v>4700</v>
          </cell>
          <cell r="J81" t="str">
            <v>Reclass internal hours from OPEX to Capex</v>
          </cell>
          <cell r="K81" t="str">
            <v>2026</v>
          </cell>
          <cell r="L81" t="str">
            <v>4</v>
          </cell>
        </row>
        <row r="82">
          <cell r="A82" t="str">
            <v>O7941/2513</v>
          </cell>
          <cell r="D82" t="str">
            <v>6190000001</v>
          </cell>
          <cell r="E82" t="str">
            <v>4791010606</v>
          </cell>
          <cell r="F82">
            <v>2800</v>
          </cell>
          <cell r="J82" t="str">
            <v>TEAM4P/2026 implementation of Planisware softw</v>
          </cell>
          <cell r="K82" t="str">
            <v>2026</v>
          </cell>
          <cell r="L82" t="str">
            <v>5</v>
          </cell>
        </row>
        <row r="83">
          <cell r="A83" t="str">
            <v>O7941/2513</v>
          </cell>
          <cell r="D83" t="str">
            <v>6190000001</v>
          </cell>
          <cell r="E83" t="str">
            <v>4791010688</v>
          </cell>
          <cell r="F83">
            <v>413.49</v>
          </cell>
          <cell r="J83" t="str">
            <v>PLANISWARE BELGIUM SRL/2026-essential travel</v>
          </cell>
          <cell r="K83" t="str">
            <v>2026</v>
          </cell>
          <cell r="L83" t="str">
            <v>5</v>
          </cell>
        </row>
        <row r="84">
          <cell r="A84" t="str">
            <v>O7941/2513</v>
          </cell>
          <cell r="D84" t="str">
            <v>6190000001</v>
          </cell>
          <cell r="E84" t="str">
            <v>4791010791</v>
          </cell>
          <cell r="F84">
            <v>20000</v>
          </cell>
          <cell r="J84" t="str">
            <v>PLANISWARE BELGIUM SR/2026-Additional Scope releas</v>
          </cell>
          <cell r="K84" t="str">
            <v>2026</v>
          </cell>
          <cell r="L84" t="str">
            <v>5</v>
          </cell>
        </row>
        <row r="85">
          <cell r="A85" t="str">
            <v>O7941/2513</v>
          </cell>
          <cell r="D85" t="str">
            <v>7405000000</v>
          </cell>
          <cell r="E85" t="str">
            <v/>
          </cell>
          <cell r="F85">
            <v>8667</v>
          </cell>
          <cell r="J85" t="str">
            <v>7941 - Engineering - Symphony Project</v>
          </cell>
          <cell r="K85" t="str">
            <v>2026</v>
          </cell>
          <cell r="L85" t="str">
            <v>5</v>
          </cell>
        </row>
        <row r="86">
          <cell r="A86" t="str">
            <v>O7941/2513</v>
          </cell>
          <cell r="D86" t="str">
            <v>6190000001</v>
          </cell>
          <cell r="E86" t="str">
            <v/>
          </cell>
          <cell r="F86">
            <v>9000</v>
          </cell>
          <cell r="J86" t="str">
            <v>Reclass internal hours from OPEX to Capex</v>
          </cell>
          <cell r="K86" t="str">
            <v>2026</v>
          </cell>
          <cell r="L86" t="str">
            <v>5</v>
          </cell>
        </row>
        <row r="87">
          <cell r="A87" t="str">
            <v>O7941/2513</v>
          </cell>
          <cell r="D87" t="str">
            <v>6190000001</v>
          </cell>
          <cell r="E87" t="str">
            <v>4791010606</v>
          </cell>
          <cell r="F87">
            <v>2520</v>
          </cell>
          <cell r="J87" t="str">
            <v>TEAM4P/2026 implementation of Planisware softw</v>
          </cell>
          <cell r="K87" t="str">
            <v>2026</v>
          </cell>
          <cell r="L87" t="str">
            <v>6</v>
          </cell>
        </row>
        <row r="88">
          <cell r="A88" t="str">
            <v>O7941/2513</v>
          </cell>
          <cell r="D88" t="str">
            <v>6190000001</v>
          </cell>
          <cell r="E88" t="str">
            <v/>
          </cell>
          <cell r="F88">
            <v>8667</v>
          </cell>
          <cell r="J88" t="str">
            <v>Reclass: WBS Correction</v>
          </cell>
          <cell r="K88" t="str">
            <v>2026</v>
          </cell>
          <cell r="L88" t="str">
            <v>5</v>
          </cell>
        </row>
        <row r="89">
          <cell r="A89" t="str">
            <v>O7941/2513</v>
          </cell>
          <cell r="D89" t="str">
            <v>7405000000</v>
          </cell>
          <cell r="E89" t="str">
            <v/>
          </cell>
          <cell r="F89">
            <v>9737</v>
          </cell>
          <cell r="J89" t="str">
            <v>7941 - Engineering - Symphony Project</v>
          </cell>
          <cell r="K89" t="str">
            <v>2026</v>
          </cell>
          <cell r="L89" t="str">
            <v>6</v>
          </cell>
        </row>
        <row r="90">
          <cell r="A90" t="str">
            <v>O7941/2513</v>
          </cell>
          <cell r="D90" t="str">
            <v>6190000001</v>
          </cell>
          <cell r="E90" t="str">
            <v>4791010791</v>
          </cell>
          <cell r="F90">
            <v>23062.5</v>
          </cell>
          <cell r="J90" t="str">
            <v>PLANISWARE BELGIUM SR/2026-Additional Scope releas</v>
          </cell>
          <cell r="K90" t="str">
            <v>2026</v>
          </cell>
          <cell r="L90" t="str">
            <v>6</v>
          </cell>
        </row>
        <row r="91">
          <cell r="A91" t="str">
            <v>O7941/2513</v>
          </cell>
          <cell r="D91" t="str">
            <v>6190000001</v>
          </cell>
          <cell r="E91" t="str">
            <v/>
          </cell>
          <cell r="F91">
            <v>18000</v>
          </cell>
          <cell r="J91" t="str">
            <v>Reclass internal hours from OPEX to Capex</v>
          </cell>
          <cell r="K91" t="str">
            <v>2026</v>
          </cell>
          <cell r="L91" t="str">
            <v>6</v>
          </cell>
        </row>
        <row r="92">
          <cell r="A92" t="str">
            <v>O7941/2513</v>
          </cell>
          <cell r="D92" t="str">
            <v>6190000001</v>
          </cell>
          <cell r="E92" t="str">
            <v>4791010606</v>
          </cell>
          <cell r="F92">
            <v>5059.3999999999996</v>
          </cell>
          <cell r="J92" t="str">
            <v>TEAM4P/2026 implementation of Planisware softw</v>
          </cell>
          <cell r="K92" t="str">
            <v>2026</v>
          </cell>
          <cell r="L92" t="str">
            <v>7</v>
          </cell>
        </row>
        <row r="93">
          <cell r="A93" t="str">
            <v>O7941/2513</v>
          </cell>
          <cell r="D93" t="str">
            <v>6190000001</v>
          </cell>
          <cell r="E93" t="str">
            <v/>
          </cell>
          <cell r="F93">
            <v>9737</v>
          </cell>
          <cell r="J93" t="str">
            <v>Reclass: WBS Correction</v>
          </cell>
          <cell r="K93" t="str">
            <v>2026</v>
          </cell>
          <cell r="L93" t="str">
            <v>6</v>
          </cell>
        </row>
        <row r="94">
          <cell r="A94" t="str">
            <v>O7941/2513</v>
          </cell>
          <cell r="D94" t="str">
            <v>7405000000</v>
          </cell>
          <cell r="E94" t="str">
            <v/>
          </cell>
          <cell r="F94">
            <v>12840</v>
          </cell>
          <cell r="J94" t="str">
            <v>Symphony Project - Etex Engineering Fees</v>
          </cell>
          <cell r="K94" t="str">
            <v>2026</v>
          </cell>
          <cell r="L94" t="str">
            <v>7</v>
          </cell>
        </row>
        <row r="95">
          <cell r="A95" t="str">
            <v>O7941/2513</v>
          </cell>
          <cell r="D95" t="str">
            <v>6190000001</v>
          </cell>
          <cell r="E95" t="str">
            <v>4791010606</v>
          </cell>
          <cell r="F95">
            <v>560</v>
          </cell>
          <cell r="J95" t="str">
            <v>TEAM4P/2026 implementation of Planisware softw</v>
          </cell>
          <cell r="K95" t="str">
            <v>2026</v>
          </cell>
          <cell r="L95" t="str">
            <v>8</v>
          </cell>
        </row>
        <row r="96">
          <cell r="A96" t="str">
            <v>O7941/2513</v>
          </cell>
          <cell r="D96" t="str">
            <v>6190000001</v>
          </cell>
          <cell r="E96" t="str">
            <v/>
          </cell>
          <cell r="F96">
            <v>12840</v>
          </cell>
          <cell r="J96" t="str">
            <v>Reclass: WBS Correction</v>
          </cell>
          <cell r="K96" t="str">
            <v>2026</v>
          </cell>
          <cell r="L96" t="str">
            <v>7</v>
          </cell>
        </row>
        <row r="97">
          <cell r="A97" t="str">
            <v>O7941/2513</v>
          </cell>
          <cell r="D97" t="str">
            <v>7405000000</v>
          </cell>
          <cell r="E97" t="str">
            <v/>
          </cell>
          <cell r="F97">
            <v>16906</v>
          </cell>
          <cell r="J97" t="str">
            <v>7941 - Symphony Project - Etex Engineering Fees</v>
          </cell>
          <cell r="K97" t="str">
            <v>2026</v>
          </cell>
          <cell r="L97" t="str">
            <v>8</v>
          </cell>
        </row>
        <row r="98">
          <cell r="A98" t="str">
            <v>O7941/2513</v>
          </cell>
          <cell r="D98" t="str">
            <v>6190000001</v>
          </cell>
          <cell r="E98" t="str">
            <v/>
          </cell>
          <cell r="F98">
            <v>16906</v>
          </cell>
          <cell r="J98" t="str">
            <v>Reclass: WBS Correction</v>
          </cell>
          <cell r="K98" t="str">
            <v>2026</v>
          </cell>
          <cell r="L98" t="str">
            <v>8</v>
          </cell>
        </row>
        <row r="99">
          <cell r="A99" t="str">
            <v>O7941/2513</v>
          </cell>
          <cell r="D99" t="str">
            <v>6190000001</v>
          </cell>
          <cell r="E99" t="str">
            <v>4791010606</v>
          </cell>
          <cell r="F99">
            <v>2030</v>
          </cell>
          <cell r="J99" t="str">
            <v>TEAM4P/2026 implementation of Planisware softw</v>
          </cell>
          <cell r="K99" t="str">
            <v>2026</v>
          </cell>
          <cell r="L99" t="str">
            <v>9</v>
          </cell>
        </row>
        <row r="100">
          <cell r="A100" t="str">
            <v>O7941/2513</v>
          </cell>
          <cell r="D100" t="str">
            <v/>
          </cell>
          <cell r="E100" t="str">
            <v/>
          </cell>
          <cell r="F100">
            <v>1078512.57</v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 t="str">
            <v>O7941/2517</v>
          </cell>
          <cell r="D101" t="str">
            <v>6113000040</v>
          </cell>
          <cell r="E101" t="str">
            <v/>
          </cell>
          <cell r="F101">
            <v>27762</v>
          </cell>
          <cell r="J101" t="str">
            <v>Tagetik Subscription</v>
          </cell>
          <cell r="K101" t="str">
            <v>2025</v>
          </cell>
          <cell r="L101" t="str">
            <v>11</v>
          </cell>
        </row>
        <row r="102">
          <cell r="A102" t="str">
            <v>O7941/2517</v>
          </cell>
          <cell r="D102" t="str">
            <v>6113000040</v>
          </cell>
          <cell r="E102" t="str">
            <v/>
          </cell>
          <cell r="F102">
            <v>61250</v>
          </cell>
          <cell r="J102" t="str">
            <v>Tagetik Subscription</v>
          </cell>
          <cell r="K102" t="str">
            <v>2025</v>
          </cell>
          <cell r="L102" t="str">
            <v>11</v>
          </cell>
        </row>
        <row r="103">
          <cell r="A103" t="str">
            <v>O7941/2517</v>
          </cell>
          <cell r="D103" t="str">
            <v>6190000001</v>
          </cell>
          <cell r="E103" t="str">
            <v/>
          </cell>
          <cell r="F103">
            <v>2100</v>
          </cell>
          <cell r="J103" t="str">
            <v>Reclass internal hours from OPEX to Capex</v>
          </cell>
          <cell r="K103" t="str">
            <v>2025</v>
          </cell>
          <cell r="L103" t="str">
            <v>11</v>
          </cell>
        </row>
        <row r="104">
          <cell r="A104" t="str">
            <v>O7941/2517</v>
          </cell>
          <cell r="D104" t="str">
            <v>6190000001</v>
          </cell>
          <cell r="E104" t="str">
            <v>4791010583</v>
          </cell>
          <cell r="F104">
            <v>32137.88</v>
          </cell>
          <cell r="J104" t="str">
            <v>ERNST &amp; YOUNG CONSULTI/Tacos - CCH Tagetik impleme</v>
          </cell>
          <cell r="K104" t="str">
            <v>2025</v>
          </cell>
          <cell r="L104" t="str">
            <v>12</v>
          </cell>
        </row>
        <row r="105">
          <cell r="A105" t="str">
            <v>O7941/2517</v>
          </cell>
          <cell r="D105" t="str">
            <v>6190000001</v>
          </cell>
          <cell r="E105" t="str">
            <v>4791010583</v>
          </cell>
          <cell r="F105">
            <v>21000</v>
          </cell>
          <cell r="J105" t="str">
            <v>ERNST &amp; YOUNG CONSULTI/Tacos - CCH Tagetik impleme</v>
          </cell>
          <cell r="K105" t="str">
            <v>2025</v>
          </cell>
          <cell r="L105" t="str">
            <v>12</v>
          </cell>
        </row>
        <row r="106">
          <cell r="A106" t="str">
            <v>O7941/2517</v>
          </cell>
          <cell r="D106" t="str">
            <v>6190000001</v>
          </cell>
          <cell r="E106" t="str">
            <v/>
          </cell>
          <cell r="F106">
            <v>800</v>
          </cell>
          <cell r="J106" t="str">
            <v>Reclass internal hours from OPEX to Capex</v>
          </cell>
          <cell r="K106" t="str">
            <v>2025</v>
          </cell>
          <cell r="L106" t="str">
            <v>12</v>
          </cell>
        </row>
        <row r="107">
          <cell r="A107" t="str">
            <v>O7941/2517</v>
          </cell>
          <cell r="D107" t="str">
            <v>6190000001</v>
          </cell>
          <cell r="E107" t="str">
            <v>4791010583</v>
          </cell>
          <cell r="F107">
            <v>17444.7</v>
          </cell>
          <cell r="J107" t="str">
            <v>ERNST &amp; YOUNG CONSULTI/Tacos - CCH Tagetik impleme</v>
          </cell>
          <cell r="K107" t="str">
            <v>2025</v>
          </cell>
          <cell r="L107" t="str">
            <v>12</v>
          </cell>
        </row>
        <row r="108">
          <cell r="A108" t="str">
            <v>O7941/2517</v>
          </cell>
          <cell r="D108" t="str">
            <v>6190000001</v>
          </cell>
          <cell r="E108" t="str">
            <v>4791010583</v>
          </cell>
          <cell r="F108">
            <v>29417.42</v>
          </cell>
          <cell r="J108" t="str">
            <v>ERNST &amp; YOUNG CONSULTI/Tacos - CCH Tagetik impleme</v>
          </cell>
          <cell r="K108" t="str">
            <v>2025</v>
          </cell>
          <cell r="L108" t="str">
            <v>12</v>
          </cell>
        </row>
        <row r="109">
          <cell r="A109" t="str">
            <v>O7941/2517</v>
          </cell>
          <cell r="D109" t="str">
            <v>6190000001</v>
          </cell>
          <cell r="E109" t="str">
            <v>4791010583</v>
          </cell>
          <cell r="F109">
            <v>21088</v>
          </cell>
          <cell r="J109" t="str">
            <v>ERNST &amp; YOUNG CONSULTI/Tacos - CCH Tagetik impleme</v>
          </cell>
          <cell r="K109" t="str">
            <v>2025</v>
          </cell>
          <cell r="L109" t="str">
            <v>12</v>
          </cell>
        </row>
        <row r="110">
          <cell r="A110" t="str">
            <v>O7941/2517</v>
          </cell>
          <cell r="D110" t="str">
            <v>6190000001</v>
          </cell>
          <cell r="E110" t="str">
            <v/>
          </cell>
          <cell r="F110">
            <v>13100</v>
          </cell>
          <cell r="J110" t="str">
            <v>Reclass internal hours from OPEX to Capex</v>
          </cell>
          <cell r="K110" t="str">
            <v>2026</v>
          </cell>
          <cell r="L110" t="str">
            <v>3</v>
          </cell>
        </row>
        <row r="111">
          <cell r="A111" t="str">
            <v>O7941/2517</v>
          </cell>
          <cell r="D111" t="str">
            <v>6190000001</v>
          </cell>
          <cell r="E111" t="str">
            <v>4791010583</v>
          </cell>
          <cell r="F111">
            <v>28044.84</v>
          </cell>
          <cell r="J111" t="str">
            <v>ERNST &amp; YOUNG CONSUL/2026 Tacos - CCH Tagetik impl</v>
          </cell>
          <cell r="K111" t="str">
            <v>2026</v>
          </cell>
          <cell r="L111" t="str">
            <v>4</v>
          </cell>
        </row>
        <row r="112">
          <cell r="A112" t="str">
            <v>O7941/2517</v>
          </cell>
          <cell r="D112" t="str">
            <v>6190000001</v>
          </cell>
          <cell r="E112" t="str">
            <v/>
          </cell>
          <cell r="F112">
            <v>10416.67</v>
          </cell>
          <cell r="J112" t="str">
            <v>703 finance 04.2026</v>
          </cell>
          <cell r="K112" t="str">
            <v>2026</v>
          </cell>
          <cell r="L112" t="str">
            <v>4</v>
          </cell>
        </row>
        <row r="113">
          <cell r="A113" t="str">
            <v>O7941/2517</v>
          </cell>
          <cell r="D113" t="str">
            <v>6190000001</v>
          </cell>
          <cell r="E113" t="str">
            <v>4791010583</v>
          </cell>
          <cell r="F113">
            <v>38719.410000000003</v>
          </cell>
          <cell r="J113" t="str">
            <v>ERNST &amp; YOUNG CONSUL/2026 Tacos - CCH Tagetik impl</v>
          </cell>
          <cell r="K113" t="str">
            <v>2026</v>
          </cell>
          <cell r="L113" t="str">
            <v>4</v>
          </cell>
        </row>
        <row r="114">
          <cell r="A114" t="str">
            <v>O7941/2517</v>
          </cell>
          <cell r="D114" t="str">
            <v>6190000001</v>
          </cell>
          <cell r="E114" t="str">
            <v/>
          </cell>
          <cell r="F114">
            <v>20833.34</v>
          </cell>
          <cell r="J114" t="str">
            <v>703 finance  01-02.2026</v>
          </cell>
          <cell r="K114" t="str">
            <v>2026</v>
          </cell>
          <cell r="L114" t="str">
            <v>4</v>
          </cell>
        </row>
        <row r="115">
          <cell r="A115" t="str">
            <v>O7941/2517</v>
          </cell>
          <cell r="D115" t="str">
            <v>6190000001</v>
          </cell>
          <cell r="E115" t="str">
            <v/>
          </cell>
          <cell r="F115">
            <v>10416.67</v>
          </cell>
          <cell r="J115" t="str">
            <v>703 finance 03.2026</v>
          </cell>
          <cell r="K115" t="str">
            <v>2026</v>
          </cell>
          <cell r="L115" t="str">
            <v>4</v>
          </cell>
        </row>
        <row r="116">
          <cell r="A116" t="str">
            <v>O7941/2517</v>
          </cell>
          <cell r="D116" t="str">
            <v>6190000001</v>
          </cell>
          <cell r="E116" t="str">
            <v/>
          </cell>
          <cell r="F116">
            <v>3600</v>
          </cell>
          <cell r="J116" t="str">
            <v>Reclass internal hours from OPEX to Capex</v>
          </cell>
          <cell r="K116" t="str">
            <v>2026</v>
          </cell>
          <cell r="L116" t="str">
            <v>4</v>
          </cell>
        </row>
        <row r="117">
          <cell r="A117" t="str">
            <v>O7941/2517</v>
          </cell>
          <cell r="D117" t="str">
            <v>6190000001</v>
          </cell>
          <cell r="E117" t="str">
            <v/>
          </cell>
          <cell r="F117">
            <v>10416.67</v>
          </cell>
          <cell r="J117" t="str">
            <v>703 finance 05.2026</v>
          </cell>
          <cell r="K117" t="str">
            <v>2026</v>
          </cell>
          <cell r="L117" t="str">
            <v>5</v>
          </cell>
        </row>
        <row r="118">
          <cell r="A118" t="str">
            <v>O7941/2517</v>
          </cell>
          <cell r="D118" t="str">
            <v>6190000001</v>
          </cell>
          <cell r="E118" t="str">
            <v/>
          </cell>
          <cell r="F118">
            <v>1100</v>
          </cell>
          <cell r="J118" t="str">
            <v>Reclass internal hours from OPEX to Capex</v>
          </cell>
          <cell r="K118" t="str">
            <v>2026</v>
          </cell>
          <cell r="L118" t="str">
            <v>5</v>
          </cell>
        </row>
        <row r="119">
          <cell r="A119" t="str">
            <v>O7941/2517</v>
          </cell>
          <cell r="D119" t="str">
            <v>6190000001</v>
          </cell>
          <cell r="E119" t="str">
            <v>4791010583</v>
          </cell>
          <cell r="F119">
            <v>29235.94</v>
          </cell>
          <cell r="J119" t="str">
            <v>ERNST &amp; YOUNG CONSUL/2026 Tacos - CCH Tagetik impl</v>
          </cell>
          <cell r="K119" t="str">
            <v>2026</v>
          </cell>
          <cell r="L119" t="str">
            <v>6</v>
          </cell>
        </row>
        <row r="120">
          <cell r="A120" t="str">
            <v>O7941/2517</v>
          </cell>
          <cell r="D120" t="str">
            <v>6190000001</v>
          </cell>
          <cell r="E120" t="str">
            <v/>
          </cell>
          <cell r="F120">
            <v>10416.67</v>
          </cell>
          <cell r="J120" t="str">
            <v>703 finance 06.2026</v>
          </cell>
          <cell r="K120" t="str">
            <v>2026</v>
          </cell>
          <cell r="L120" t="str">
            <v>6</v>
          </cell>
        </row>
        <row r="121">
          <cell r="A121" t="str">
            <v>O7941/2517</v>
          </cell>
          <cell r="D121" t="str">
            <v>6190000001</v>
          </cell>
          <cell r="E121" t="str">
            <v/>
          </cell>
          <cell r="F121">
            <v>9471.92</v>
          </cell>
          <cell r="J121" t="str">
            <v>Reclass internal hours from OPEX to Capex</v>
          </cell>
          <cell r="K121" t="str">
            <v>2026</v>
          </cell>
          <cell r="L121" t="str">
            <v>6</v>
          </cell>
        </row>
        <row r="122">
          <cell r="A122" t="str">
            <v>O7941/2517</v>
          </cell>
          <cell r="D122" t="str">
            <v>6190000001</v>
          </cell>
          <cell r="E122" t="str">
            <v/>
          </cell>
          <cell r="F122">
            <v>10416.67</v>
          </cell>
          <cell r="J122" t="str">
            <v>703 finance 07.2026</v>
          </cell>
          <cell r="K122" t="str">
            <v>2026</v>
          </cell>
          <cell r="L122" t="str">
            <v>7</v>
          </cell>
        </row>
        <row r="123">
          <cell r="A123" t="str">
            <v>O7941/2517</v>
          </cell>
          <cell r="D123" t="str">
            <v>6113000040</v>
          </cell>
          <cell r="E123" t="str">
            <v/>
          </cell>
          <cell r="F123">
            <v>73500</v>
          </cell>
          <cell r="J123" t="str">
            <v>Tagetik subscription</v>
          </cell>
          <cell r="K123" t="str">
            <v>2026</v>
          </cell>
          <cell r="L123" t="str">
            <v>7</v>
          </cell>
        </row>
        <row r="124">
          <cell r="A124" t="str">
            <v>O7941/2517</v>
          </cell>
          <cell r="D124" t="str">
            <v>6190000001</v>
          </cell>
          <cell r="E124" t="str">
            <v>4791010583</v>
          </cell>
          <cell r="F124">
            <v>28141.3</v>
          </cell>
          <cell r="J124" t="str">
            <v>ERNST &amp; YOUNG CONSUL/2026 Tacos - CCH Tagetik impl</v>
          </cell>
          <cell r="K124" t="str">
            <v>2026</v>
          </cell>
          <cell r="L124" t="str">
            <v>7</v>
          </cell>
        </row>
        <row r="125">
          <cell r="A125" t="str">
            <v>O7941/2517</v>
          </cell>
          <cell r="D125" t="str">
            <v>6190000001</v>
          </cell>
          <cell r="E125" t="str">
            <v>4791010583</v>
          </cell>
          <cell r="F125">
            <v>10696.6</v>
          </cell>
          <cell r="J125" t="str">
            <v>ERNST &amp; YOUNG CONSUL/2026 Tacos - CCH Tagetik impl</v>
          </cell>
          <cell r="K125" t="str">
            <v>2026</v>
          </cell>
          <cell r="L125" t="str">
            <v>7</v>
          </cell>
        </row>
        <row r="126">
          <cell r="A126" t="str">
            <v>O7941/2517</v>
          </cell>
          <cell r="D126" t="str">
            <v>6190000001</v>
          </cell>
          <cell r="E126" t="str">
            <v/>
          </cell>
          <cell r="F126">
            <v>7337.08</v>
          </cell>
          <cell r="J126" t="str">
            <v>Reclass internal hours from OPEX to Capex</v>
          </cell>
          <cell r="K126" t="str">
            <v>2026</v>
          </cell>
          <cell r="L126" t="str">
            <v>7</v>
          </cell>
        </row>
        <row r="127">
          <cell r="A127" t="str">
            <v>O7941/2517</v>
          </cell>
          <cell r="D127" t="str">
            <v>6190000001</v>
          </cell>
          <cell r="E127" t="str">
            <v>4791010583</v>
          </cell>
          <cell r="F127">
            <v>32992.31</v>
          </cell>
          <cell r="J127" t="str">
            <v>ERNST &amp; YOUNG CONSUL/2026 Tacos - CCH Tagetik impl</v>
          </cell>
          <cell r="K127" t="str">
            <v>2026</v>
          </cell>
          <cell r="L127" t="str">
            <v>8</v>
          </cell>
        </row>
        <row r="128">
          <cell r="A128" t="str">
            <v>O7941/2517</v>
          </cell>
          <cell r="D128" t="str">
            <v>6190000001</v>
          </cell>
          <cell r="E128" t="str">
            <v/>
          </cell>
          <cell r="F128">
            <v>10416.67</v>
          </cell>
          <cell r="J128" t="str">
            <v>703 finance 08.2026</v>
          </cell>
          <cell r="K128" t="str">
            <v>2026</v>
          </cell>
          <cell r="L128" t="str">
            <v>8</v>
          </cell>
        </row>
        <row r="129">
          <cell r="A129" t="str">
            <v>O7941/2517</v>
          </cell>
          <cell r="D129" t="str">
            <v>6190000001</v>
          </cell>
          <cell r="E129" t="str">
            <v>4791010583</v>
          </cell>
          <cell r="F129">
            <v>25003.13</v>
          </cell>
          <cell r="J129" t="str">
            <v>ERNST &amp; YOUNG CONSUL/2026 Tacos - CCH Tagetik impl</v>
          </cell>
          <cell r="K129" t="str">
            <v>2026</v>
          </cell>
          <cell r="L129" t="str">
            <v>8</v>
          </cell>
        </row>
        <row r="130">
          <cell r="A130" t="str">
            <v>O7941/2517</v>
          </cell>
          <cell r="D130" t="str">
            <v>6113000040</v>
          </cell>
          <cell r="E130" t="str">
            <v/>
          </cell>
          <cell r="F130">
            <v>36904</v>
          </cell>
          <cell r="J130" t="str">
            <v>Tagetik costs</v>
          </cell>
          <cell r="K130" t="str">
            <v>2026</v>
          </cell>
          <cell r="L130" t="str">
            <v>8</v>
          </cell>
        </row>
        <row r="131">
          <cell r="A131" t="str">
            <v>O7941/2517</v>
          </cell>
          <cell r="D131" t="str">
            <v>6190000001</v>
          </cell>
          <cell r="E131" t="str">
            <v/>
          </cell>
          <cell r="F131">
            <v>44629</v>
          </cell>
          <cell r="J131" t="str">
            <v>Reclass internal hours from OPEX to Capex</v>
          </cell>
          <cell r="K131" t="str">
            <v>2026</v>
          </cell>
          <cell r="L131" t="str">
            <v>8</v>
          </cell>
        </row>
        <row r="132">
          <cell r="A132" t="str">
            <v>O7941/2517</v>
          </cell>
          <cell r="D132" t="str">
            <v>6113000040</v>
          </cell>
          <cell r="E132" t="str">
            <v/>
          </cell>
          <cell r="F132">
            <v>36904</v>
          </cell>
          <cell r="J132" t="str">
            <v>WBS O7941/2517</v>
          </cell>
          <cell r="K132" t="str">
            <v>2026</v>
          </cell>
          <cell r="L132" t="str">
            <v>8</v>
          </cell>
        </row>
        <row r="133">
          <cell r="A133" t="str">
            <v>O7941/2517</v>
          </cell>
          <cell r="D133" t="str">
            <v/>
          </cell>
          <cell r="E133" t="str">
            <v/>
          </cell>
          <cell r="F133">
            <v>715712.89</v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 t="str">
            <v>O7941/2519</v>
          </cell>
          <cell r="D134" t="str">
            <v>6190000001</v>
          </cell>
          <cell r="E134" t="str">
            <v/>
          </cell>
          <cell r="F134">
            <v>18900</v>
          </cell>
          <cell r="J134" t="str">
            <v>Reclass internal hours from OPEX to Capex</v>
          </cell>
          <cell r="K134" t="str">
            <v>2025</v>
          </cell>
          <cell r="L134" t="str">
            <v>11</v>
          </cell>
        </row>
        <row r="135">
          <cell r="A135" t="str">
            <v>O7941/2519</v>
          </cell>
          <cell r="D135" t="str">
            <v>6190000001</v>
          </cell>
          <cell r="E135" t="str">
            <v>4791010579</v>
          </cell>
          <cell r="F135">
            <v>90000</v>
          </cell>
          <cell r="J135" t="str">
            <v>ROCKWELL AUTOMATION INC/2025-deployment Plex MES-s</v>
          </cell>
          <cell r="K135" t="str">
            <v>2025</v>
          </cell>
          <cell r="L135" t="str">
            <v>12</v>
          </cell>
        </row>
        <row r="136">
          <cell r="A136" t="str">
            <v>O7941/2519</v>
          </cell>
          <cell r="D136" t="str">
            <v>6190000001</v>
          </cell>
          <cell r="E136" t="str">
            <v>4791010621</v>
          </cell>
          <cell r="F136">
            <v>10000</v>
          </cell>
          <cell r="J136" t="str">
            <v>AVVALE SPA/SAP PLEX integration</v>
          </cell>
          <cell r="K136" t="str">
            <v>2025</v>
          </cell>
          <cell r="L136" t="str">
            <v>12</v>
          </cell>
        </row>
        <row r="137">
          <cell r="A137" t="str">
            <v>O7941/2519</v>
          </cell>
          <cell r="D137" t="str">
            <v>6190000001</v>
          </cell>
          <cell r="E137" t="str">
            <v/>
          </cell>
          <cell r="F137">
            <v>19100</v>
          </cell>
          <cell r="J137" t="str">
            <v>Reclass internal hours from OPEX to Capex</v>
          </cell>
          <cell r="K137" t="str">
            <v>2025</v>
          </cell>
          <cell r="L137" t="str">
            <v>12</v>
          </cell>
        </row>
        <row r="138">
          <cell r="A138" t="str">
            <v>O7941/2519</v>
          </cell>
          <cell r="D138" t="str">
            <v>6190000001</v>
          </cell>
          <cell r="E138" t="str">
            <v/>
          </cell>
          <cell r="F138">
            <v>21950</v>
          </cell>
          <cell r="J138" t="str">
            <v>Reclass internal hours from OPEX to Capex</v>
          </cell>
          <cell r="K138" t="str">
            <v>2026</v>
          </cell>
          <cell r="L138" t="str">
            <v>1</v>
          </cell>
        </row>
        <row r="139">
          <cell r="A139" t="str">
            <v>O7941/2519</v>
          </cell>
          <cell r="D139" t="str">
            <v>6190000001</v>
          </cell>
          <cell r="E139" t="str">
            <v/>
          </cell>
          <cell r="F139">
            <v>16678.96</v>
          </cell>
          <cell r="J139" t="str">
            <v>Invoice PLM - WBS O7941/2503/2  01.2026</v>
          </cell>
          <cell r="K139" t="str">
            <v>2026</v>
          </cell>
          <cell r="L139" t="str">
            <v>2</v>
          </cell>
        </row>
        <row r="140">
          <cell r="A140" t="str">
            <v>O7941/2519</v>
          </cell>
          <cell r="D140" t="str">
            <v>6190000001</v>
          </cell>
          <cell r="E140" t="str">
            <v/>
          </cell>
          <cell r="F140">
            <v>16678.96</v>
          </cell>
          <cell r="J140" t="str">
            <v>Invoice PLM - WBS O7941/2503/2  02.2026</v>
          </cell>
          <cell r="K140" t="str">
            <v>2026</v>
          </cell>
          <cell r="L140" t="str">
            <v>2</v>
          </cell>
        </row>
        <row r="141">
          <cell r="A141" t="str">
            <v>O7941/2519</v>
          </cell>
          <cell r="D141" t="str">
            <v>6190000001</v>
          </cell>
          <cell r="E141" t="str">
            <v/>
          </cell>
          <cell r="F141">
            <v>27700</v>
          </cell>
          <cell r="J141" t="str">
            <v>Reclass internal hours from OPEX to Capex</v>
          </cell>
          <cell r="K141" t="str">
            <v>2026</v>
          </cell>
          <cell r="L141" t="str">
            <v>2</v>
          </cell>
        </row>
        <row r="142">
          <cell r="A142" t="str">
            <v>O7941/2519</v>
          </cell>
          <cell r="D142" t="str">
            <v>6190000001</v>
          </cell>
          <cell r="E142" t="str">
            <v/>
          </cell>
          <cell r="F142">
            <v>16678.96</v>
          </cell>
          <cell r="J142" t="str">
            <v>Invoice PLM - WBS O7941/2519 03.2026</v>
          </cell>
          <cell r="K142" t="str">
            <v>2026</v>
          </cell>
          <cell r="L142" t="str">
            <v>3</v>
          </cell>
        </row>
        <row r="143">
          <cell r="A143" t="str">
            <v>O7941/2519</v>
          </cell>
          <cell r="D143" t="str">
            <v>6190000001</v>
          </cell>
          <cell r="E143" t="str">
            <v/>
          </cell>
          <cell r="F143">
            <v>51750</v>
          </cell>
          <cell r="J143" t="str">
            <v>Reclass internal hours from OPEX to Capex</v>
          </cell>
          <cell r="K143" t="str">
            <v>2026</v>
          </cell>
          <cell r="L143" t="str">
            <v>3</v>
          </cell>
        </row>
        <row r="144">
          <cell r="A144" t="str">
            <v>O7941/2519</v>
          </cell>
          <cell r="D144" t="str">
            <v>6190000001</v>
          </cell>
          <cell r="E144" t="str">
            <v/>
          </cell>
          <cell r="F144">
            <v>16678.96</v>
          </cell>
          <cell r="J144" t="str">
            <v>Invoice PLM - WBS O7941/2519 04.2026</v>
          </cell>
          <cell r="K144" t="str">
            <v>2026</v>
          </cell>
          <cell r="L144" t="str">
            <v>4</v>
          </cell>
        </row>
        <row r="145">
          <cell r="A145" t="str">
            <v>O7941/2519</v>
          </cell>
          <cell r="D145" t="str">
            <v>7405000000</v>
          </cell>
          <cell r="E145" t="str">
            <v/>
          </cell>
          <cell r="F145">
            <v>1215</v>
          </cell>
          <cell r="J145" t="str">
            <v>O7941/26PR03 – Nexus</v>
          </cell>
          <cell r="K145" t="str">
            <v>2026</v>
          </cell>
          <cell r="L145" t="str">
            <v>4</v>
          </cell>
        </row>
        <row r="146">
          <cell r="A146" t="str">
            <v>O7941/2519</v>
          </cell>
          <cell r="D146" t="str">
            <v>6190000001</v>
          </cell>
          <cell r="E146" t="str">
            <v/>
          </cell>
          <cell r="F146">
            <v>1215</v>
          </cell>
          <cell r="J146" t="str">
            <v>Reclass: WBS Correction</v>
          </cell>
          <cell r="K146" t="str">
            <v>2026</v>
          </cell>
          <cell r="L146" t="str">
            <v>4</v>
          </cell>
        </row>
        <row r="147">
          <cell r="A147" t="str">
            <v>O7941/2519</v>
          </cell>
          <cell r="D147" t="str">
            <v>6190000001</v>
          </cell>
          <cell r="E147" t="str">
            <v/>
          </cell>
          <cell r="F147">
            <v>42500</v>
          </cell>
          <cell r="J147" t="str">
            <v>Reclass internal hours from OPEX to Capex</v>
          </cell>
          <cell r="K147" t="str">
            <v>2026</v>
          </cell>
          <cell r="L147" t="str">
            <v>4</v>
          </cell>
        </row>
        <row r="148">
          <cell r="A148" t="str">
            <v>O7941/2519</v>
          </cell>
          <cell r="D148" t="str">
            <v>6190000001</v>
          </cell>
          <cell r="E148" t="str">
            <v>4791010778</v>
          </cell>
          <cell r="F148">
            <v>952</v>
          </cell>
          <cell r="J148" t="str">
            <v>ROCKWELL AUTOMATION INC - PLE/2026-Sandbox trainin</v>
          </cell>
          <cell r="K148" t="str">
            <v>2026</v>
          </cell>
          <cell r="L148" t="str">
            <v>5</v>
          </cell>
        </row>
        <row r="149">
          <cell r="A149" t="str">
            <v>O7941/2519</v>
          </cell>
          <cell r="D149" t="str">
            <v>7405000000</v>
          </cell>
          <cell r="E149" t="str">
            <v/>
          </cell>
          <cell r="F149">
            <v>540</v>
          </cell>
          <cell r="J149" t="str">
            <v>O7941/26PR03 – Nexus</v>
          </cell>
          <cell r="K149" t="str">
            <v>2026</v>
          </cell>
          <cell r="L149" t="str">
            <v>5</v>
          </cell>
        </row>
        <row r="150">
          <cell r="A150" t="str">
            <v>O7941/2519</v>
          </cell>
          <cell r="D150" t="str">
            <v>6190000001</v>
          </cell>
          <cell r="E150" t="str">
            <v/>
          </cell>
          <cell r="F150">
            <v>16678.96</v>
          </cell>
          <cell r="J150" t="str">
            <v>Invoice PLM - WBS O7941/2519 05.2026</v>
          </cell>
          <cell r="K150" t="str">
            <v>2026</v>
          </cell>
          <cell r="L150" t="str">
            <v>5</v>
          </cell>
        </row>
        <row r="151">
          <cell r="A151" t="str">
            <v>O7941/2519</v>
          </cell>
          <cell r="D151" t="str">
            <v>6190000001</v>
          </cell>
          <cell r="E151" t="str">
            <v/>
          </cell>
          <cell r="F151">
            <v>35300</v>
          </cell>
          <cell r="J151" t="str">
            <v>Reclass internal hours from OPEX to Capex</v>
          </cell>
          <cell r="K151" t="str">
            <v>2026</v>
          </cell>
          <cell r="L151" t="str">
            <v>5</v>
          </cell>
        </row>
        <row r="152">
          <cell r="A152" t="str">
            <v>O7941/2519</v>
          </cell>
          <cell r="D152" t="str">
            <v>6190000001</v>
          </cell>
          <cell r="E152" t="str">
            <v>4791010579</v>
          </cell>
          <cell r="F152">
            <v>119218.7</v>
          </cell>
          <cell r="J152" t="str">
            <v>ROCKWELL AUTOMATION INC/2026-deployment Plex MES-s</v>
          </cell>
          <cell r="K152" t="str">
            <v>2026</v>
          </cell>
          <cell r="L152" t="str">
            <v>6</v>
          </cell>
        </row>
        <row r="153">
          <cell r="A153" t="str">
            <v>O7941/2519</v>
          </cell>
          <cell r="D153" t="str">
            <v>6190000001</v>
          </cell>
          <cell r="E153" t="str">
            <v>4791010579</v>
          </cell>
          <cell r="F153">
            <v>59577.1</v>
          </cell>
          <cell r="J153" t="str">
            <v>ROCKWELL AUTOMATION INC/2026-deployment Plex MES-s</v>
          </cell>
          <cell r="K153" t="str">
            <v>2026</v>
          </cell>
          <cell r="L153" t="str">
            <v>6</v>
          </cell>
        </row>
        <row r="154">
          <cell r="A154" t="str">
            <v>O7941/2519</v>
          </cell>
          <cell r="D154" t="str">
            <v>6190000001</v>
          </cell>
          <cell r="E154" t="str">
            <v/>
          </cell>
          <cell r="F154">
            <v>540</v>
          </cell>
          <cell r="J154" t="str">
            <v>Reclass: WBS Correction</v>
          </cell>
          <cell r="K154" t="str">
            <v>2026</v>
          </cell>
          <cell r="L154" t="str">
            <v>5</v>
          </cell>
        </row>
        <row r="155">
          <cell r="A155" t="str">
            <v>O7941/2519</v>
          </cell>
          <cell r="D155" t="str">
            <v>6190000001</v>
          </cell>
          <cell r="E155" t="str">
            <v/>
          </cell>
          <cell r="F155">
            <v>16678.96</v>
          </cell>
          <cell r="J155" t="str">
            <v>Invoice PLM - WBS O7941/2519 06.2026</v>
          </cell>
          <cell r="K155" t="str">
            <v>2026</v>
          </cell>
          <cell r="L155" t="str">
            <v>6</v>
          </cell>
        </row>
        <row r="156">
          <cell r="A156" t="str">
            <v>O7941/2519</v>
          </cell>
          <cell r="D156" t="str">
            <v>7405000000</v>
          </cell>
          <cell r="E156" t="str">
            <v/>
          </cell>
          <cell r="F156">
            <v>1215</v>
          </cell>
          <cell r="J156" t="str">
            <v>O7941/26PR03 – Nexus</v>
          </cell>
          <cell r="K156" t="str">
            <v>2026</v>
          </cell>
          <cell r="L156" t="str">
            <v>6</v>
          </cell>
        </row>
        <row r="157">
          <cell r="A157" t="str">
            <v>O7941/2519</v>
          </cell>
          <cell r="D157" t="str">
            <v>6190000001</v>
          </cell>
          <cell r="E157" t="str">
            <v>4791010621</v>
          </cell>
          <cell r="F157">
            <v>30000</v>
          </cell>
          <cell r="J157" t="str">
            <v>AVVALE SPA/SAP PLEX integration</v>
          </cell>
          <cell r="K157" t="str">
            <v>2026</v>
          </cell>
          <cell r="L157" t="str">
            <v>7</v>
          </cell>
        </row>
        <row r="158">
          <cell r="A158" t="str">
            <v>O7941/2519</v>
          </cell>
          <cell r="D158" t="str">
            <v>6190000001</v>
          </cell>
          <cell r="E158" t="str">
            <v/>
          </cell>
          <cell r="F158">
            <v>43858.400000000001</v>
          </cell>
          <cell r="J158" t="str">
            <v>Reclass internal hours from OPEX to Capex</v>
          </cell>
          <cell r="K158" t="str">
            <v>2026</v>
          </cell>
          <cell r="L158" t="str">
            <v>6</v>
          </cell>
        </row>
        <row r="159">
          <cell r="A159" t="str">
            <v>O7941/2519</v>
          </cell>
          <cell r="D159" t="str">
            <v>6190000001</v>
          </cell>
          <cell r="E159" t="str">
            <v/>
          </cell>
          <cell r="F159">
            <v>1215</v>
          </cell>
          <cell r="J159" t="str">
            <v>Reclass: WBS Correction</v>
          </cell>
          <cell r="K159" t="str">
            <v>2026</v>
          </cell>
          <cell r="L159" t="str">
            <v>6</v>
          </cell>
        </row>
        <row r="160">
          <cell r="A160" t="str">
            <v>O7941/2519</v>
          </cell>
          <cell r="D160" t="str">
            <v>6190000001</v>
          </cell>
          <cell r="E160" t="str">
            <v>4791010621</v>
          </cell>
          <cell r="F160">
            <v>2</v>
          </cell>
          <cell r="J160" t="str">
            <v>AVVALE SPA/SAP PLEX integration</v>
          </cell>
          <cell r="K160" t="str">
            <v>2026</v>
          </cell>
          <cell r="L160" t="str">
            <v>7</v>
          </cell>
        </row>
        <row r="161">
          <cell r="A161" t="str">
            <v>O7941/2519</v>
          </cell>
          <cell r="D161" t="str">
            <v>6190000001</v>
          </cell>
          <cell r="E161" t="str">
            <v/>
          </cell>
          <cell r="F161">
            <v>16678.96</v>
          </cell>
          <cell r="J161" t="str">
            <v>Invoice PLM - WBS O7941/2519 07.2026</v>
          </cell>
          <cell r="K161" t="str">
            <v>2026</v>
          </cell>
          <cell r="L161" t="str">
            <v>7</v>
          </cell>
        </row>
        <row r="162">
          <cell r="A162" t="str">
            <v>O7941/2519</v>
          </cell>
          <cell r="D162" t="str">
            <v>7405000000</v>
          </cell>
          <cell r="E162" t="str">
            <v/>
          </cell>
          <cell r="F162">
            <v>5030</v>
          </cell>
          <cell r="J162" t="str">
            <v>Nexus - Etex Engineering Fees</v>
          </cell>
          <cell r="K162" t="str">
            <v>2026</v>
          </cell>
          <cell r="L162" t="str">
            <v>7</v>
          </cell>
        </row>
        <row r="163">
          <cell r="A163" t="str">
            <v>O7941/2519</v>
          </cell>
          <cell r="D163" t="str">
            <v>6190000001</v>
          </cell>
          <cell r="E163" t="str">
            <v/>
          </cell>
          <cell r="F163">
            <v>3992</v>
          </cell>
          <cell r="J163" t="str">
            <v>Reclass internal hours from OPEX to Capex</v>
          </cell>
          <cell r="K163" t="str">
            <v>2026</v>
          </cell>
          <cell r="L163" t="str">
            <v>7</v>
          </cell>
        </row>
        <row r="164">
          <cell r="A164" t="str">
            <v>O7941/2519</v>
          </cell>
          <cell r="D164" t="str">
            <v>6190000001</v>
          </cell>
          <cell r="E164" t="str">
            <v/>
          </cell>
          <cell r="F164">
            <v>5030</v>
          </cell>
          <cell r="J164" t="str">
            <v>Reclass: WBS Correction</v>
          </cell>
          <cell r="K164" t="str">
            <v>2026</v>
          </cell>
          <cell r="L164" t="str">
            <v>7</v>
          </cell>
        </row>
        <row r="165">
          <cell r="A165" t="str">
            <v>O7941/2519</v>
          </cell>
          <cell r="D165" t="str">
            <v>6190000001</v>
          </cell>
          <cell r="E165" t="str">
            <v>4791010579</v>
          </cell>
          <cell r="F165">
            <v>28733.15</v>
          </cell>
          <cell r="J165" t="str">
            <v>ROCKWELL AUTOMATION/2025-deployment Plex MES-servi</v>
          </cell>
          <cell r="K165" t="str">
            <v>2026</v>
          </cell>
          <cell r="L165" t="str">
            <v>8</v>
          </cell>
        </row>
        <row r="166">
          <cell r="A166" t="str">
            <v>O7941/2519</v>
          </cell>
          <cell r="D166" t="str">
            <v>6190000001</v>
          </cell>
          <cell r="E166" t="str">
            <v/>
          </cell>
          <cell r="F166">
            <v>16678.96</v>
          </cell>
          <cell r="J166" t="str">
            <v>Invoice PLM - WBS O7941/2519 08.2026</v>
          </cell>
          <cell r="K166" t="str">
            <v>2026</v>
          </cell>
          <cell r="L166" t="str">
            <v>8</v>
          </cell>
        </row>
        <row r="167">
          <cell r="A167" t="str">
            <v>O7941/2519</v>
          </cell>
          <cell r="D167" t="str">
            <v>6190000001</v>
          </cell>
          <cell r="E167" t="str">
            <v>4791010579</v>
          </cell>
          <cell r="F167">
            <v>10289</v>
          </cell>
          <cell r="J167" t="str">
            <v>ROCKWELL AUTOMATION INC/2026-deployment Plex MES-s</v>
          </cell>
          <cell r="K167" t="str">
            <v>2026</v>
          </cell>
          <cell r="L167" t="str">
            <v>8</v>
          </cell>
        </row>
        <row r="168">
          <cell r="A168" t="str">
            <v>O7941/2519</v>
          </cell>
          <cell r="D168" t="str">
            <v>6190000001</v>
          </cell>
          <cell r="E168" t="str">
            <v/>
          </cell>
          <cell r="F168">
            <v>700</v>
          </cell>
          <cell r="J168" t="str">
            <v>Reclass internal hours from OPEX to Capex</v>
          </cell>
          <cell r="K168" t="str">
            <v>2026</v>
          </cell>
          <cell r="L168" t="str">
            <v>8</v>
          </cell>
        </row>
        <row r="169">
          <cell r="A169" t="str">
            <v>O7941/2519</v>
          </cell>
          <cell r="D169" t="str">
            <v>6190000001</v>
          </cell>
          <cell r="E169" t="str">
            <v>4791010579</v>
          </cell>
          <cell r="F169">
            <v>28733.15</v>
          </cell>
          <cell r="J169" t="str">
            <v>ROCKWELL AUTOMATION INC/2026-deployment Plex MES-s</v>
          </cell>
          <cell r="K169" t="str">
            <v>2026</v>
          </cell>
          <cell r="L169" t="str">
            <v>9</v>
          </cell>
        </row>
        <row r="170">
          <cell r="A170" t="str">
            <v>O7941/2519</v>
          </cell>
          <cell r="D170" t="str">
            <v/>
          </cell>
          <cell r="E170" t="str">
            <v/>
          </cell>
          <cell r="F170">
            <v>792687.18</v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 t="str">
            <v>O7941/2523</v>
          </cell>
          <cell r="D171" t="str">
            <v>6190000001</v>
          </cell>
          <cell r="E171" t="str">
            <v>4791010626</v>
          </cell>
          <cell r="F171">
            <v>31990.6</v>
          </cell>
          <cell r="J171" t="str">
            <v>SOTERICS NV/RfP Teleport</v>
          </cell>
          <cell r="K171" t="str">
            <v>2025</v>
          </cell>
          <cell r="L171" t="str">
            <v>12</v>
          </cell>
        </row>
        <row r="172">
          <cell r="A172" t="str">
            <v>O7941/2523</v>
          </cell>
          <cell r="D172" t="str">
            <v>6190000001</v>
          </cell>
          <cell r="E172" t="str">
            <v/>
          </cell>
          <cell r="F172">
            <v>3850</v>
          </cell>
          <cell r="J172" t="str">
            <v>Reclass internal hours from OPEX to Capex</v>
          </cell>
          <cell r="K172" t="str">
            <v>2026</v>
          </cell>
          <cell r="L172" t="str">
            <v>1</v>
          </cell>
        </row>
        <row r="173">
          <cell r="A173" t="str">
            <v>O7941/2523</v>
          </cell>
          <cell r="D173" t="str">
            <v>6190000001</v>
          </cell>
          <cell r="E173" t="str">
            <v/>
          </cell>
          <cell r="F173">
            <v>5550</v>
          </cell>
          <cell r="J173" t="str">
            <v>Reclass internal hours from OPEX to Capex</v>
          </cell>
          <cell r="K173" t="str">
            <v>2026</v>
          </cell>
          <cell r="L173" t="str">
            <v>2</v>
          </cell>
        </row>
        <row r="174">
          <cell r="A174" t="str">
            <v>O7941/2523</v>
          </cell>
          <cell r="D174" t="str">
            <v>6190000001</v>
          </cell>
          <cell r="E174" t="str">
            <v/>
          </cell>
          <cell r="F174">
            <v>10050</v>
          </cell>
          <cell r="J174" t="str">
            <v>Reclass internal hours from OPEX to Capex</v>
          </cell>
          <cell r="K174" t="str">
            <v>2026</v>
          </cell>
          <cell r="L174" t="str">
            <v>3</v>
          </cell>
        </row>
        <row r="175">
          <cell r="A175" t="str">
            <v>O7941/2523</v>
          </cell>
          <cell r="D175" t="str">
            <v>6190000001</v>
          </cell>
          <cell r="E175" t="str">
            <v/>
          </cell>
          <cell r="F175">
            <v>6559</v>
          </cell>
          <cell r="J175" t="str">
            <v>Reclass internal hours from OPEX to Capex</v>
          </cell>
          <cell r="K175" t="str">
            <v>2026</v>
          </cell>
          <cell r="L175" t="str">
            <v>4</v>
          </cell>
        </row>
        <row r="176">
          <cell r="A176" t="str">
            <v>O7941/2523</v>
          </cell>
          <cell r="D176" t="str">
            <v>6190000001</v>
          </cell>
          <cell r="E176" t="str">
            <v>4791010967</v>
          </cell>
          <cell r="F176">
            <v>4125</v>
          </cell>
          <cell r="J176" t="str">
            <v>SOTERICS NV/Wallix Licenses and Mgmd Services</v>
          </cell>
          <cell r="K176" t="str">
            <v>2026</v>
          </cell>
          <cell r="L176" t="str">
            <v>8</v>
          </cell>
        </row>
        <row r="177">
          <cell r="A177" t="str">
            <v>O7941/2523</v>
          </cell>
          <cell r="D177" t="str">
            <v>6190000001</v>
          </cell>
          <cell r="E177" t="str">
            <v>4791010967</v>
          </cell>
          <cell r="F177">
            <v>35521</v>
          </cell>
          <cell r="J177" t="str">
            <v>SOTERICS NV/Wallix Licenses and Mgmd Services</v>
          </cell>
          <cell r="K177" t="str">
            <v>2026</v>
          </cell>
          <cell r="L177" t="str">
            <v>8</v>
          </cell>
        </row>
        <row r="178">
          <cell r="A178" t="str">
            <v>O7941/2523</v>
          </cell>
          <cell r="D178" t="str">
            <v/>
          </cell>
          <cell r="E178" t="str">
            <v/>
          </cell>
          <cell r="F178">
            <v>97645.6</v>
          </cell>
          <cell r="J178" t="str">
            <v/>
          </cell>
          <cell r="K178" t="str">
            <v/>
          </cell>
          <cell r="L178" t="str">
            <v/>
          </cell>
        </row>
        <row r="179">
          <cell r="A179" t="str">
            <v>O7941/2524</v>
          </cell>
          <cell r="D179" t="str">
            <v>6190000001</v>
          </cell>
          <cell r="E179" t="str">
            <v>4791010750</v>
          </cell>
          <cell r="F179">
            <v>75000</v>
          </cell>
          <cell r="J179" t="str">
            <v>IO BELGIUM/2026-SOW9-UK future of specification</v>
          </cell>
          <cell r="K179" t="str">
            <v>2026</v>
          </cell>
          <cell r="L179" t="str">
            <v>2</v>
          </cell>
        </row>
        <row r="180">
          <cell r="A180" t="str">
            <v>O7941/2524</v>
          </cell>
          <cell r="D180" t="str">
            <v>6190000001</v>
          </cell>
          <cell r="E180" t="str">
            <v>4791010750</v>
          </cell>
          <cell r="F180">
            <v>86000</v>
          </cell>
          <cell r="J180" t="str">
            <v>IO BELGIUM/2026-SOW9-UK future of specification</v>
          </cell>
          <cell r="K180" t="str">
            <v>2026</v>
          </cell>
          <cell r="L180" t="str">
            <v>3</v>
          </cell>
        </row>
        <row r="181">
          <cell r="A181" t="str">
            <v>O7941/2524</v>
          </cell>
          <cell r="D181" t="str">
            <v>6190000001</v>
          </cell>
          <cell r="E181" t="str">
            <v>4791010750</v>
          </cell>
          <cell r="F181">
            <v>3155</v>
          </cell>
          <cell r="J181" t="str">
            <v>IO BELGIUM/2026-SOW10-Travel 2026</v>
          </cell>
          <cell r="K181" t="str">
            <v>2026</v>
          </cell>
          <cell r="L181" t="str">
            <v>4</v>
          </cell>
        </row>
        <row r="182">
          <cell r="A182" t="str">
            <v>O7941/2524</v>
          </cell>
          <cell r="D182" t="str">
            <v>6190000001</v>
          </cell>
          <cell r="E182" t="str">
            <v/>
          </cell>
          <cell r="F182">
            <v>164155</v>
          </cell>
          <cell r="J182" t="str">
            <v>WBS O7941/2524</v>
          </cell>
          <cell r="K182" t="str">
            <v>2026</v>
          </cell>
          <cell r="L182" t="str">
            <v>6</v>
          </cell>
        </row>
        <row r="183">
          <cell r="A183" t="str">
            <v>O7941/2524</v>
          </cell>
          <cell r="D183" t="str">
            <v>6190000001</v>
          </cell>
          <cell r="E183" t="str">
            <v>4791010750</v>
          </cell>
          <cell r="F183">
            <v>3272</v>
          </cell>
          <cell r="J183" t="str">
            <v>IO BELGIUM/2026-SOW10-Travel 2026</v>
          </cell>
          <cell r="K183" t="str">
            <v>2026</v>
          </cell>
          <cell r="L183" t="str">
            <v>7</v>
          </cell>
        </row>
        <row r="184">
          <cell r="A184" t="str">
            <v>O7941/2524</v>
          </cell>
          <cell r="D184" t="str">
            <v>6190000001</v>
          </cell>
          <cell r="E184" t="str">
            <v>4791010750</v>
          </cell>
          <cell r="F184">
            <v>1762</v>
          </cell>
          <cell r="J184" t="str">
            <v>IO BELGIUM/2026-SOW10-Travel 2026</v>
          </cell>
          <cell r="K184" t="str">
            <v>2026</v>
          </cell>
          <cell r="L184" t="str">
            <v>9</v>
          </cell>
        </row>
        <row r="185">
          <cell r="A185" t="str">
            <v>O7941/2524</v>
          </cell>
          <cell r="D185" t="str">
            <v/>
          </cell>
          <cell r="E185" t="str">
            <v/>
          </cell>
          <cell r="F185">
            <v>333344</v>
          </cell>
          <cell r="J185" t="str">
            <v/>
          </cell>
          <cell r="K185" t="str">
            <v/>
          </cell>
          <cell r="L185" t="str">
            <v/>
          </cell>
        </row>
        <row r="186">
          <cell r="A186" t="str">
            <v>O7941/2524/1</v>
          </cell>
          <cell r="D186" t="str">
            <v>6190000001</v>
          </cell>
          <cell r="E186" t="str">
            <v>4791010750</v>
          </cell>
          <cell r="F186">
            <v>92000</v>
          </cell>
          <cell r="J186" t="str">
            <v>IO BELGIUM/2026-SOW9-UK future of specification</v>
          </cell>
          <cell r="K186" t="str">
            <v>2026</v>
          </cell>
          <cell r="L186" t="str">
            <v>4</v>
          </cell>
        </row>
        <row r="187">
          <cell r="A187" t="str">
            <v>O7941/2524/1</v>
          </cell>
          <cell r="D187" t="str">
            <v>6190000001</v>
          </cell>
          <cell r="E187" t="str">
            <v>4791010750</v>
          </cell>
          <cell r="F187">
            <v>113000</v>
          </cell>
          <cell r="J187" t="str">
            <v>IO BELGIUM/2026-SOW9-UK future of specification</v>
          </cell>
          <cell r="K187" t="str">
            <v>2026</v>
          </cell>
          <cell r="L187" t="str">
            <v>5</v>
          </cell>
        </row>
        <row r="188">
          <cell r="A188" t="str">
            <v>O7941/2524/1</v>
          </cell>
          <cell r="D188" t="str">
            <v>6190000001</v>
          </cell>
          <cell r="E188" t="str">
            <v>4791010750</v>
          </cell>
          <cell r="F188">
            <v>110000</v>
          </cell>
          <cell r="J188" t="str">
            <v>IO BELGIUM/2026-SOW9-UK future of specification</v>
          </cell>
          <cell r="K188" t="str">
            <v>2026</v>
          </cell>
          <cell r="L188" t="str">
            <v>6</v>
          </cell>
        </row>
        <row r="189">
          <cell r="A189" t="str">
            <v>O7941/2524/1</v>
          </cell>
          <cell r="D189" t="str">
            <v>6190000001</v>
          </cell>
          <cell r="E189" t="str">
            <v/>
          </cell>
          <cell r="F189">
            <v>75000</v>
          </cell>
          <cell r="J189" t="str">
            <v>WBS O7941/2524 (reclass iO costs)</v>
          </cell>
          <cell r="K189" t="str">
            <v>2026</v>
          </cell>
          <cell r="L189" t="str">
            <v>6</v>
          </cell>
        </row>
        <row r="190">
          <cell r="A190" t="str">
            <v>O7941/2524/1</v>
          </cell>
          <cell r="D190" t="str">
            <v>6190000001</v>
          </cell>
          <cell r="E190" t="str">
            <v/>
          </cell>
          <cell r="F190">
            <v>86000</v>
          </cell>
          <cell r="J190" t="str">
            <v>WBS O7941/2524 (reclass iO costs)</v>
          </cell>
          <cell r="K190" t="str">
            <v>2026</v>
          </cell>
          <cell r="L190" t="str">
            <v>6</v>
          </cell>
        </row>
        <row r="191">
          <cell r="A191" t="str">
            <v>O7941/2524/1</v>
          </cell>
          <cell r="D191" t="str">
            <v>6190000001</v>
          </cell>
          <cell r="E191" t="str">
            <v>4791010750</v>
          </cell>
          <cell r="F191">
            <v>117000</v>
          </cell>
          <cell r="J191" t="str">
            <v>IO BELGIUM/2026-SOW9-UK future of specification</v>
          </cell>
          <cell r="K191" t="str">
            <v>2026</v>
          </cell>
          <cell r="L191" t="str">
            <v>7</v>
          </cell>
        </row>
        <row r="192">
          <cell r="A192" t="str">
            <v>O7941/2524/1</v>
          </cell>
          <cell r="D192" t="str">
            <v>6190000001</v>
          </cell>
          <cell r="E192" t="str">
            <v>4791010750</v>
          </cell>
          <cell r="F192">
            <v>95000</v>
          </cell>
          <cell r="J192" t="str">
            <v>IO BELGIUM/2026-SOW9-UK future of specification</v>
          </cell>
          <cell r="K192" t="str">
            <v>2026</v>
          </cell>
          <cell r="L192" t="str">
            <v>8</v>
          </cell>
        </row>
        <row r="193">
          <cell r="A193" t="str">
            <v>O7941/2524/1</v>
          </cell>
          <cell r="D193" t="str">
            <v>6190000001</v>
          </cell>
          <cell r="E193" t="str">
            <v>4791010750</v>
          </cell>
          <cell r="F193">
            <v>105000</v>
          </cell>
          <cell r="J193" t="str">
            <v>IO BELGIUM/2026-SOW9-UK future of specification</v>
          </cell>
          <cell r="K193" t="str">
            <v>2026</v>
          </cell>
          <cell r="L193" t="str">
            <v>9</v>
          </cell>
        </row>
        <row r="194">
          <cell r="A194" t="str">
            <v>O7941/2524/1</v>
          </cell>
          <cell r="D194" t="str">
            <v/>
          </cell>
          <cell r="E194" t="str">
            <v/>
          </cell>
          <cell r="F194">
            <v>793000</v>
          </cell>
          <cell r="J194" t="str">
            <v/>
          </cell>
          <cell r="K194" t="str">
            <v/>
          </cell>
          <cell r="L194" t="str">
            <v/>
          </cell>
        </row>
        <row r="195">
          <cell r="A195" t="str">
            <v>O7941/2524/2</v>
          </cell>
          <cell r="D195" t="str">
            <v>6133000130</v>
          </cell>
          <cell r="E195" t="str">
            <v>4791010588</v>
          </cell>
          <cell r="F195">
            <v>13020</v>
          </cell>
          <cell r="J195" t="str">
            <v>DUALOOP/2025-Product delivery lead-Clothilde</v>
          </cell>
          <cell r="K195" t="str">
            <v>2026</v>
          </cell>
          <cell r="L195" t="str">
            <v>3</v>
          </cell>
        </row>
        <row r="196">
          <cell r="A196" t="str">
            <v>O7941/2524/2</v>
          </cell>
          <cell r="D196" t="str">
            <v>6133000130</v>
          </cell>
          <cell r="E196" t="str">
            <v/>
          </cell>
          <cell r="F196">
            <v>14199.99</v>
          </cell>
          <cell r="J196" t="str">
            <v>Product delivery lead-Clothilde</v>
          </cell>
          <cell r="K196" t="str">
            <v>2026</v>
          </cell>
          <cell r="L196" t="str">
            <v>3</v>
          </cell>
        </row>
        <row r="197">
          <cell r="A197" t="str">
            <v>O7941/2524/2</v>
          </cell>
          <cell r="D197" t="str">
            <v>6133000130</v>
          </cell>
          <cell r="E197" t="str">
            <v>4791010588</v>
          </cell>
          <cell r="F197">
            <v>15120</v>
          </cell>
          <cell r="J197" t="str">
            <v>DUALOOP/2025-Product delivery lead-Clothilde</v>
          </cell>
          <cell r="K197" t="str">
            <v>2026</v>
          </cell>
          <cell r="L197" t="str">
            <v>4</v>
          </cell>
        </row>
        <row r="198">
          <cell r="A198" t="str">
            <v>O7941/2524/2</v>
          </cell>
          <cell r="D198" t="str">
            <v>6133000130</v>
          </cell>
          <cell r="E198" t="str">
            <v>4791010588</v>
          </cell>
          <cell r="F198">
            <v>12600</v>
          </cell>
          <cell r="J198" t="str">
            <v>DUALOOP/2025-Product delivery lead-Clothilde</v>
          </cell>
          <cell r="K198" t="str">
            <v>2026</v>
          </cell>
          <cell r="L198" t="str">
            <v>5</v>
          </cell>
        </row>
        <row r="199">
          <cell r="A199" t="str">
            <v>O7941/2524/2</v>
          </cell>
          <cell r="D199" t="str">
            <v>6133000130</v>
          </cell>
          <cell r="E199" t="str">
            <v>4791010588</v>
          </cell>
          <cell r="F199">
            <v>8820</v>
          </cell>
          <cell r="J199" t="str">
            <v>DUALOOP/2025-Product delivery lead-Clothilde</v>
          </cell>
          <cell r="K199" t="str">
            <v>2026</v>
          </cell>
          <cell r="L199" t="str">
            <v>6</v>
          </cell>
        </row>
        <row r="200">
          <cell r="A200" t="str">
            <v>O7941/2524/2</v>
          </cell>
          <cell r="D200" t="str">
            <v>6133000130</v>
          </cell>
          <cell r="E200" t="str">
            <v>4791010588</v>
          </cell>
          <cell r="F200">
            <v>12600</v>
          </cell>
          <cell r="J200" t="str">
            <v>DUALOOP/2025-Product delivery lead-Clothilde</v>
          </cell>
          <cell r="K200" t="str">
            <v>2026</v>
          </cell>
          <cell r="L200" t="str">
            <v>7</v>
          </cell>
        </row>
        <row r="201">
          <cell r="A201" t="str">
            <v>O7941/2524/2</v>
          </cell>
          <cell r="D201" t="str">
            <v>6133000130</v>
          </cell>
          <cell r="E201" t="str">
            <v>4791010588</v>
          </cell>
          <cell r="F201">
            <v>12600</v>
          </cell>
          <cell r="J201" t="str">
            <v>DUALOOP/2026-Product delivery lead-Clothilde</v>
          </cell>
          <cell r="K201" t="str">
            <v>2026</v>
          </cell>
          <cell r="L201" t="str">
            <v>8</v>
          </cell>
        </row>
        <row r="202">
          <cell r="A202" t="str">
            <v>O7941/2524/2</v>
          </cell>
          <cell r="D202" t="str">
            <v/>
          </cell>
          <cell r="E202" t="str">
            <v/>
          </cell>
          <cell r="F202">
            <v>88959.99</v>
          </cell>
          <cell r="J202" t="str">
            <v/>
          </cell>
          <cell r="K202" t="str">
            <v/>
          </cell>
          <cell r="L202" t="str">
            <v/>
          </cell>
        </row>
        <row r="203">
          <cell r="A203" t="str">
            <v>O7941/2524/3</v>
          </cell>
          <cell r="D203" t="str">
            <v>7405000000</v>
          </cell>
          <cell r="E203" t="str">
            <v/>
          </cell>
          <cell r="F203">
            <v>9315</v>
          </cell>
          <cell r="J203" t="str">
            <v>O7941/26PR02 - Future of Specification</v>
          </cell>
          <cell r="K203" t="str">
            <v>2026</v>
          </cell>
          <cell r="L203" t="str">
            <v>4</v>
          </cell>
        </row>
        <row r="204">
          <cell r="A204" t="str">
            <v>O7941/2524/3</v>
          </cell>
          <cell r="D204" t="str">
            <v>6190000001</v>
          </cell>
          <cell r="E204" t="str">
            <v/>
          </cell>
          <cell r="F204">
            <v>9315</v>
          </cell>
          <cell r="J204" t="str">
            <v>Reclass: WBS Correction</v>
          </cell>
          <cell r="K204" t="str">
            <v>2026</v>
          </cell>
          <cell r="L204" t="str">
            <v>4</v>
          </cell>
        </row>
        <row r="205">
          <cell r="A205" t="str">
            <v>O7941/2524/3</v>
          </cell>
          <cell r="D205" t="str">
            <v>7405000000</v>
          </cell>
          <cell r="E205" t="str">
            <v/>
          </cell>
          <cell r="F205">
            <v>405</v>
          </cell>
          <cell r="J205" t="str">
            <v>O7941/26PR02 - Future of Specification</v>
          </cell>
          <cell r="K205" t="str">
            <v>2026</v>
          </cell>
          <cell r="L205" t="str">
            <v>5</v>
          </cell>
        </row>
        <row r="206">
          <cell r="A206" t="str">
            <v>O7941/2524/3</v>
          </cell>
          <cell r="D206" t="str">
            <v>6190000001</v>
          </cell>
          <cell r="E206" t="str">
            <v/>
          </cell>
          <cell r="F206">
            <v>405</v>
          </cell>
          <cell r="J206" t="str">
            <v>Reclass: WBS Correction</v>
          </cell>
          <cell r="K206" t="str">
            <v>2026</v>
          </cell>
          <cell r="L206" t="str">
            <v>5</v>
          </cell>
        </row>
        <row r="207">
          <cell r="A207" t="str">
            <v>O7941/2524/3</v>
          </cell>
          <cell r="D207" t="str">
            <v>7405000000</v>
          </cell>
          <cell r="E207" t="str">
            <v/>
          </cell>
          <cell r="F207">
            <v>945</v>
          </cell>
          <cell r="J207" t="str">
            <v>O7941/26PR02 - Future of Specification</v>
          </cell>
          <cell r="K207" t="str">
            <v>2026</v>
          </cell>
          <cell r="L207" t="str">
            <v>6</v>
          </cell>
        </row>
        <row r="208">
          <cell r="A208" t="str">
            <v>O7941/2524/3</v>
          </cell>
          <cell r="D208" t="str">
            <v>6190000001</v>
          </cell>
          <cell r="E208" t="str">
            <v/>
          </cell>
          <cell r="F208">
            <v>945</v>
          </cell>
          <cell r="J208" t="str">
            <v>Reclass: WBS Correction</v>
          </cell>
          <cell r="K208" t="str">
            <v>2026</v>
          </cell>
          <cell r="L208" t="str">
            <v>6</v>
          </cell>
        </row>
        <row r="209">
          <cell r="A209" t="str">
            <v>O7941/2524/3</v>
          </cell>
          <cell r="D209" t="str">
            <v>7405000000</v>
          </cell>
          <cell r="E209" t="str">
            <v/>
          </cell>
          <cell r="F209">
            <v>540</v>
          </cell>
          <cell r="J209" t="str">
            <v>Future of Specification - Etex Engineering Fees</v>
          </cell>
          <cell r="K209" t="str">
            <v>2026</v>
          </cell>
          <cell r="L209" t="str">
            <v>7</v>
          </cell>
        </row>
        <row r="210">
          <cell r="A210" t="str">
            <v>O7941/2524/3</v>
          </cell>
          <cell r="D210" t="str">
            <v>6190000001</v>
          </cell>
          <cell r="E210" t="str">
            <v/>
          </cell>
          <cell r="F210">
            <v>540</v>
          </cell>
          <cell r="J210" t="str">
            <v>Reclass: WBS Correction</v>
          </cell>
          <cell r="K210" t="str">
            <v>2026</v>
          </cell>
          <cell r="L210" t="str">
            <v>7</v>
          </cell>
        </row>
        <row r="211">
          <cell r="A211" t="str">
            <v>O7941/2524/3</v>
          </cell>
          <cell r="D211" t="str">
            <v>7405000000</v>
          </cell>
          <cell r="E211" t="str">
            <v/>
          </cell>
          <cell r="F211">
            <v>540</v>
          </cell>
          <cell r="J211" t="str">
            <v>O7941/26PR02 - Future of Specification - Etex Engi</v>
          </cell>
          <cell r="K211" t="str">
            <v>2026</v>
          </cell>
          <cell r="L211" t="str">
            <v>8</v>
          </cell>
        </row>
        <row r="212">
          <cell r="A212" t="str">
            <v>O7941/2524/3</v>
          </cell>
          <cell r="D212" t="str">
            <v>6190000001</v>
          </cell>
          <cell r="E212" t="str">
            <v/>
          </cell>
          <cell r="F212">
            <v>540</v>
          </cell>
          <cell r="J212" t="str">
            <v>Reclass: WBS Correction</v>
          </cell>
          <cell r="K212" t="str">
            <v>2026</v>
          </cell>
          <cell r="L212" t="str">
            <v>8</v>
          </cell>
        </row>
        <row r="213">
          <cell r="A213" t="str">
            <v>O7941/2524/3</v>
          </cell>
          <cell r="D213" t="str">
            <v/>
          </cell>
          <cell r="E213" t="str">
            <v/>
          </cell>
          <cell r="F213">
            <v>23490</v>
          </cell>
          <cell r="J213" t="str">
            <v/>
          </cell>
          <cell r="K213" t="str">
            <v/>
          </cell>
          <cell r="L213" t="str">
            <v/>
          </cell>
        </row>
        <row r="214">
          <cell r="A214" t="str">
            <v>O7941/2524/4</v>
          </cell>
          <cell r="D214" t="str">
            <v>6190000001</v>
          </cell>
          <cell r="E214" t="str">
            <v/>
          </cell>
          <cell r="F214">
            <v>12800</v>
          </cell>
          <cell r="J214" t="str">
            <v>Reclass internal hours from OPEX to Capex</v>
          </cell>
          <cell r="K214" t="str">
            <v>2026</v>
          </cell>
          <cell r="L214" t="str">
            <v>3</v>
          </cell>
        </row>
        <row r="215">
          <cell r="A215" t="str">
            <v>O7941/2524/4</v>
          </cell>
          <cell r="D215" t="str">
            <v>6190000001</v>
          </cell>
          <cell r="E215" t="str">
            <v/>
          </cell>
          <cell r="F215">
            <v>9215</v>
          </cell>
          <cell r="J215" t="str">
            <v>Reclass internal hours from OPEX to Capex</v>
          </cell>
          <cell r="K215" t="str">
            <v>2026</v>
          </cell>
          <cell r="L215" t="str">
            <v>4</v>
          </cell>
        </row>
        <row r="216">
          <cell r="A216" t="str">
            <v>O7941/2524/4</v>
          </cell>
          <cell r="D216" t="str">
            <v>6190000001</v>
          </cell>
          <cell r="E216" t="str">
            <v>4791010880</v>
          </cell>
          <cell r="F216">
            <v>12075</v>
          </cell>
          <cell r="J216" t="str">
            <v>FORYOUANDYOURCUSTOMERS AMSTERDAM B./2026 - FOS</v>
          </cell>
          <cell r="K216" t="str">
            <v>2026</v>
          </cell>
          <cell r="L216" t="str">
            <v>5</v>
          </cell>
        </row>
        <row r="217">
          <cell r="A217" t="str">
            <v>O7941/2524/4</v>
          </cell>
          <cell r="D217" t="str">
            <v>6190000001</v>
          </cell>
          <cell r="E217" t="str">
            <v/>
          </cell>
          <cell r="F217">
            <v>9475</v>
          </cell>
          <cell r="J217" t="str">
            <v>Reclass internal hours from OPEX to Capex</v>
          </cell>
          <cell r="K217" t="str">
            <v>2026</v>
          </cell>
          <cell r="L217" t="str">
            <v>5</v>
          </cell>
        </row>
        <row r="218">
          <cell r="A218" t="str">
            <v>O7941/2524/4</v>
          </cell>
          <cell r="D218" t="str">
            <v>6190000001</v>
          </cell>
          <cell r="E218" t="str">
            <v>4791010880</v>
          </cell>
          <cell r="F218">
            <v>1987.5</v>
          </cell>
          <cell r="J218" t="str">
            <v>FORYOUANDYOURCUSTOMERS AMSTERDAM B./2026 - FOS</v>
          </cell>
          <cell r="K218" t="str">
            <v>2026</v>
          </cell>
          <cell r="L218" t="str">
            <v>6</v>
          </cell>
        </row>
        <row r="219">
          <cell r="A219" t="str">
            <v>O7941/2524/4</v>
          </cell>
          <cell r="D219" t="str">
            <v>6190000001</v>
          </cell>
          <cell r="E219" t="str">
            <v/>
          </cell>
          <cell r="F219">
            <v>4700</v>
          </cell>
          <cell r="J219" t="str">
            <v>Reclass internal hours from OPEX to Capex</v>
          </cell>
          <cell r="K219" t="str">
            <v>2026</v>
          </cell>
          <cell r="L219" t="str">
            <v>6</v>
          </cell>
        </row>
        <row r="220">
          <cell r="A220" t="str">
            <v>O7941/2524/4</v>
          </cell>
          <cell r="D220" t="str">
            <v>6190000001</v>
          </cell>
          <cell r="E220" t="str">
            <v/>
          </cell>
          <cell r="F220">
            <v>5000</v>
          </cell>
          <cell r="J220" t="str">
            <v>Reclass internal hours from OPEX to Capex</v>
          </cell>
          <cell r="K220" t="str">
            <v>2026</v>
          </cell>
          <cell r="L220" t="str">
            <v>7</v>
          </cell>
        </row>
        <row r="221">
          <cell r="A221" t="str">
            <v>O7941/2524/4</v>
          </cell>
          <cell r="D221" t="str">
            <v>6190000001</v>
          </cell>
          <cell r="E221" t="str">
            <v/>
          </cell>
          <cell r="F221">
            <v>1900</v>
          </cell>
          <cell r="J221" t="str">
            <v>Reclass internal hours from OPEX to Capex</v>
          </cell>
          <cell r="K221" t="str">
            <v>2026</v>
          </cell>
          <cell r="L221" t="str">
            <v>8</v>
          </cell>
        </row>
        <row r="222">
          <cell r="A222" t="str">
            <v>O7941/2524/4</v>
          </cell>
          <cell r="D222" t="str">
            <v>6133000035</v>
          </cell>
          <cell r="E222" t="str">
            <v/>
          </cell>
          <cell r="F222">
            <v>14062.5</v>
          </cell>
          <cell r="J222" t="str">
            <v>WBS O7941/2524/4</v>
          </cell>
          <cell r="K222" t="str">
            <v>2026</v>
          </cell>
          <cell r="L222" t="str">
            <v>8</v>
          </cell>
        </row>
        <row r="223">
          <cell r="A223" t="str">
            <v>O7941/2524/4</v>
          </cell>
          <cell r="D223" t="str">
            <v/>
          </cell>
          <cell r="E223" t="str">
            <v/>
          </cell>
          <cell r="F223">
            <v>71215</v>
          </cell>
          <cell r="J223" t="str">
            <v/>
          </cell>
          <cell r="K223" t="str">
            <v/>
          </cell>
          <cell r="L223" t="str">
            <v/>
          </cell>
        </row>
        <row r="224">
          <cell r="A224" t="str">
            <v>O7941/2524/5</v>
          </cell>
          <cell r="D224" t="str">
            <v>6190000001</v>
          </cell>
          <cell r="E224" t="str">
            <v/>
          </cell>
          <cell r="F224">
            <v>3155</v>
          </cell>
          <cell r="J224" t="str">
            <v>WBS O7941/2524 (reclass travel costs)</v>
          </cell>
          <cell r="K224" t="str">
            <v>2026</v>
          </cell>
          <cell r="L224" t="str">
            <v>6</v>
          </cell>
        </row>
        <row r="225">
          <cell r="A225" t="str">
            <v>O7941/2524/5</v>
          </cell>
          <cell r="D225" t="str">
            <v>6133000130</v>
          </cell>
          <cell r="E225" t="str">
            <v>4791010588</v>
          </cell>
          <cell r="F225">
            <v>1653.78</v>
          </cell>
          <cell r="J225" t="str">
            <v>DUALOOP/2026-travel expenses</v>
          </cell>
          <cell r="K225" t="str">
            <v>2026</v>
          </cell>
          <cell r="L225" t="str">
            <v>7</v>
          </cell>
        </row>
        <row r="226">
          <cell r="A226" t="str">
            <v>O7941/2524/5</v>
          </cell>
          <cell r="D226" t="str">
            <v>6133000130</v>
          </cell>
          <cell r="E226" t="str">
            <v>4791010588</v>
          </cell>
          <cell r="F226">
            <v>404.81</v>
          </cell>
          <cell r="J226" t="str">
            <v>DUALOOP/2026-travel expenses</v>
          </cell>
          <cell r="K226" t="str">
            <v>2026</v>
          </cell>
          <cell r="L226" t="str">
            <v>8</v>
          </cell>
        </row>
        <row r="227">
          <cell r="A227" t="str">
            <v>O7941/2524/5</v>
          </cell>
          <cell r="D227" t="str">
            <v/>
          </cell>
          <cell r="E227" t="str">
            <v/>
          </cell>
          <cell r="F227">
            <v>5213.59</v>
          </cell>
          <cell r="J227" t="str">
            <v/>
          </cell>
          <cell r="K227" t="str">
            <v/>
          </cell>
          <cell r="L227" t="str">
            <v/>
          </cell>
        </row>
        <row r="228">
          <cell r="A228" t="str">
            <v>O7941/2524/6</v>
          </cell>
          <cell r="D228" t="str">
            <v>6190000001</v>
          </cell>
          <cell r="E228" t="str">
            <v>4791010972</v>
          </cell>
          <cell r="F228">
            <v>5378.23</v>
          </cell>
          <cell r="J228" t="str">
            <v>ASPOSE PTY LTD/2026-Aspose PDF for NET - dev</v>
          </cell>
          <cell r="K228" t="str">
            <v>2026</v>
          </cell>
          <cell r="L228" t="str">
            <v>7</v>
          </cell>
        </row>
        <row r="229">
          <cell r="A229" t="str">
            <v>O7941/2524/6</v>
          </cell>
          <cell r="D229" t="str">
            <v/>
          </cell>
          <cell r="E229" t="str">
            <v/>
          </cell>
          <cell r="F229">
            <v>5378.23</v>
          </cell>
          <cell r="J229" t="str">
            <v/>
          </cell>
          <cell r="K229" t="str">
            <v/>
          </cell>
          <cell r="L229" t="str">
            <v/>
          </cell>
        </row>
        <row r="230">
          <cell r="A230" t="str">
            <v>O7941/2524/7</v>
          </cell>
          <cell r="D230" t="str">
            <v>6133000035</v>
          </cell>
          <cell r="E230" t="str">
            <v/>
          </cell>
          <cell r="F230">
            <v>14062.5</v>
          </cell>
          <cell r="J230" t="str">
            <v>FYAYC costs</v>
          </cell>
          <cell r="K230" t="str">
            <v>2026</v>
          </cell>
          <cell r="L230" t="str">
            <v>8</v>
          </cell>
        </row>
        <row r="231">
          <cell r="A231" t="str">
            <v>O7941/2524/7</v>
          </cell>
          <cell r="D231" t="str">
            <v/>
          </cell>
          <cell r="E231" t="str">
            <v/>
          </cell>
          <cell r="F231">
            <v>14062.5</v>
          </cell>
          <cell r="J231" t="str">
            <v/>
          </cell>
          <cell r="K231" t="str">
            <v/>
          </cell>
          <cell r="L231" t="str">
            <v/>
          </cell>
        </row>
        <row r="232">
          <cell r="A232" t="str">
            <v>O7941/2603</v>
          </cell>
          <cell r="D232" t="str">
            <v>6190000001</v>
          </cell>
          <cell r="E232" t="str">
            <v>4791010700</v>
          </cell>
          <cell r="F232">
            <v>590.13</v>
          </cell>
          <cell r="J232" t="str">
            <v>FIS CAPITAL MARKETS US LLC/2026-FIS TMS request</v>
          </cell>
          <cell r="K232" t="str">
            <v>2026</v>
          </cell>
          <cell r="L232" t="str">
            <v>2</v>
          </cell>
        </row>
        <row r="233">
          <cell r="A233" t="str">
            <v>O7941/2603</v>
          </cell>
          <cell r="D233" t="str">
            <v>6190000001</v>
          </cell>
          <cell r="E233" t="str">
            <v>4791010700</v>
          </cell>
          <cell r="F233">
            <v>12822.65</v>
          </cell>
          <cell r="J233" t="str">
            <v>FIS CAPITAL MARKETS US LLC/2026-FIS TMS request</v>
          </cell>
          <cell r="K233" t="str">
            <v>2026</v>
          </cell>
          <cell r="L233" t="str">
            <v>2</v>
          </cell>
        </row>
        <row r="234">
          <cell r="A234" t="str">
            <v>O7941/2603</v>
          </cell>
          <cell r="D234" t="str">
            <v>6190000001</v>
          </cell>
          <cell r="E234" t="str">
            <v>4791010700</v>
          </cell>
          <cell r="F234">
            <v>11701.27</v>
          </cell>
          <cell r="J234" t="str">
            <v>FIS CAPITAL MARKETS US LLC/2026-FIS TMS request</v>
          </cell>
          <cell r="K234" t="str">
            <v>2026</v>
          </cell>
          <cell r="L234" t="str">
            <v>3</v>
          </cell>
        </row>
        <row r="235">
          <cell r="A235" t="str">
            <v>O7941/2603</v>
          </cell>
          <cell r="D235" t="str">
            <v>6190000001</v>
          </cell>
          <cell r="E235" t="str">
            <v>4791010700</v>
          </cell>
          <cell r="F235">
            <v>4917.8</v>
          </cell>
          <cell r="J235" t="str">
            <v>FIS CAPITAL MARKETS US LLC/2026-FIS TMS request</v>
          </cell>
          <cell r="K235" t="str">
            <v>2026</v>
          </cell>
          <cell r="L235" t="str">
            <v>3</v>
          </cell>
        </row>
        <row r="236">
          <cell r="A236" t="str">
            <v>O7941/2603</v>
          </cell>
          <cell r="D236" t="str">
            <v>6190000001</v>
          </cell>
          <cell r="E236" t="str">
            <v/>
          </cell>
          <cell r="F236">
            <v>14700</v>
          </cell>
          <cell r="J236" t="str">
            <v>Reclass internal hours from OPEX to Capex</v>
          </cell>
          <cell r="K236" t="str">
            <v>2026</v>
          </cell>
          <cell r="L236" t="str">
            <v>3</v>
          </cell>
        </row>
        <row r="237">
          <cell r="A237" t="str">
            <v>O7941/2603</v>
          </cell>
          <cell r="D237" t="str">
            <v>6190000001</v>
          </cell>
          <cell r="E237" t="str">
            <v>4791010700</v>
          </cell>
          <cell r="F237">
            <v>12773.9</v>
          </cell>
          <cell r="J237" t="str">
            <v>FIS CAPITAL MARKETS US LLC/2026-FIS TMS request</v>
          </cell>
          <cell r="K237" t="str">
            <v>2026</v>
          </cell>
          <cell r="L237" t="str">
            <v>4</v>
          </cell>
        </row>
        <row r="238">
          <cell r="A238" t="str">
            <v>O7941/2603</v>
          </cell>
          <cell r="D238" t="str">
            <v>6190000001</v>
          </cell>
          <cell r="E238" t="str">
            <v>4791010700</v>
          </cell>
          <cell r="F238">
            <v>295.08</v>
          </cell>
          <cell r="J238" t="str">
            <v>FIS CAPITAL MARKETS US LLC/2026-FIS TMS request</v>
          </cell>
          <cell r="K238" t="str">
            <v>2026</v>
          </cell>
          <cell r="L238" t="str">
            <v>4</v>
          </cell>
        </row>
        <row r="239">
          <cell r="A239" t="str">
            <v>O7941/2603</v>
          </cell>
          <cell r="D239" t="str">
            <v>6190000001</v>
          </cell>
          <cell r="E239" t="str">
            <v/>
          </cell>
          <cell r="F239">
            <v>350</v>
          </cell>
          <cell r="J239" t="str">
            <v>Reclass internal hours from OPEX to Capex</v>
          </cell>
          <cell r="K239" t="str">
            <v>2026</v>
          </cell>
          <cell r="L239" t="str">
            <v>4</v>
          </cell>
        </row>
        <row r="240">
          <cell r="A240" t="str">
            <v>O7941/2603</v>
          </cell>
          <cell r="D240" t="str">
            <v>6190000001</v>
          </cell>
          <cell r="E240" t="str">
            <v>4791010700</v>
          </cell>
          <cell r="F240">
            <v>2265.2600000000002</v>
          </cell>
          <cell r="J240" t="str">
            <v>FIS CAPITAL MARKETS US LLC/2026-FIS TMS request</v>
          </cell>
          <cell r="K240" t="str">
            <v>2026</v>
          </cell>
          <cell r="L240" t="str">
            <v>5</v>
          </cell>
        </row>
        <row r="241">
          <cell r="A241" t="str">
            <v>O7941/2603</v>
          </cell>
          <cell r="D241" t="str">
            <v>6190000001</v>
          </cell>
          <cell r="E241" t="str">
            <v>4791010700</v>
          </cell>
          <cell r="F241">
            <v>8678.4500000000007</v>
          </cell>
          <cell r="J241" t="str">
            <v>FIS CAPITAL MARKETS US LLC/2026-FIS TMS request</v>
          </cell>
          <cell r="K241" t="str">
            <v>2026</v>
          </cell>
          <cell r="L241" t="str">
            <v>5</v>
          </cell>
        </row>
        <row r="242">
          <cell r="A242" t="str">
            <v>O7941/2603</v>
          </cell>
          <cell r="D242" t="str">
            <v>6190000001</v>
          </cell>
          <cell r="E242" t="str">
            <v>4791010700</v>
          </cell>
          <cell r="F242">
            <v>9604.7999999999993</v>
          </cell>
          <cell r="J242" t="str">
            <v>FIS CAPITAL MARKETS US LLC/2026-FIS TMS request</v>
          </cell>
          <cell r="K242" t="str">
            <v>2026</v>
          </cell>
          <cell r="L242" t="str">
            <v>6</v>
          </cell>
        </row>
        <row r="243">
          <cell r="A243" t="str">
            <v>O7941/2603</v>
          </cell>
          <cell r="D243" t="str">
            <v>6190000001</v>
          </cell>
          <cell r="E243" t="str">
            <v/>
          </cell>
          <cell r="F243">
            <v>600</v>
          </cell>
          <cell r="J243" t="str">
            <v>Reclass internal hours from OPEX to Capex</v>
          </cell>
          <cell r="K243" t="str">
            <v>2026</v>
          </cell>
          <cell r="L243" t="str">
            <v>6</v>
          </cell>
        </row>
        <row r="244">
          <cell r="A244" t="str">
            <v>O7941/2603</v>
          </cell>
          <cell r="D244" t="str">
            <v>6190000001</v>
          </cell>
          <cell r="E244" t="str">
            <v>4791010700</v>
          </cell>
          <cell r="F244">
            <v>2387.6</v>
          </cell>
          <cell r="J244" t="str">
            <v>FIS CAPITAL MARKETS US LLC/2026-FIS TMS request</v>
          </cell>
          <cell r="K244" t="str">
            <v>2026</v>
          </cell>
          <cell r="L244" t="str">
            <v>8</v>
          </cell>
        </row>
        <row r="245">
          <cell r="A245" t="str">
            <v>O7941/2603</v>
          </cell>
          <cell r="D245" t="str">
            <v>6190000001</v>
          </cell>
          <cell r="E245" t="str">
            <v/>
          </cell>
          <cell r="F245">
            <v>685.4</v>
          </cell>
          <cell r="J245" t="str">
            <v>WBS O7941/2603</v>
          </cell>
          <cell r="K245" t="str">
            <v>2026</v>
          </cell>
          <cell r="L245" t="str">
            <v>8</v>
          </cell>
        </row>
        <row r="246">
          <cell r="A246" t="str">
            <v>O7941/2603</v>
          </cell>
          <cell r="D246" t="str">
            <v>6190000001</v>
          </cell>
          <cell r="E246" t="str">
            <v>4791010700</v>
          </cell>
          <cell r="F246">
            <v>14202.03</v>
          </cell>
          <cell r="J246" t="str">
            <v>FIS CAPITAL MARKETS US LLC/2026-FIS TMS request</v>
          </cell>
          <cell r="K246" t="str">
            <v>2026</v>
          </cell>
          <cell r="L246" t="str">
            <v>9</v>
          </cell>
        </row>
        <row r="247">
          <cell r="A247" t="str">
            <v>O7941/2603</v>
          </cell>
          <cell r="D247" t="str">
            <v>6190000001</v>
          </cell>
          <cell r="E247" t="str">
            <v>4791010700</v>
          </cell>
          <cell r="F247">
            <v>3479.02</v>
          </cell>
          <cell r="J247" t="str">
            <v>FIS CAPITAL MARKETS US LLC/2026-FIS TMS request</v>
          </cell>
          <cell r="K247" t="str">
            <v>2026</v>
          </cell>
          <cell r="L247" t="str">
            <v>9</v>
          </cell>
        </row>
        <row r="248">
          <cell r="A248" t="str">
            <v>O7941/2603</v>
          </cell>
          <cell r="D248" t="str">
            <v>6190000001</v>
          </cell>
          <cell r="E248" t="str">
            <v>4791010700</v>
          </cell>
          <cell r="F248">
            <v>762.54</v>
          </cell>
          <cell r="J248" t="str">
            <v>FIS CAPITAL MARKETS US LLC/2026-FIS TMS request</v>
          </cell>
          <cell r="K248" t="str">
            <v>2026</v>
          </cell>
          <cell r="L248" t="str">
            <v>9</v>
          </cell>
        </row>
        <row r="249">
          <cell r="A249" t="str">
            <v>O7941/2603</v>
          </cell>
          <cell r="D249" t="str">
            <v/>
          </cell>
          <cell r="E249" t="str">
            <v/>
          </cell>
          <cell r="F249">
            <v>100815.93</v>
          </cell>
          <cell r="J249" t="str">
            <v/>
          </cell>
          <cell r="K249" t="str">
            <v/>
          </cell>
          <cell r="L249" t="str">
            <v/>
          </cell>
        </row>
        <row r="250">
          <cell r="A250" t="str">
            <v>O7941/2604</v>
          </cell>
          <cell r="D250" t="str">
            <v>6190000001</v>
          </cell>
          <cell r="E250" t="str">
            <v/>
          </cell>
          <cell r="F250">
            <v>15900</v>
          </cell>
          <cell r="J250" t="str">
            <v>Reclass internal hours from OPEX to Capex</v>
          </cell>
          <cell r="K250" t="str">
            <v>2026</v>
          </cell>
          <cell r="L250" t="str">
            <v>2</v>
          </cell>
        </row>
        <row r="251">
          <cell r="A251" t="str">
            <v>O7941/2604</v>
          </cell>
          <cell r="D251" t="str">
            <v>6190000001</v>
          </cell>
          <cell r="E251" t="str">
            <v>4791010675</v>
          </cell>
          <cell r="F251">
            <v>2047.98</v>
          </cell>
          <cell r="J251" t="str">
            <v>DELOITTE CONSULTING &amp; ADVISORY/2026 Talent process</v>
          </cell>
          <cell r="K251" t="str">
            <v>2026</v>
          </cell>
          <cell r="L251" t="str">
            <v>3</v>
          </cell>
        </row>
        <row r="252">
          <cell r="A252" t="str">
            <v>O7941/2604</v>
          </cell>
          <cell r="D252" t="str">
            <v>6190000001</v>
          </cell>
          <cell r="E252" t="str">
            <v/>
          </cell>
          <cell r="F252">
            <v>3200</v>
          </cell>
          <cell r="J252" t="str">
            <v>Reclass internal hours from OPEX to Capex</v>
          </cell>
          <cell r="K252" t="str">
            <v>2026</v>
          </cell>
          <cell r="L252" t="str">
            <v>3</v>
          </cell>
        </row>
        <row r="253">
          <cell r="A253" t="str">
            <v>O7941/2604</v>
          </cell>
          <cell r="D253" t="str">
            <v>6190000001</v>
          </cell>
          <cell r="E253" t="str">
            <v>4791010675</v>
          </cell>
          <cell r="F253">
            <v>767.99</v>
          </cell>
          <cell r="J253" t="str">
            <v>DELOITTE CONSULTING &amp; ADVISORY/2026 Talent process</v>
          </cell>
          <cell r="K253" t="str">
            <v>2026</v>
          </cell>
          <cell r="L253" t="str">
            <v>4</v>
          </cell>
        </row>
        <row r="254">
          <cell r="A254" t="str">
            <v>O7941/2604</v>
          </cell>
          <cell r="D254" t="str">
            <v>6190000001</v>
          </cell>
          <cell r="E254" t="str">
            <v/>
          </cell>
          <cell r="F254">
            <v>6600</v>
          </cell>
          <cell r="J254" t="str">
            <v>Reclass internal hours from OPEX to Capex</v>
          </cell>
          <cell r="K254" t="str">
            <v>2026</v>
          </cell>
          <cell r="L254" t="str">
            <v>4</v>
          </cell>
        </row>
        <row r="255">
          <cell r="A255" t="str">
            <v>O7941/2604</v>
          </cell>
          <cell r="D255" t="str">
            <v>6190000001</v>
          </cell>
          <cell r="E255" t="str">
            <v>4791010675</v>
          </cell>
          <cell r="F255">
            <v>767.99</v>
          </cell>
          <cell r="J255" t="str">
            <v>DELOITTE CONSULTING &amp; ADVISORY/2026 Talent process</v>
          </cell>
          <cell r="K255" t="str">
            <v>2026</v>
          </cell>
          <cell r="L255" t="str">
            <v>5</v>
          </cell>
        </row>
        <row r="256">
          <cell r="A256" t="str">
            <v>O7941/2604</v>
          </cell>
          <cell r="D256" t="str">
            <v>6190000001</v>
          </cell>
          <cell r="E256" t="str">
            <v/>
          </cell>
          <cell r="F256">
            <v>1400</v>
          </cell>
          <cell r="J256" t="str">
            <v>Reclass internal hours from OPEX to Capex</v>
          </cell>
          <cell r="K256" t="str">
            <v>2026</v>
          </cell>
          <cell r="L256" t="str">
            <v>5</v>
          </cell>
        </row>
        <row r="257">
          <cell r="A257" t="str">
            <v>O7941/2604</v>
          </cell>
          <cell r="D257" t="str">
            <v>6190000001</v>
          </cell>
          <cell r="E257" t="str">
            <v/>
          </cell>
          <cell r="F257">
            <v>4881.46</v>
          </cell>
          <cell r="J257" t="str">
            <v>Reclass internal hours from OPEX to Capex</v>
          </cell>
          <cell r="K257" t="str">
            <v>2026</v>
          </cell>
          <cell r="L257" t="str">
            <v>6</v>
          </cell>
        </row>
        <row r="258">
          <cell r="A258" t="str">
            <v>O7941/2604</v>
          </cell>
          <cell r="D258" t="str">
            <v>6190000001</v>
          </cell>
          <cell r="E258" t="str">
            <v/>
          </cell>
          <cell r="F258">
            <v>2318.54</v>
          </cell>
          <cell r="J258" t="str">
            <v>Reclass internal hours from OPEX to Capex</v>
          </cell>
          <cell r="K258" t="str">
            <v>2026</v>
          </cell>
          <cell r="L258" t="str">
            <v>7</v>
          </cell>
        </row>
        <row r="259">
          <cell r="A259" t="str">
            <v>O7941/2604</v>
          </cell>
          <cell r="D259" t="str">
            <v>6190000001</v>
          </cell>
          <cell r="E259" t="str">
            <v/>
          </cell>
          <cell r="F259">
            <v>3700</v>
          </cell>
          <cell r="J259" t="str">
            <v>Reclass internal hours from OPEX to Capex</v>
          </cell>
          <cell r="K259" t="str">
            <v>2026</v>
          </cell>
          <cell r="L259" t="str">
            <v>8</v>
          </cell>
        </row>
        <row r="260">
          <cell r="A260" t="str">
            <v>O7941/2604</v>
          </cell>
          <cell r="D260" t="str">
            <v/>
          </cell>
          <cell r="E260" t="str">
            <v/>
          </cell>
          <cell r="F260">
            <v>41583.96</v>
          </cell>
          <cell r="J260" t="str">
            <v/>
          </cell>
          <cell r="K260" t="str">
            <v/>
          </cell>
          <cell r="L260" t="str">
            <v/>
          </cell>
        </row>
        <row r="261">
          <cell r="A261" t="str">
            <v>O7941/2605</v>
          </cell>
          <cell r="D261" t="str">
            <v>6190000001</v>
          </cell>
          <cell r="E261" t="str">
            <v>4791010716</v>
          </cell>
          <cell r="F261">
            <v>11100</v>
          </cell>
          <cell r="J261" t="str">
            <v>BMATIX NV/2026-Power BI dev. - ADB</v>
          </cell>
          <cell r="K261" t="str">
            <v>2026</v>
          </cell>
          <cell r="L261" t="str">
            <v>2</v>
          </cell>
        </row>
        <row r="262">
          <cell r="A262" t="str">
            <v>O7941/2605</v>
          </cell>
          <cell r="D262" t="str">
            <v>6190000001</v>
          </cell>
          <cell r="E262" t="str">
            <v>4791010716</v>
          </cell>
          <cell r="F262">
            <v>11925</v>
          </cell>
          <cell r="J262" t="str">
            <v>BMATIX NV/2026-Power BI dev. - ADB</v>
          </cell>
          <cell r="K262" t="str">
            <v>2026</v>
          </cell>
          <cell r="L262" t="str">
            <v>3</v>
          </cell>
        </row>
        <row r="263">
          <cell r="A263" t="str">
            <v>O7941/2605</v>
          </cell>
          <cell r="D263" t="str">
            <v>6190000001</v>
          </cell>
          <cell r="E263" t="str">
            <v>4791010716</v>
          </cell>
          <cell r="F263">
            <v>12000</v>
          </cell>
          <cell r="J263" t="str">
            <v>BMATIX NV/2026-Power BI dev. - ADB</v>
          </cell>
          <cell r="K263" t="str">
            <v>2026</v>
          </cell>
          <cell r="L263" t="str">
            <v>4</v>
          </cell>
        </row>
        <row r="264">
          <cell r="A264" t="str">
            <v>O7941/2605</v>
          </cell>
          <cell r="D264" t="str">
            <v>6190000001</v>
          </cell>
          <cell r="E264" t="str">
            <v>4791010716</v>
          </cell>
          <cell r="F264">
            <v>9000</v>
          </cell>
          <cell r="J264" t="str">
            <v>BMATIX NV/2026-Power BI dev. - ADB</v>
          </cell>
          <cell r="K264" t="str">
            <v>2026</v>
          </cell>
          <cell r="L264" t="str">
            <v>5</v>
          </cell>
        </row>
        <row r="265">
          <cell r="A265" t="str">
            <v>O7941/2605</v>
          </cell>
          <cell r="D265" t="str">
            <v>6190000001</v>
          </cell>
          <cell r="E265" t="str">
            <v>4791010716</v>
          </cell>
          <cell r="F265">
            <v>5975</v>
          </cell>
          <cell r="J265" t="str">
            <v>BMATIX NV/2026-Power BI dev. - ADB</v>
          </cell>
          <cell r="K265" t="str">
            <v>2026</v>
          </cell>
          <cell r="L265" t="str">
            <v>6</v>
          </cell>
        </row>
        <row r="266">
          <cell r="A266" t="str">
            <v>O7941/2605</v>
          </cell>
          <cell r="D266" t="str">
            <v/>
          </cell>
          <cell r="E266" t="str">
            <v/>
          </cell>
          <cell r="F266">
            <v>50000</v>
          </cell>
          <cell r="J266" t="str">
            <v/>
          </cell>
          <cell r="K266" t="str">
            <v/>
          </cell>
          <cell r="L266" t="str">
            <v/>
          </cell>
        </row>
        <row r="267">
          <cell r="A267" t="str">
            <v>O7941/2606</v>
          </cell>
          <cell r="D267" t="str">
            <v>6190000001</v>
          </cell>
          <cell r="E267" t="str">
            <v>4791010721</v>
          </cell>
          <cell r="F267">
            <v>15000</v>
          </cell>
          <cell r="J267" t="str">
            <v>SYSARB AB/2026-Sysarb licences-structure</v>
          </cell>
          <cell r="K267" t="str">
            <v>2026</v>
          </cell>
          <cell r="L267" t="str">
            <v>3</v>
          </cell>
        </row>
        <row r="268">
          <cell r="A268" t="str">
            <v>O7941/2606</v>
          </cell>
          <cell r="D268" t="str">
            <v>6190000001</v>
          </cell>
          <cell r="E268" t="str">
            <v>4791010721</v>
          </cell>
          <cell r="F268">
            <v>17500</v>
          </cell>
          <cell r="J268" t="str">
            <v>SYSARB AB/2026-Sysarb implementation+training</v>
          </cell>
          <cell r="K268" t="str">
            <v>2026</v>
          </cell>
          <cell r="L268" t="str">
            <v>3</v>
          </cell>
        </row>
        <row r="269">
          <cell r="A269" t="str">
            <v>O7941/2606</v>
          </cell>
          <cell r="D269" t="str">
            <v/>
          </cell>
          <cell r="E269" t="str">
            <v/>
          </cell>
          <cell r="F269">
            <v>32500</v>
          </cell>
          <cell r="J269" t="str">
            <v/>
          </cell>
          <cell r="K269" t="str">
            <v/>
          </cell>
          <cell r="L269" t="str">
            <v/>
          </cell>
        </row>
        <row r="270">
          <cell r="A270" t="str">
            <v>O7941/2607</v>
          </cell>
          <cell r="D270" t="str">
            <v>6190000001</v>
          </cell>
          <cell r="E270" t="str">
            <v/>
          </cell>
          <cell r="F270">
            <v>60392</v>
          </cell>
          <cell r="J270" t="str">
            <v>Reclass internal hours from OPEX to Capex</v>
          </cell>
          <cell r="K270" t="str">
            <v>2026</v>
          </cell>
          <cell r="L270" t="str">
            <v>2</v>
          </cell>
        </row>
        <row r="271">
          <cell r="A271" t="str">
            <v>O7941/2607</v>
          </cell>
          <cell r="D271" t="str">
            <v>6190000001</v>
          </cell>
          <cell r="E271" t="str">
            <v/>
          </cell>
          <cell r="F271">
            <v>85820</v>
          </cell>
          <cell r="J271" t="str">
            <v>Reclass internal hours from OPEX to Capex</v>
          </cell>
          <cell r="K271" t="str">
            <v>2026</v>
          </cell>
          <cell r="L271" t="str">
            <v>3</v>
          </cell>
        </row>
        <row r="272">
          <cell r="A272" t="str">
            <v>O7941/2607</v>
          </cell>
          <cell r="D272" t="str">
            <v>6190000001</v>
          </cell>
          <cell r="E272" t="str">
            <v/>
          </cell>
          <cell r="F272">
            <v>45326</v>
          </cell>
          <cell r="J272" t="str">
            <v>Reclass internal hours from OPEX to Capex</v>
          </cell>
          <cell r="K272" t="str">
            <v>2026</v>
          </cell>
          <cell r="L272" t="str">
            <v>4</v>
          </cell>
        </row>
        <row r="273">
          <cell r="A273" t="str">
            <v>O7941/2607</v>
          </cell>
          <cell r="D273" t="str">
            <v/>
          </cell>
          <cell r="E273" t="str">
            <v/>
          </cell>
          <cell r="F273">
            <v>191538</v>
          </cell>
          <cell r="J273" t="str">
            <v/>
          </cell>
          <cell r="K273" t="str">
            <v/>
          </cell>
          <cell r="L273" t="str">
            <v/>
          </cell>
        </row>
        <row r="274">
          <cell r="A274" t="str">
            <v>O7941/2609/2</v>
          </cell>
          <cell r="D274" t="str">
            <v>6133000130</v>
          </cell>
          <cell r="E274" t="str">
            <v/>
          </cell>
          <cell r="F274">
            <v>9225</v>
          </cell>
          <cell r="J274" t="str">
            <v>2716 - EHS - Review and Improvements</v>
          </cell>
          <cell r="K274" t="str">
            <v>2026</v>
          </cell>
          <cell r="L274" t="str">
            <v>3</v>
          </cell>
        </row>
        <row r="275">
          <cell r="A275" t="str">
            <v>O7941/2609/2</v>
          </cell>
          <cell r="D275" t="str">
            <v>6190000001</v>
          </cell>
          <cell r="E275" t="str">
            <v>4791010744</v>
          </cell>
          <cell r="F275">
            <v>4500</v>
          </cell>
          <cell r="J275" t="str">
            <v>BMATIX NV/2026-expert analyst EHS-JV</v>
          </cell>
          <cell r="K275" t="str">
            <v>2026</v>
          </cell>
          <cell r="L275" t="str">
            <v>4</v>
          </cell>
        </row>
        <row r="276">
          <cell r="A276" t="str">
            <v>O7941/2609/2</v>
          </cell>
          <cell r="D276" t="str">
            <v>6190000001</v>
          </cell>
          <cell r="E276" t="str">
            <v/>
          </cell>
          <cell r="F276">
            <v>35803</v>
          </cell>
          <cell r="J276" t="str">
            <v>Reclass internal hours from OPEX to Capex</v>
          </cell>
          <cell r="K276" t="str">
            <v>2026</v>
          </cell>
          <cell r="L276" t="str">
            <v>4</v>
          </cell>
        </row>
        <row r="277">
          <cell r="A277" t="str">
            <v>O7941/2609/2</v>
          </cell>
          <cell r="D277" t="str">
            <v>6190000001</v>
          </cell>
          <cell r="E277" t="str">
            <v>4791010744</v>
          </cell>
          <cell r="F277">
            <v>2700</v>
          </cell>
          <cell r="J277" t="str">
            <v>BMATIX NV/2026-expert analyst EHS-JV</v>
          </cell>
          <cell r="K277" t="str">
            <v>2026</v>
          </cell>
          <cell r="L277" t="str">
            <v>5</v>
          </cell>
        </row>
        <row r="278">
          <cell r="A278" t="str">
            <v>O7941/2609/2</v>
          </cell>
          <cell r="D278" t="str">
            <v>6190000001</v>
          </cell>
          <cell r="E278" t="str">
            <v/>
          </cell>
          <cell r="F278">
            <v>6197</v>
          </cell>
          <cell r="J278" t="str">
            <v>Reclass internal hours from OPEX to Capex</v>
          </cell>
          <cell r="K278" t="str">
            <v>2026</v>
          </cell>
          <cell r="L278" t="str">
            <v>5</v>
          </cell>
        </row>
        <row r="279">
          <cell r="A279" t="str">
            <v>O7941/2609/2</v>
          </cell>
          <cell r="D279" t="str">
            <v>6190000001</v>
          </cell>
          <cell r="E279" t="str">
            <v>4791010744</v>
          </cell>
          <cell r="F279">
            <v>900</v>
          </cell>
          <cell r="J279" t="str">
            <v>BMATIX NV/2026-expert analyst EHS-JV</v>
          </cell>
          <cell r="K279" t="str">
            <v>2026</v>
          </cell>
          <cell r="L279" t="str">
            <v>6</v>
          </cell>
        </row>
        <row r="280">
          <cell r="A280" t="str">
            <v>O7941/2609/2</v>
          </cell>
          <cell r="D280" t="str">
            <v>6190000001</v>
          </cell>
          <cell r="E280" t="str">
            <v/>
          </cell>
          <cell r="F280">
            <v>4680</v>
          </cell>
          <cell r="J280" t="str">
            <v>Reclass internal hours from OPEX to Capex</v>
          </cell>
          <cell r="K280" t="str">
            <v>2026</v>
          </cell>
          <cell r="L280" t="str">
            <v>6</v>
          </cell>
        </row>
        <row r="281">
          <cell r="A281" t="str">
            <v>O7941/2609/2</v>
          </cell>
          <cell r="D281" t="str">
            <v>6190000001</v>
          </cell>
          <cell r="E281" t="str">
            <v/>
          </cell>
          <cell r="F281">
            <v>6840</v>
          </cell>
          <cell r="J281" t="str">
            <v>Reclass internal hours from OPEX to Capex</v>
          </cell>
          <cell r="K281" t="str">
            <v>2026</v>
          </cell>
          <cell r="L281" t="str">
            <v>7</v>
          </cell>
        </row>
        <row r="282">
          <cell r="A282" t="str">
            <v>O7941/2609/2</v>
          </cell>
          <cell r="D282" t="str">
            <v>6190000001</v>
          </cell>
          <cell r="E282" t="str">
            <v/>
          </cell>
          <cell r="F282">
            <v>5040</v>
          </cell>
          <cell r="J282" t="str">
            <v>Reclass internal hours from OPEX to Capex</v>
          </cell>
          <cell r="K282" t="str">
            <v>2026</v>
          </cell>
          <cell r="L282" t="str">
            <v>8</v>
          </cell>
        </row>
        <row r="283">
          <cell r="A283" t="str">
            <v>O7941/2609/2</v>
          </cell>
          <cell r="D283" t="str">
            <v/>
          </cell>
          <cell r="E283" t="str">
            <v/>
          </cell>
          <cell r="F283">
            <v>75885</v>
          </cell>
          <cell r="J283" t="str">
            <v/>
          </cell>
          <cell r="K283" t="str">
            <v/>
          </cell>
          <cell r="L283" t="str">
            <v/>
          </cell>
        </row>
        <row r="284">
          <cell r="A284" t="str">
            <v>O7941/2610</v>
          </cell>
          <cell r="D284" t="str">
            <v>6190000001</v>
          </cell>
          <cell r="E284" t="str">
            <v/>
          </cell>
          <cell r="F284">
            <v>125592</v>
          </cell>
          <cell r="J284" t="str">
            <v>Reclass internal hours from OPEX to Capex</v>
          </cell>
          <cell r="K284" t="str">
            <v>2026</v>
          </cell>
          <cell r="L284" t="str">
            <v>3</v>
          </cell>
        </row>
        <row r="285">
          <cell r="A285" t="str">
            <v>O7941/2610</v>
          </cell>
          <cell r="D285" t="str">
            <v>6190000001</v>
          </cell>
          <cell r="E285" t="str">
            <v/>
          </cell>
          <cell r="F285">
            <v>42045</v>
          </cell>
          <cell r="J285" t="str">
            <v>Reclass internal hours from OPEX to Capex</v>
          </cell>
          <cell r="K285" t="str">
            <v>2026</v>
          </cell>
          <cell r="L285" t="str">
            <v>4</v>
          </cell>
        </row>
        <row r="286">
          <cell r="A286" t="str">
            <v>O7941/2610</v>
          </cell>
          <cell r="D286" t="str">
            <v>6190000001</v>
          </cell>
          <cell r="E286" t="str">
            <v/>
          </cell>
          <cell r="F286">
            <v>59520</v>
          </cell>
          <cell r="J286" t="str">
            <v>Reclass internal hours from OPEX to Capex</v>
          </cell>
          <cell r="K286" t="str">
            <v>2026</v>
          </cell>
          <cell r="L286" t="str">
            <v>5</v>
          </cell>
        </row>
        <row r="287">
          <cell r="A287" t="str">
            <v>O7941/2610</v>
          </cell>
          <cell r="D287" t="str">
            <v>6190000001</v>
          </cell>
          <cell r="E287" t="str">
            <v/>
          </cell>
          <cell r="F287">
            <v>33430.400000000001</v>
          </cell>
          <cell r="J287" t="str">
            <v>Reclass internal hours from OPEX to Capex</v>
          </cell>
          <cell r="K287" t="str">
            <v>2026</v>
          </cell>
          <cell r="L287" t="str">
            <v>6</v>
          </cell>
        </row>
        <row r="288">
          <cell r="A288" t="str">
            <v>O7941/2610</v>
          </cell>
          <cell r="D288" t="str">
            <v>6190000001</v>
          </cell>
          <cell r="E288" t="str">
            <v/>
          </cell>
          <cell r="F288">
            <v>57672.6</v>
          </cell>
          <cell r="J288" t="str">
            <v>Reclass internal hours from OPEX to Capex</v>
          </cell>
          <cell r="K288" t="str">
            <v>2026</v>
          </cell>
          <cell r="L288" t="str">
            <v>7</v>
          </cell>
        </row>
        <row r="289">
          <cell r="A289" t="str">
            <v>O7941/2610</v>
          </cell>
          <cell r="D289" t="str">
            <v>6190000001</v>
          </cell>
          <cell r="E289" t="str">
            <v/>
          </cell>
          <cell r="F289">
            <v>10896</v>
          </cell>
          <cell r="J289" t="str">
            <v>Reclass internal hours from OPEX to Capex</v>
          </cell>
          <cell r="K289" t="str">
            <v>2026</v>
          </cell>
          <cell r="L289" t="str">
            <v>8</v>
          </cell>
        </row>
        <row r="290">
          <cell r="A290" t="str">
            <v>O7941/2610</v>
          </cell>
          <cell r="D290" t="str">
            <v/>
          </cell>
          <cell r="E290" t="str">
            <v/>
          </cell>
          <cell r="F290">
            <v>329156</v>
          </cell>
          <cell r="J290" t="str">
            <v/>
          </cell>
          <cell r="K290" t="str">
            <v/>
          </cell>
          <cell r="L290" t="str">
            <v/>
          </cell>
        </row>
        <row r="291">
          <cell r="A291" t="str">
            <v>O7941/2611</v>
          </cell>
          <cell r="D291" t="str">
            <v>6190000001</v>
          </cell>
          <cell r="E291" t="str">
            <v/>
          </cell>
          <cell r="F291">
            <v>11544</v>
          </cell>
          <cell r="J291" t="str">
            <v>Reclass internal hours from OPEX to Capex</v>
          </cell>
          <cell r="K291" t="str">
            <v>2026</v>
          </cell>
          <cell r="L291" t="str">
            <v>5</v>
          </cell>
        </row>
        <row r="292">
          <cell r="A292" t="str">
            <v>O7941/2611</v>
          </cell>
          <cell r="D292" t="str">
            <v>6190000001</v>
          </cell>
          <cell r="E292" t="str">
            <v/>
          </cell>
          <cell r="F292">
            <v>19426.23</v>
          </cell>
          <cell r="J292" t="str">
            <v>Reclass internal hours from OPEX to Capex</v>
          </cell>
          <cell r="K292" t="str">
            <v>2026</v>
          </cell>
          <cell r="L292" t="str">
            <v>6</v>
          </cell>
        </row>
        <row r="293">
          <cell r="A293" t="str">
            <v>O7941/2611</v>
          </cell>
          <cell r="D293" t="str">
            <v>6190000001</v>
          </cell>
          <cell r="E293" t="str">
            <v/>
          </cell>
          <cell r="F293">
            <v>3217.77</v>
          </cell>
          <cell r="J293" t="str">
            <v>Reclass internal hours from OPEX to Capex</v>
          </cell>
          <cell r="K293" t="str">
            <v>2026</v>
          </cell>
          <cell r="L293" t="str">
            <v>7</v>
          </cell>
        </row>
        <row r="294">
          <cell r="A294" t="str">
            <v>O7941/2611</v>
          </cell>
          <cell r="D294" t="str">
            <v>6190000001</v>
          </cell>
          <cell r="E294" t="str">
            <v/>
          </cell>
          <cell r="F294">
            <v>3927</v>
          </cell>
          <cell r="J294" t="str">
            <v>Reclass internal hours from OPEX to Capex</v>
          </cell>
          <cell r="K294" t="str">
            <v>2026</v>
          </cell>
          <cell r="L294" t="str">
            <v>8</v>
          </cell>
        </row>
        <row r="295">
          <cell r="A295" t="str">
            <v>O7941/2611</v>
          </cell>
          <cell r="D295" t="str">
            <v/>
          </cell>
          <cell r="E295" t="str">
            <v/>
          </cell>
          <cell r="F295">
            <v>38115</v>
          </cell>
          <cell r="J295" t="str">
            <v/>
          </cell>
          <cell r="K295" t="str">
            <v/>
          </cell>
          <cell r="L295" t="str">
            <v/>
          </cell>
        </row>
        <row r="296">
          <cell r="A296" t="str">
            <v>O7941/2612</v>
          </cell>
          <cell r="D296" t="str">
            <v>6190000001</v>
          </cell>
          <cell r="E296" t="str">
            <v/>
          </cell>
          <cell r="F296">
            <v>55184</v>
          </cell>
          <cell r="J296" t="str">
            <v>Reclass internal hours from OPEX to Capex</v>
          </cell>
          <cell r="K296" t="str">
            <v>2026</v>
          </cell>
          <cell r="L296" t="str">
            <v>3</v>
          </cell>
        </row>
        <row r="297">
          <cell r="A297" t="str">
            <v>O7941/2612</v>
          </cell>
          <cell r="D297" t="str">
            <v>6190000001</v>
          </cell>
          <cell r="E297" t="str">
            <v/>
          </cell>
          <cell r="F297">
            <v>1144</v>
          </cell>
          <cell r="J297" t="str">
            <v>Reclass internal hours from OPEX to Capex</v>
          </cell>
          <cell r="K297" t="str">
            <v>2026</v>
          </cell>
          <cell r="L297" t="str">
            <v>4</v>
          </cell>
        </row>
        <row r="298">
          <cell r="A298" t="str">
            <v>O7941/2612</v>
          </cell>
          <cell r="D298" t="str">
            <v>6190000001</v>
          </cell>
          <cell r="E298" t="str">
            <v/>
          </cell>
          <cell r="F298">
            <v>36961.599999999999</v>
          </cell>
          <cell r="J298" t="str">
            <v>Reclass internal hours from OPEX to Capex</v>
          </cell>
          <cell r="K298" t="str">
            <v>2026</v>
          </cell>
          <cell r="L298" t="str">
            <v>5</v>
          </cell>
        </row>
        <row r="299">
          <cell r="A299" t="str">
            <v>O7941/2612</v>
          </cell>
          <cell r="D299" t="str">
            <v>6190000001</v>
          </cell>
          <cell r="E299" t="str">
            <v/>
          </cell>
          <cell r="F299">
            <v>54778.66</v>
          </cell>
          <cell r="J299" t="str">
            <v>Reclass internal hours from OPEX to Capex</v>
          </cell>
          <cell r="K299" t="str">
            <v>2026</v>
          </cell>
          <cell r="L299" t="str">
            <v>6</v>
          </cell>
        </row>
        <row r="300">
          <cell r="A300" t="str">
            <v>O7941/2612</v>
          </cell>
          <cell r="D300" t="str">
            <v>6190000001</v>
          </cell>
          <cell r="E300" t="str">
            <v/>
          </cell>
          <cell r="F300">
            <v>19239.34</v>
          </cell>
          <cell r="J300" t="str">
            <v>Reclass internal hours from OPEX to Capex</v>
          </cell>
          <cell r="K300" t="str">
            <v>2026</v>
          </cell>
          <cell r="L300" t="str">
            <v>7</v>
          </cell>
        </row>
        <row r="301">
          <cell r="A301" t="str">
            <v>O7941/2612</v>
          </cell>
          <cell r="D301" t="str">
            <v>6190000001</v>
          </cell>
          <cell r="E301" t="str">
            <v/>
          </cell>
          <cell r="F301">
            <v>12640</v>
          </cell>
          <cell r="J301" t="str">
            <v>Reclass internal hours from OPEX to Capex</v>
          </cell>
          <cell r="K301" t="str">
            <v>2026</v>
          </cell>
          <cell r="L301" t="str">
            <v>8</v>
          </cell>
        </row>
        <row r="302">
          <cell r="A302" t="str">
            <v>O7941/2612</v>
          </cell>
          <cell r="D302" t="str">
            <v/>
          </cell>
          <cell r="E302" t="str">
            <v/>
          </cell>
          <cell r="F302">
            <v>179947.6</v>
          </cell>
          <cell r="J302" t="str">
            <v/>
          </cell>
          <cell r="K302" t="str">
            <v/>
          </cell>
          <cell r="L302" t="str">
            <v/>
          </cell>
        </row>
        <row r="303">
          <cell r="A303" t="str">
            <v>O7941/2613</v>
          </cell>
          <cell r="D303" t="str">
            <v>6190000001</v>
          </cell>
          <cell r="E303" t="str">
            <v>4791010437</v>
          </cell>
          <cell r="F303">
            <v>20000</v>
          </cell>
          <cell r="J303" t="str">
            <v>ERNST &amp; YOUNG CONSULTIN/2026 ESG Tagetik implement</v>
          </cell>
          <cell r="K303" t="str">
            <v>2026</v>
          </cell>
          <cell r="L303" t="str">
            <v>3</v>
          </cell>
        </row>
        <row r="304">
          <cell r="A304" t="str">
            <v>O7941/2613</v>
          </cell>
          <cell r="D304" t="str">
            <v>6190000001</v>
          </cell>
          <cell r="E304" t="str">
            <v>4791010437</v>
          </cell>
          <cell r="F304">
            <v>10000</v>
          </cell>
          <cell r="J304" t="str">
            <v>ERNST &amp; YOUNG CONSULTIN/2026 ESG Tagetik implement</v>
          </cell>
          <cell r="K304" t="str">
            <v>2026</v>
          </cell>
          <cell r="L304" t="str">
            <v>3</v>
          </cell>
        </row>
        <row r="305">
          <cell r="A305" t="str">
            <v>O7941/2613</v>
          </cell>
          <cell r="D305" t="str">
            <v>6190000001</v>
          </cell>
          <cell r="E305" t="str">
            <v/>
          </cell>
          <cell r="F305">
            <v>32700</v>
          </cell>
          <cell r="J305" t="str">
            <v>Reclass internal hours from OPEX to Capex</v>
          </cell>
          <cell r="K305" t="str">
            <v>2026</v>
          </cell>
          <cell r="L305" t="str">
            <v>3</v>
          </cell>
        </row>
        <row r="306">
          <cell r="A306" t="str">
            <v>O7941/2613</v>
          </cell>
          <cell r="D306" t="str">
            <v>6190000001</v>
          </cell>
          <cell r="E306" t="str">
            <v>4791010437</v>
          </cell>
          <cell r="F306">
            <v>10000</v>
          </cell>
          <cell r="J306" t="str">
            <v>ERNST &amp; YOUNG CONSULTIN/2026 ESG Tagetik implement</v>
          </cell>
          <cell r="K306" t="str">
            <v>2026</v>
          </cell>
          <cell r="L306" t="str">
            <v>4</v>
          </cell>
        </row>
        <row r="307">
          <cell r="A307" t="str">
            <v>O7941/2613</v>
          </cell>
          <cell r="D307" t="str">
            <v>6190000001</v>
          </cell>
          <cell r="E307" t="str">
            <v/>
          </cell>
          <cell r="F307">
            <v>7150</v>
          </cell>
          <cell r="J307" t="str">
            <v>Reclass internal hours from OPEX to Capex</v>
          </cell>
          <cell r="K307" t="str">
            <v>2026</v>
          </cell>
          <cell r="L307" t="str">
            <v>4</v>
          </cell>
        </row>
        <row r="308">
          <cell r="A308" t="str">
            <v>O7941/2613</v>
          </cell>
          <cell r="D308" t="str">
            <v>6190000001</v>
          </cell>
          <cell r="E308" t="str">
            <v/>
          </cell>
          <cell r="F308">
            <v>6000</v>
          </cell>
          <cell r="J308" t="str">
            <v>Reclass internal hours from OPEX to Capex</v>
          </cell>
          <cell r="K308" t="str">
            <v>2026</v>
          </cell>
          <cell r="L308" t="str">
            <v>5</v>
          </cell>
        </row>
        <row r="309">
          <cell r="A309" t="str">
            <v>O7941/2613</v>
          </cell>
          <cell r="D309" t="str">
            <v>6190000001</v>
          </cell>
          <cell r="E309" t="str">
            <v>4791010437</v>
          </cell>
          <cell r="F309">
            <v>10000</v>
          </cell>
          <cell r="J309" t="str">
            <v>ERNST &amp; YOUNG CONSULTIN/2026 ESG Tagetik implement</v>
          </cell>
          <cell r="K309" t="str">
            <v>2026</v>
          </cell>
          <cell r="L309" t="str">
            <v>6</v>
          </cell>
        </row>
        <row r="310">
          <cell r="A310" t="str">
            <v>O7941/2613</v>
          </cell>
          <cell r="D310" t="str">
            <v>6190000001</v>
          </cell>
          <cell r="E310" t="str">
            <v/>
          </cell>
          <cell r="F310">
            <v>7450.56</v>
          </cell>
          <cell r="J310" t="str">
            <v>Reclass internal hours from OPEX to Capex</v>
          </cell>
          <cell r="K310" t="str">
            <v>2026</v>
          </cell>
          <cell r="L310" t="str">
            <v>6</v>
          </cell>
        </row>
        <row r="311">
          <cell r="A311" t="str">
            <v>O7941/2613</v>
          </cell>
          <cell r="D311" t="str">
            <v>6190000001</v>
          </cell>
          <cell r="E311" t="str">
            <v>4791010437</v>
          </cell>
          <cell r="F311">
            <v>6250</v>
          </cell>
          <cell r="J311" t="str">
            <v>ERNST &amp; YOUNG CONSULTIN/2026 ESG Tagetik implement</v>
          </cell>
          <cell r="K311" t="str">
            <v>2026</v>
          </cell>
          <cell r="L311" t="str">
            <v>7</v>
          </cell>
        </row>
        <row r="312">
          <cell r="A312" t="str">
            <v>O7941/2613</v>
          </cell>
          <cell r="D312" t="str">
            <v>6190000001</v>
          </cell>
          <cell r="E312" t="str">
            <v>4791010437</v>
          </cell>
          <cell r="F312">
            <v>6250</v>
          </cell>
          <cell r="J312" t="str">
            <v>ERNST &amp; YOUNG CONSULTIN/2026 ESG Tagetik implement</v>
          </cell>
          <cell r="K312" t="str">
            <v>2026</v>
          </cell>
          <cell r="L312" t="str">
            <v>7</v>
          </cell>
        </row>
        <row r="313">
          <cell r="A313" t="str">
            <v>O7941/2613</v>
          </cell>
          <cell r="D313" t="str">
            <v>6190000001</v>
          </cell>
          <cell r="E313" t="str">
            <v>4791010437</v>
          </cell>
          <cell r="F313">
            <v>28141.3</v>
          </cell>
          <cell r="J313" t="str">
            <v>ERNST &amp; YOUNG CONSULTIN/2026 ESG Tagetik implement</v>
          </cell>
          <cell r="K313" t="str">
            <v>2026</v>
          </cell>
          <cell r="L313" t="str">
            <v>7</v>
          </cell>
        </row>
        <row r="314">
          <cell r="A314" t="str">
            <v>O7941/2613</v>
          </cell>
          <cell r="D314" t="str">
            <v>6190000001</v>
          </cell>
          <cell r="E314" t="str">
            <v>4791010437</v>
          </cell>
          <cell r="F314">
            <v>6250</v>
          </cell>
          <cell r="J314" t="str">
            <v>ERNST &amp; YOUNG CONSULTIN/2026 ESG Tagetik implement</v>
          </cell>
          <cell r="K314" t="str">
            <v>2026</v>
          </cell>
          <cell r="L314" t="str">
            <v>8</v>
          </cell>
        </row>
        <row r="315">
          <cell r="A315" t="str">
            <v>O7941/2613</v>
          </cell>
          <cell r="D315" t="str">
            <v/>
          </cell>
          <cell r="E315" t="str">
            <v/>
          </cell>
          <cell r="F315">
            <v>150191.85999999999</v>
          </cell>
          <cell r="J315" t="str">
            <v/>
          </cell>
          <cell r="K315" t="str">
            <v/>
          </cell>
          <cell r="L315" t="str">
            <v/>
          </cell>
        </row>
        <row r="316">
          <cell r="A316" t="str">
            <v>O7941/2614</v>
          </cell>
          <cell r="D316" t="str">
            <v>6190000001</v>
          </cell>
          <cell r="E316" t="str">
            <v/>
          </cell>
          <cell r="F316">
            <v>8100</v>
          </cell>
          <cell r="J316" t="str">
            <v>Reclass internal hours from OPEX to Capex</v>
          </cell>
          <cell r="K316" t="str">
            <v>2026</v>
          </cell>
          <cell r="L316" t="str">
            <v>3</v>
          </cell>
        </row>
        <row r="317">
          <cell r="A317" t="str">
            <v>O7941/2614</v>
          </cell>
          <cell r="D317" t="str">
            <v>6133000130</v>
          </cell>
          <cell r="E317" t="str">
            <v/>
          </cell>
          <cell r="F317">
            <v>25366.75</v>
          </cell>
          <cell r="J317" t="str">
            <v>2026-additions-improve Mendix OEE</v>
          </cell>
          <cell r="K317" t="str">
            <v>2026</v>
          </cell>
          <cell r="L317" t="str">
            <v>3</v>
          </cell>
        </row>
        <row r="318">
          <cell r="A318" t="str">
            <v>O7941/2614</v>
          </cell>
          <cell r="D318" t="str">
            <v>6133000130</v>
          </cell>
          <cell r="E318" t="str">
            <v/>
          </cell>
          <cell r="F318">
            <v>4875</v>
          </cell>
          <cell r="J318" t="str">
            <v>Bmatix - 2026-OEE - ADB</v>
          </cell>
          <cell r="K318" t="str">
            <v>2026</v>
          </cell>
          <cell r="L318" t="str">
            <v>4</v>
          </cell>
        </row>
        <row r="319">
          <cell r="A319" t="str">
            <v>O7941/2614</v>
          </cell>
          <cell r="D319" t="str">
            <v>6190000001</v>
          </cell>
          <cell r="E319" t="str">
            <v>4791010773</v>
          </cell>
          <cell r="F319">
            <v>8331.25</v>
          </cell>
          <cell r="J319" t="str">
            <v>APVINE NV/2026-Mendix OEE Appl. cont. improvements</v>
          </cell>
          <cell r="K319" t="str">
            <v>2026</v>
          </cell>
          <cell r="L319" t="str">
            <v>4</v>
          </cell>
        </row>
        <row r="320">
          <cell r="A320" t="str">
            <v>O7941/2614</v>
          </cell>
          <cell r="D320" t="str">
            <v>6190000001</v>
          </cell>
          <cell r="E320" t="str">
            <v/>
          </cell>
          <cell r="F320">
            <v>4900</v>
          </cell>
          <cell r="J320" t="str">
            <v>Reclass internal hours from OPEX to Capex</v>
          </cell>
          <cell r="K320" t="str">
            <v>2026</v>
          </cell>
          <cell r="L320" t="str">
            <v>4</v>
          </cell>
        </row>
        <row r="321">
          <cell r="A321" t="str">
            <v>O7941/2614</v>
          </cell>
          <cell r="D321" t="str">
            <v>6190000001</v>
          </cell>
          <cell r="E321" t="str">
            <v>4791010773</v>
          </cell>
          <cell r="F321">
            <v>193.75</v>
          </cell>
          <cell r="J321" t="str">
            <v>APVINE NV/2026-Mendix OEE Appl. cont. improvements</v>
          </cell>
          <cell r="K321" t="str">
            <v>2026</v>
          </cell>
          <cell r="L321" t="str">
            <v>5</v>
          </cell>
        </row>
        <row r="322">
          <cell r="A322" t="str">
            <v>O7941/2614</v>
          </cell>
          <cell r="D322" t="str">
            <v>6190000001</v>
          </cell>
          <cell r="E322" t="str">
            <v/>
          </cell>
          <cell r="F322">
            <v>2400</v>
          </cell>
          <cell r="J322" t="str">
            <v>Reclass internal hours from OPEX to Capex</v>
          </cell>
          <cell r="K322" t="str">
            <v>2026</v>
          </cell>
          <cell r="L322" t="str">
            <v>5</v>
          </cell>
        </row>
        <row r="323">
          <cell r="A323" t="str">
            <v>O7941/2614</v>
          </cell>
          <cell r="D323" t="str">
            <v>6190000001</v>
          </cell>
          <cell r="E323" t="str">
            <v>4791010716</v>
          </cell>
          <cell r="F323">
            <v>4225</v>
          </cell>
          <cell r="J323" t="str">
            <v>BMATIX NV/2026-Power BI dev. - ADB</v>
          </cell>
          <cell r="K323" t="str">
            <v>2026</v>
          </cell>
          <cell r="L323" t="str">
            <v>6</v>
          </cell>
        </row>
        <row r="324">
          <cell r="A324" t="str">
            <v>O7941/2614</v>
          </cell>
          <cell r="D324" t="str">
            <v>6190000001</v>
          </cell>
          <cell r="E324" t="str">
            <v>4791010742</v>
          </cell>
          <cell r="F324">
            <v>5400</v>
          </cell>
          <cell r="J324" t="str">
            <v>BMATIX NV/2026- H2 OEE - ADB</v>
          </cell>
          <cell r="K324" t="str">
            <v>2026</v>
          </cell>
          <cell r="L324" t="str">
            <v>7</v>
          </cell>
        </row>
        <row r="325">
          <cell r="A325" t="str">
            <v>O7941/2614</v>
          </cell>
          <cell r="D325" t="str">
            <v>6190000001</v>
          </cell>
          <cell r="E325" t="str">
            <v/>
          </cell>
          <cell r="F325">
            <v>7500</v>
          </cell>
          <cell r="J325" t="str">
            <v>Reclass internal hours from OPEX to Capex</v>
          </cell>
          <cell r="K325" t="str">
            <v>2026</v>
          </cell>
          <cell r="L325" t="str">
            <v>7</v>
          </cell>
        </row>
        <row r="326">
          <cell r="A326" t="str">
            <v>O7941/2614</v>
          </cell>
          <cell r="D326" t="str">
            <v>6190000001</v>
          </cell>
          <cell r="E326" t="str">
            <v/>
          </cell>
          <cell r="F326">
            <v>6555</v>
          </cell>
          <cell r="J326" t="str">
            <v>Reclass internal hours from OPEX to Capex</v>
          </cell>
          <cell r="K326" t="str">
            <v>2026</v>
          </cell>
          <cell r="L326" t="str">
            <v>8</v>
          </cell>
        </row>
        <row r="327">
          <cell r="A327" t="str">
            <v>O7941/2614</v>
          </cell>
          <cell r="D327" t="str">
            <v>6133000035</v>
          </cell>
          <cell r="E327" t="str">
            <v/>
          </cell>
          <cell r="F327">
            <v>1800</v>
          </cell>
          <cell r="J327" t="str">
            <v>WBS O7941/2614</v>
          </cell>
          <cell r="K327" t="str">
            <v>2026</v>
          </cell>
          <cell r="L327" t="str">
            <v>8</v>
          </cell>
        </row>
        <row r="328">
          <cell r="A328" t="str">
            <v>O7941/2614</v>
          </cell>
          <cell r="D328" t="str">
            <v>6190000001</v>
          </cell>
          <cell r="E328" t="str">
            <v>4791010742</v>
          </cell>
          <cell r="F328">
            <v>12600</v>
          </cell>
          <cell r="J328" t="str">
            <v>BMATIX NV/2026- H2 OEE - ADB</v>
          </cell>
          <cell r="K328" t="str">
            <v>2026</v>
          </cell>
          <cell r="L328" t="str">
            <v>9</v>
          </cell>
        </row>
        <row r="329">
          <cell r="A329" t="str">
            <v>O7941/2614</v>
          </cell>
          <cell r="D329" t="str">
            <v/>
          </cell>
          <cell r="E329" t="str">
            <v/>
          </cell>
          <cell r="F329">
            <v>92246.75</v>
          </cell>
          <cell r="J329" t="str">
            <v/>
          </cell>
          <cell r="K329" t="str">
            <v/>
          </cell>
          <cell r="L329" t="str">
            <v/>
          </cell>
        </row>
        <row r="330">
          <cell r="A330" t="str">
            <v>O7941/2615</v>
          </cell>
          <cell r="D330" t="str">
            <v>6190000001</v>
          </cell>
          <cell r="E330" t="str">
            <v/>
          </cell>
          <cell r="F330">
            <v>7300</v>
          </cell>
          <cell r="J330" t="str">
            <v>Reclass internal hours from OPEX to Capex</v>
          </cell>
          <cell r="K330" t="str">
            <v>2026</v>
          </cell>
          <cell r="L330" t="str">
            <v>3</v>
          </cell>
        </row>
        <row r="331">
          <cell r="A331" t="str">
            <v>O7941/2615</v>
          </cell>
          <cell r="D331" t="str">
            <v>6190000001</v>
          </cell>
          <cell r="E331" t="str">
            <v/>
          </cell>
          <cell r="F331">
            <v>48900</v>
          </cell>
          <cell r="J331" t="str">
            <v>Reclass internal hours from OPEX to Capex</v>
          </cell>
          <cell r="K331" t="str">
            <v>2026</v>
          </cell>
          <cell r="L331" t="str">
            <v>4</v>
          </cell>
        </row>
        <row r="332">
          <cell r="A332" t="str">
            <v>O7941/2615</v>
          </cell>
          <cell r="D332" t="str">
            <v>6190000001</v>
          </cell>
          <cell r="E332" t="str">
            <v/>
          </cell>
          <cell r="F332">
            <v>11650</v>
          </cell>
          <cell r="J332" t="str">
            <v>Reclass internal hours from OPEX to Capex</v>
          </cell>
          <cell r="K332" t="str">
            <v>2026</v>
          </cell>
          <cell r="L332" t="str">
            <v>5</v>
          </cell>
        </row>
        <row r="333">
          <cell r="A333" t="str">
            <v>O7941/2615</v>
          </cell>
          <cell r="D333" t="str">
            <v>6190000001</v>
          </cell>
          <cell r="E333" t="str">
            <v/>
          </cell>
          <cell r="F333">
            <v>26632.85</v>
          </cell>
          <cell r="J333" t="str">
            <v>Reclass internal hours from OPEX to Capex</v>
          </cell>
          <cell r="K333" t="str">
            <v>2026</v>
          </cell>
          <cell r="L333" t="str">
            <v>6</v>
          </cell>
        </row>
        <row r="334">
          <cell r="A334" t="str">
            <v>O7941/2615</v>
          </cell>
          <cell r="D334" t="str">
            <v>6190000001</v>
          </cell>
          <cell r="E334" t="str">
            <v/>
          </cell>
          <cell r="F334">
            <v>30572.15</v>
          </cell>
          <cell r="J334" t="str">
            <v>Reclass internal hours from OPEX to Capex</v>
          </cell>
          <cell r="K334" t="str">
            <v>2026</v>
          </cell>
          <cell r="L334" t="str">
            <v>7</v>
          </cell>
        </row>
        <row r="335">
          <cell r="A335" t="str">
            <v>O7941/2615</v>
          </cell>
          <cell r="D335" t="str">
            <v>6190000001</v>
          </cell>
          <cell r="E335" t="str">
            <v/>
          </cell>
          <cell r="F335">
            <v>10800</v>
          </cell>
          <cell r="J335" t="str">
            <v>Reclass internal hours from OPEX to Capex</v>
          </cell>
          <cell r="K335" t="str">
            <v>2026</v>
          </cell>
          <cell r="L335" t="str">
            <v>8</v>
          </cell>
        </row>
        <row r="336">
          <cell r="A336" t="str">
            <v>O7941/2615</v>
          </cell>
          <cell r="D336" t="str">
            <v/>
          </cell>
          <cell r="E336" t="str">
            <v/>
          </cell>
          <cell r="F336">
            <v>135855</v>
          </cell>
          <cell r="J336" t="str">
            <v/>
          </cell>
          <cell r="K336" t="str">
            <v/>
          </cell>
          <cell r="L336" t="str">
            <v/>
          </cell>
        </row>
        <row r="337">
          <cell r="A337" t="str">
            <v>O7941/2616</v>
          </cell>
          <cell r="D337" t="str">
            <v>6190000001</v>
          </cell>
          <cell r="E337" t="str">
            <v/>
          </cell>
          <cell r="F337">
            <v>4815</v>
          </cell>
          <cell r="J337" t="str">
            <v>Reclass internal hours from OPEX to Capex</v>
          </cell>
          <cell r="K337" t="str">
            <v>2026</v>
          </cell>
          <cell r="L337" t="str">
            <v>4</v>
          </cell>
        </row>
        <row r="338">
          <cell r="A338" t="str">
            <v>O7941/2616</v>
          </cell>
          <cell r="D338" t="str">
            <v>6190000001</v>
          </cell>
          <cell r="E338" t="str">
            <v/>
          </cell>
          <cell r="F338">
            <v>17274.599999999999</v>
          </cell>
          <cell r="J338" t="str">
            <v>Reclass internal hours from OPEX to Capex</v>
          </cell>
          <cell r="K338" t="str">
            <v>2026</v>
          </cell>
          <cell r="L338" t="str">
            <v>6</v>
          </cell>
        </row>
        <row r="339">
          <cell r="A339" t="str">
            <v>O7941/2616</v>
          </cell>
          <cell r="D339" t="str">
            <v>6190000001</v>
          </cell>
          <cell r="E339" t="str">
            <v/>
          </cell>
          <cell r="F339">
            <v>17615.400000000001</v>
          </cell>
          <cell r="J339" t="str">
            <v>Reclass internal hours from OPEX to Capex</v>
          </cell>
          <cell r="K339" t="str">
            <v>2026</v>
          </cell>
          <cell r="L339" t="str">
            <v>7</v>
          </cell>
        </row>
        <row r="340">
          <cell r="A340" t="str">
            <v>O7941/2616</v>
          </cell>
          <cell r="D340" t="str">
            <v>6190000001</v>
          </cell>
          <cell r="E340" t="str">
            <v/>
          </cell>
          <cell r="F340">
            <v>3000</v>
          </cell>
          <cell r="J340" t="str">
            <v>Reclass internal hours from OPEX to Capex</v>
          </cell>
          <cell r="K340" t="str">
            <v>2026</v>
          </cell>
          <cell r="L340" t="str">
            <v>8</v>
          </cell>
        </row>
        <row r="341">
          <cell r="A341" t="str">
            <v>O7941/2616</v>
          </cell>
          <cell r="D341" t="str">
            <v/>
          </cell>
          <cell r="E341" t="str">
            <v/>
          </cell>
          <cell r="F341">
            <v>42705</v>
          </cell>
          <cell r="J341" t="str">
            <v/>
          </cell>
          <cell r="K341" t="str">
            <v/>
          </cell>
          <cell r="L341" t="str">
            <v/>
          </cell>
        </row>
        <row r="342">
          <cell r="A342" t="str">
            <v>O7941/2617</v>
          </cell>
          <cell r="D342" t="str">
            <v>6190000001</v>
          </cell>
          <cell r="E342" t="str">
            <v>4791010827</v>
          </cell>
          <cell r="F342">
            <v>12601</v>
          </cell>
          <cell r="J342" t="str">
            <v>COGNIZANT WORLDWIDE LIM/ SoW2026-036 - Exchange up</v>
          </cell>
          <cell r="K342" t="str">
            <v>2026</v>
          </cell>
          <cell r="L342" t="str">
            <v>6</v>
          </cell>
        </row>
        <row r="343">
          <cell r="A343" t="str">
            <v>O7941/2617</v>
          </cell>
          <cell r="D343" t="str">
            <v>6190000001</v>
          </cell>
          <cell r="E343" t="str">
            <v>4791010827</v>
          </cell>
          <cell r="F343">
            <v>12601</v>
          </cell>
          <cell r="J343" t="str">
            <v>COGNIZANT WORLDWIDE LIM/ SoW2026-036 - Exchange up</v>
          </cell>
          <cell r="K343" t="str">
            <v>2026</v>
          </cell>
          <cell r="L343" t="str">
            <v>7</v>
          </cell>
        </row>
        <row r="344">
          <cell r="A344" t="str">
            <v>O7941/2617</v>
          </cell>
          <cell r="D344" t="str">
            <v>6190000001</v>
          </cell>
          <cell r="E344" t="str">
            <v>4791010827</v>
          </cell>
          <cell r="F344">
            <v>12601</v>
          </cell>
          <cell r="J344" t="str">
            <v>COGNIZANT WORLDWIDE LIM/ SoW2026-036 - Exchange up</v>
          </cell>
          <cell r="K344" t="str">
            <v>2026</v>
          </cell>
          <cell r="L344" t="str">
            <v>9</v>
          </cell>
        </row>
        <row r="345">
          <cell r="A345" t="str">
            <v>O7941/2617</v>
          </cell>
          <cell r="D345" t="str">
            <v/>
          </cell>
          <cell r="E345" t="str">
            <v/>
          </cell>
          <cell r="F345">
            <v>37803</v>
          </cell>
          <cell r="J345" t="str">
            <v/>
          </cell>
          <cell r="K345" t="str">
            <v/>
          </cell>
          <cell r="L345" t="str">
            <v/>
          </cell>
        </row>
        <row r="346">
          <cell r="A346" t="str">
            <v>O7941/2618</v>
          </cell>
          <cell r="D346" t="str">
            <v>6190000001</v>
          </cell>
          <cell r="E346" t="str">
            <v>4791010854</v>
          </cell>
          <cell r="F346">
            <v>9376.33</v>
          </cell>
          <cell r="J346" t="str">
            <v>COGNIZANT WORLDWIDE LIMIT/SoW2026-035 - SWP OT dev</v>
          </cell>
          <cell r="K346" t="str">
            <v>2026</v>
          </cell>
          <cell r="L346" t="str">
            <v>6</v>
          </cell>
        </row>
        <row r="347">
          <cell r="A347" t="str">
            <v>O7941/2618</v>
          </cell>
          <cell r="D347" t="str">
            <v>6190000001</v>
          </cell>
          <cell r="E347" t="str">
            <v>4791010854</v>
          </cell>
          <cell r="F347">
            <v>9376.33</v>
          </cell>
          <cell r="J347" t="str">
            <v>COGNIZANT WORLDWIDE LIMIT/SoW2026-035 - SWP OT dev</v>
          </cell>
          <cell r="K347" t="str">
            <v>2026</v>
          </cell>
          <cell r="L347" t="str">
            <v>7</v>
          </cell>
        </row>
        <row r="348">
          <cell r="A348" t="str">
            <v>O7941/2618</v>
          </cell>
          <cell r="D348" t="str">
            <v/>
          </cell>
          <cell r="E348" t="str">
            <v/>
          </cell>
          <cell r="F348">
            <v>18752.66</v>
          </cell>
          <cell r="J348" t="str">
            <v/>
          </cell>
          <cell r="K348" t="str">
            <v/>
          </cell>
          <cell r="L348" t="str">
            <v/>
          </cell>
        </row>
        <row r="349">
          <cell r="A349" t="str">
            <v>O7941/2620</v>
          </cell>
          <cell r="D349" t="str">
            <v>6133000130</v>
          </cell>
          <cell r="E349" t="str">
            <v>4791010643</v>
          </cell>
          <cell r="F349">
            <v>31837.5</v>
          </cell>
          <cell r="J349" t="str">
            <v>FORYOUANDYOURCUSTOMERS AMSTER/2026-MDM roll outs -</v>
          </cell>
          <cell r="K349" t="str">
            <v>2026</v>
          </cell>
          <cell r="L349" t="str">
            <v>4</v>
          </cell>
        </row>
        <row r="350">
          <cell r="A350" t="str">
            <v>O7941/2620</v>
          </cell>
          <cell r="D350" t="str">
            <v>6190000001</v>
          </cell>
          <cell r="E350" t="str">
            <v/>
          </cell>
          <cell r="F350">
            <v>263786</v>
          </cell>
          <cell r="J350" t="str">
            <v>Reclass internal hours from OPEX to Capex</v>
          </cell>
          <cell r="K350" t="str">
            <v>2026</v>
          </cell>
          <cell r="L350" t="str">
            <v>4</v>
          </cell>
        </row>
        <row r="351">
          <cell r="A351" t="str">
            <v>O7941/2620</v>
          </cell>
          <cell r="D351" t="str">
            <v>6133000130</v>
          </cell>
          <cell r="E351" t="str">
            <v/>
          </cell>
          <cell r="F351">
            <v>35625</v>
          </cell>
          <cell r="J351" t="str">
            <v>FYAYC costs</v>
          </cell>
          <cell r="K351" t="str">
            <v>2026</v>
          </cell>
          <cell r="L351" t="str">
            <v>4</v>
          </cell>
        </row>
        <row r="352">
          <cell r="A352" t="str">
            <v>O7941/2620</v>
          </cell>
          <cell r="D352" t="str">
            <v>6133000130</v>
          </cell>
          <cell r="E352" t="str">
            <v>4791010643</v>
          </cell>
          <cell r="F352">
            <v>17062.5</v>
          </cell>
          <cell r="J352" t="str">
            <v>FORYOUANDYOURCUSTOMERS AMSTER/2026-MDM roll outs -</v>
          </cell>
          <cell r="K352" t="str">
            <v>2026</v>
          </cell>
          <cell r="L352" t="str">
            <v>5</v>
          </cell>
        </row>
        <row r="353">
          <cell r="A353" t="str">
            <v>O7941/2620</v>
          </cell>
          <cell r="D353" t="str">
            <v>6190000001</v>
          </cell>
          <cell r="E353" t="str">
            <v/>
          </cell>
          <cell r="F353">
            <v>68830</v>
          </cell>
          <cell r="J353" t="str">
            <v>Reclass internal hours from OPEX to Capex</v>
          </cell>
          <cell r="K353" t="str">
            <v>2026</v>
          </cell>
          <cell r="L353" t="str">
            <v>5</v>
          </cell>
        </row>
        <row r="354">
          <cell r="A354" t="str">
            <v>O7941/2620</v>
          </cell>
          <cell r="D354" t="str">
            <v>6133000130</v>
          </cell>
          <cell r="E354" t="str">
            <v>4791010643</v>
          </cell>
          <cell r="F354">
            <v>15525</v>
          </cell>
          <cell r="J354" t="str">
            <v>FORYOUANDYOURCUSTOMERS AMSTER/2026-MDM roll outs -</v>
          </cell>
          <cell r="K354" t="str">
            <v>2026</v>
          </cell>
          <cell r="L354" t="str">
            <v>6</v>
          </cell>
        </row>
        <row r="355">
          <cell r="A355" t="str">
            <v>O7941/2620</v>
          </cell>
          <cell r="D355" t="str">
            <v>6190000001</v>
          </cell>
          <cell r="E355" t="str">
            <v/>
          </cell>
          <cell r="F355">
            <v>33004.49</v>
          </cell>
          <cell r="J355" t="str">
            <v>Reclass internal hours from OPEX to Capex</v>
          </cell>
          <cell r="K355" t="str">
            <v>2026</v>
          </cell>
          <cell r="L355" t="str">
            <v>6</v>
          </cell>
        </row>
        <row r="356">
          <cell r="A356" t="str">
            <v>O7941/2620</v>
          </cell>
          <cell r="D356" t="str">
            <v>6133000130</v>
          </cell>
          <cell r="E356" t="str">
            <v>4791010643</v>
          </cell>
          <cell r="F356">
            <v>21600</v>
          </cell>
          <cell r="J356" t="str">
            <v>FORYOUANDYOURCUSTOMERS AMSTER/2026-MDM roll outs -</v>
          </cell>
          <cell r="K356" t="str">
            <v>2026</v>
          </cell>
          <cell r="L356" t="str">
            <v>7</v>
          </cell>
        </row>
        <row r="357">
          <cell r="A357" t="str">
            <v>O7941/2620</v>
          </cell>
          <cell r="D357" t="str">
            <v>6190000001</v>
          </cell>
          <cell r="E357" t="str">
            <v/>
          </cell>
          <cell r="F357">
            <v>33025.51</v>
          </cell>
          <cell r="J357" t="str">
            <v>Reclass internal hours from OPEX to Capex</v>
          </cell>
          <cell r="K357" t="str">
            <v>2026</v>
          </cell>
          <cell r="L357" t="str">
            <v>7</v>
          </cell>
        </row>
        <row r="358">
          <cell r="A358" t="str">
            <v>O7941/2620</v>
          </cell>
          <cell r="D358" t="str">
            <v>6133000130</v>
          </cell>
          <cell r="E358" t="str">
            <v>4791010643</v>
          </cell>
          <cell r="F358">
            <v>12075</v>
          </cell>
          <cell r="J358" t="str">
            <v>FORYOUANDYOURCUSTOMERS AMSTER/2026-MDM roll outs -</v>
          </cell>
          <cell r="K358" t="str">
            <v>2026</v>
          </cell>
          <cell r="L358" t="str">
            <v>8</v>
          </cell>
        </row>
        <row r="359">
          <cell r="A359" t="str">
            <v>O7941/2620</v>
          </cell>
          <cell r="D359" t="str">
            <v>6190000001</v>
          </cell>
          <cell r="E359" t="str">
            <v/>
          </cell>
          <cell r="F359">
            <v>18040</v>
          </cell>
          <cell r="J359" t="str">
            <v>Reclass internal hours from OPEX to Capex</v>
          </cell>
          <cell r="K359" t="str">
            <v>2026</v>
          </cell>
          <cell r="L359" t="str">
            <v>8</v>
          </cell>
        </row>
        <row r="360">
          <cell r="A360" t="str">
            <v>O7941/2620</v>
          </cell>
          <cell r="D360" t="str">
            <v/>
          </cell>
          <cell r="E360" t="str">
            <v/>
          </cell>
          <cell r="F360">
            <v>550411</v>
          </cell>
          <cell r="J360" t="str">
            <v/>
          </cell>
          <cell r="K360" t="str">
            <v/>
          </cell>
          <cell r="L360" t="str">
            <v/>
          </cell>
        </row>
        <row r="361">
          <cell r="A361" t="str">
            <v>O7941/2622</v>
          </cell>
          <cell r="D361" t="str">
            <v>6133000130</v>
          </cell>
          <cell r="E361" t="str">
            <v/>
          </cell>
          <cell r="F361">
            <v>57440</v>
          </cell>
          <cell r="J361" t="str">
            <v>Costs iO Jan-May</v>
          </cell>
          <cell r="K361" t="str">
            <v>2026</v>
          </cell>
          <cell r="L361" t="str">
            <v>6</v>
          </cell>
        </row>
        <row r="362">
          <cell r="A362" t="str">
            <v>O7941/2622</v>
          </cell>
          <cell r="D362" t="str">
            <v>6133000130</v>
          </cell>
          <cell r="E362" t="str">
            <v/>
          </cell>
          <cell r="F362">
            <v>5000</v>
          </cell>
          <cell r="J362" t="str">
            <v>Costs iO Jan-May</v>
          </cell>
          <cell r="K362" t="str">
            <v>2026</v>
          </cell>
          <cell r="L362" t="str">
            <v>6</v>
          </cell>
        </row>
        <row r="363">
          <cell r="A363" t="str">
            <v>O7941/2622</v>
          </cell>
          <cell r="D363" t="str">
            <v>6133000130</v>
          </cell>
          <cell r="E363" t="str">
            <v/>
          </cell>
          <cell r="F363">
            <v>64450</v>
          </cell>
          <cell r="J363" t="str">
            <v>IO COSTS O7941/2622</v>
          </cell>
          <cell r="K363" t="str">
            <v>2026</v>
          </cell>
          <cell r="L363" t="str">
            <v>7</v>
          </cell>
        </row>
        <row r="364">
          <cell r="A364" t="str">
            <v>O7941/2622</v>
          </cell>
          <cell r="D364" t="str">
            <v>6133000130</v>
          </cell>
          <cell r="E364" t="str">
            <v/>
          </cell>
          <cell r="F364">
            <v>35610</v>
          </cell>
          <cell r="J364" t="str">
            <v>iO cost July</v>
          </cell>
          <cell r="K364" t="str">
            <v>2026</v>
          </cell>
          <cell r="L364" t="str">
            <v>8</v>
          </cell>
        </row>
        <row r="365">
          <cell r="A365" t="str">
            <v>O7941/2622</v>
          </cell>
          <cell r="D365" t="str">
            <v/>
          </cell>
          <cell r="E365" t="str">
            <v/>
          </cell>
          <cell r="F365">
            <v>162500</v>
          </cell>
          <cell r="J365" t="str">
            <v/>
          </cell>
          <cell r="K365" t="str">
            <v/>
          </cell>
          <cell r="L365" t="str">
            <v/>
          </cell>
        </row>
        <row r="366">
          <cell r="A366" t="str">
            <v>O7941/2623</v>
          </cell>
          <cell r="D366" t="str">
            <v>6190000001</v>
          </cell>
          <cell r="E366" t="str">
            <v/>
          </cell>
          <cell r="F366">
            <v>4441.84</v>
          </cell>
          <cell r="J366" t="str">
            <v>Reclass internal hours from OPEX to Capex</v>
          </cell>
          <cell r="K366" t="str">
            <v>2026</v>
          </cell>
          <cell r="L366" t="str">
            <v>6</v>
          </cell>
        </row>
        <row r="367">
          <cell r="A367" t="str">
            <v>O7941/2623</v>
          </cell>
          <cell r="D367" t="str">
            <v>6190000001</v>
          </cell>
          <cell r="E367" t="str">
            <v/>
          </cell>
          <cell r="F367">
            <v>22016.16</v>
          </cell>
          <cell r="J367" t="str">
            <v>Reclass internal hours from OPEX to Capex</v>
          </cell>
          <cell r="K367" t="str">
            <v>2026</v>
          </cell>
          <cell r="L367" t="str">
            <v>7</v>
          </cell>
        </row>
        <row r="368">
          <cell r="A368" t="str">
            <v>O7941/2623</v>
          </cell>
          <cell r="D368" t="str">
            <v>6190000001</v>
          </cell>
          <cell r="E368" t="str">
            <v/>
          </cell>
          <cell r="F368">
            <v>20892</v>
          </cell>
          <cell r="J368" t="str">
            <v>Reclass internal hours from OPEX to Capex</v>
          </cell>
          <cell r="K368" t="str">
            <v>2026</v>
          </cell>
          <cell r="L368" t="str">
            <v>8</v>
          </cell>
        </row>
        <row r="369">
          <cell r="A369" t="str">
            <v>O7941/2623</v>
          </cell>
          <cell r="D369" t="str">
            <v>6190000001</v>
          </cell>
          <cell r="E369" t="str">
            <v>4791010930</v>
          </cell>
          <cell r="F369">
            <v>976.1</v>
          </cell>
          <cell r="J369" t="str">
            <v>BROWSER LONDON LIMITED/2026-Travel Data sources</v>
          </cell>
          <cell r="K369" t="str">
            <v>2026</v>
          </cell>
          <cell r="L369" t="str">
            <v>9</v>
          </cell>
        </row>
        <row r="370">
          <cell r="A370" t="str">
            <v>O7941/2623</v>
          </cell>
          <cell r="D370" t="str">
            <v/>
          </cell>
          <cell r="E370" t="str">
            <v/>
          </cell>
          <cell r="F370">
            <v>48326.1</v>
          </cell>
          <cell r="J370" t="str">
            <v/>
          </cell>
          <cell r="K370" t="str">
            <v/>
          </cell>
          <cell r="L370" t="str">
            <v/>
          </cell>
        </row>
        <row r="371">
          <cell r="A371" t="str">
            <v/>
          </cell>
          <cell r="D371" t="str">
            <v/>
          </cell>
          <cell r="E371" t="str">
            <v/>
          </cell>
          <cell r="J371" t="str">
            <v/>
          </cell>
          <cell r="K371" t="str">
            <v/>
          </cell>
          <cell r="L371" t="str">
            <v/>
          </cell>
        </row>
        <row r="372">
          <cell r="A372" t="str">
            <v>O7941/2624</v>
          </cell>
          <cell r="D372" t="str">
            <v>6133000130</v>
          </cell>
          <cell r="E372" t="str">
            <v/>
          </cell>
          <cell r="F372">
            <v>230000</v>
          </cell>
          <cell r="J372" t="str">
            <v>Costs iO Jan-May</v>
          </cell>
          <cell r="K372" t="str">
            <v>2026</v>
          </cell>
          <cell r="L372" t="str">
            <v>6</v>
          </cell>
        </row>
        <row r="373">
          <cell r="A373" t="str">
            <v>O7941/2624</v>
          </cell>
          <cell r="D373" t="str">
            <v>6133000130</v>
          </cell>
          <cell r="E373" t="str">
            <v/>
          </cell>
          <cell r="F373">
            <v>130000</v>
          </cell>
          <cell r="J373" t="str">
            <v>Costs iO Jan-May</v>
          </cell>
          <cell r="K373" t="str">
            <v>2026</v>
          </cell>
          <cell r="L373" t="str">
            <v>6</v>
          </cell>
        </row>
        <row r="374">
          <cell r="A374" t="str">
            <v>O7941/2624</v>
          </cell>
          <cell r="D374" t="str">
            <v/>
          </cell>
          <cell r="E374" t="str">
            <v/>
          </cell>
          <cell r="F374">
            <v>360000</v>
          </cell>
          <cell r="J374" t="str">
            <v/>
          </cell>
          <cell r="K374" t="str">
            <v/>
          </cell>
          <cell r="L374" t="str">
            <v/>
          </cell>
        </row>
        <row r="375">
          <cell r="A375" t="str">
            <v>O7941/2625</v>
          </cell>
          <cell r="D375" t="str">
            <v>6133000130</v>
          </cell>
          <cell r="E375" t="str">
            <v/>
          </cell>
          <cell r="F375">
            <v>25000</v>
          </cell>
          <cell r="J375" t="str">
            <v>Costs iO Jan-May</v>
          </cell>
          <cell r="K375" t="str">
            <v>2026</v>
          </cell>
          <cell r="L375" t="str">
            <v>6</v>
          </cell>
        </row>
        <row r="376">
          <cell r="A376" t="str">
            <v>O7941/2625</v>
          </cell>
          <cell r="D376" t="str">
            <v>6133000130</v>
          </cell>
          <cell r="E376" t="str">
            <v/>
          </cell>
          <cell r="F376">
            <v>67620</v>
          </cell>
          <cell r="J376" t="str">
            <v>Costs iO Jan-May</v>
          </cell>
          <cell r="K376" t="str">
            <v>2026</v>
          </cell>
          <cell r="L376" t="str">
            <v>6</v>
          </cell>
        </row>
        <row r="377">
          <cell r="A377" t="str">
            <v>O7941/2625</v>
          </cell>
          <cell r="D377" t="str">
            <v>6133000130</v>
          </cell>
          <cell r="E377" t="str">
            <v/>
          </cell>
          <cell r="F377">
            <v>5037</v>
          </cell>
          <cell r="J377" t="str">
            <v>IO COSTS O7941/2625</v>
          </cell>
          <cell r="K377" t="str">
            <v>2026</v>
          </cell>
          <cell r="L377" t="str">
            <v>7</v>
          </cell>
        </row>
        <row r="378">
          <cell r="A378" t="str">
            <v>O7941/2625</v>
          </cell>
          <cell r="D378" t="str">
            <v>6133000130</v>
          </cell>
          <cell r="E378" t="str">
            <v/>
          </cell>
          <cell r="F378">
            <v>17486</v>
          </cell>
          <cell r="J378" t="str">
            <v>iO cost July</v>
          </cell>
          <cell r="K378" t="str">
            <v>2026</v>
          </cell>
          <cell r="L378" t="str">
            <v>8</v>
          </cell>
        </row>
        <row r="379">
          <cell r="A379" t="str">
            <v>O7941/2625</v>
          </cell>
          <cell r="D379" t="str">
            <v/>
          </cell>
          <cell r="E379" t="str">
            <v/>
          </cell>
          <cell r="F379">
            <v>115143</v>
          </cell>
          <cell r="J379" t="str">
            <v/>
          </cell>
          <cell r="K379" t="str">
            <v/>
          </cell>
          <cell r="L379" t="str">
            <v/>
          </cell>
        </row>
        <row r="380">
          <cell r="A380" t="str">
            <v>O7941/2627</v>
          </cell>
          <cell r="D380" t="str">
            <v>6190000001</v>
          </cell>
          <cell r="E380" t="str">
            <v/>
          </cell>
          <cell r="F380">
            <v>100000</v>
          </cell>
          <cell r="J380" t="str">
            <v>Reclass internal hours from OPEX to Capex</v>
          </cell>
          <cell r="K380" t="str">
            <v>2026</v>
          </cell>
          <cell r="L380" t="str">
            <v>6</v>
          </cell>
        </row>
        <row r="381">
          <cell r="A381" t="str">
            <v>O7941/2627</v>
          </cell>
          <cell r="D381" t="str">
            <v/>
          </cell>
          <cell r="E381" t="str">
            <v/>
          </cell>
          <cell r="F381">
            <v>100000</v>
          </cell>
          <cell r="J381" t="str">
            <v/>
          </cell>
          <cell r="K381" t="str">
            <v/>
          </cell>
          <cell r="L381" t="str">
            <v/>
          </cell>
        </row>
        <row r="382">
          <cell r="A382" t="str">
            <v>O7941/2628</v>
          </cell>
          <cell r="D382" t="str">
            <v>6190000001</v>
          </cell>
          <cell r="E382" t="str">
            <v/>
          </cell>
          <cell r="F382">
            <v>5775.28</v>
          </cell>
          <cell r="J382" t="str">
            <v>Reclass internal hours from OPEX to Capex</v>
          </cell>
          <cell r="K382" t="str">
            <v>2026</v>
          </cell>
          <cell r="L382" t="str">
            <v>6</v>
          </cell>
        </row>
        <row r="383">
          <cell r="A383" t="str">
            <v>O7941/2628</v>
          </cell>
          <cell r="D383" t="str">
            <v>6190000001</v>
          </cell>
          <cell r="E383" t="str">
            <v/>
          </cell>
          <cell r="F383">
            <v>5324.72</v>
          </cell>
          <cell r="J383" t="str">
            <v>Reclass internal hours from OPEX to Capex</v>
          </cell>
          <cell r="K383" t="str">
            <v>2026</v>
          </cell>
          <cell r="L383" t="str">
            <v>7</v>
          </cell>
        </row>
        <row r="384">
          <cell r="A384" t="str">
            <v>O7941/2628</v>
          </cell>
          <cell r="D384" t="str">
            <v>6190000001</v>
          </cell>
          <cell r="E384" t="str">
            <v>4791010986</v>
          </cell>
          <cell r="F384">
            <v>84000</v>
          </cell>
          <cell r="J384" t="str">
            <v>TEKST AI BV/2026-AI powered doc process&amp;order entr</v>
          </cell>
          <cell r="K384" t="str">
            <v>2026</v>
          </cell>
          <cell r="L384" t="str">
            <v>8</v>
          </cell>
        </row>
        <row r="385">
          <cell r="A385" t="str">
            <v>O7941/2628</v>
          </cell>
          <cell r="D385" t="str">
            <v>6190000001</v>
          </cell>
          <cell r="E385" t="str">
            <v/>
          </cell>
          <cell r="F385">
            <v>1400</v>
          </cell>
          <cell r="J385" t="str">
            <v>Reclass internal hours from OPEX to Capex</v>
          </cell>
          <cell r="K385" t="str">
            <v>2026</v>
          </cell>
          <cell r="L385" t="str">
            <v>8</v>
          </cell>
        </row>
        <row r="386">
          <cell r="A386" t="str">
            <v>O7941/2628</v>
          </cell>
          <cell r="D386" t="str">
            <v/>
          </cell>
          <cell r="E386" t="str">
            <v/>
          </cell>
          <cell r="F386">
            <v>96500</v>
          </cell>
          <cell r="J386" t="str">
            <v/>
          </cell>
          <cell r="K386" t="str">
            <v/>
          </cell>
          <cell r="L386" t="str">
            <v/>
          </cell>
        </row>
        <row r="387">
          <cell r="A387" t="str">
            <v>O7941/2629</v>
          </cell>
          <cell r="D387" t="str">
            <v>6190000001</v>
          </cell>
          <cell r="E387" t="str">
            <v/>
          </cell>
          <cell r="F387">
            <v>187.64</v>
          </cell>
          <cell r="J387" t="str">
            <v>Reclass internal hours from OPEX to Capex</v>
          </cell>
          <cell r="K387" t="str">
            <v>2026</v>
          </cell>
          <cell r="L387" t="str">
            <v>6</v>
          </cell>
        </row>
        <row r="388">
          <cell r="A388" t="str">
            <v>O7941/2629</v>
          </cell>
          <cell r="D388" t="str">
            <v>6133000130</v>
          </cell>
          <cell r="E388" t="str">
            <v/>
          </cell>
          <cell r="F388">
            <v>63000</v>
          </cell>
          <cell r="J388" t="str">
            <v>Project 2595 - Polaris OPEX to Capex (External)</v>
          </cell>
          <cell r="K388" t="str">
            <v>2026</v>
          </cell>
          <cell r="L388" t="str">
            <v>6</v>
          </cell>
        </row>
        <row r="389">
          <cell r="A389" t="str">
            <v>O7941/2629</v>
          </cell>
          <cell r="D389" t="str">
            <v>6133000130</v>
          </cell>
          <cell r="E389" t="str">
            <v/>
          </cell>
          <cell r="F389">
            <v>28000</v>
          </cell>
          <cell r="J389" t="str">
            <v>Project 2595 - Polaris OPEX to Capex (Internal)</v>
          </cell>
          <cell r="K389" t="str">
            <v>2026</v>
          </cell>
          <cell r="L389" t="str">
            <v>6</v>
          </cell>
        </row>
        <row r="390">
          <cell r="A390" t="str">
            <v>O7941/2629</v>
          </cell>
          <cell r="D390" t="str">
            <v>6133000130</v>
          </cell>
          <cell r="E390" t="str">
            <v/>
          </cell>
          <cell r="F390">
            <v>10000</v>
          </cell>
          <cell r="J390" t="str">
            <v>Project 2595 - Polaris OPEX to Capex (Internal)</v>
          </cell>
          <cell r="K390" t="str">
            <v>2026</v>
          </cell>
          <cell r="L390" t="str">
            <v>6</v>
          </cell>
        </row>
        <row r="391">
          <cell r="A391" t="str">
            <v>O7941/2629</v>
          </cell>
          <cell r="D391" t="str">
            <v>6133000130</v>
          </cell>
          <cell r="E391" t="str">
            <v/>
          </cell>
          <cell r="F391">
            <v>10000</v>
          </cell>
          <cell r="J391" t="str">
            <v>Project 2595 - Polaris OPEX to Capex (Internal)</v>
          </cell>
          <cell r="K391" t="str">
            <v>2026</v>
          </cell>
          <cell r="L391" t="str">
            <v>6</v>
          </cell>
        </row>
        <row r="392">
          <cell r="A392" t="str">
            <v>O7941/2629</v>
          </cell>
          <cell r="D392" t="str">
            <v>6133000130</v>
          </cell>
          <cell r="E392" t="str">
            <v/>
          </cell>
          <cell r="F392">
            <v>10000</v>
          </cell>
          <cell r="J392" t="str">
            <v>Project 2595 - Polaris OPEX to Capex (External)</v>
          </cell>
          <cell r="K392" t="str">
            <v>2026</v>
          </cell>
          <cell r="L392" t="str">
            <v>6</v>
          </cell>
        </row>
        <row r="393">
          <cell r="A393" t="str">
            <v>O7941/2629</v>
          </cell>
          <cell r="D393" t="str">
            <v>6133000130</v>
          </cell>
          <cell r="E393" t="str">
            <v/>
          </cell>
          <cell r="F393">
            <v>412274</v>
          </cell>
          <cell r="J393" t="str">
            <v>Project 2595 - Polaris OPEX to Capex (External)</v>
          </cell>
          <cell r="K393" t="str">
            <v>2026</v>
          </cell>
          <cell r="L393" t="str">
            <v>6</v>
          </cell>
        </row>
        <row r="394">
          <cell r="A394" t="str">
            <v>O7941/2629</v>
          </cell>
          <cell r="D394" t="str">
            <v>6133000130</v>
          </cell>
          <cell r="E394" t="str">
            <v/>
          </cell>
          <cell r="F394">
            <v>72790</v>
          </cell>
          <cell r="J394" t="str">
            <v>Project 2595 - Polaris OPEX to Capex (Internal)</v>
          </cell>
          <cell r="K394" t="str">
            <v>2026</v>
          </cell>
          <cell r="L394" t="str">
            <v>6</v>
          </cell>
        </row>
        <row r="395">
          <cell r="A395" t="str">
            <v>O7941/2629</v>
          </cell>
          <cell r="D395" t="str">
            <v>6190000001</v>
          </cell>
          <cell r="E395" t="str">
            <v/>
          </cell>
          <cell r="F395">
            <v>1513</v>
          </cell>
          <cell r="J395" t="str">
            <v>Reclass internal hours from OPEX to Capex</v>
          </cell>
          <cell r="K395" t="str">
            <v>2026</v>
          </cell>
          <cell r="L395" t="str">
            <v>7</v>
          </cell>
        </row>
        <row r="396">
          <cell r="A396" t="str">
            <v>O7941/2629</v>
          </cell>
          <cell r="D396" t="str">
            <v>6133000035</v>
          </cell>
          <cell r="E396" t="str">
            <v/>
          </cell>
          <cell r="F396">
            <v>1700</v>
          </cell>
          <cell r="J396" t="str">
            <v>WBS O7941/2629</v>
          </cell>
          <cell r="K396" t="str">
            <v>2026</v>
          </cell>
          <cell r="L396" t="str">
            <v>8</v>
          </cell>
        </row>
        <row r="397">
          <cell r="A397" t="str">
            <v>O7941/2629</v>
          </cell>
          <cell r="D397" t="str">
            <v/>
          </cell>
          <cell r="E397" t="str">
            <v/>
          </cell>
          <cell r="F397">
            <v>609464.64</v>
          </cell>
          <cell r="J397" t="str">
            <v/>
          </cell>
          <cell r="K397" t="str">
            <v/>
          </cell>
          <cell r="L397" t="str">
            <v/>
          </cell>
        </row>
        <row r="398">
          <cell r="A398" t="str">
            <v>O7941/2631</v>
          </cell>
          <cell r="D398" t="str">
            <v>6190000001</v>
          </cell>
          <cell r="E398" t="str">
            <v/>
          </cell>
          <cell r="F398">
            <v>14805</v>
          </cell>
          <cell r="J398" t="str">
            <v>Reclass internal hours from OPEX to Capex</v>
          </cell>
          <cell r="K398" t="str">
            <v>2026</v>
          </cell>
          <cell r="L398" t="str">
            <v>7</v>
          </cell>
        </row>
        <row r="399">
          <cell r="A399" t="str">
            <v>O7941/2631</v>
          </cell>
          <cell r="D399" t="str">
            <v>6190000001</v>
          </cell>
          <cell r="E399" t="str">
            <v/>
          </cell>
          <cell r="F399">
            <v>3360</v>
          </cell>
          <cell r="J399" t="str">
            <v>Reclass internal hours from OPEX to Capex</v>
          </cell>
          <cell r="K399" t="str">
            <v>2026</v>
          </cell>
          <cell r="L399" t="str">
            <v>8</v>
          </cell>
        </row>
        <row r="400">
          <cell r="A400" t="str">
            <v>O7941/2631</v>
          </cell>
          <cell r="D400" t="str">
            <v/>
          </cell>
          <cell r="E400" t="str">
            <v/>
          </cell>
          <cell r="F400">
            <v>18165</v>
          </cell>
          <cell r="J400" t="str">
            <v/>
          </cell>
          <cell r="K400" t="str">
            <v/>
          </cell>
          <cell r="L400" t="str">
            <v/>
          </cell>
        </row>
        <row r="401">
          <cell r="A401" t="str">
            <v>O7941/2632</v>
          </cell>
          <cell r="D401" t="str">
            <v>6190000001</v>
          </cell>
          <cell r="E401" t="str">
            <v/>
          </cell>
          <cell r="F401">
            <v>17331</v>
          </cell>
          <cell r="J401" t="str">
            <v>Reclass internal hours from OPEX to Capex</v>
          </cell>
          <cell r="K401" t="str">
            <v>2026</v>
          </cell>
          <cell r="L401" t="str">
            <v>6</v>
          </cell>
        </row>
        <row r="402">
          <cell r="A402" t="str">
            <v>O7941/2632</v>
          </cell>
          <cell r="D402" t="str">
            <v>6190000001</v>
          </cell>
          <cell r="E402" t="str">
            <v/>
          </cell>
          <cell r="F402">
            <v>13219</v>
          </cell>
          <cell r="J402" t="str">
            <v>Reclass internal hours from OPEX to Capex</v>
          </cell>
          <cell r="K402" t="str">
            <v>2026</v>
          </cell>
          <cell r="L402" t="str">
            <v>7</v>
          </cell>
        </row>
        <row r="403">
          <cell r="A403" t="str">
            <v>O7941/2632</v>
          </cell>
          <cell r="D403" t="str">
            <v>6190000001</v>
          </cell>
          <cell r="E403" t="str">
            <v/>
          </cell>
          <cell r="F403">
            <v>5850</v>
          </cell>
          <cell r="J403" t="str">
            <v>Reclass internal hours from OPEX to Capex</v>
          </cell>
          <cell r="K403" t="str">
            <v>2026</v>
          </cell>
          <cell r="L403" t="str">
            <v>8</v>
          </cell>
        </row>
        <row r="404">
          <cell r="A404" t="str">
            <v>O7941/2632</v>
          </cell>
          <cell r="D404" t="str">
            <v/>
          </cell>
          <cell r="E404" t="str">
            <v/>
          </cell>
          <cell r="F404">
            <v>36400</v>
          </cell>
          <cell r="J404" t="str">
            <v/>
          </cell>
          <cell r="K404" t="str">
            <v/>
          </cell>
          <cell r="L404" t="str">
            <v/>
          </cell>
        </row>
        <row r="405">
          <cell r="A405" t="str">
            <v>O7941/2633</v>
          </cell>
          <cell r="D405" t="str">
            <v>6190000001</v>
          </cell>
          <cell r="E405" t="str">
            <v/>
          </cell>
          <cell r="F405">
            <v>2300</v>
          </cell>
          <cell r="J405" t="str">
            <v>Reclass internal hours from OPEX to Capex</v>
          </cell>
          <cell r="K405" t="str">
            <v>2026</v>
          </cell>
          <cell r="L405" t="str">
            <v>7</v>
          </cell>
        </row>
        <row r="406">
          <cell r="A406" t="str">
            <v>O7941/2633</v>
          </cell>
          <cell r="D406" t="str">
            <v/>
          </cell>
          <cell r="E406" t="str">
            <v/>
          </cell>
          <cell r="F406">
            <v>2300</v>
          </cell>
          <cell r="J406" t="str">
            <v/>
          </cell>
          <cell r="K406" t="str">
            <v/>
          </cell>
          <cell r="L406" t="str">
            <v/>
          </cell>
        </row>
        <row r="407">
          <cell r="A407" t="str">
            <v>O7941/2634</v>
          </cell>
          <cell r="D407" t="str">
            <v>6190000001</v>
          </cell>
          <cell r="E407" t="str">
            <v>4791010985</v>
          </cell>
          <cell r="F407">
            <v>4950</v>
          </cell>
          <cell r="J407" t="str">
            <v>FLEXSO SUPPLY CHAI/2026-Replacing APO planning run</v>
          </cell>
          <cell r="K407" t="str">
            <v>2026</v>
          </cell>
          <cell r="L407" t="str">
            <v>8</v>
          </cell>
        </row>
        <row r="408">
          <cell r="A408" t="str">
            <v>O7941/2634</v>
          </cell>
          <cell r="D408" t="str">
            <v>6190000001</v>
          </cell>
          <cell r="E408" t="str">
            <v>4791010985</v>
          </cell>
          <cell r="F408">
            <v>644</v>
          </cell>
          <cell r="J408" t="str">
            <v>FLEXSO SUPPLY CHAIN NV/2026-Basic setup of ePPDS</v>
          </cell>
          <cell r="K408" t="str">
            <v>2026</v>
          </cell>
          <cell r="L408" t="str">
            <v>8</v>
          </cell>
        </row>
        <row r="409">
          <cell r="A409" t="str">
            <v>O7941/2634</v>
          </cell>
          <cell r="D409" t="str">
            <v>6190000001</v>
          </cell>
          <cell r="E409" t="str">
            <v>4791010985</v>
          </cell>
          <cell r="F409">
            <v>862.5</v>
          </cell>
          <cell r="J409" t="str">
            <v>FLEXSO SUPPLY CHAIN NV/2026-Basic setup of ePPDS</v>
          </cell>
          <cell r="K409" t="str">
            <v>2026</v>
          </cell>
          <cell r="L409" t="str">
            <v>9</v>
          </cell>
        </row>
        <row r="410">
          <cell r="A410" t="str">
            <v>O7941/2634</v>
          </cell>
          <cell r="D410" t="str">
            <v>6190000001</v>
          </cell>
          <cell r="E410" t="str">
            <v>4791010985</v>
          </cell>
          <cell r="F410">
            <v>7012.5</v>
          </cell>
          <cell r="J410" t="str">
            <v>FLEXSO SUPPLY CHAI/2026-Replacing APO planning run</v>
          </cell>
          <cell r="K410" t="str">
            <v>2026</v>
          </cell>
          <cell r="L410" t="str">
            <v>9</v>
          </cell>
        </row>
        <row r="411">
          <cell r="A411" t="str">
            <v>O7941/2634</v>
          </cell>
          <cell r="D411" t="str">
            <v/>
          </cell>
          <cell r="E411" t="str">
            <v/>
          </cell>
          <cell r="F411">
            <v>13469</v>
          </cell>
          <cell r="J411" t="str">
            <v/>
          </cell>
          <cell r="K411" t="str">
            <v/>
          </cell>
          <cell r="L411" t="str">
            <v/>
          </cell>
        </row>
        <row r="412">
          <cell r="A412" t="str">
            <v>O7941/2635</v>
          </cell>
          <cell r="D412" t="str">
            <v>6190000001</v>
          </cell>
          <cell r="E412" t="str">
            <v/>
          </cell>
          <cell r="F412">
            <v>25250</v>
          </cell>
          <cell r="J412" t="str">
            <v>Reclass internal hours from OPEX to Capex</v>
          </cell>
          <cell r="K412" t="str">
            <v>2026</v>
          </cell>
          <cell r="L412" t="str">
            <v>7</v>
          </cell>
        </row>
        <row r="413">
          <cell r="A413" t="str">
            <v>O7941/2635</v>
          </cell>
          <cell r="D413" t="str">
            <v>6190000001</v>
          </cell>
          <cell r="E413" t="str">
            <v/>
          </cell>
          <cell r="F413">
            <v>19700</v>
          </cell>
          <cell r="J413" t="str">
            <v>Reclass internal hours from OPEX to Capex</v>
          </cell>
          <cell r="K413" t="str">
            <v>2026</v>
          </cell>
          <cell r="L413" t="str">
            <v>8</v>
          </cell>
        </row>
        <row r="414">
          <cell r="A414" t="str">
            <v>O7941/2635</v>
          </cell>
          <cell r="D414" t="str">
            <v/>
          </cell>
          <cell r="E414" t="str">
            <v/>
          </cell>
          <cell r="F414">
            <v>44950</v>
          </cell>
          <cell r="J414" t="str">
            <v/>
          </cell>
          <cell r="K414" t="str">
            <v/>
          </cell>
          <cell r="L414" t="str">
            <v/>
          </cell>
        </row>
        <row r="415">
          <cell r="A415" t="str">
            <v>O7941/2636</v>
          </cell>
          <cell r="D415" t="str">
            <v>6133000130</v>
          </cell>
          <cell r="E415" t="str">
            <v/>
          </cell>
          <cell r="F415">
            <v>75772</v>
          </cell>
          <cell r="J415" t="str">
            <v>IO COSTS O7941/2636</v>
          </cell>
          <cell r="K415" t="str">
            <v>2026</v>
          </cell>
          <cell r="L415" t="str">
            <v>7</v>
          </cell>
        </row>
        <row r="416">
          <cell r="A416" t="str">
            <v>O7941/2636</v>
          </cell>
          <cell r="D416" t="str">
            <v>6133000130</v>
          </cell>
          <cell r="E416" t="str">
            <v/>
          </cell>
          <cell r="F416">
            <v>46347</v>
          </cell>
          <cell r="J416" t="str">
            <v>iO cost July</v>
          </cell>
          <cell r="K416" t="str">
            <v>2026</v>
          </cell>
          <cell r="L416" t="str">
            <v>8</v>
          </cell>
        </row>
        <row r="417">
          <cell r="A417" t="str">
            <v>O7941/2636</v>
          </cell>
          <cell r="D417" t="str">
            <v/>
          </cell>
          <cell r="E417" t="str">
            <v/>
          </cell>
          <cell r="F417">
            <v>122119</v>
          </cell>
          <cell r="J417" t="str">
            <v/>
          </cell>
          <cell r="K417" t="str">
            <v/>
          </cell>
          <cell r="L417" t="str">
            <v/>
          </cell>
        </row>
        <row r="418">
          <cell r="A418" t="str">
            <v>O7941/2637</v>
          </cell>
          <cell r="D418" t="str">
            <v>6133000130</v>
          </cell>
          <cell r="E418" t="str">
            <v/>
          </cell>
          <cell r="F418">
            <v>47811</v>
          </cell>
          <cell r="J418" t="str">
            <v>IO COSTS O7941/2637</v>
          </cell>
          <cell r="K418" t="str">
            <v>2026</v>
          </cell>
          <cell r="L418" t="str">
            <v>7</v>
          </cell>
        </row>
        <row r="419">
          <cell r="A419" t="str">
            <v>O7941/2637</v>
          </cell>
          <cell r="D419" t="str">
            <v>6133000130</v>
          </cell>
          <cell r="E419" t="str">
            <v/>
          </cell>
          <cell r="F419">
            <v>11181</v>
          </cell>
          <cell r="J419" t="str">
            <v>iO cost July</v>
          </cell>
          <cell r="K419" t="str">
            <v>2026</v>
          </cell>
          <cell r="L419" t="str">
            <v>8</v>
          </cell>
        </row>
        <row r="420">
          <cell r="A420" t="str">
            <v>O7941/2637</v>
          </cell>
          <cell r="D420" t="str">
            <v/>
          </cell>
          <cell r="E420" t="str">
            <v/>
          </cell>
          <cell r="F420">
            <v>58992</v>
          </cell>
          <cell r="J420" t="str">
            <v/>
          </cell>
          <cell r="K420" t="str">
            <v/>
          </cell>
          <cell r="L420" t="str">
            <v/>
          </cell>
        </row>
        <row r="421">
          <cell r="A421" t="str">
            <v>O7941/2638</v>
          </cell>
          <cell r="D421" t="str">
            <v>6190000001</v>
          </cell>
          <cell r="E421" t="str">
            <v/>
          </cell>
          <cell r="F421">
            <v>2700</v>
          </cell>
          <cell r="J421" t="str">
            <v>Reclass internal hours from OPEX to Capex</v>
          </cell>
          <cell r="K421" t="str">
            <v>2026</v>
          </cell>
          <cell r="L421" t="str">
            <v>8</v>
          </cell>
        </row>
        <row r="422">
          <cell r="A422" t="str">
            <v>O7941/2638</v>
          </cell>
          <cell r="D422" t="str">
            <v/>
          </cell>
          <cell r="E422" t="str">
            <v/>
          </cell>
          <cell r="F422">
            <v>2700</v>
          </cell>
          <cell r="J422" t="str">
            <v/>
          </cell>
          <cell r="K422" t="str">
            <v/>
          </cell>
          <cell r="L422" t="str">
            <v/>
          </cell>
        </row>
        <row r="423">
          <cell r="A423" t="str">
            <v>O7942/2602</v>
          </cell>
          <cell r="D423" t="str">
            <v>6190000001</v>
          </cell>
          <cell r="E423" t="str">
            <v/>
          </cell>
          <cell r="F423">
            <v>41702.5</v>
          </cell>
          <cell r="J423" t="str">
            <v>Reclass internal hours from OPEX to Capex</v>
          </cell>
          <cell r="K423" t="str">
            <v>2026</v>
          </cell>
          <cell r="L423" t="str">
            <v>4</v>
          </cell>
        </row>
        <row r="424">
          <cell r="A424" t="str">
            <v>O7942/2602</v>
          </cell>
          <cell r="D424" t="str">
            <v>6190000001</v>
          </cell>
          <cell r="E424" t="str">
            <v/>
          </cell>
          <cell r="F424">
            <v>5287.5</v>
          </cell>
          <cell r="J424" t="str">
            <v>Reclass internal hours from OPEX to Capex</v>
          </cell>
          <cell r="K424" t="str">
            <v>2026</v>
          </cell>
          <cell r="L424" t="str">
            <v>5</v>
          </cell>
        </row>
        <row r="425">
          <cell r="A425" t="str">
            <v>O7942/2602</v>
          </cell>
          <cell r="D425" t="str">
            <v>6190000001</v>
          </cell>
          <cell r="E425" t="str">
            <v/>
          </cell>
          <cell r="F425">
            <v>2391.06</v>
          </cell>
          <cell r="J425" t="str">
            <v>Reclass internal hours from OPEX to Capex</v>
          </cell>
          <cell r="K425" t="str">
            <v>2026</v>
          </cell>
          <cell r="L425" t="str">
            <v>6</v>
          </cell>
        </row>
        <row r="426">
          <cell r="A426" t="str">
            <v>O7942/2602</v>
          </cell>
          <cell r="D426" t="str">
            <v>6190000001</v>
          </cell>
          <cell r="E426" t="str">
            <v/>
          </cell>
          <cell r="F426">
            <v>10591.44</v>
          </cell>
          <cell r="J426" t="str">
            <v>Reclass internal hours from OPEX to Capex</v>
          </cell>
          <cell r="K426" t="str">
            <v>2026</v>
          </cell>
          <cell r="L426" t="str">
            <v>7</v>
          </cell>
        </row>
        <row r="427">
          <cell r="A427" t="str">
            <v>O7942/2602</v>
          </cell>
          <cell r="D427" t="str">
            <v/>
          </cell>
          <cell r="E427" t="str">
            <v/>
          </cell>
          <cell r="F427">
            <v>59972.5</v>
          </cell>
          <cell r="J427" t="str">
            <v/>
          </cell>
          <cell r="K427" t="str">
            <v/>
          </cell>
          <cell r="L427" t="str">
            <v/>
          </cell>
        </row>
        <row r="428">
          <cell r="A428" t="str">
            <v>O9100/2601</v>
          </cell>
          <cell r="D428" t="str">
            <v>4999999901</v>
          </cell>
          <cell r="E428" t="str">
            <v>4911063092</v>
          </cell>
          <cell r="F428">
            <v>1565.28</v>
          </cell>
          <cell r="J428" t="str">
            <v/>
          </cell>
          <cell r="K428" t="str">
            <v>2026</v>
          </cell>
          <cell r="L428" t="str">
            <v>4</v>
          </cell>
        </row>
        <row r="429">
          <cell r="A429" t="str">
            <v>O9100/2601</v>
          </cell>
          <cell r="D429" t="str">
            <v>I240000030</v>
          </cell>
          <cell r="E429" t="str">
            <v/>
          </cell>
          <cell r="F429">
            <v>1565.28</v>
          </cell>
          <cell r="J429" t="str">
            <v/>
          </cell>
          <cell r="K429" t="str">
            <v>2026</v>
          </cell>
          <cell r="L429" t="str">
            <v>4</v>
          </cell>
        </row>
        <row r="430">
          <cell r="A430" t="str">
            <v>O9100/2601</v>
          </cell>
          <cell r="D430" t="str">
            <v/>
          </cell>
          <cell r="E430" t="str">
            <v/>
          </cell>
          <cell r="F430">
            <v>3130.56</v>
          </cell>
          <cell r="J430" t="str">
            <v/>
          </cell>
          <cell r="K430" t="str">
            <v/>
          </cell>
          <cell r="L430" t="str">
            <v/>
          </cell>
        </row>
        <row r="431">
          <cell r="A431" t="str">
            <v/>
          </cell>
          <cell r="D431" t="str">
            <v/>
          </cell>
          <cell r="E431" t="str">
            <v/>
          </cell>
          <cell r="F431">
            <v>8009804.96</v>
          </cell>
          <cell r="J431" t="str">
            <v/>
          </cell>
          <cell r="K431" t="str">
            <v/>
          </cell>
          <cell r="L431" t="str">
            <v/>
          </cell>
        </row>
        <row r="432">
          <cell r="A432" t="str">
            <v/>
          </cell>
          <cell r="D432" t="str">
            <v/>
          </cell>
          <cell r="E432" t="str">
            <v/>
          </cell>
          <cell r="J432" t="str">
            <v/>
          </cell>
          <cell r="K432" t="str">
            <v/>
          </cell>
          <cell r="L432" t="str">
            <v/>
          </cell>
        </row>
        <row r="433">
          <cell r="A433" t="str">
            <v/>
          </cell>
          <cell r="D433" t="str">
            <v/>
          </cell>
          <cell r="E433" t="str">
            <v/>
          </cell>
          <cell r="J433" t="str">
            <v/>
          </cell>
          <cell r="K433" t="str">
            <v/>
          </cell>
          <cell r="L433" t="str">
            <v/>
          </cell>
        </row>
      </sheetData>
      <sheetData sheetId="3"/>
      <sheetData sheetId="4"/>
      <sheetData sheetId="5">
        <row r="1">
          <cell r="I1">
            <v>9</v>
          </cell>
          <cell r="J1">
            <v>10</v>
          </cell>
          <cell r="O1">
            <v>15</v>
          </cell>
        </row>
        <row r="2">
          <cell r="I2" t="str">
            <v/>
          </cell>
          <cell r="J2" t="str">
            <v/>
          </cell>
        </row>
        <row r="3">
          <cell r="I3" t="str">
            <v>Budget</v>
          </cell>
          <cell r="J3" t="str">
            <v>Actual</v>
          </cell>
        </row>
        <row r="4">
          <cell r="I4" t="str">
            <v/>
          </cell>
          <cell r="J4" t="str">
            <v/>
          </cell>
        </row>
        <row r="5">
          <cell r="I5" t="str">
            <v>73.700,00</v>
          </cell>
          <cell r="J5" t="str">
            <v>0,00</v>
          </cell>
          <cell r="O5" t="str">
            <v>C7941/1818</v>
          </cell>
        </row>
        <row r="6">
          <cell r="I6" t="str">
            <v>73.700,00</v>
          </cell>
          <cell r="J6" t="str">
            <v>0,00</v>
          </cell>
          <cell r="O6" t="str">
            <v>C7941/1818</v>
          </cell>
        </row>
        <row r="7">
          <cell r="I7" t="str">
            <v>73.700,00</v>
          </cell>
          <cell r="J7" t="str">
            <v>0,00</v>
          </cell>
          <cell r="O7" t="str">
            <v>C7941/1818/2</v>
          </cell>
        </row>
        <row r="8">
          <cell r="I8" t="str">
            <v>73.700,00</v>
          </cell>
          <cell r="J8" t="str">
            <v>0,00</v>
          </cell>
          <cell r="O8" t="str">
            <v>C7941/1818/2/1</v>
          </cell>
        </row>
        <row r="9">
          <cell r="I9" t="str">
            <v>278.450,00</v>
          </cell>
          <cell r="J9" t="str">
            <v>99.449,33</v>
          </cell>
          <cell r="O9" t="str">
            <v>C7941/1896</v>
          </cell>
        </row>
        <row r="10">
          <cell r="I10" t="str">
            <v>278.450,00</v>
          </cell>
          <cell r="J10" t="str">
            <v>99.449,33</v>
          </cell>
          <cell r="O10" t="str">
            <v>C7941/1896</v>
          </cell>
        </row>
        <row r="11">
          <cell r="I11" t="str">
            <v>0,00</v>
          </cell>
          <cell r="J11" t="str">
            <v>-179.000,00</v>
          </cell>
          <cell r="O11" t="str">
            <v>C7941/1896/1</v>
          </cell>
        </row>
        <row r="12">
          <cell r="I12" t="str">
            <v>278.450,00</v>
          </cell>
          <cell r="J12" t="str">
            <v>278.449,33</v>
          </cell>
          <cell r="O12" t="str">
            <v>C7941/1896/2</v>
          </cell>
        </row>
        <row r="13">
          <cell r="I13" t="str">
            <v>158.785,00</v>
          </cell>
          <cell r="J13" t="str">
            <v>158.784,77</v>
          </cell>
          <cell r="O13" t="str">
            <v>C7941/1896/2/1</v>
          </cell>
        </row>
        <row r="14">
          <cell r="I14" t="str">
            <v>119.665,00</v>
          </cell>
          <cell r="J14" t="str">
            <v>119.664,56</v>
          </cell>
          <cell r="O14" t="str">
            <v>C7941/1896/2/2</v>
          </cell>
        </row>
        <row r="15">
          <cell r="I15" t="str">
            <v>72.500,00</v>
          </cell>
          <cell r="J15" t="str">
            <v>9.250,00</v>
          </cell>
          <cell r="O15" t="str">
            <v>C7941/2023</v>
          </cell>
        </row>
        <row r="16">
          <cell r="I16" t="str">
            <v>72.500,00</v>
          </cell>
          <cell r="J16" t="str">
            <v>9.250,00</v>
          </cell>
          <cell r="O16" t="str">
            <v>C7941/2023</v>
          </cell>
        </row>
        <row r="17">
          <cell r="I17" t="str">
            <v>72.500,00</v>
          </cell>
          <cell r="J17" t="str">
            <v>9.250,00</v>
          </cell>
          <cell r="O17" t="str">
            <v>C7941/2023/2</v>
          </cell>
        </row>
        <row r="18">
          <cell r="I18" t="str">
            <v>70.000,00</v>
          </cell>
          <cell r="J18" t="str">
            <v>9.250,00</v>
          </cell>
          <cell r="O18" t="str">
            <v>C7941/2023/2/1</v>
          </cell>
        </row>
        <row r="19">
          <cell r="I19" t="str">
            <v>2.500,00</v>
          </cell>
          <cell r="J19" t="str">
            <v>0,00</v>
          </cell>
          <cell r="O19" t="str">
            <v>C7941/2023/2/2</v>
          </cell>
        </row>
        <row r="20">
          <cell r="I20" t="str">
            <v>414.394,00</v>
          </cell>
          <cell r="J20" t="str">
            <v>30.668,71</v>
          </cell>
          <cell r="O20" t="str">
            <v>C7941/2036</v>
          </cell>
        </row>
        <row r="21">
          <cell r="I21" t="str">
            <v>414.394,00</v>
          </cell>
          <cell r="J21" t="str">
            <v>30.668,71</v>
          </cell>
          <cell r="O21" t="str">
            <v>C7941/2036</v>
          </cell>
        </row>
        <row r="22">
          <cell r="I22" t="str">
            <v>0,00</v>
          </cell>
          <cell r="J22" t="str">
            <v>-383.724,34</v>
          </cell>
          <cell r="O22" t="str">
            <v>C7941/2036/1</v>
          </cell>
        </row>
        <row r="23">
          <cell r="I23" t="str">
            <v>414.394,00</v>
          </cell>
          <cell r="J23" t="str">
            <v>414.393,05</v>
          </cell>
          <cell r="O23" t="str">
            <v>C7941/2036/2</v>
          </cell>
        </row>
        <row r="24">
          <cell r="I24" t="str">
            <v>58.350,00</v>
          </cell>
          <cell r="J24" t="str">
            <v>58.350,00</v>
          </cell>
          <cell r="O24" t="str">
            <v>C7941/2036/2/1</v>
          </cell>
        </row>
        <row r="25">
          <cell r="I25" t="str">
            <v>356.044,00</v>
          </cell>
          <cell r="J25" t="str">
            <v>356.043,05</v>
          </cell>
          <cell r="O25" t="str">
            <v>C7941/2036/2/2</v>
          </cell>
        </row>
        <row r="26">
          <cell r="I26" t="str">
            <v>40.700,00</v>
          </cell>
          <cell r="J26" t="str">
            <v>16.800,00</v>
          </cell>
          <cell r="O26" t="str">
            <v>C7941/2130</v>
          </cell>
        </row>
        <row r="27">
          <cell r="I27" t="str">
            <v>40.700,00</v>
          </cell>
          <cell r="J27" t="str">
            <v>16.800,00</v>
          </cell>
          <cell r="O27" t="str">
            <v>C7941/2130</v>
          </cell>
        </row>
        <row r="28">
          <cell r="I28" t="str">
            <v>40.700,00</v>
          </cell>
          <cell r="J28" t="str">
            <v>16.800,00</v>
          </cell>
          <cell r="O28" t="str">
            <v>C7941/2130/2</v>
          </cell>
        </row>
        <row r="29">
          <cell r="I29" t="str">
            <v>40.700,00</v>
          </cell>
          <cell r="J29" t="str">
            <v>16.800,00</v>
          </cell>
          <cell r="O29" t="str">
            <v>C7941/2130/2/1</v>
          </cell>
        </row>
        <row r="30">
          <cell r="I30" t="str">
            <v>164.200,00</v>
          </cell>
          <cell r="J30" t="str">
            <v>84.891,11</v>
          </cell>
          <cell r="O30" t="str">
            <v>C7941/2133</v>
          </cell>
        </row>
        <row r="31">
          <cell r="I31" t="str">
            <v>164.200,00</v>
          </cell>
          <cell r="J31" t="str">
            <v>84.891,11</v>
          </cell>
          <cell r="O31" t="str">
            <v>C7941/2133</v>
          </cell>
        </row>
        <row r="32">
          <cell r="I32" t="str">
            <v>164.200,00</v>
          </cell>
          <cell r="J32" t="str">
            <v>84.891,11</v>
          </cell>
          <cell r="O32" t="str">
            <v>C7941/2133/2</v>
          </cell>
        </row>
        <row r="33">
          <cell r="I33" t="str">
            <v>140.900,00</v>
          </cell>
          <cell r="J33" t="str">
            <v>61.599,44</v>
          </cell>
          <cell r="O33" t="str">
            <v>C7941/2133/2/1</v>
          </cell>
        </row>
        <row r="34">
          <cell r="I34" t="str">
            <v>23.300,00</v>
          </cell>
          <cell r="J34" t="str">
            <v>23.291,67</v>
          </cell>
          <cell r="O34" t="str">
            <v>C7941/2133/2/2</v>
          </cell>
        </row>
        <row r="35">
          <cell r="I35" t="str">
            <v>26.600,00</v>
          </cell>
          <cell r="J35" t="str">
            <v>26.331,00</v>
          </cell>
          <cell r="O35" t="str">
            <v>C7941/2134</v>
          </cell>
        </row>
        <row r="36">
          <cell r="I36" t="str">
            <v>26.600,00</v>
          </cell>
          <cell r="J36" t="str">
            <v>26.331,00</v>
          </cell>
          <cell r="O36" t="str">
            <v>C7941/2134</v>
          </cell>
        </row>
        <row r="37">
          <cell r="I37" t="str">
            <v>26.600,00</v>
          </cell>
          <cell r="J37" t="str">
            <v>26.331,00</v>
          </cell>
          <cell r="O37" t="str">
            <v>C7941/2134/2</v>
          </cell>
        </row>
        <row r="38">
          <cell r="I38" t="str">
            <v>26.600,00</v>
          </cell>
          <cell r="J38" t="str">
            <v>26.331,00</v>
          </cell>
          <cell r="O38" t="str">
            <v>C7941/2134/2/1</v>
          </cell>
        </row>
        <row r="39">
          <cell r="I39" t="str">
            <v>20.360,00</v>
          </cell>
          <cell r="J39" t="str">
            <v>20.360,00</v>
          </cell>
          <cell r="O39" t="str">
            <v>C7941/2150</v>
          </cell>
        </row>
        <row r="40">
          <cell r="I40" t="str">
            <v>20.360,00</v>
          </cell>
          <cell r="J40" t="str">
            <v>20.360,00</v>
          </cell>
          <cell r="O40" t="str">
            <v>C7941/2150</v>
          </cell>
        </row>
        <row r="41">
          <cell r="I41" t="str">
            <v>20.360,00</v>
          </cell>
          <cell r="J41" t="str">
            <v>20.360,00</v>
          </cell>
          <cell r="O41" t="str">
            <v>C7941/2150/2</v>
          </cell>
        </row>
        <row r="42">
          <cell r="I42" t="str">
            <v>20.360,00</v>
          </cell>
          <cell r="J42" t="str">
            <v>20.360,00</v>
          </cell>
          <cell r="O42" t="str">
            <v>C7941/2150/2/1</v>
          </cell>
        </row>
        <row r="43">
          <cell r="I43" t="str">
            <v>0,00</v>
          </cell>
          <cell r="J43" t="str">
            <v>0,00</v>
          </cell>
          <cell r="O43" t="str">
            <v>C7941/2150/2/2</v>
          </cell>
        </row>
        <row r="44">
          <cell r="I44" t="str">
            <v>7.900,00</v>
          </cell>
          <cell r="J44" t="str">
            <v>532,50</v>
          </cell>
          <cell r="O44" t="str">
            <v>C7941/2329</v>
          </cell>
        </row>
        <row r="45">
          <cell r="I45" t="str">
            <v>7.900,00</v>
          </cell>
          <cell r="J45" t="str">
            <v>532,50</v>
          </cell>
          <cell r="O45" t="str">
            <v>C7941/2329</v>
          </cell>
        </row>
        <row r="46">
          <cell r="I46" t="str">
            <v>7.900,00</v>
          </cell>
          <cell r="J46" t="str">
            <v>532,50</v>
          </cell>
          <cell r="O46" t="str">
            <v>C7941/2329/2</v>
          </cell>
        </row>
        <row r="47">
          <cell r="I47" t="str">
            <v>7.900,00</v>
          </cell>
          <cell r="J47" t="str">
            <v>532,50</v>
          </cell>
          <cell r="O47" t="str">
            <v>C7941/2329/2/1</v>
          </cell>
        </row>
        <row r="48">
          <cell r="I48" t="str">
            <v>42.600,00</v>
          </cell>
          <cell r="J48" t="str">
            <v>22.300,00</v>
          </cell>
          <cell r="O48" t="str">
            <v>C7941/2383</v>
          </cell>
        </row>
        <row r="49">
          <cell r="I49" t="str">
            <v>42.600,00</v>
          </cell>
          <cell r="J49" t="str">
            <v>22.300,00</v>
          </cell>
          <cell r="O49" t="str">
            <v>C7941/2383</v>
          </cell>
        </row>
        <row r="50">
          <cell r="I50" t="str">
            <v>42.600,00</v>
          </cell>
          <cell r="J50" t="str">
            <v>22.300,00</v>
          </cell>
          <cell r="O50" t="str">
            <v>C7941/2383/2</v>
          </cell>
        </row>
        <row r="51">
          <cell r="I51" t="str">
            <v>42.600,00</v>
          </cell>
          <cell r="J51" t="str">
            <v>22.300,00</v>
          </cell>
          <cell r="O51" t="str">
            <v>C7941/2383/2/1</v>
          </cell>
        </row>
        <row r="52">
          <cell r="I52" t="str">
            <v>2.500,00</v>
          </cell>
          <cell r="J52" t="str">
            <v>1.400,00</v>
          </cell>
          <cell r="O52" t="str">
            <v>C7941/2411</v>
          </cell>
        </row>
        <row r="53">
          <cell r="I53" t="str">
            <v>2.500,00</v>
          </cell>
          <cell r="J53" t="str">
            <v>1.400,00</v>
          </cell>
          <cell r="O53" t="str">
            <v>C7941/2411</v>
          </cell>
        </row>
        <row r="54">
          <cell r="I54" t="str">
            <v>2.500,00</v>
          </cell>
          <cell r="J54" t="str">
            <v>1.400,00</v>
          </cell>
          <cell r="O54" t="str">
            <v>C7941/2411/2</v>
          </cell>
        </row>
        <row r="55">
          <cell r="I55" t="str">
            <v>2.500,00</v>
          </cell>
          <cell r="J55" t="str">
            <v>1.400,00</v>
          </cell>
          <cell r="O55" t="str">
            <v>C7941/2411/2/1</v>
          </cell>
        </row>
        <row r="56">
          <cell r="I56" t="str">
            <v>49.452,00</v>
          </cell>
          <cell r="J56" t="str">
            <v>349,00</v>
          </cell>
          <cell r="O56" t="str">
            <v>C7941/2439</v>
          </cell>
        </row>
        <row r="57">
          <cell r="I57" t="str">
            <v>49.452,00</v>
          </cell>
          <cell r="J57" t="str">
            <v>349,00</v>
          </cell>
          <cell r="O57" t="str">
            <v>C7941/2439</v>
          </cell>
        </row>
        <row r="58">
          <cell r="I58" t="str">
            <v>0,00</v>
          </cell>
          <cell r="J58" t="str">
            <v>-34.251,00</v>
          </cell>
          <cell r="O58" t="str">
            <v>C7941/2439/1</v>
          </cell>
        </row>
        <row r="59">
          <cell r="I59" t="str">
            <v>49.452,00</v>
          </cell>
          <cell r="J59" t="str">
            <v>34.600,00</v>
          </cell>
          <cell r="O59" t="str">
            <v>C7941/2439/2</v>
          </cell>
        </row>
        <row r="60">
          <cell r="I60" t="str">
            <v>15.532,00</v>
          </cell>
          <cell r="J60" t="str">
            <v>10.800,00</v>
          </cell>
          <cell r="O60" t="str">
            <v>C7941/2439/2/1</v>
          </cell>
        </row>
        <row r="61">
          <cell r="I61" t="str">
            <v>33.920,00</v>
          </cell>
          <cell r="J61" t="str">
            <v>23.800,00</v>
          </cell>
          <cell r="O61" t="str">
            <v>C7941/2439/2/2</v>
          </cell>
        </row>
        <row r="62">
          <cell r="I62" t="str">
            <v>414.900,00</v>
          </cell>
          <cell r="J62" t="str">
            <v>274.642,75</v>
          </cell>
          <cell r="O62" t="str">
            <v>C7941/2567</v>
          </cell>
        </row>
        <row r="63">
          <cell r="I63" t="str">
            <v>414.900,00</v>
          </cell>
          <cell r="J63" t="str">
            <v>274.642,75</v>
          </cell>
          <cell r="O63" t="str">
            <v>C7941/2567</v>
          </cell>
        </row>
        <row r="64">
          <cell r="I64" t="str">
            <v>414.900,00</v>
          </cell>
          <cell r="J64" t="str">
            <v>274.642,75</v>
          </cell>
          <cell r="O64" t="str">
            <v>C7941/2567/2</v>
          </cell>
        </row>
        <row r="65">
          <cell r="I65" t="str">
            <v>283.200,00</v>
          </cell>
          <cell r="J65" t="str">
            <v>211.130,75</v>
          </cell>
          <cell r="O65" t="str">
            <v>C7941/2567/2/1</v>
          </cell>
        </row>
        <row r="66">
          <cell r="I66" t="str">
            <v>131.700,00</v>
          </cell>
          <cell r="J66" t="str">
            <v>63.512,00</v>
          </cell>
          <cell r="O66" t="str">
            <v>C7941/2567/2/2</v>
          </cell>
        </row>
        <row r="67">
          <cell r="I67" t="str">
            <v>55.941,00</v>
          </cell>
          <cell r="J67" t="str">
            <v>55.540,63</v>
          </cell>
          <cell r="O67" t="str">
            <v>C7941/2577</v>
          </cell>
        </row>
        <row r="68">
          <cell r="I68" t="str">
            <v>55.941,00</v>
          </cell>
          <cell r="J68" t="str">
            <v>55.540,63</v>
          </cell>
          <cell r="O68" t="str">
            <v>C7941/2577</v>
          </cell>
        </row>
        <row r="69">
          <cell r="I69" t="str">
            <v>55.941,00</v>
          </cell>
          <cell r="J69" t="str">
            <v>55.540,63</v>
          </cell>
          <cell r="O69" t="str">
            <v>C7941/2577/2</v>
          </cell>
        </row>
        <row r="70">
          <cell r="I70" t="str">
            <v>20.000,00</v>
          </cell>
          <cell r="J70" t="str">
            <v>19.600,00</v>
          </cell>
          <cell r="O70" t="str">
            <v>C7941/2577/2/1</v>
          </cell>
        </row>
        <row r="71">
          <cell r="I71" t="str">
            <v>35.941,00</v>
          </cell>
          <cell r="J71" t="str">
            <v>35.940,63</v>
          </cell>
          <cell r="O71" t="str">
            <v>C7941/2577/2/2</v>
          </cell>
        </row>
        <row r="72">
          <cell r="I72" t="str">
            <v>9.850,00</v>
          </cell>
          <cell r="J72" t="str">
            <v>9.850,00</v>
          </cell>
          <cell r="O72" t="str">
            <v>C7941/2588</v>
          </cell>
        </row>
        <row r="73">
          <cell r="I73" t="str">
            <v>9.850,00</v>
          </cell>
          <cell r="J73" t="str">
            <v>9.850,00</v>
          </cell>
          <cell r="O73" t="str">
            <v>C7941/2588</v>
          </cell>
        </row>
        <row r="74">
          <cell r="I74" t="str">
            <v>9.850,00</v>
          </cell>
          <cell r="J74" t="str">
            <v>9.850,00</v>
          </cell>
          <cell r="O74" t="str">
            <v>C7941/2588/2</v>
          </cell>
        </row>
        <row r="75">
          <cell r="I75" t="str">
            <v>9.850,00</v>
          </cell>
          <cell r="J75" t="str">
            <v>9.850,00</v>
          </cell>
          <cell r="O75" t="str">
            <v>C7941/2588/2/1</v>
          </cell>
        </row>
        <row r="76">
          <cell r="I76" t="str">
            <v>2.864.852,00</v>
          </cell>
          <cell r="J76" t="str">
            <v>-81.247,33</v>
          </cell>
          <cell r="O76" t="str">
            <v>C7941/2595</v>
          </cell>
        </row>
        <row r="77">
          <cell r="I77" t="str">
            <v>2.864.852,00</v>
          </cell>
          <cell r="J77" t="str">
            <v>-81.247,33</v>
          </cell>
          <cell r="O77" t="str">
            <v>C7941/2595</v>
          </cell>
        </row>
        <row r="78">
          <cell r="I78" t="str">
            <v>0,00</v>
          </cell>
          <cell r="J78" t="str">
            <v>-2.174.895,00</v>
          </cell>
          <cell r="O78" t="str">
            <v>C7941/2595/1</v>
          </cell>
        </row>
        <row r="79">
          <cell r="I79" t="str">
            <v>2.864.852,00</v>
          </cell>
          <cell r="J79" t="str">
            <v>2.093.647,67</v>
          </cell>
          <cell r="O79" t="str">
            <v>C7941/2595/2</v>
          </cell>
        </row>
        <row r="80">
          <cell r="I80" t="str">
            <v>1.137.800,00</v>
          </cell>
          <cell r="J80" t="str">
            <v>1.003.422,24</v>
          </cell>
          <cell r="O80" t="str">
            <v>C7941/2595/2/1</v>
          </cell>
        </row>
        <row r="81">
          <cell r="I81" t="str">
            <v>1.727.052,00</v>
          </cell>
          <cell r="J81" t="str">
            <v>1.090.225,43</v>
          </cell>
          <cell r="O81" t="str">
            <v>C7941/2595/2/2</v>
          </cell>
        </row>
        <row r="82">
          <cell r="I82" t="str">
            <v>114.500,00</v>
          </cell>
          <cell r="J82" t="str">
            <v>14.460,64</v>
          </cell>
          <cell r="O82" t="str">
            <v>C7941/2600</v>
          </cell>
        </row>
        <row r="83">
          <cell r="I83" t="str">
            <v>114.500,00</v>
          </cell>
          <cell r="J83" t="str">
            <v>14.460,64</v>
          </cell>
          <cell r="O83" t="str">
            <v>C7941/2600</v>
          </cell>
        </row>
        <row r="84">
          <cell r="I84" t="str">
            <v>0,00</v>
          </cell>
          <cell r="J84" t="str">
            <v>-23.169,28</v>
          </cell>
          <cell r="O84" t="str">
            <v>C7941/2600/1</v>
          </cell>
        </row>
        <row r="85">
          <cell r="I85" t="str">
            <v>114.500,00</v>
          </cell>
          <cell r="J85" t="str">
            <v>37.629,92</v>
          </cell>
          <cell r="O85" t="str">
            <v>C7941/2600/2</v>
          </cell>
        </row>
        <row r="86">
          <cell r="I86" t="str">
            <v>91.500,00</v>
          </cell>
          <cell r="J86" t="str">
            <v>14.881,24</v>
          </cell>
          <cell r="O86" t="str">
            <v>C7941/2600/2/1</v>
          </cell>
        </row>
        <row r="87">
          <cell r="I87" t="str">
            <v>23.000,00</v>
          </cell>
          <cell r="J87" t="str">
            <v>22.748,68</v>
          </cell>
          <cell r="O87" t="str">
            <v>C7941/2600/2/2</v>
          </cell>
        </row>
        <row r="88">
          <cell r="I88" t="str">
            <v>175.750,00</v>
          </cell>
          <cell r="J88" t="str">
            <v>-6.483,00</v>
          </cell>
          <cell r="O88" t="str">
            <v>C7941/2610</v>
          </cell>
        </row>
        <row r="89">
          <cell r="I89" t="str">
            <v>175.750,00</v>
          </cell>
          <cell r="J89" t="str">
            <v>-6.483,00</v>
          </cell>
          <cell r="O89" t="str">
            <v>C7941/2610</v>
          </cell>
        </row>
        <row r="90">
          <cell r="I90" t="str">
            <v>0,00</v>
          </cell>
          <cell r="J90" t="str">
            <v>-181.933,00</v>
          </cell>
          <cell r="O90" t="str">
            <v>C7941/2610/1</v>
          </cell>
        </row>
        <row r="91">
          <cell r="I91" t="str">
            <v>175.750,00</v>
          </cell>
          <cell r="J91" t="str">
            <v>175.450,00</v>
          </cell>
          <cell r="O91" t="str">
            <v>C7941/2610/2</v>
          </cell>
        </row>
        <row r="92">
          <cell r="I92" t="str">
            <v>155.750,00</v>
          </cell>
          <cell r="J92" t="str">
            <v>155.450,00</v>
          </cell>
          <cell r="O92" t="str">
            <v>C7941/2610/2/1</v>
          </cell>
        </row>
        <row r="93">
          <cell r="I93" t="str">
            <v>20.000,00</v>
          </cell>
          <cell r="J93" t="str">
            <v>20.000,00</v>
          </cell>
          <cell r="O93" t="str">
            <v>C7941/2610/2/2</v>
          </cell>
        </row>
        <row r="94">
          <cell r="I94" t="str">
            <v>84.000,00</v>
          </cell>
          <cell r="J94" t="str">
            <v>-3.560,00</v>
          </cell>
          <cell r="O94" t="str">
            <v>C7941/2612</v>
          </cell>
        </row>
        <row r="95">
          <cell r="I95" t="str">
            <v>84.000,00</v>
          </cell>
          <cell r="J95" t="str">
            <v>-3.560,00</v>
          </cell>
          <cell r="O95" t="str">
            <v>C7941/2612</v>
          </cell>
        </row>
        <row r="96">
          <cell r="I96" t="str">
            <v>0,00</v>
          </cell>
          <cell r="J96" t="str">
            <v>-86.760,00</v>
          </cell>
          <cell r="O96" t="str">
            <v>C7941/2612/1</v>
          </cell>
        </row>
        <row r="97">
          <cell r="I97" t="str">
            <v>84.000,00</v>
          </cell>
          <cell r="J97" t="str">
            <v>83.200,00</v>
          </cell>
          <cell r="O97" t="str">
            <v>C7941/2612/2</v>
          </cell>
        </row>
        <row r="98">
          <cell r="I98" t="str">
            <v>64.000,00</v>
          </cell>
          <cell r="J98" t="str">
            <v>63.200,00</v>
          </cell>
          <cell r="O98" t="str">
            <v>C7941/2612/2/1</v>
          </cell>
        </row>
        <row r="99">
          <cell r="I99" t="str">
            <v>20.000,00</v>
          </cell>
          <cell r="J99" t="str">
            <v>20.000,00</v>
          </cell>
          <cell r="O99" t="str">
            <v>C7941/2612/2/2</v>
          </cell>
        </row>
        <row r="100">
          <cell r="I100" t="str">
            <v>59.568,00</v>
          </cell>
          <cell r="J100" t="str">
            <v>59.567,20</v>
          </cell>
          <cell r="O100" t="str">
            <v>C7941/2619</v>
          </cell>
        </row>
        <row r="101">
          <cell r="I101" t="str">
            <v>59.568,00</v>
          </cell>
          <cell r="J101" t="str">
            <v>59.567,20</v>
          </cell>
          <cell r="O101" t="str">
            <v>C7941/2619</v>
          </cell>
        </row>
        <row r="102">
          <cell r="I102" t="str">
            <v>59.568,00</v>
          </cell>
          <cell r="J102" t="str">
            <v>59.567,20</v>
          </cell>
          <cell r="O102" t="str">
            <v>C7941/2619/2</v>
          </cell>
        </row>
        <row r="103">
          <cell r="I103" t="str">
            <v>52.000,00</v>
          </cell>
          <cell r="J103" t="str">
            <v>52.000,00</v>
          </cell>
          <cell r="O103" t="str">
            <v>C7941/2619/2/1</v>
          </cell>
        </row>
        <row r="104">
          <cell r="I104" t="str">
            <v>7.568,00</v>
          </cell>
          <cell r="J104" t="str">
            <v>7.567,20</v>
          </cell>
          <cell r="O104" t="str">
            <v>C7941/2619/2/2</v>
          </cell>
        </row>
        <row r="105">
          <cell r="I105" t="str">
            <v>40.000,00</v>
          </cell>
          <cell r="J105" t="str">
            <v>29.632,38</v>
          </cell>
          <cell r="O105" t="str">
            <v>C7941/2622</v>
          </cell>
        </row>
        <row r="106">
          <cell r="I106" t="str">
            <v>40.000,00</v>
          </cell>
          <cell r="J106" t="str">
            <v>29.632,38</v>
          </cell>
          <cell r="O106" t="str">
            <v>C7941/2622</v>
          </cell>
        </row>
        <row r="107">
          <cell r="I107" t="str">
            <v>40.000,00</v>
          </cell>
          <cell r="J107" t="str">
            <v>29.632,38</v>
          </cell>
          <cell r="O107" t="str">
            <v>C7941/2622/2</v>
          </cell>
        </row>
        <row r="108">
          <cell r="I108" t="str">
            <v>40.000,00</v>
          </cell>
          <cell r="J108" t="str">
            <v>29.632,38</v>
          </cell>
          <cell r="O108" t="str">
            <v>C7941/2622/2/1</v>
          </cell>
        </row>
        <row r="109">
          <cell r="I109" t="str">
            <v>55.463,00</v>
          </cell>
          <cell r="J109" t="str">
            <v>7.580,50</v>
          </cell>
          <cell r="O109" t="str">
            <v>C7941/2623</v>
          </cell>
        </row>
        <row r="110">
          <cell r="I110" t="str">
            <v>55.463,00</v>
          </cell>
          <cell r="J110" t="str">
            <v>7.580,50</v>
          </cell>
          <cell r="O110" t="str">
            <v>C7941/2623</v>
          </cell>
        </row>
        <row r="111">
          <cell r="I111" t="str">
            <v>0,00</v>
          </cell>
          <cell r="J111" t="str">
            <v>-41.510,00</v>
          </cell>
          <cell r="O111" t="str">
            <v>C7941/2623/1</v>
          </cell>
        </row>
        <row r="112">
          <cell r="I112" t="str">
            <v>55.463,00</v>
          </cell>
          <cell r="J112" t="str">
            <v>49.090,50</v>
          </cell>
          <cell r="O112" t="str">
            <v>C7941/2623/2</v>
          </cell>
        </row>
        <row r="113">
          <cell r="I113" t="str">
            <v>34.000,00</v>
          </cell>
          <cell r="J113" t="str">
            <v>28.090,50</v>
          </cell>
          <cell r="O113" t="str">
            <v>C7941/2623/2/1</v>
          </cell>
        </row>
        <row r="114">
          <cell r="I114" t="str">
            <v>21.463,00</v>
          </cell>
          <cell r="J114" t="str">
            <v>21.000,00</v>
          </cell>
          <cell r="O114" t="str">
            <v>C7941/2623/2/2</v>
          </cell>
        </row>
        <row r="115">
          <cell r="I115" t="str">
            <v>33.509,00</v>
          </cell>
          <cell r="J115" t="str">
            <v>33.508,98</v>
          </cell>
          <cell r="O115" t="str">
            <v>C7941/2628</v>
          </cell>
        </row>
        <row r="116">
          <cell r="I116" t="str">
            <v>33.509,00</v>
          </cell>
          <cell r="J116" t="str">
            <v>33.508,98</v>
          </cell>
          <cell r="O116" t="str">
            <v>C7941/2628</v>
          </cell>
        </row>
        <row r="117">
          <cell r="I117" t="str">
            <v>33.509,00</v>
          </cell>
          <cell r="J117" t="str">
            <v>33.508,98</v>
          </cell>
          <cell r="O117" t="str">
            <v>C7941/2628/2</v>
          </cell>
        </row>
        <row r="118">
          <cell r="I118" t="str">
            <v>33.509,00</v>
          </cell>
          <cell r="J118" t="str">
            <v>33.508,98</v>
          </cell>
          <cell r="O118" t="str">
            <v>C7941/2628/2/1</v>
          </cell>
        </row>
        <row r="119">
          <cell r="I119" t="str">
            <v>106.200,00</v>
          </cell>
          <cell r="J119" t="str">
            <v>106.200,00</v>
          </cell>
          <cell r="O119" t="str">
            <v>C7941/2633</v>
          </cell>
        </row>
        <row r="120">
          <cell r="I120" t="str">
            <v>106.200,00</v>
          </cell>
          <cell r="J120" t="str">
            <v>106.200,00</v>
          </cell>
          <cell r="O120" t="str">
            <v>C7941/2633</v>
          </cell>
        </row>
        <row r="121">
          <cell r="I121" t="str">
            <v>106.200,00</v>
          </cell>
          <cell r="J121" t="str">
            <v>106.200,00</v>
          </cell>
          <cell r="O121" t="str">
            <v>C7941/2633/2</v>
          </cell>
        </row>
        <row r="122">
          <cell r="I122" t="str">
            <v>106.200,00</v>
          </cell>
          <cell r="J122" t="str">
            <v>106.200,00</v>
          </cell>
          <cell r="O122" t="str">
            <v>C7941/2633/2/1</v>
          </cell>
        </row>
        <row r="123">
          <cell r="I123" t="str">
            <v>48.000,00</v>
          </cell>
          <cell r="J123" t="str">
            <v>13.000,00</v>
          </cell>
          <cell r="O123" t="str">
            <v>C7941/2635</v>
          </cell>
        </row>
        <row r="124">
          <cell r="I124" t="str">
            <v>48.000,00</v>
          </cell>
          <cell r="J124" t="str">
            <v>13.000,00</v>
          </cell>
          <cell r="O124" t="str">
            <v>C7941/2635</v>
          </cell>
        </row>
        <row r="125">
          <cell r="I125" t="str">
            <v>48.000,00</v>
          </cell>
          <cell r="J125" t="str">
            <v>13.000,00</v>
          </cell>
          <cell r="O125" t="str">
            <v>C7941/2635/2</v>
          </cell>
        </row>
        <row r="126">
          <cell r="I126" t="str">
            <v>48.000,00</v>
          </cell>
          <cell r="J126" t="str">
            <v>13.000,00</v>
          </cell>
          <cell r="O126" t="str">
            <v>C7941/2635/2/1</v>
          </cell>
        </row>
        <row r="127">
          <cell r="I127" t="str">
            <v>315,00</v>
          </cell>
          <cell r="J127" t="str">
            <v>315,00</v>
          </cell>
          <cell r="O127" t="str">
            <v>C7941/2637</v>
          </cell>
        </row>
        <row r="128">
          <cell r="I128" t="str">
            <v>315,00</v>
          </cell>
          <cell r="J128" t="str">
            <v>315,00</v>
          </cell>
          <cell r="O128" t="str">
            <v>C7941/2637</v>
          </cell>
        </row>
        <row r="129">
          <cell r="I129" t="str">
            <v>315,00</v>
          </cell>
          <cell r="J129" t="str">
            <v>315,00</v>
          </cell>
          <cell r="O129" t="str">
            <v>C7941/2637/2</v>
          </cell>
        </row>
        <row r="130">
          <cell r="I130" t="str">
            <v>315,00</v>
          </cell>
          <cell r="J130" t="str">
            <v>315,00</v>
          </cell>
          <cell r="O130" t="str">
            <v>C7941/2637/2/1</v>
          </cell>
        </row>
        <row r="131">
          <cell r="I131" t="str">
            <v>1.000,00</v>
          </cell>
          <cell r="J131" t="str">
            <v>841,15</v>
          </cell>
          <cell r="O131" t="str">
            <v>C7941/2640</v>
          </cell>
        </row>
        <row r="132">
          <cell r="I132" t="str">
            <v>1.000,00</v>
          </cell>
          <cell r="J132" t="str">
            <v>841,15</v>
          </cell>
          <cell r="O132" t="str">
            <v>C7941/2640</v>
          </cell>
        </row>
        <row r="133">
          <cell r="I133" t="str">
            <v>1.000,00</v>
          </cell>
          <cell r="J133" t="str">
            <v>841,15</v>
          </cell>
          <cell r="O133" t="str">
            <v>C7941/2640/2</v>
          </cell>
        </row>
        <row r="134">
          <cell r="I134" t="str">
            <v>1.000,00</v>
          </cell>
          <cell r="J134" t="str">
            <v>841,15</v>
          </cell>
          <cell r="O134" t="str">
            <v>C7941/2640/2/1</v>
          </cell>
        </row>
        <row r="135">
          <cell r="I135" t="str">
            <v>450.310,00</v>
          </cell>
          <cell r="J135" t="str">
            <v>33.774,95</v>
          </cell>
          <cell r="O135" t="str">
            <v>C7941/2643</v>
          </cell>
        </row>
        <row r="136">
          <cell r="I136" t="str">
            <v>450.310,00</v>
          </cell>
          <cell r="J136" t="str">
            <v>33.774,95</v>
          </cell>
          <cell r="O136" t="str">
            <v>C7941/2643</v>
          </cell>
        </row>
        <row r="137">
          <cell r="I137" t="str">
            <v>0,00</v>
          </cell>
          <cell r="J137" t="str">
            <v>-378.061,20</v>
          </cell>
          <cell r="O137" t="str">
            <v>C7941/2643/1</v>
          </cell>
        </row>
        <row r="138">
          <cell r="I138" t="str">
            <v>450.310,00</v>
          </cell>
          <cell r="J138" t="str">
            <v>411.836,15</v>
          </cell>
          <cell r="O138" t="str">
            <v>C7941/2643/2</v>
          </cell>
        </row>
        <row r="139">
          <cell r="I139" t="str">
            <v>355.000,00</v>
          </cell>
          <cell r="J139" t="str">
            <v>320.959,00</v>
          </cell>
          <cell r="O139" t="str">
            <v>C7941/2643/2/1</v>
          </cell>
        </row>
        <row r="140">
          <cell r="I140" t="str">
            <v>95.310,00</v>
          </cell>
          <cell r="J140" t="str">
            <v>90.877,15</v>
          </cell>
          <cell r="O140" t="str">
            <v>C7941/2643/2/2</v>
          </cell>
        </row>
        <row r="141">
          <cell r="I141" t="str">
            <v>250.000,00</v>
          </cell>
          <cell r="J141" t="str">
            <v>12.652,40</v>
          </cell>
          <cell r="O141" t="str">
            <v>C7941/2644</v>
          </cell>
        </row>
        <row r="142">
          <cell r="I142" t="str">
            <v>250.000,00</v>
          </cell>
          <cell r="J142" t="str">
            <v>12.652,40</v>
          </cell>
          <cell r="O142" t="str">
            <v>C7941/2644</v>
          </cell>
        </row>
        <row r="143">
          <cell r="I143" t="str">
            <v>0,00</v>
          </cell>
          <cell r="J143" t="str">
            <v>-187.382,00</v>
          </cell>
          <cell r="O143" t="str">
            <v>C7941/2644/1</v>
          </cell>
        </row>
        <row r="144">
          <cell r="I144" t="str">
            <v>250.000,00</v>
          </cell>
          <cell r="J144" t="str">
            <v>200.034,40</v>
          </cell>
          <cell r="O144" t="str">
            <v>C7941/2644/2</v>
          </cell>
        </row>
        <row r="145">
          <cell r="I145" t="str">
            <v>30.000,00</v>
          </cell>
          <cell r="J145" t="str">
            <v>4.300,00</v>
          </cell>
          <cell r="O145" t="str">
            <v>C7941/2644/2/1</v>
          </cell>
        </row>
        <row r="146">
          <cell r="I146" t="str">
            <v>220.000,00</v>
          </cell>
          <cell r="J146" t="str">
            <v>195.734,40</v>
          </cell>
          <cell r="O146" t="str">
            <v>C7941/2644/2/2</v>
          </cell>
        </row>
        <row r="147">
          <cell r="I147" t="str">
            <v>46.325,00</v>
          </cell>
          <cell r="J147" t="str">
            <v>-1.791,00</v>
          </cell>
          <cell r="O147" t="str">
            <v>C7941/2650</v>
          </cell>
        </row>
        <row r="148">
          <cell r="I148" t="str">
            <v>46.325,00</v>
          </cell>
          <cell r="J148" t="str">
            <v>-1.791,00</v>
          </cell>
          <cell r="O148" t="str">
            <v>C7941/2650</v>
          </cell>
        </row>
        <row r="149">
          <cell r="I149" t="str">
            <v>0,00</v>
          </cell>
          <cell r="J149" t="str">
            <v>-48.116,00</v>
          </cell>
          <cell r="O149" t="str">
            <v>C7941/2650/1</v>
          </cell>
        </row>
        <row r="150">
          <cell r="I150" t="str">
            <v>46.325,00</v>
          </cell>
          <cell r="J150" t="str">
            <v>46.325,00</v>
          </cell>
          <cell r="O150" t="str">
            <v>C7941/2650/2</v>
          </cell>
        </row>
        <row r="151">
          <cell r="I151" t="str">
            <v>46.325,00</v>
          </cell>
          <cell r="J151" t="str">
            <v>46.325,00</v>
          </cell>
          <cell r="O151" t="str">
            <v>C7941/2650/2/1</v>
          </cell>
        </row>
        <row r="152">
          <cell r="I152" t="str">
            <v>0,00</v>
          </cell>
          <cell r="J152" t="str">
            <v>0,00</v>
          </cell>
          <cell r="O152" t="str">
            <v>C7941/2650/2/2</v>
          </cell>
        </row>
        <row r="153">
          <cell r="I153" t="str">
            <v>0,00</v>
          </cell>
          <cell r="J153" t="str">
            <v>0,00</v>
          </cell>
          <cell r="O153" t="str">
            <v>C7941/2655</v>
          </cell>
        </row>
        <row r="154">
          <cell r="I154" t="str">
            <v>0,00</v>
          </cell>
          <cell r="J154" t="str">
            <v>0,00</v>
          </cell>
          <cell r="O154" t="str">
            <v>C7941/2655</v>
          </cell>
        </row>
        <row r="155">
          <cell r="I155" t="str">
            <v>0,00</v>
          </cell>
          <cell r="J155" t="str">
            <v>0,00</v>
          </cell>
          <cell r="O155" t="str">
            <v>C7941/2655/2</v>
          </cell>
        </row>
        <row r="156">
          <cell r="I156" t="str">
            <v>0,00</v>
          </cell>
          <cell r="J156" t="str">
            <v>0,00</v>
          </cell>
          <cell r="O156" t="str">
            <v>C7941/2655/2/1</v>
          </cell>
        </row>
        <row r="157">
          <cell r="I157" t="str">
            <v>26.400,00</v>
          </cell>
          <cell r="J157" t="str">
            <v>26.400,00</v>
          </cell>
          <cell r="O157" t="str">
            <v>C7941/2662</v>
          </cell>
        </row>
        <row r="158">
          <cell r="I158" t="str">
            <v>26.400,00</v>
          </cell>
          <cell r="J158" t="str">
            <v>26.400,00</v>
          </cell>
          <cell r="O158" t="str">
            <v>C7941/2662</v>
          </cell>
        </row>
        <row r="159">
          <cell r="I159" t="str">
            <v>26.400,00</v>
          </cell>
          <cell r="J159" t="str">
            <v>26.400,00</v>
          </cell>
          <cell r="O159" t="str">
            <v>C7941/2662/2</v>
          </cell>
        </row>
        <row r="160">
          <cell r="I160" t="str">
            <v>26.400,00</v>
          </cell>
          <cell r="J160" t="str">
            <v>26.400,00</v>
          </cell>
          <cell r="O160" t="str">
            <v>C7941/2662/2/1</v>
          </cell>
        </row>
        <row r="161">
          <cell r="I161" t="str">
            <v>75.000,00</v>
          </cell>
          <cell r="J161" t="str">
            <v>-18.000,00</v>
          </cell>
          <cell r="O161" t="str">
            <v>C7941/2663</v>
          </cell>
        </row>
        <row r="162">
          <cell r="I162" t="str">
            <v>75.000,00</v>
          </cell>
          <cell r="J162" t="str">
            <v>-18.000,00</v>
          </cell>
          <cell r="O162" t="str">
            <v>C7941/2663</v>
          </cell>
        </row>
        <row r="163">
          <cell r="I163" t="str">
            <v>75.000,00</v>
          </cell>
          <cell r="J163" t="str">
            <v>-18.000,00</v>
          </cell>
          <cell r="O163" t="str">
            <v>C7941/2663/2</v>
          </cell>
        </row>
        <row r="164">
          <cell r="I164" t="str">
            <v>75.000,00</v>
          </cell>
          <cell r="J164" t="str">
            <v>-18.000,00</v>
          </cell>
          <cell r="O164" t="str">
            <v>C7941/2663/2/1</v>
          </cell>
        </row>
        <row r="165">
          <cell r="I165" t="str">
            <v>39.163,00</v>
          </cell>
          <cell r="J165" t="str">
            <v>39.162,50</v>
          </cell>
          <cell r="O165" t="str">
            <v>C7941/2665</v>
          </cell>
        </row>
        <row r="166">
          <cell r="I166" t="str">
            <v>39.163,00</v>
          </cell>
          <cell r="J166" t="str">
            <v>39.162,50</v>
          </cell>
          <cell r="O166" t="str">
            <v>C7941/2665</v>
          </cell>
        </row>
        <row r="167">
          <cell r="I167" t="str">
            <v>39.163,00</v>
          </cell>
          <cell r="J167" t="str">
            <v>39.162,50</v>
          </cell>
          <cell r="O167" t="str">
            <v>C7941/2665/2</v>
          </cell>
        </row>
        <row r="168">
          <cell r="I168" t="str">
            <v>39.163,00</v>
          </cell>
          <cell r="J168" t="str">
            <v>39.162,50</v>
          </cell>
          <cell r="O168" t="str">
            <v>C7941/2665/2/1</v>
          </cell>
        </row>
        <row r="169">
          <cell r="I169" t="str">
            <v>80.000,00</v>
          </cell>
          <cell r="J169" t="str">
            <v>0,00</v>
          </cell>
          <cell r="O169" t="str">
            <v>C7941/2669</v>
          </cell>
        </row>
        <row r="170">
          <cell r="I170" t="str">
            <v>80.000,00</v>
          </cell>
          <cell r="J170" t="str">
            <v>0,00</v>
          </cell>
          <cell r="O170" t="str">
            <v>C7941/2669</v>
          </cell>
        </row>
        <row r="171">
          <cell r="I171" t="str">
            <v>80.000,00</v>
          </cell>
          <cell r="J171" t="str">
            <v>0,00</v>
          </cell>
          <cell r="O171" t="str">
            <v>C7941/2669/2</v>
          </cell>
        </row>
        <row r="172">
          <cell r="I172" t="str">
            <v>40.000,00</v>
          </cell>
          <cell r="J172" t="str">
            <v>0,00</v>
          </cell>
          <cell r="O172" t="str">
            <v>C7941/2669/2/1</v>
          </cell>
        </row>
        <row r="173">
          <cell r="I173" t="str">
            <v>40.000,00</v>
          </cell>
          <cell r="J173" t="str">
            <v>0,00</v>
          </cell>
          <cell r="O173" t="str">
            <v>C7941/2669/2/2</v>
          </cell>
        </row>
        <row r="174">
          <cell r="I174" t="str">
            <v>100.000,00</v>
          </cell>
          <cell r="J174" t="str">
            <v>30.241,50</v>
          </cell>
          <cell r="O174" t="str">
            <v>C7941/2671</v>
          </cell>
        </row>
        <row r="175">
          <cell r="I175" t="str">
            <v>100.000,00</v>
          </cell>
          <cell r="J175" t="str">
            <v>30.241,50</v>
          </cell>
          <cell r="O175" t="str">
            <v>C7941/2671</v>
          </cell>
        </row>
        <row r="176">
          <cell r="I176" t="str">
            <v>0,00</v>
          </cell>
          <cell r="J176" t="str">
            <v>-45.800,00</v>
          </cell>
          <cell r="O176" t="str">
            <v>C7941/2671/1</v>
          </cell>
        </row>
        <row r="177">
          <cell r="I177" t="str">
            <v>100.000,00</v>
          </cell>
          <cell r="J177" t="str">
            <v>76.041,50</v>
          </cell>
          <cell r="O177" t="str">
            <v>C7941/2671/2</v>
          </cell>
        </row>
        <row r="178">
          <cell r="I178" t="str">
            <v>100.000,00</v>
          </cell>
          <cell r="J178" t="str">
            <v>76.041,50</v>
          </cell>
          <cell r="O178" t="str">
            <v>C7941/2671/2/1</v>
          </cell>
        </row>
        <row r="179">
          <cell r="I179" t="str">
            <v>35.715,00</v>
          </cell>
          <cell r="J179" t="str">
            <v>-1.670,62</v>
          </cell>
          <cell r="O179" t="str">
            <v>C7941/2672</v>
          </cell>
        </row>
        <row r="180">
          <cell r="I180" t="str">
            <v>35.715,00</v>
          </cell>
          <cell r="J180" t="str">
            <v>-1.670,62</v>
          </cell>
          <cell r="O180" t="str">
            <v>C7941/2672</v>
          </cell>
        </row>
        <row r="181">
          <cell r="I181" t="str">
            <v>0,00</v>
          </cell>
          <cell r="J181" t="str">
            <v>-37.385,00</v>
          </cell>
          <cell r="O181" t="str">
            <v>C7941/2672/1</v>
          </cell>
        </row>
        <row r="182">
          <cell r="I182" t="str">
            <v>35.715,00</v>
          </cell>
          <cell r="J182" t="str">
            <v>35.714,38</v>
          </cell>
          <cell r="O182" t="str">
            <v>C7941/2672/2</v>
          </cell>
        </row>
        <row r="183">
          <cell r="I183" t="str">
            <v>31.900,00</v>
          </cell>
          <cell r="J183" t="str">
            <v>31.900,00</v>
          </cell>
          <cell r="O183" t="str">
            <v>C7941/2672/2/1</v>
          </cell>
        </row>
        <row r="184">
          <cell r="I184" t="str">
            <v>3.815,00</v>
          </cell>
          <cell r="J184" t="str">
            <v>3.814,38</v>
          </cell>
          <cell r="O184" t="str">
            <v>C7941/2672/2/2</v>
          </cell>
        </row>
        <row r="185">
          <cell r="I185" t="str">
            <v>286.603,00</v>
          </cell>
          <cell r="J185" t="str">
            <v>-10.568,06</v>
          </cell>
          <cell r="O185" t="str">
            <v>C7941/2673</v>
          </cell>
        </row>
        <row r="186">
          <cell r="I186" t="str">
            <v>286.603,00</v>
          </cell>
          <cell r="J186" t="str">
            <v>-10.568,06</v>
          </cell>
          <cell r="O186" t="str">
            <v>C7941/2673</v>
          </cell>
        </row>
        <row r="187">
          <cell r="I187" t="str">
            <v>0,00</v>
          </cell>
          <cell r="J187" t="str">
            <v>-218.691,00</v>
          </cell>
          <cell r="O187" t="str">
            <v>C7941/2673/1</v>
          </cell>
        </row>
        <row r="188">
          <cell r="I188" t="str">
            <v>286.603,00</v>
          </cell>
          <cell r="J188" t="str">
            <v>208.122,94</v>
          </cell>
          <cell r="O188" t="str">
            <v>C7941/2673/2</v>
          </cell>
        </row>
        <row r="189">
          <cell r="I189" t="str">
            <v>154.603,00</v>
          </cell>
          <cell r="J189" t="str">
            <v>145.526,00</v>
          </cell>
          <cell r="O189" t="str">
            <v>C7941/2673/2/1</v>
          </cell>
        </row>
        <row r="190">
          <cell r="I190" t="str">
            <v>132.000,00</v>
          </cell>
          <cell r="J190" t="str">
            <v>62.596,94</v>
          </cell>
          <cell r="O190" t="str">
            <v>C7941/2673/2/2</v>
          </cell>
        </row>
        <row r="191">
          <cell r="I191" t="str">
            <v>159.235,00</v>
          </cell>
          <cell r="J191" t="str">
            <v>-5.086,00</v>
          </cell>
          <cell r="O191" t="str">
            <v>C7941/2675</v>
          </cell>
        </row>
        <row r="192">
          <cell r="I192" t="str">
            <v>159.235,00</v>
          </cell>
          <cell r="J192" t="str">
            <v>-5.086,00</v>
          </cell>
          <cell r="O192" t="str">
            <v>C7941/2675</v>
          </cell>
        </row>
        <row r="193">
          <cell r="I193" t="str">
            <v>0,00</v>
          </cell>
          <cell r="J193" t="str">
            <v>-159.936,00</v>
          </cell>
          <cell r="O193" t="str">
            <v>C7941/2675/1</v>
          </cell>
        </row>
        <row r="194">
          <cell r="I194" t="str">
            <v>159.235,00</v>
          </cell>
          <cell r="J194" t="str">
            <v>154.850,00</v>
          </cell>
          <cell r="O194" t="str">
            <v>C7941/2675/2</v>
          </cell>
        </row>
        <row r="195">
          <cell r="I195" t="str">
            <v>100.385,00</v>
          </cell>
          <cell r="J195" t="str">
            <v>96.000,00</v>
          </cell>
          <cell r="O195" t="str">
            <v>C7941/2675/2/1</v>
          </cell>
        </row>
        <row r="196">
          <cell r="I196" t="str">
            <v>58.850,00</v>
          </cell>
          <cell r="J196" t="str">
            <v>58.850,00</v>
          </cell>
          <cell r="O196" t="str">
            <v>C7941/2675/2/2</v>
          </cell>
        </row>
        <row r="197">
          <cell r="I197" t="str">
            <v>20.000,00</v>
          </cell>
          <cell r="J197" t="str">
            <v>2.800,00</v>
          </cell>
          <cell r="O197" t="str">
            <v>C7941/2676</v>
          </cell>
        </row>
        <row r="198">
          <cell r="I198" t="str">
            <v>20.000,00</v>
          </cell>
          <cell r="J198" t="str">
            <v>2.800,00</v>
          </cell>
          <cell r="O198" t="str">
            <v>C7941/2676</v>
          </cell>
        </row>
        <row r="199">
          <cell r="I199" t="str">
            <v>20.000,00</v>
          </cell>
          <cell r="J199" t="str">
            <v>2.800,00</v>
          </cell>
          <cell r="O199" t="str">
            <v>C7941/2676/2</v>
          </cell>
        </row>
        <row r="200">
          <cell r="I200" t="str">
            <v>20.000,00</v>
          </cell>
          <cell r="J200" t="str">
            <v>2.800,00</v>
          </cell>
          <cell r="O200" t="str">
            <v>C7941/2676/2/1</v>
          </cell>
        </row>
        <row r="201">
          <cell r="I201" t="str">
            <v>90.574,00</v>
          </cell>
          <cell r="J201" t="str">
            <v>-3.234,40</v>
          </cell>
          <cell r="O201" t="str">
            <v>C7941/2677</v>
          </cell>
        </row>
        <row r="202">
          <cell r="I202" t="str">
            <v>90.574,00</v>
          </cell>
          <cell r="J202" t="str">
            <v>-3.234,40</v>
          </cell>
          <cell r="O202" t="str">
            <v>C7941/2677</v>
          </cell>
        </row>
        <row r="203">
          <cell r="I203" t="str">
            <v>0,00</v>
          </cell>
          <cell r="J203" t="str">
            <v>-93.105,00</v>
          </cell>
          <cell r="O203" t="str">
            <v>C7941/2677/1</v>
          </cell>
        </row>
        <row r="204">
          <cell r="I204" t="str">
            <v>90.574,00</v>
          </cell>
          <cell r="J204" t="str">
            <v>89.870,60</v>
          </cell>
          <cell r="O204" t="str">
            <v>C7941/2677/2</v>
          </cell>
        </row>
        <row r="205">
          <cell r="I205" t="str">
            <v>47.900,00</v>
          </cell>
          <cell r="J205" t="str">
            <v>47.900,00</v>
          </cell>
          <cell r="O205" t="str">
            <v>C7941/2677/2/1</v>
          </cell>
        </row>
        <row r="206">
          <cell r="I206" t="str">
            <v>42.674,00</v>
          </cell>
          <cell r="J206" t="str">
            <v>41.970,60</v>
          </cell>
          <cell r="O206" t="str">
            <v>C7941/2677/2/2</v>
          </cell>
        </row>
        <row r="207">
          <cell r="I207" t="str">
            <v>49.000,00</v>
          </cell>
          <cell r="J207" t="str">
            <v>34.758,00</v>
          </cell>
          <cell r="O207" t="str">
            <v>C7941/2678</v>
          </cell>
        </row>
        <row r="208">
          <cell r="I208" t="str">
            <v>49.000,00</v>
          </cell>
          <cell r="J208" t="str">
            <v>34.758,00</v>
          </cell>
          <cell r="O208" t="str">
            <v>C7941/2678</v>
          </cell>
        </row>
        <row r="209">
          <cell r="I209" t="str">
            <v>49.000,00</v>
          </cell>
          <cell r="J209" t="str">
            <v>34.758,00</v>
          </cell>
          <cell r="O209" t="str">
            <v>C7941/2678/2</v>
          </cell>
        </row>
        <row r="210">
          <cell r="I210" t="str">
            <v>40.000,00</v>
          </cell>
          <cell r="J210" t="str">
            <v>25.950,00</v>
          </cell>
          <cell r="O210" t="str">
            <v>C7941/2678/2/1</v>
          </cell>
        </row>
        <row r="211">
          <cell r="I211" t="str">
            <v>9.000,00</v>
          </cell>
          <cell r="J211" t="str">
            <v>8.808,00</v>
          </cell>
          <cell r="O211" t="str">
            <v>C7941/2678/2/2</v>
          </cell>
        </row>
        <row r="212">
          <cell r="I212" t="str">
            <v>136.595,00</v>
          </cell>
          <cell r="J212" t="str">
            <v>-13.142,50</v>
          </cell>
          <cell r="O212" t="str">
            <v>C7941/2679</v>
          </cell>
        </row>
        <row r="213">
          <cell r="I213" t="str">
            <v>136.595,00</v>
          </cell>
          <cell r="J213" t="str">
            <v>-13.142,50</v>
          </cell>
          <cell r="O213" t="str">
            <v>C7941/2679</v>
          </cell>
        </row>
        <row r="214">
          <cell r="I214" t="str">
            <v>0,00</v>
          </cell>
          <cell r="J214" t="str">
            <v>-126.184,00</v>
          </cell>
          <cell r="O214" t="str">
            <v>C7941/2679/1</v>
          </cell>
        </row>
        <row r="215">
          <cell r="I215" t="str">
            <v>136.595,00</v>
          </cell>
          <cell r="J215" t="str">
            <v>113.041,50</v>
          </cell>
          <cell r="O215" t="str">
            <v>C7941/2679/2</v>
          </cell>
        </row>
        <row r="216">
          <cell r="I216" t="str">
            <v>68.495,00</v>
          </cell>
          <cell r="J216" t="str">
            <v>52.226,00</v>
          </cell>
          <cell r="O216" t="str">
            <v>C7941/2679/2/1</v>
          </cell>
        </row>
        <row r="217">
          <cell r="I217" t="str">
            <v>68.100,00</v>
          </cell>
          <cell r="J217" t="str">
            <v>60.815,50</v>
          </cell>
          <cell r="O217" t="str">
            <v>C7941/2679/2/2</v>
          </cell>
        </row>
        <row r="218">
          <cell r="I218" t="str">
            <v>141.450,00</v>
          </cell>
          <cell r="J218" t="str">
            <v>17.192,00</v>
          </cell>
          <cell r="O218" t="str">
            <v>C7941/2680</v>
          </cell>
        </row>
        <row r="219">
          <cell r="I219" t="str">
            <v>141.450,00</v>
          </cell>
          <cell r="J219" t="str">
            <v>17.192,00</v>
          </cell>
          <cell r="O219" t="str">
            <v>C7941/2680</v>
          </cell>
        </row>
        <row r="220">
          <cell r="I220" t="str">
            <v>0,00</v>
          </cell>
          <cell r="J220" t="str">
            <v>-70.150,00</v>
          </cell>
          <cell r="O220" t="str">
            <v>C7941/2680/1</v>
          </cell>
        </row>
        <row r="221">
          <cell r="I221" t="str">
            <v>141.450,00</v>
          </cell>
          <cell r="J221" t="str">
            <v>87.342,00</v>
          </cell>
          <cell r="O221" t="str">
            <v>C7941/2680/2</v>
          </cell>
        </row>
        <row r="222">
          <cell r="I222" t="str">
            <v>103.700,00</v>
          </cell>
          <cell r="J222" t="str">
            <v>87.342,00</v>
          </cell>
          <cell r="O222" t="str">
            <v>C7941/2680/2/1</v>
          </cell>
        </row>
        <row r="223">
          <cell r="I223" t="str">
            <v>37.750,00</v>
          </cell>
          <cell r="J223" t="str">
            <v>0,00</v>
          </cell>
          <cell r="O223" t="str">
            <v>C7941/2680/2/2</v>
          </cell>
        </row>
        <row r="224">
          <cell r="I224" t="str">
            <v>64.400,00</v>
          </cell>
          <cell r="J224" t="str">
            <v>26.464,00</v>
          </cell>
          <cell r="O224" t="str">
            <v>C7941/2682</v>
          </cell>
        </row>
        <row r="225">
          <cell r="I225" t="str">
            <v>64.400,00</v>
          </cell>
          <cell r="J225" t="str">
            <v>26.464,00</v>
          </cell>
          <cell r="O225" t="str">
            <v>C7941/2682</v>
          </cell>
        </row>
        <row r="226">
          <cell r="I226" t="str">
            <v>64.400,00</v>
          </cell>
          <cell r="J226" t="str">
            <v>26.464,00</v>
          </cell>
          <cell r="O226" t="str">
            <v>C7941/2682/2</v>
          </cell>
        </row>
        <row r="227">
          <cell r="I227" t="str">
            <v>45.400,00</v>
          </cell>
          <cell r="J227" t="str">
            <v>11.097,50</v>
          </cell>
          <cell r="O227" t="str">
            <v>C7941/2682/2/1</v>
          </cell>
        </row>
        <row r="228">
          <cell r="I228" t="str">
            <v>19.000,00</v>
          </cell>
          <cell r="J228" t="str">
            <v>15.366,50</v>
          </cell>
          <cell r="O228" t="str">
            <v>C7941/2682/2/2</v>
          </cell>
        </row>
        <row r="229">
          <cell r="I229" t="str">
            <v>43.150,00</v>
          </cell>
          <cell r="J229" t="str">
            <v>43.150,00</v>
          </cell>
          <cell r="O229" t="str">
            <v>C7941/2683</v>
          </cell>
        </row>
        <row r="230">
          <cell r="I230" t="str">
            <v>43.150,00</v>
          </cell>
          <cell r="J230" t="str">
            <v>43.150,00</v>
          </cell>
          <cell r="O230" t="str">
            <v>C7941/2683</v>
          </cell>
        </row>
        <row r="231">
          <cell r="I231" t="str">
            <v>43.150,00</v>
          </cell>
          <cell r="J231" t="str">
            <v>43.150,00</v>
          </cell>
          <cell r="O231" t="str">
            <v>C7941/2683/2</v>
          </cell>
        </row>
        <row r="232">
          <cell r="I232" t="str">
            <v>43.150,00</v>
          </cell>
          <cell r="J232" t="str">
            <v>43.150,00</v>
          </cell>
          <cell r="O232" t="str">
            <v>C7941/2683/2/1</v>
          </cell>
        </row>
        <row r="233">
          <cell r="I233" t="str">
            <v>5.994.600,00</v>
          </cell>
          <cell r="J233" t="str">
            <v>400.507,29</v>
          </cell>
          <cell r="O233" t="str">
            <v>C7941/2685</v>
          </cell>
        </row>
        <row r="234">
          <cell r="I234" t="str">
            <v>5.994.600,00</v>
          </cell>
          <cell r="J234" t="str">
            <v>400.507,29</v>
          </cell>
          <cell r="O234" t="str">
            <v>C7941/2685</v>
          </cell>
        </row>
        <row r="235">
          <cell r="I235" t="str">
            <v>0,00</v>
          </cell>
          <cell r="J235" t="str">
            <v>-3.568.032,00</v>
          </cell>
          <cell r="O235" t="str">
            <v>C7941/2685/1</v>
          </cell>
        </row>
        <row r="236">
          <cell r="I236" t="str">
            <v>5.994.600,00</v>
          </cell>
          <cell r="J236" t="str">
            <v>3.968.539,29</v>
          </cell>
          <cell r="O236" t="str">
            <v>C7941/2685/2</v>
          </cell>
        </row>
        <row r="237">
          <cell r="I237" t="str">
            <v>1.448.400,00</v>
          </cell>
          <cell r="J237" t="str">
            <v>1.252.826,42</v>
          </cell>
          <cell r="O237" t="str">
            <v>C7941/2685/2/1</v>
          </cell>
        </row>
        <row r="238">
          <cell r="I238" t="str">
            <v>4.546.200,00</v>
          </cell>
          <cell r="J238" t="str">
            <v>2.715.712,87</v>
          </cell>
          <cell r="O238" t="str">
            <v>C7941/2685/2/2</v>
          </cell>
        </row>
        <row r="239">
          <cell r="I239" t="str">
            <v>8.000,00</v>
          </cell>
          <cell r="J239" t="str">
            <v>-25.000,00</v>
          </cell>
          <cell r="O239" t="str">
            <v>C7941/2686</v>
          </cell>
        </row>
        <row r="240">
          <cell r="I240" t="str">
            <v>8.000,00</v>
          </cell>
          <cell r="J240" t="str">
            <v>-25.000,00</v>
          </cell>
          <cell r="O240" t="str">
            <v>C7941/2686</v>
          </cell>
        </row>
        <row r="241">
          <cell r="I241" t="str">
            <v>0,00</v>
          </cell>
          <cell r="J241" t="str">
            <v>-33.000,00</v>
          </cell>
          <cell r="O241" t="str">
            <v>C7941/2686/1</v>
          </cell>
        </row>
        <row r="242">
          <cell r="I242" t="str">
            <v>8.000,00</v>
          </cell>
          <cell r="J242" t="str">
            <v>8.000,00</v>
          </cell>
          <cell r="O242" t="str">
            <v>C7941/2686/2</v>
          </cell>
        </row>
        <row r="243">
          <cell r="I243" t="str">
            <v>8.000,00</v>
          </cell>
          <cell r="J243" t="str">
            <v>8.000,00</v>
          </cell>
          <cell r="O243" t="str">
            <v>C7941/2686/2/1</v>
          </cell>
        </row>
        <row r="244">
          <cell r="I244" t="str">
            <v>94.950,00</v>
          </cell>
          <cell r="J244" t="str">
            <v>-2.349,30</v>
          </cell>
          <cell r="O244" t="str">
            <v>C7941/2688</v>
          </cell>
        </row>
        <row r="245">
          <cell r="I245" t="str">
            <v>94.950,00</v>
          </cell>
          <cell r="J245" t="str">
            <v>-2.349,30</v>
          </cell>
          <cell r="O245" t="str">
            <v>C7941/2688</v>
          </cell>
        </row>
        <row r="246">
          <cell r="I246" t="str">
            <v>0,00</v>
          </cell>
          <cell r="J246" t="str">
            <v>-84.613,00</v>
          </cell>
          <cell r="O246" t="str">
            <v>C7941/2688/1</v>
          </cell>
        </row>
        <row r="247">
          <cell r="I247" t="str">
            <v>94.950,00</v>
          </cell>
          <cell r="J247" t="str">
            <v>82.263,70</v>
          </cell>
          <cell r="O247" t="str">
            <v>C7941/2688/2</v>
          </cell>
        </row>
        <row r="248">
          <cell r="I248" t="str">
            <v>50.133,00</v>
          </cell>
          <cell r="J248" t="str">
            <v>40.804,00</v>
          </cell>
          <cell r="O248" t="str">
            <v>C7941/2688/2/1</v>
          </cell>
        </row>
        <row r="249">
          <cell r="I249" t="str">
            <v>44.817,00</v>
          </cell>
          <cell r="J249" t="str">
            <v>41.459,70</v>
          </cell>
          <cell r="O249" t="str">
            <v>C7941/2688/2/2</v>
          </cell>
        </row>
        <row r="250">
          <cell r="I250" t="str">
            <v>50.000,00</v>
          </cell>
          <cell r="J250" t="str">
            <v>0,00</v>
          </cell>
          <cell r="O250" t="str">
            <v>C7941/2689</v>
          </cell>
        </row>
        <row r="251">
          <cell r="I251" t="str">
            <v>50.000,00</v>
          </cell>
          <cell r="J251" t="str">
            <v>0,00</v>
          </cell>
          <cell r="O251" t="str">
            <v>C7941/2689</v>
          </cell>
        </row>
        <row r="252">
          <cell r="I252" t="str">
            <v>50.000,00</v>
          </cell>
          <cell r="J252" t="str">
            <v>0,00</v>
          </cell>
          <cell r="O252" t="str">
            <v>C7941/2689/2</v>
          </cell>
        </row>
        <row r="253">
          <cell r="I253" t="str">
            <v>50.000,00</v>
          </cell>
          <cell r="J253" t="str">
            <v>0,00</v>
          </cell>
          <cell r="O253" t="str">
            <v>C7941/2689/2/1</v>
          </cell>
        </row>
        <row r="254">
          <cell r="I254" t="str">
            <v>74.000,00</v>
          </cell>
          <cell r="J254" t="str">
            <v>-0,40</v>
          </cell>
          <cell r="O254" t="str">
            <v>C7941/2690</v>
          </cell>
        </row>
        <row r="255">
          <cell r="I255" t="str">
            <v>74.000,00</v>
          </cell>
          <cell r="J255" t="str">
            <v>-0,40</v>
          </cell>
          <cell r="O255" t="str">
            <v>C7941/2690</v>
          </cell>
        </row>
        <row r="256">
          <cell r="I256" t="str">
            <v>74.000,00</v>
          </cell>
          <cell r="J256" t="str">
            <v>-0,40</v>
          </cell>
          <cell r="O256" t="str">
            <v>C7941/2690/2</v>
          </cell>
        </row>
        <row r="257">
          <cell r="I257" t="str">
            <v>74.000,00</v>
          </cell>
          <cell r="J257" t="str">
            <v>-0,40</v>
          </cell>
          <cell r="O257" t="str">
            <v>C7941/2690/2/1</v>
          </cell>
        </row>
        <row r="258">
          <cell r="I258" t="str">
            <v>12.000,00</v>
          </cell>
          <cell r="J258" t="str">
            <v>-4.822,00</v>
          </cell>
          <cell r="O258" t="str">
            <v>C7941/2692</v>
          </cell>
        </row>
        <row r="259">
          <cell r="I259" t="str">
            <v>12.000,00</v>
          </cell>
          <cell r="J259" t="str">
            <v>-4.822,00</v>
          </cell>
          <cell r="O259" t="str">
            <v>C7941/2692</v>
          </cell>
        </row>
        <row r="260">
          <cell r="I260" t="str">
            <v>0,00</v>
          </cell>
          <cell r="J260" t="str">
            <v>-12.000,00</v>
          </cell>
          <cell r="O260" t="str">
            <v>C7941/2692/1</v>
          </cell>
        </row>
        <row r="261">
          <cell r="I261" t="str">
            <v>7.178,00</v>
          </cell>
          <cell r="J261" t="str">
            <v>7.178,00</v>
          </cell>
          <cell r="O261" t="str">
            <v>C7941/2692/2</v>
          </cell>
        </row>
        <row r="262">
          <cell r="I262" t="str">
            <v>7.178,00</v>
          </cell>
          <cell r="J262" t="str">
            <v>7.178,00</v>
          </cell>
          <cell r="O262" t="str">
            <v>C7941/2692/2/1</v>
          </cell>
        </row>
        <row r="263">
          <cell r="I263" t="str">
            <v>25.000,00</v>
          </cell>
          <cell r="J263" t="str">
            <v>-108,50</v>
          </cell>
          <cell r="O263" t="str">
            <v>C7941/2693</v>
          </cell>
        </row>
        <row r="264">
          <cell r="I264" t="str">
            <v>25.000,00</v>
          </cell>
          <cell r="J264" t="str">
            <v>-108,50</v>
          </cell>
          <cell r="O264" t="str">
            <v>C7941/2693</v>
          </cell>
        </row>
        <row r="265">
          <cell r="I265" t="str">
            <v>0,00</v>
          </cell>
          <cell r="J265" t="str">
            <v>-16.449,00</v>
          </cell>
          <cell r="O265" t="str">
            <v>C7941/2693/1</v>
          </cell>
        </row>
        <row r="266">
          <cell r="I266" t="str">
            <v>25.000,00</v>
          </cell>
          <cell r="J266" t="str">
            <v>16.340,50</v>
          </cell>
          <cell r="O266" t="str">
            <v>C7941/2693/2</v>
          </cell>
        </row>
        <row r="267">
          <cell r="I267" t="str">
            <v>25.000,00</v>
          </cell>
          <cell r="J267" t="str">
            <v>16.340,50</v>
          </cell>
          <cell r="O267" t="str">
            <v>C7941/2693/2/1</v>
          </cell>
        </row>
        <row r="268">
          <cell r="I268" t="str">
            <v>12.000,00</v>
          </cell>
          <cell r="J268" t="str">
            <v>6.200,00</v>
          </cell>
          <cell r="O268" t="str">
            <v>C7941/2694</v>
          </cell>
        </row>
        <row r="269">
          <cell r="I269" t="str">
            <v>12.000,00</v>
          </cell>
          <cell r="J269" t="str">
            <v>6.200,00</v>
          </cell>
          <cell r="O269" t="str">
            <v>C7941/2694</v>
          </cell>
        </row>
        <row r="270">
          <cell r="I270" t="str">
            <v>12.000,00</v>
          </cell>
          <cell r="J270" t="str">
            <v>6.200,00</v>
          </cell>
          <cell r="O270" t="str">
            <v>C7941/2694/2</v>
          </cell>
        </row>
        <row r="271">
          <cell r="I271" t="str">
            <v>12.000,00</v>
          </cell>
          <cell r="J271" t="str">
            <v>6.200,00</v>
          </cell>
          <cell r="O271" t="str">
            <v>C7941/2694/2/1</v>
          </cell>
        </row>
        <row r="272">
          <cell r="I272" t="str">
            <v>7.586,00</v>
          </cell>
          <cell r="J272" t="str">
            <v>-4.414,00</v>
          </cell>
          <cell r="O272" t="str">
            <v>C7941/2695</v>
          </cell>
        </row>
        <row r="273">
          <cell r="I273" t="str">
            <v>7.586,00</v>
          </cell>
          <cell r="J273" t="str">
            <v>-4.414,00</v>
          </cell>
          <cell r="O273" t="str">
            <v>C7941/2695</v>
          </cell>
        </row>
        <row r="274">
          <cell r="I274" t="str">
            <v>0,00</v>
          </cell>
          <cell r="J274" t="str">
            <v>-12.000,00</v>
          </cell>
          <cell r="O274" t="str">
            <v>C7941/2695/1</v>
          </cell>
        </row>
        <row r="275">
          <cell r="I275" t="str">
            <v>7.586,00</v>
          </cell>
          <cell r="J275" t="str">
            <v>7.586,00</v>
          </cell>
          <cell r="O275" t="str">
            <v>C7941/2695/2</v>
          </cell>
        </row>
        <row r="276">
          <cell r="I276" t="str">
            <v>7.586,00</v>
          </cell>
          <cell r="J276" t="str">
            <v>7.586,00</v>
          </cell>
          <cell r="O276" t="str">
            <v>C7941/2695/2/1</v>
          </cell>
        </row>
        <row r="277">
          <cell r="I277" t="str">
            <v>17.100,00</v>
          </cell>
          <cell r="J277" t="str">
            <v>4.542,00</v>
          </cell>
          <cell r="O277" t="str">
            <v>C7941/2696</v>
          </cell>
        </row>
        <row r="278">
          <cell r="I278" t="str">
            <v>17.100,00</v>
          </cell>
          <cell r="J278" t="str">
            <v>4.542,00</v>
          </cell>
          <cell r="O278" t="str">
            <v>C7941/2696</v>
          </cell>
        </row>
        <row r="279">
          <cell r="I279" t="str">
            <v>0,00</v>
          </cell>
          <cell r="J279" t="str">
            <v>-12.000,00</v>
          </cell>
          <cell r="O279" t="str">
            <v>C7941/2696/1</v>
          </cell>
        </row>
        <row r="280">
          <cell r="I280" t="str">
            <v>17.100,00</v>
          </cell>
          <cell r="J280" t="str">
            <v>16.542,00</v>
          </cell>
          <cell r="O280" t="str">
            <v>C7941/2696/2</v>
          </cell>
        </row>
        <row r="281">
          <cell r="I281" t="str">
            <v>17.100,00</v>
          </cell>
          <cell r="J281" t="str">
            <v>16.542,00</v>
          </cell>
          <cell r="O281" t="str">
            <v>C7941/2696/2/1</v>
          </cell>
        </row>
        <row r="282">
          <cell r="I282" t="str">
            <v>5.200,00</v>
          </cell>
          <cell r="J282" t="str">
            <v>-155,00</v>
          </cell>
          <cell r="O282" t="str">
            <v>C7941/2699</v>
          </cell>
        </row>
        <row r="283">
          <cell r="I283" t="str">
            <v>5.200,00</v>
          </cell>
          <cell r="J283" t="str">
            <v>-155,00</v>
          </cell>
          <cell r="O283" t="str">
            <v>C7941/2699</v>
          </cell>
        </row>
        <row r="284">
          <cell r="I284" t="str">
            <v>0,00</v>
          </cell>
          <cell r="J284" t="str">
            <v>-5.355,00</v>
          </cell>
          <cell r="O284" t="str">
            <v>C7941/2699/1</v>
          </cell>
        </row>
        <row r="285">
          <cell r="I285" t="str">
            <v>5.200,00</v>
          </cell>
          <cell r="J285" t="str">
            <v>5.200,00</v>
          </cell>
          <cell r="O285" t="str">
            <v>C7941/2699/2</v>
          </cell>
        </row>
        <row r="286">
          <cell r="I286" t="str">
            <v>5.200,00</v>
          </cell>
          <cell r="J286" t="str">
            <v>5.200,00</v>
          </cell>
          <cell r="O286" t="str">
            <v>C7941/2699/2/1</v>
          </cell>
        </row>
        <row r="287">
          <cell r="I287" t="str">
            <v>12.000,00</v>
          </cell>
          <cell r="J287" t="str">
            <v>-4.443,00</v>
          </cell>
          <cell r="O287" t="str">
            <v>C7941/2700</v>
          </cell>
        </row>
        <row r="288">
          <cell r="I288" t="str">
            <v>12.000,00</v>
          </cell>
          <cell r="J288" t="str">
            <v>-4.443,00</v>
          </cell>
          <cell r="O288" t="str">
            <v>C7941/2700</v>
          </cell>
        </row>
        <row r="289">
          <cell r="I289" t="str">
            <v>0,00</v>
          </cell>
          <cell r="J289" t="str">
            <v>-12.000,00</v>
          </cell>
          <cell r="O289" t="str">
            <v>C7941/2700/1</v>
          </cell>
        </row>
        <row r="290">
          <cell r="I290" t="str">
            <v>7.557,00</v>
          </cell>
          <cell r="J290" t="str">
            <v>7.557,00</v>
          </cell>
          <cell r="O290" t="str">
            <v>C7941/2700/2</v>
          </cell>
        </row>
        <row r="291">
          <cell r="I291" t="str">
            <v>7.557,00</v>
          </cell>
          <cell r="J291" t="str">
            <v>7.557,00</v>
          </cell>
          <cell r="O291" t="str">
            <v>C7941/2700/2/1</v>
          </cell>
        </row>
        <row r="292">
          <cell r="I292" t="str">
            <v>403.660,00</v>
          </cell>
          <cell r="J292" t="str">
            <v>51.803,75</v>
          </cell>
          <cell r="O292" t="str">
            <v>C7941/2701</v>
          </cell>
        </row>
        <row r="293">
          <cell r="I293" t="str">
            <v>403.660,00</v>
          </cell>
          <cell r="J293" t="str">
            <v>51.803,75</v>
          </cell>
          <cell r="O293" t="str">
            <v>C7941/2701</v>
          </cell>
        </row>
        <row r="294">
          <cell r="I294" t="str">
            <v>0,00</v>
          </cell>
          <cell r="J294" t="str">
            <v>-86.589,00</v>
          </cell>
          <cell r="O294" t="str">
            <v>C7941/2701/1</v>
          </cell>
        </row>
        <row r="295">
          <cell r="I295" t="str">
            <v>403.660,00</v>
          </cell>
          <cell r="J295" t="str">
            <v>138.392,75</v>
          </cell>
          <cell r="O295" t="str">
            <v>C7941/2701/2</v>
          </cell>
        </row>
        <row r="296">
          <cell r="I296" t="str">
            <v>224.220,00</v>
          </cell>
          <cell r="J296" t="str">
            <v>108.466,00</v>
          </cell>
          <cell r="O296" t="str">
            <v>C7941/2701/2/1</v>
          </cell>
        </row>
        <row r="297">
          <cell r="I297" t="str">
            <v>179.440,00</v>
          </cell>
          <cell r="J297" t="str">
            <v>29.926,75</v>
          </cell>
          <cell r="O297" t="str">
            <v>C7941/2701/2/2</v>
          </cell>
        </row>
        <row r="298">
          <cell r="I298" t="str">
            <v>12.000,00</v>
          </cell>
          <cell r="J298" t="str">
            <v>2.302,50</v>
          </cell>
          <cell r="O298" t="str">
            <v>C7941/2703</v>
          </cell>
        </row>
        <row r="299">
          <cell r="I299" t="str">
            <v>12.000,00</v>
          </cell>
          <cell r="J299" t="str">
            <v>2.302,50</v>
          </cell>
          <cell r="O299" t="str">
            <v>C7941/2703</v>
          </cell>
        </row>
        <row r="300">
          <cell r="I300" t="str">
            <v>0,00</v>
          </cell>
          <cell r="J300" t="str">
            <v>-8.690,00</v>
          </cell>
          <cell r="O300" t="str">
            <v>C7941/2703/1</v>
          </cell>
        </row>
        <row r="301">
          <cell r="I301" t="str">
            <v>12.000,00</v>
          </cell>
          <cell r="J301" t="str">
            <v>10.992,50</v>
          </cell>
          <cell r="O301" t="str">
            <v>C7941/2703/2</v>
          </cell>
        </row>
        <row r="302">
          <cell r="I302" t="str">
            <v>12.000,00</v>
          </cell>
          <cell r="J302" t="str">
            <v>10.992,50</v>
          </cell>
          <cell r="O302" t="str">
            <v>C7941/2703/2/1</v>
          </cell>
        </row>
        <row r="303">
          <cell r="I303" t="str">
            <v>15.000,00</v>
          </cell>
          <cell r="J303" t="str">
            <v>2.762,00</v>
          </cell>
          <cell r="O303" t="str">
            <v>C7941/2704</v>
          </cell>
        </row>
        <row r="304">
          <cell r="I304" t="str">
            <v>15.000,00</v>
          </cell>
          <cell r="J304" t="str">
            <v>2.762,00</v>
          </cell>
          <cell r="O304" t="str">
            <v>C7941/2704</v>
          </cell>
        </row>
        <row r="305">
          <cell r="I305" t="str">
            <v>0,00</v>
          </cell>
          <cell r="J305" t="str">
            <v>-12.000,00</v>
          </cell>
          <cell r="O305" t="str">
            <v>C7941/2704/1</v>
          </cell>
        </row>
        <row r="306">
          <cell r="I306" t="str">
            <v>15.000,00</v>
          </cell>
          <cell r="J306" t="str">
            <v>14.762,00</v>
          </cell>
          <cell r="O306" t="str">
            <v>C7941/2704/2</v>
          </cell>
        </row>
        <row r="307">
          <cell r="I307" t="str">
            <v>15.000,00</v>
          </cell>
          <cell r="J307" t="str">
            <v>14.762,00</v>
          </cell>
          <cell r="O307" t="str">
            <v>C7941/2704/2/1</v>
          </cell>
        </row>
        <row r="308">
          <cell r="I308" t="str">
            <v>13.020,00</v>
          </cell>
          <cell r="J308" t="str">
            <v>13.020,00</v>
          </cell>
          <cell r="O308" t="str">
            <v>C7941/2705</v>
          </cell>
        </row>
        <row r="309">
          <cell r="I309" t="str">
            <v>13.020,00</v>
          </cell>
          <cell r="J309" t="str">
            <v>13.020,00</v>
          </cell>
          <cell r="O309" t="str">
            <v>C7941/2705</v>
          </cell>
        </row>
        <row r="310">
          <cell r="I310" t="str">
            <v>0,00</v>
          </cell>
          <cell r="J310" t="str">
            <v>0,00</v>
          </cell>
          <cell r="O310" t="str">
            <v>C7941/2705/1</v>
          </cell>
        </row>
        <row r="311">
          <cell r="I311" t="str">
            <v>13.020,00</v>
          </cell>
          <cell r="J311" t="str">
            <v>13.020,00</v>
          </cell>
          <cell r="O311" t="str">
            <v>C7941/2705/2</v>
          </cell>
        </row>
        <row r="312">
          <cell r="I312" t="str">
            <v>13.020,00</v>
          </cell>
          <cell r="J312" t="str">
            <v>13.020,00</v>
          </cell>
          <cell r="O312" t="str">
            <v>C7941/2705/2/2</v>
          </cell>
        </row>
        <row r="313">
          <cell r="I313" t="str">
            <v>3.458,00</v>
          </cell>
          <cell r="J313" t="str">
            <v>-8.542,00</v>
          </cell>
          <cell r="O313" t="str">
            <v>C7941/2706</v>
          </cell>
        </row>
        <row r="314">
          <cell r="I314" t="str">
            <v>3.458,00</v>
          </cell>
          <cell r="J314" t="str">
            <v>-8.542,00</v>
          </cell>
          <cell r="O314" t="str">
            <v>C7941/2706</v>
          </cell>
        </row>
        <row r="315">
          <cell r="I315" t="str">
            <v>0,00</v>
          </cell>
          <cell r="J315" t="str">
            <v>-12.000,00</v>
          </cell>
          <cell r="O315" t="str">
            <v>C7941/2706/1</v>
          </cell>
        </row>
        <row r="316">
          <cell r="I316" t="str">
            <v>3.458,00</v>
          </cell>
          <cell r="J316" t="str">
            <v>3.458,00</v>
          </cell>
          <cell r="O316" t="str">
            <v>C7941/2706/2</v>
          </cell>
        </row>
        <row r="317">
          <cell r="I317" t="str">
            <v>3.458,00</v>
          </cell>
          <cell r="J317" t="str">
            <v>3.458,00</v>
          </cell>
          <cell r="O317" t="str">
            <v>C7941/2706/2/1</v>
          </cell>
        </row>
        <row r="318">
          <cell r="I318" t="str">
            <v>12.000,00</v>
          </cell>
          <cell r="J318" t="str">
            <v>7.500,00</v>
          </cell>
          <cell r="O318" t="str">
            <v>C7941/2708</v>
          </cell>
        </row>
        <row r="319">
          <cell r="I319" t="str">
            <v>12.000,00</v>
          </cell>
          <cell r="J319" t="str">
            <v>7.500,00</v>
          </cell>
          <cell r="O319" t="str">
            <v>C7941/2708</v>
          </cell>
        </row>
        <row r="320">
          <cell r="I320" t="str">
            <v>12.000,00</v>
          </cell>
          <cell r="J320" t="str">
            <v>7.500,00</v>
          </cell>
          <cell r="O320" t="str">
            <v>C7941/2708/2</v>
          </cell>
        </row>
        <row r="321">
          <cell r="I321" t="str">
            <v>12.000,00</v>
          </cell>
          <cell r="J321" t="str">
            <v>7.500,00</v>
          </cell>
          <cell r="O321" t="str">
            <v>C7941/2708/2/1</v>
          </cell>
        </row>
        <row r="322">
          <cell r="I322" t="str">
            <v>47.200,00</v>
          </cell>
          <cell r="J322" t="str">
            <v>23.566,00</v>
          </cell>
          <cell r="O322" t="str">
            <v>C7941/2709</v>
          </cell>
        </row>
        <row r="323">
          <cell r="I323" t="str">
            <v>47.200,00</v>
          </cell>
          <cell r="J323" t="str">
            <v>23.566,00</v>
          </cell>
          <cell r="O323" t="str">
            <v>C7941/2709</v>
          </cell>
        </row>
        <row r="324">
          <cell r="I324" t="str">
            <v>47.200,00</v>
          </cell>
          <cell r="J324" t="str">
            <v>23.566,00</v>
          </cell>
          <cell r="O324" t="str">
            <v>C7941/2709/2</v>
          </cell>
        </row>
        <row r="325">
          <cell r="I325" t="str">
            <v>47.200,00</v>
          </cell>
          <cell r="J325" t="str">
            <v>23.566,00</v>
          </cell>
          <cell r="O325" t="str">
            <v>C7941/2709/2/1</v>
          </cell>
        </row>
        <row r="326">
          <cell r="I326" t="str">
            <v>0,00</v>
          </cell>
          <cell r="J326" t="str">
            <v>-6.170,00</v>
          </cell>
          <cell r="O326" t="str">
            <v>C7941/2710</v>
          </cell>
        </row>
        <row r="327">
          <cell r="I327" t="str">
            <v>0,00</v>
          </cell>
          <cell r="J327" t="str">
            <v>-6.170,00</v>
          </cell>
          <cell r="O327" t="str">
            <v>C7941/2710</v>
          </cell>
        </row>
        <row r="328">
          <cell r="I328" t="str">
            <v>0,00</v>
          </cell>
          <cell r="J328" t="str">
            <v>-6.170,00</v>
          </cell>
          <cell r="O328" t="str">
            <v>C7941/2710/1</v>
          </cell>
        </row>
        <row r="329">
          <cell r="I329" t="str">
            <v>0,00</v>
          </cell>
          <cell r="J329" t="str">
            <v>0,00</v>
          </cell>
          <cell r="O329" t="str">
            <v>C7941/2710/2</v>
          </cell>
        </row>
        <row r="330">
          <cell r="I330" t="str">
            <v>0,00</v>
          </cell>
          <cell r="J330" t="str">
            <v>0,00</v>
          </cell>
          <cell r="O330" t="str">
            <v>C7941/2710/2/1</v>
          </cell>
        </row>
        <row r="331">
          <cell r="I331" t="str">
            <v>12.000,00</v>
          </cell>
          <cell r="J331" t="str">
            <v>7.650,00</v>
          </cell>
          <cell r="O331" t="str">
            <v>C7941/2711</v>
          </cell>
        </row>
        <row r="332">
          <cell r="I332" t="str">
            <v>12.000,00</v>
          </cell>
          <cell r="J332" t="str">
            <v>7.650,00</v>
          </cell>
          <cell r="O332" t="str">
            <v>C7941/2711</v>
          </cell>
        </row>
        <row r="333">
          <cell r="I333" t="str">
            <v>12.000,00</v>
          </cell>
          <cell r="J333" t="str">
            <v>7.650,00</v>
          </cell>
          <cell r="O333" t="str">
            <v>C7941/2711/2</v>
          </cell>
        </row>
        <row r="334">
          <cell r="I334" t="str">
            <v>12.000,00</v>
          </cell>
          <cell r="J334" t="str">
            <v>7.650,00</v>
          </cell>
          <cell r="O334" t="str">
            <v>C7941/2711/2/1</v>
          </cell>
        </row>
        <row r="335">
          <cell r="I335" t="str">
            <v>100.000,00</v>
          </cell>
          <cell r="J335" t="str">
            <v>0,00</v>
          </cell>
          <cell r="O335" t="str">
            <v>C7941/2712</v>
          </cell>
        </row>
        <row r="336">
          <cell r="I336" t="str">
            <v>100.000,00</v>
          </cell>
          <cell r="J336" t="str">
            <v>0,00</v>
          </cell>
          <cell r="O336" t="str">
            <v>C7941/2712</v>
          </cell>
        </row>
        <row r="337">
          <cell r="I337" t="str">
            <v>100.000,00</v>
          </cell>
          <cell r="J337" t="str">
            <v>0,00</v>
          </cell>
          <cell r="O337" t="str">
            <v>C7941/2712/2</v>
          </cell>
        </row>
        <row r="338">
          <cell r="I338" t="str">
            <v>100.000,00</v>
          </cell>
          <cell r="J338" t="str">
            <v>0,00</v>
          </cell>
          <cell r="O338" t="str">
            <v>C7941/2712/2/1</v>
          </cell>
        </row>
        <row r="339">
          <cell r="I339" t="str">
            <v>12.000,00</v>
          </cell>
          <cell r="J339" t="str">
            <v>11.400,00</v>
          </cell>
          <cell r="O339" t="str">
            <v>C7941/2713</v>
          </cell>
        </row>
        <row r="340">
          <cell r="I340" t="str">
            <v>12.000,00</v>
          </cell>
          <cell r="J340" t="str">
            <v>11.400,00</v>
          </cell>
          <cell r="O340" t="str">
            <v>C7941/2713</v>
          </cell>
        </row>
        <row r="341">
          <cell r="I341" t="str">
            <v>12.000,00</v>
          </cell>
          <cell r="J341" t="str">
            <v>11.400,00</v>
          </cell>
          <cell r="O341" t="str">
            <v>C7941/2713/2</v>
          </cell>
        </row>
        <row r="342">
          <cell r="I342" t="str">
            <v>12.000,00</v>
          </cell>
          <cell r="J342" t="str">
            <v>11.400,00</v>
          </cell>
          <cell r="O342" t="str">
            <v>C7941/2713/2/1</v>
          </cell>
        </row>
        <row r="343">
          <cell r="I343" t="str">
            <v>832.462,00</v>
          </cell>
          <cell r="J343" t="str">
            <v>5.250,00</v>
          </cell>
          <cell r="O343" t="str">
            <v>C7941/2714</v>
          </cell>
        </row>
        <row r="344">
          <cell r="I344" t="str">
            <v>832.462,00</v>
          </cell>
          <cell r="J344" t="str">
            <v>5.250,00</v>
          </cell>
          <cell r="O344" t="str">
            <v>C7941/2714</v>
          </cell>
        </row>
        <row r="345">
          <cell r="I345" t="str">
            <v>832.462,00</v>
          </cell>
          <cell r="J345" t="str">
            <v>5.250,00</v>
          </cell>
          <cell r="O345" t="str">
            <v>C7941/2714/2</v>
          </cell>
        </row>
        <row r="346">
          <cell r="I346" t="str">
            <v>421.200,00</v>
          </cell>
          <cell r="J346" t="str">
            <v>0,00</v>
          </cell>
          <cell r="O346" t="str">
            <v>C7941/2714/2/1</v>
          </cell>
        </row>
        <row r="347">
          <cell r="I347" t="str">
            <v>411.262,00</v>
          </cell>
          <cell r="J347" t="str">
            <v>5.250,00</v>
          </cell>
          <cell r="O347" t="str">
            <v>C7941/2714/2/2</v>
          </cell>
        </row>
        <row r="348">
          <cell r="I348" t="str">
            <v>200.000,00</v>
          </cell>
          <cell r="J348" t="str">
            <v>85.445,50</v>
          </cell>
          <cell r="O348" t="str">
            <v>C7941/2715</v>
          </cell>
        </row>
        <row r="349">
          <cell r="I349" t="str">
            <v>200.000,00</v>
          </cell>
          <cell r="J349" t="str">
            <v>85.445,50</v>
          </cell>
          <cell r="O349" t="str">
            <v>C7941/2715</v>
          </cell>
        </row>
        <row r="350">
          <cell r="I350" t="str">
            <v>200.000,00</v>
          </cell>
          <cell r="J350" t="str">
            <v>85.445,50</v>
          </cell>
          <cell r="O350" t="str">
            <v>C7941/2715/2</v>
          </cell>
        </row>
        <row r="351">
          <cell r="I351" t="str">
            <v>200.000,00</v>
          </cell>
          <cell r="J351" t="str">
            <v>85.445,50</v>
          </cell>
          <cell r="O351" t="str">
            <v>C7941/2715/2/1</v>
          </cell>
        </row>
        <row r="352">
          <cell r="I352" t="str">
            <v>63.000,00</v>
          </cell>
          <cell r="J352" t="str">
            <v>19.161,00</v>
          </cell>
          <cell r="O352" t="str">
            <v>C7941/2716</v>
          </cell>
        </row>
        <row r="353">
          <cell r="I353" t="str">
            <v>63.000,00</v>
          </cell>
          <cell r="J353" t="str">
            <v>19.161,00</v>
          </cell>
          <cell r="O353" t="str">
            <v>C7941/2716</v>
          </cell>
        </row>
        <row r="354">
          <cell r="I354" t="str">
            <v>63.000,00</v>
          </cell>
          <cell r="J354" t="str">
            <v>19.161,00</v>
          </cell>
          <cell r="O354" t="str">
            <v>C7941/2716/2</v>
          </cell>
        </row>
        <row r="355">
          <cell r="I355" t="str">
            <v>63.000,00</v>
          </cell>
          <cell r="J355" t="str">
            <v>19.161,00</v>
          </cell>
          <cell r="O355" t="str">
            <v>C7941/2716/2/1</v>
          </cell>
        </row>
        <row r="356">
          <cell r="I356" t="str">
            <v>0,00</v>
          </cell>
          <cell r="J356" t="str">
            <v>0,00</v>
          </cell>
          <cell r="O356" t="str">
            <v>C7941/2716/2/2</v>
          </cell>
        </row>
        <row r="357">
          <cell r="I357" t="str">
            <v>110.880,00</v>
          </cell>
          <cell r="J357" t="str">
            <v>0,00</v>
          </cell>
          <cell r="O357" t="str">
            <v>C7941/2717</v>
          </cell>
        </row>
        <row r="358">
          <cell r="I358" t="str">
            <v>110.880,00</v>
          </cell>
          <cell r="J358" t="str">
            <v>0,00</v>
          </cell>
          <cell r="O358" t="str">
            <v>C7941/2717</v>
          </cell>
        </row>
        <row r="359">
          <cell r="I359" t="str">
            <v>110.880,00</v>
          </cell>
          <cell r="J359" t="str">
            <v>0,00</v>
          </cell>
          <cell r="O359" t="str">
            <v>C7941/2717/2</v>
          </cell>
        </row>
        <row r="360">
          <cell r="I360" t="str">
            <v>47.880,00</v>
          </cell>
          <cell r="J360" t="str">
            <v>0,00</v>
          </cell>
          <cell r="O360" t="str">
            <v>C7941/2717/2/1</v>
          </cell>
        </row>
        <row r="361">
          <cell r="I361" t="str">
            <v>63.000,00</v>
          </cell>
          <cell r="J361" t="str">
            <v>0,00</v>
          </cell>
          <cell r="O361" t="str">
            <v>C7941/2717/2/2</v>
          </cell>
        </row>
        <row r="362">
          <cell r="I362" t="str">
            <v>52.000,00</v>
          </cell>
          <cell r="J362" t="str">
            <v>23.900,00</v>
          </cell>
          <cell r="O362" t="str">
            <v>C7941/2718</v>
          </cell>
        </row>
        <row r="363">
          <cell r="I363" t="str">
            <v>52.000,00</v>
          </cell>
          <cell r="J363" t="str">
            <v>23.900,00</v>
          </cell>
          <cell r="O363" t="str">
            <v>C7941/2718</v>
          </cell>
        </row>
        <row r="364">
          <cell r="I364" t="str">
            <v>52.000,00</v>
          </cell>
          <cell r="J364" t="str">
            <v>23.900,00</v>
          </cell>
          <cell r="O364" t="str">
            <v>C7941/2718/2</v>
          </cell>
        </row>
        <row r="365">
          <cell r="I365" t="str">
            <v>52.000,00</v>
          </cell>
          <cell r="J365" t="str">
            <v>23.900,00</v>
          </cell>
          <cell r="O365" t="str">
            <v>C7941/2718/2/1</v>
          </cell>
        </row>
        <row r="366">
          <cell r="I366" t="str">
            <v>150.000,00</v>
          </cell>
          <cell r="J366" t="str">
            <v>6.792,00</v>
          </cell>
          <cell r="O366" t="str">
            <v>C7941/2720</v>
          </cell>
        </row>
        <row r="367">
          <cell r="I367" t="str">
            <v>150.000,00</v>
          </cell>
          <cell r="J367" t="str">
            <v>6.792,00</v>
          </cell>
          <cell r="O367" t="str">
            <v>C7941/2720</v>
          </cell>
        </row>
        <row r="368">
          <cell r="I368" t="str">
            <v>150.000,00</v>
          </cell>
          <cell r="J368" t="str">
            <v>6.792,00</v>
          </cell>
          <cell r="O368" t="str">
            <v>C7941/2720/2</v>
          </cell>
        </row>
        <row r="369">
          <cell r="I369" t="str">
            <v>150.000,00</v>
          </cell>
          <cell r="J369" t="str">
            <v>6.792,00</v>
          </cell>
          <cell r="O369" t="str">
            <v>C7941/2720/2/1</v>
          </cell>
        </row>
        <row r="370">
          <cell r="I370" t="str">
            <v>100.000,00</v>
          </cell>
          <cell r="J370" t="str">
            <v>0,00</v>
          </cell>
          <cell r="O370" t="str">
            <v>C7941/2722</v>
          </cell>
        </row>
        <row r="371">
          <cell r="I371" t="str">
            <v>100.000,00</v>
          </cell>
          <cell r="J371" t="str">
            <v>0,00</v>
          </cell>
          <cell r="O371" t="str">
            <v>C7941/2722</v>
          </cell>
        </row>
        <row r="372">
          <cell r="I372" t="str">
            <v>100.000,00</v>
          </cell>
          <cell r="J372" t="str">
            <v>0,00</v>
          </cell>
          <cell r="O372" t="str">
            <v>C7941/2722/2</v>
          </cell>
        </row>
        <row r="373">
          <cell r="I373" t="str">
            <v>100.000,00</v>
          </cell>
          <cell r="J373" t="str">
            <v>0,00</v>
          </cell>
          <cell r="O373" t="str">
            <v>C7941/2722/2/1</v>
          </cell>
        </row>
        <row r="374">
          <cell r="I374" t="str">
            <v>24.000,00</v>
          </cell>
          <cell r="J374" t="str">
            <v>23.300,00</v>
          </cell>
          <cell r="O374" t="str">
            <v>C7941/2723</v>
          </cell>
        </row>
        <row r="375">
          <cell r="I375" t="str">
            <v>24.000,00</v>
          </cell>
          <cell r="J375" t="str">
            <v>23.300,00</v>
          </cell>
          <cell r="O375" t="str">
            <v>C7941/2723</v>
          </cell>
        </row>
        <row r="376">
          <cell r="I376" t="str">
            <v>24.000,00</v>
          </cell>
          <cell r="J376" t="str">
            <v>23.300,00</v>
          </cell>
          <cell r="O376" t="str">
            <v>C7941/2723/2</v>
          </cell>
        </row>
        <row r="377">
          <cell r="I377" t="str">
            <v>24.000,00</v>
          </cell>
          <cell r="J377" t="str">
            <v>23.300,00</v>
          </cell>
          <cell r="O377" t="str">
            <v>C7941/2723/2/1</v>
          </cell>
        </row>
        <row r="378">
          <cell r="I378" t="str">
            <v>208.292,00</v>
          </cell>
          <cell r="J378" t="str">
            <v>58.627,00</v>
          </cell>
          <cell r="O378" t="str">
            <v>C7941/2724</v>
          </cell>
        </row>
        <row r="379">
          <cell r="I379" t="str">
            <v>208.292,00</v>
          </cell>
          <cell r="J379" t="str">
            <v>58.627,00</v>
          </cell>
          <cell r="O379" t="str">
            <v>C7941/2724</v>
          </cell>
        </row>
        <row r="380">
          <cell r="I380" t="str">
            <v>0,00</v>
          </cell>
          <cell r="J380" t="str">
            <v>-23.546,00</v>
          </cell>
          <cell r="O380" t="str">
            <v>C7941/2724/1</v>
          </cell>
        </row>
        <row r="381">
          <cell r="I381" t="str">
            <v>208.292,00</v>
          </cell>
          <cell r="J381" t="str">
            <v>82.173,00</v>
          </cell>
          <cell r="O381" t="str">
            <v>C7941/2724/2</v>
          </cell>
        </row>
        <row r="382">
          <cell r="I382" t="str">
            <v>108.292,00</v>
          </cell>
          <cell r="J382" t="str">
            <v>82.173,00</v>
          </cell>
          <cell r="O382" t="str">
            <v>C7941/2724/2/1</v>
          </cell>
        </row>
        <row r="383">
          <cell r="I383" t="str">
            <v>100.000,00</v>
          </cell>
          <cell r="J383" t="str">
            <v>0,00</v>
          </cell>
          <cell r="O383" t="str">
            <v>C7941/2724/2/2</v>
          </cell>
        </row>
        <row r="384">
          <cell r="I384" t="str">
            <v>105.600,00</v>
          </cell>
          <cell r="J384" t="str">
            <v>84,00</v>
          </cell>
          <cell r="O384" t="str">
            <v>C7941/2726</v>
          </cell>
        </row>
        <row r="385">
          <cell r="I385" t="str">
            <v>105.600,00</v>
          </cell>
          <cell r="J385" t="str">
            <v>84,00</v>
          </cell>
          <cell r="O385" t="str">
            <v>C7941/2726</v>
          </cell>
        </row>
        <row r="386">
          <cell r="I386" t="str">
            <v>0,00</v>
          </cell>
          <cell r="J386" t="str">
            <v>-25.201,00</v>
          </cell>
          <cell r="O386" t="str">
            <v>C7941/2726/1</v>
          </cell>
        </row>
        <row r="387">
          <cell r="I387" t="str">
            <v>105.600,00</v>
          </cell>
          <cell r="J387" t="str">
            <v>25.285,00</v>
          </cell>
          <cell r="O387" t="str">
            <v>C7941/2726/2</v>
          </cell>
        </row>
        <row r="388">
          <cell r="I388" t="str">
            <v>95.600,00</v>
          </cell>
          <cell r="J388" t="str">
            <v>25.285,00</v>
          </cell>
          <cell r="O388" t="str">
            <v>C7941/2726/2/1</v>
          </cell>
        </row>
        <row r="389">
          <cell r="I389" t="str">
            <v>10.000,00</v>
          </cell>
          <cell r="J389" t="str">
            <v>0,00</v>
          </cell>
          <cell r="O389" t="str">
            <v>C7941/2726/2/2</v>
          </cell>
        </row>
        <row r="390">
          <cell r="I390" t="str">
            <v>100.340,00</v>
          </cell>
          <cell r="J390" t="str">
            <v>0,00</v>
          </cell>
          <cell r="O390" t="str">
            <v>C7941/2727</v>
          </cell>
        </row>
        <row r="391">
          <cell r="I391" t="str">
            <v>100.340,00</v>
          </cell>
          <cell r="J391" t="str">
            <v>0,00</v>
          </cell>
          <cell r="O391" t="str">
            <v>C7941/2727</v>
          </cell>
        </row>
        <row r="392">
          <cell r="I392" t="str">
            <v>100.340,00</v>
          </cell>
          <cell r="J392" t="str">
            <v>0,00</v>
          </cell>
          <cell r="O392" t="str">
            <v>C7941/2727/2</v>
          </cell>
        </row>
        <row r="393">
          <cell r="I393" t="str">
            <v>82.800,00</v>
          </cell>
          <cell r="J393" t="str">
            <v>0,00</v>
          </cell>
          <cell r="O393" t="str">
            <v>C7941/2727/2/1</v>
          </cell>
        </row>
        <row r="394">
          <cell r="I394" t="str">
            <v>17.540,00</v>
          </cell>
          <cell r="J394" t="str">
            <v>0,00</v>
          </cell>
          <cell r="O394" t="str">
            <v>C7941/2727/2/2</v>
          </cell>
        </row>
        <row r="395">
          <cell r="I395" t="str">
            <v>0,00</v>
          </cell>
          <cell r="J395" t="str">
            <v>0,00</v>
          </cell>
          <cell r="O395" t="str">
            <v>C7941/2728</v>
          </cell>
        </row>
        <row r="396">
          <cell r="I396" t="str">
            <v>0,00</v>
          </cell>
          <cell r="J396" t="str">
            <v>0,00</v>
          </cell>
          <cell r="O396" t="str">
            <v>C7941/2728</v>
          </cell>
        </row>
        <row r="397">
          <cell r="I397" t="str">
            <v>0,00</v>
          </cell>
          <cell r="J397" t="str">
            <v>0,00</v>
          </cell>
          <cell r="O397" t="str">
            <v>C7941/2728/2</v>
          </cell>
        </row>
        <row r="398">
          <cell r="I398" t="str">
            <v>0,00</v>
          </cell>
          <cell r="J398" t="str">
            <v>0,00</v>
          </cell>
          <cell r="O398" t="str">
            <v>C7941/2728/2/1</v>
          </cell>
        </row>
        <row r="399">
          <cell r="I399" t="str">
            <v>200.000,00</v>
          </cell>
          <cell r="J399" t="str">
            <v>0,00</v>
          </cell>
          <cell r="O399" t="str">
            <v>C7941/2730</v>
          </cell>
        </row>
        <row r="400">
          <cell r="I400" t="str">
            <v>200.000,00</v>
          </cell>
          <cell r="J400" t="str">
            <v>0,00</v>
          </cell>
          <cell r="O400" t="str">
            <v>C7941/2730</v>
          </cell>
        </row>
        <row r="401">
          <cell r="I401" t="str">
            <v>200.000,00</v>
          </cell>
          <cell r="J401" t="str">
            <v>0,00</v>
          </cell>
          <cell r="O401" t="str">
            <v>C7941/2730/2</v>
          </cell>
        </row>
        <row r="402">
          <cell r="I402" t="str">
            <v>200.000,00</v>
          </cell>
          <cell r="J402" t="str">
            <v>0,00</v>
          </cell>
          <cell r="O402" t="str">
            <v>C7941/2730/2/1</v>
          </cell>
        </row>
        <row r="403">
          <cell r="I403" t="str">
            <v>20.000,00</v>
          </cell>
          <cell r="J403" t="str">
            <v>7.800,00</v>
          </cell>
          <cell r="O403" t="str">
            <v>C7941/2738</v>
          </cell>
        </row>
        <row r="404">
          <cell r="I404" t="str">
            <v>20.000,00</v>
          </cell>
          <cell r="J404" t="str">
            <v>7.800,00</v>
          </cell>
          <cell r="O404" t="str">
            <v>C7941/2738</v>
          </cell>
        </row>
        <row r="405">
          <cell r="I405" t="str">
            <v>20.000,00</v>
          </cell>
          <cell r="J405" t="str">
            <v>7.800,00</v>
          </cell>
          <cell r="O405" t="str">
            <v>C7941/2738/2</v>
          </cell>
        </row>
        <row r="406">
          <cell r="I406" t="str">
            <v>20.000,00</v>
          </cell>
          <cell r="J406" t="str">
            <v>7.800,00</v>
          </cell>
          <cell r="O406" t="str">
            <v>C7941/2738/2/1</v>
          </cell>
        </row>
        <row r="407">
          <cell r="I407" t="str">
            <v>35.852,00</v>
          </cell>
          <cell r="J407" t="str">
            <v>-624,00</v>
          </cell>
          <cell r="O407" t="str">
            <v>C7941/2739</v>
          </cell>
        </row>
        <row r="408">
          <cell r="I408" t="str">
            <v>35.852,00</v>
          </cell>
          <cell r="J408" t="str">
            <v>-624,00</v>
          </cell>
          <cell r="O408" t="str">
            <v>C7941/2739</v>
          </cell>
        </row>
        <row r="409">
          <cell r="I409" t="str">
            <v>0,00</v>
          </cell>
          <cell r="J409" t="str">
            <v>-23.424,00</v>
          </cell>
          <cell r="O409" t="str">
            <v>C7941/2739/1</v>
          </cell>
        </row>
        <row r="410">
          <cell r="I410" t="str">
            <v>35.852,00</v>
          </cell>
          <cell r="J410" t="str">
            <v>22.800,00</v>
          </cell>
          <cell r="O410" t="str">
            <v>C7941/2739/2</v>
          </cell>
        </row>
        <row r="411">
          <cell r="I411" t="str">
            <v>25.652,00</v>
          </cell>
          <cell r="J411" t="str">
            <v>12.600,00</v>
          </cell>
          <cell r="O411" t="str">
            <v>C7941/2739/2/1</v>
          </cell>
        </row>
        <row r="412">
          <cell r="I412" t="str">
            <v>10.200,00</v>
          </cell>
          <cell r="J412" t="str">
            <v>10.200,00</v>
          </cell>
          <cell r="O412" t="str">
            <v>C7941/2739/2/2</v>
          </cell>
        </row>
        <row r="413">
          <cell r="I413" t="str">
            <v>56.000,00</v>
          </cell>
          <cell r="J413" t="str">
            <v>4.822,00</v>
          </cell>
          <cell r="O413" t="str">
            <v>C7941/2740</v>
          </cell>
        </row>
        <row r="414">
          <cell r="I414" t="str">
            <v>56.000,00</v>
          </cell>
          <cell r="J414" t="str">
            <v>4.822,00</v>
          </cell>
          <cell r="O414" t="str">
            <v>C7941/2740</v>
          </cell>
        </row>
        <row r="415">
          <cell r="I415" t="str">
            <v>0,00</v>
          </cell>
          <cell r="J415" t="str">
            <v>-11.445,00</v>
          </cell>
          <cell r="O415" t="str">
            <v>C7941/2740/1</v>
          </cell>
        </row>
        <row r="416">
          <cell r="I416" t="str">
            <v>56.000,00</v>
          </cell>
          <cell r="J416" t="str">
            <v>16.267,00</v>
          </cell>
          <cell r="O416" t="str">
            <v>C7941/2740/2</v>
          </cell>
        </row>
        <row r="417">
          <cell r="I417" t="str">
            <v>56.000,00</v>
          </cell>
          <cell r="J417" t="str">
            <v>16.267,00</v>
          </cell>
          <cell r="O417" t="str">
            <v>C7941/2740/2/1</v>
          </cell>
        </row>
        <row r="418">
          <cell r="I418" t="str">
            <v>100.000,00</v>
          </cell>
          <cell r="J418" t="str">
            <v>0,40</v>
          </cell>
          <cell r="O418" t="str">
            <v>C7941/2741</v>
          </cell>
        </row>
        <row r="419">
          <cell r="I419" t="str">
            <v>100.000,00</v>
          </cell>
          <cell r="J419" t="str">
            <v>0,40</v>
          </cell>
          <cell r="O419" t="str">
            <v>C7941/2741</v>
          </cell>
        </row>
        <row r="420">
          <cell r="I420" t="str">
            <v>100.000,00</v>
          </cell>
          <cell r="J420" t="str">
            <v>0,40</v>
          </cell>
          <cell r="O420" t="str">
            <v>C7941/2741/2</v>
          </cell>
        </row>
        <row r="421">
          <cell r="I421" t="str">
            <v>100.000,00</v>
          </cell>
          <cell r="J421" t="str">
            <v>0,40</v>
          </cell>
          <cell r="O421" t="str">
            <v>C7941/2741/2/1</v>
          </cell>
        </row>
        <row r="422">
          <cell r="I422" t="str">
            <v>38.115,00</v>
          </cell>
          <cell r="J422" t="str">
            <v>513,00</v>
          </cell>
          <cell r="O422" t="str">
            <v>C7941/2742</v>
          </cell>
        </row>
        <row r="423">
          <cell r="I423" t="str">
            <v>38.115,00</v>
          </cell>
          <cell r="J423" t="str">
            <v>513,00</v>
          </cell>
          <cell r="O423" t="str">
            <v>C7941/2742</v>
          </cell>
        </row>
        <row r="424">
          <cell r="I424" t="str">
            <v>38.115,00</v>
          </cell>
          <cell r="J424" t="str">
            <v>513,00</v>
          </cell>
          <cell r="O424" t="str">
            <v>C7941/2742/2</v>
          </cell>
        </row>
        <row r="425">
          <cell r="I425" t="str">
            <v>38.115,00</v>
          </cell>
          <cell r="J425" t="str">
            <v>513,00</v>
          </cell>
          <cell r="O425" t="str">
            <v>C7941/2742/2/1</v>
          </cell>
        </row>
        <row r="426">
          <cell r="I426" t="str">
            <v>100.000,00</v>
          </cell>
          <cell r="J426" t="str">
            <v>0,00</v>
          </cell>
          <cell r="O426" t="str">
            <v>C7941/2743</v>
          </cell>
        </row>
        <row r="427">
          <cell r="I427" t="str">
            <v>100.000,00</v>
          </cell>
          <cell r="J427" t="str">
            <v>0,00</v>
          </cell>
          <cell r="O427" t="str">
            <v>C7941/2743</v>
          </cell>
        </row>
        <row r="428">
          <cell r="I428" t="str">
            <v>100.000,00</v>
          </cell>
          <cell r="J428" t="str">
            <v>0,00</v>
          </cell>
          <cell r="O428" t="str">
            <v>C7941/2743/2</v>
          </cell>
        </row>
        <row r="429">
          <cell r="I429" t="str">
            <v>100.000,00</v>
          </cell>
          <cell r="J429" t="str">
            <v>0,00</v>
          </cell>
          <cell r="O429" t="str">
            <v>C7941/2743/2/1</v>
          </cell>
        </row>
        <row r="430">
          <cell r="I430" t="str">
            <v>1.000,00</v>
          </cell>
          <cell r="J430" t="str">
            <v>-32.000,00</v>
          </cell>
          <cell r="O430" t="str">
            <v>C7941/2744</v>
          </cell>
        </row>
        <row r="431">
          <cell r="I431" t="str">
            <v>1.000,00</v>
          </cell>
          <cell r="J431" t="str">
            <v>-32.000,00</v>
          </cell>
          <cell r="O431" t="str">
            <v>C7941/2744</v>
          </cell>
        </row>
        <row r="432">
          <cell r="I432" t="str">
            <v>0,00</v>
          </cell>
          <cell r="J432" t="str">
            <v>-33.000,00</v>
          </cell>
          <cell r="O432" t="str">
            <v>C7941/2744/1</v>
          </cell>
        </row>
        <row r="433">
          <cell r="I433" t="str">
            <v>1.000,00</v>
          </cell>
          <cell r="J433" t="str">
            <v>1.000,00</v>
          </cell>
          <cell r="O433" t="str">
            <v>C7941/2744/2</v>
          </cell>
        </row>
        <row r="434">
          <cell r="I434" t="str">
            <v>1.000,00</v>
          </cell>
          <cell r="J434" t="str">
            <v>1.000,00</v>
          </cell>
          <cell r="O434" t="str">
            <v>C7941/2744/2/1</v>
          </cell>
        </row>
        <row r="435">
          <cell r="I435" t="str">
            <v>1.100,00</v>
          </cell>
          <cell r="J435" t="str">
            <v>-31.900,00</v>
          </cell>
          <cell r="O435" t="str">
            <v>C7941/2745</v>
          </cell>
        </row>
        <row r="436">
          <cell r="I436" t="str">
            <v>1.100,00</v>
          </cell>
          <cell r="J436" t="str">
            <v>-31.900,00</v>
          </cell>
          <cell r="O436" t="str">
            <v>C7941/2745</v>
          </cell>
        </row>
        <row r="437">
          <cell r="I437" t="str">
            <v>0,00</v>
          </cell>
          <cell r="J437" t="str">
            <v>-33.000,00</v>
          </cell>
          <cell r="O437" t="str">
            <v>C7941/2745/1</v>
          </cell>
        </row>
        <row r="438">
          <cell r="I438" t="str">
            <v>1.100,00</v>
          </cell>
          <cell r="J438" t="str">
            <v>1.100,00</v>
          </cell>
          <cell r="O438" t="str">
            <v>C7941/2745/2</v>
          </cell>
        </row>
        <row r="439">
          <cell r="I439" t="str">
            <v>1.100,00</v>
          </cell>
          <cell r="J439" t="str">
            <v>1.100,00</v>
          </cell>
          <cell r="O439" t="str">
            <v>C7941/2745/2/1</v>
          </cell>
        </row>
        <row r="440">
          <cell r="I440" t="str">
            <v>1.700,00</v>
          </cell>
          <cell r="J440" t="str">
            <v>-31.300,00</v>
          </cell>
          <cell r="O440" t="str">
            <v>C7941/2746</v>
          </cell>
        </row>
        <row r="441">
          <cell r="I441" t="str">
            <v>1.700,00</v>
          </cell>
          <cell r="J441" t="str">
            <v>-31.300,00</v>
          </cell>
          <cell r="O441" t="str">
            <v>C7941/2746</v>
          </cell>
        </row>
        <row r="442">
          <cell r="I442" t="str">
            <v>0,00</v>
          </cell>
          <cell r="J442" t="str">
            <v>-33.000,00</v>
          </cell>
          <cell r="O442" t="str">
            <v>C7941/2746/1</v>
          </cell>
        </row>
        <row r="443">
          <cell r="I443" t="str">
            <v>1.700,00</v>
          </cell>
          <cell r="J443" t="str">
            <v>1.700,00</v>
          </cell>
          <cell r="O443" t="str">
            <v>C7941/2746/2</v>
          </cell>
        </row>
        <row r="444">
          <cell r="I444" t="str">
            <v>1.700,00</v>
          </cell>
          <cell r="J444" t="str">
            <v>1.700,00</v>
          </cell>
          <cell r="O444" t="str">
            <v>C7941/2746/2/1</v>
          </cell>
        </row>
        <row r="445">
          <cell r="I445" t="str">
            <v>75.000,00</v>
          </cell>
          <cell r="J445" t="str">
            <v>8.100,00</v>
          </cell>
          <cell r="O445" t="str">
            <v>C7941/2749</v>
          </cell>
        </row>
        <row r="446">
          <cell r="I446" t="str">
            <v>75.000,00</v>
          </cell>
          <cell r="J446" t="str">
            <v>8.100,00</v>
          </cell>
          <cell r="O446" t="str">
            <v>C7941/2749</v>
          </cell>
        </row>
        <row r="447">
          <cell r="I447" t="str">
            <v>0,00</v>
          </cell>
          <cell r="J447" t="str">
            <v>-49.800,00</v>
          </cell>
          <cell r="O447" t="str">
            <v>C7941/2749/1</v>
          </cell>
        </row>
        <row r="448">
          <cell r="I448" t="str">
            <v>75.000,00</v>
          </cell>
          <cell r="J448" t="str">
            <v>57.900,00</v>
          </cell>
          <cell r="O448" t="str">
            <v>C7941/2749/2</v>
          </cell>
        </row>
        <row r="449">
          <cell r="I449" t="str">
            <v>50.000,00</v>
          </cell>
          <cell r="J449" t="str">
            <v>37.900,00</v>
          </cell>
          <cell r="O449" t="str">
            <v>C7941/2749/2/1</v>
          </cell>
        </row>
        <row r="450">
          <cell r="I450" t="str">
            <v>25.000,00</v>
          </cell>
          <cell r="J450" t="str">
            <v>20.000,00</v>
          </cell>
          <cell r="O450" t="str">
            <v>C7941/2749/2/2</v>
          </cell>
        </row>
        <row r="451">
          <cell r="I451" t="str">
            <v>105.000,00</v>
          </cell>
          <cell r="J451" t="str">
            <v>0,00</v>
          </cell>
          <cell r="O451" t="str">
            <v>C7941/2750</v>
          </cell>
        </row>
        <row r="452">
          <cell r="I452" t="str">
            <v>105.000,00</v>
          </cell>
          <cell r="J452" t="str">
            <v>0,00</v>
          </cell>
          <cell r="O452" t="str">
            <v>C7941/2750</v>
          </cell>
        </row>
        <row r="453">
          <cell r="I453" t="str">
            <v>105.000,00</v>
          </cell>
          <cell r="J453" t="str">
            <v>0,00</v>
          </cell>
          <cell r="O453" t="str">
            <v>C7941/2750/2</v>
          </cell>
        </row>
        <row r="454">
          <cell r="I454" t="str">
            <v>105.000,00</v>
          </cell>
          <cell r="J454" t="str">
            <v>0,00</v>
          </cell>
          <cell r="O454" t="str">
            <v>C7941/2750/2/1</v>
          </cell>
        </row>
        <row r="455">
          <cell r="I455" t="str">
            <v>5.600,00</v>
          </cell>
          <cell r="J455" t="str">
            <v>500,00</v>
          </cell>
          <cell r="O455" t="str">
            <v>C7941/2751</v>
          </cell>
        </row>
        <row r="456">
          <cell r="I456" t="str">
            <v>5.600,00</v>
          </cell>
          <cell r="J456" t="str">
            <v>500,00</v>
          </cell>
          <cell r="O456" t="str">
            <v>C7941/2751</v>
          </cell>
        </row>
        <row r="457">
          <cell r="I457" t="str">
            <v>5.600,00</v>
          </cell>
          <cell r="J457" t="str">
            <v>500,00</v>
          </cell>
          <cell r="O457" t="str">
            <v>C7941/2751/2</v>
          </cell>
        </row>
        <row r="458">
          <cell r="I458" t="str">
            <v>5.600,00</v>
          </cell>
          <cell r="J458" t="str">
            <v>500,00</v>
          </cell>
          <cell r="O458" t="str">
            <v>C7941/2751/2/1</v>
          </cell>
        </row>
        <row r="459">
          <cell r="I459" t="str">
            <v>32.800,00</v>
          </cell>
          <cell r="J459" t="str">
            <v>0,00</v>
          </cell>
          <cell r="O459" t="str">
            <v>C7941/2755</v>
          </cell>
        </row>
        <row r="460">
          <cell r="I460" t="str">
            <v>32.800,00</v>
          </cell>
          <cell r="J460" t="str">
            <v>0,00</v>
          </cell>
          <cell r="O460" t="str">
            <v>C7941/2755</v>
          </cell>
        </row>
        <row r="461">
          <cell r="I461" t="str">
            <v>32.800,00</v>
          </cell>
          <cell r="J461" t="str">
            <v>0,00</v>
          </cell>
          <cell r="O461" t="str">
            <v>C7941/2755/2</v>
          </cell>
        </row>
        <row r="462">
          <cell r="I462" t="str">
            <v>32.800,00</v>
          </cell>
          <cell r="J462" t="str">
            <v>0,00</v>
          </cell>
          <cell r="O462" t="str">
            <v>C7941/2755/2/1</v>
          </cell>
        </row>
        <row r="463">
          <cell r="I463" t="str">
            <v>310.126,00</v>
          </cell>
          <cell r="J463" t="str">
            <v>196.928,44</v>
          </cell>
          <cell r="O463" t="str">
            <v>C7941/2756</v>
          </cell>
        </row>
        <row r="464">
          <cell r="I464" t="str">
            <v>310.126,00</v>
          </cell>
          <cell r="J464" t="str">
            <v>196.928,44</v>
          </cell>
          <cell r="O464" t="str">
            <v>C7941/2756</v>
          </cell>
        </row>
        <row r="465">
          <cell r="I465" t="str">
            <v>310.126,00</v>
          </cell>
          <cell r="J465" t="str">
            <v>196.928,44</v>
          </cell>
          <cell r="O465" t="str">
            <v>C7941/2756/2</v>
          </cell>
        </row>
        <row r="466">
          <cell r="I466" t="str">
            <v>310.126,00</v>
          </cell>
          <cell r="J466" t="str">
            <v>196.928,44</v>
          </cell>
          <cell r="O466" t="str">
            <v>C7941/2756/2/1</v>
          </cell>
        </row>
        <row r="467">
          <cell r="I467" t="str">
            <v>235.000,00</v>
          </cell>
          <cell r="J467" t="str">
            <v>0,00</v>
          </cell>
          <cell r="O467" t="str">
            <v>C7941/2758</v>
          </cell>
        </row>
        <row r="468">
          <cell r="I468" t="str">
            <v>235.000,00</v>
          </cell>
          <cell r="J468" t="str">
            <v>0,00</v>
          </cell>
          <cell r="O468" t="str">
            <v>C7941/2758</v>
          </cell>
        </row>
        <row r="469">
          <cell r="I469" t="str">
            <v>235.000,00</v>
          </cell>
          <cell r="J469" t="str">
            <v>0,00</v>
          </cell>
          <cell r="O469" t="str">
            <v>C7941/2758/2</v>
          </cell>
        </row>
        <row r="470">
          <cell r="I470" t="str">
            <v>235.000,00</v>
          </cell>
          <cell r="J470" t="str">
            <v>0,00</v>
          </cell>
          <cell r="O470" t="str">
            <v>C7941/2758/2/1</v>
          </cell>
        </row>
        <row r="471">
          <cell r="I471" t="str">
            <v>135.600,00</v>
          </cell>
          <cell r="J471" t="str">
            <v>0,00</v>
          </cell>
          <cell r="O471" t="str">
            <v>C7941/2759</v>
          </cell>
        </row>
        <row r="472">
          <cell r="I472" t="str">
            <v>135.600,00</v>
          </cell>
          <cell r="J472" t="str">
            <v>0,00</v>
          </cell>
          <cell r="O472" t="str">
            <v>C7941/2759</v>
          </cell>
        </row>
        <row r="473">
          <cell r="I473" t="str">
            <v>135.600,00</v>
          </cell>
          <cell r="J473" t="str">
            <v>0,00</v>
          </cell>
          <cell r="O473" t="str">
            <v>C7941/2759/2</v>
          </cell>
        </row>
        <row r="474">
          <cell r="I474" t="str">
            <v>135.600,00</v>
          </cell>
          <cell r="J474" t="str">
            <v>0,00</v>
          </cell>
          <cell r="O474" t="str">
            <v>C7941/2759/2/1</v>
          </cell>
        </row>
        <row r="475">
          <cell r="I475" t="str">
            <v>139.790,00</v>
          </cell>
          <cell r="J475" t="str">
            <v>6.399,36</v>
          </cell>
          <cell r="O475" t="str">
            <v>C7941/2760</v>
          </cell>
        </row>
        <row r="476">
          <cell r="I476" t="str">
            <v>139.790,00</v>
          </cell>
          <cell r="J476" t="str">
            <v>6.399,36</v>
          </cell>
          <cell r="O476" t="str">
            <v>C7941/2760</v>
          </cell>
        </row>
        <row r="477">
          <cell r="I477" t="str">
            <v>139.790,00</v>
          </cell>
          <cell r="J477" t="str">
            <v>6.399,36</v>
          </cell>
          <cell r="O477" t="str">
            <v>C7941/2760/2</v>
          </cell>
        </row>
        <row r="478">
          <cell r="I478" t="str">
            <v>139.790,00</v>
          </cell>
          <cell r="J478" t="str">
            <v>6.399,36</v>
          </cell>
          <cell r="O478" t="str">
            <v>C7941/2760/2/1</v>
          </cell>
        </row>
        <row r="479">
          <cell r="I479" t="str">
            <v>141.000,00</v>
          </cell>
          <cell r="J479" t="str">
            <v>8.634,38</v>
          </cell>
          <cell r="O479" t="str">
            <v>C7941/2761</v>
          </cell>
        </row>
        <row r="480">
          <cell r="I480" t="str">
            <v>141.000,00</v>
          </cell>
          <cell r="J480" t="str">
            <v>8.634,38</v>
          </cell>
          <cell r="O480" t="str">
            <v>C7941/2761</v>
          </cell>
        </row>
        <row r="481">
          <cell r="I481" t="str">
            <v>141.000,00</v>
          </cell>
          <cell r="J481" t="str">
            <v>8.634,38</v>
          </cell>
          <cell r="O481" t="str">
            <v>C7941/2761/2</v>
          </cell>
        </row>
        <row r="482">
          <cell r="I482" t="str">
            <v>123.000,00</v>
          </cell>
          <cell r="J482" t="str">
            <v>0,00</v>
          </cell>
          <cell r="O482" t="str">
            <v>C7941/2761/2/1</v>
          </cell>
        </row>
        <row r="483">
          <cell r="I483" t="str">
            <v>18.000,00</v>
          </cell>
          <cell r="J483" t="str">
            <v>8.634,38</v>
          </cell>
          <cell r="O483" t="str">
            <v>C7941/2761/2/2</v>
          </cell>
        </row>
        <row r="484">
          <cell r="I484" t="str">
            <v>40.000,00</v>
          </cell>
          <cell r="J484" t="str">
            <v>1.100,00</v>
          </cell>
          <cell r="O484" t="str">
            <v>C7941/2762</v>
          </cell>
        </row>
        <row r="485">
          <cell r="I485" t="str">
            <v>40.000,00</v>
          </cell>
          <cell r="J485" t="str">
            <v>1.100,00</v>
          </cell>
          <cell r="O485" t="str">
            <v>C7941/2762</v>
          </cell>
        </row>
        <row r="486">
          <cell r="I486" t="str">
            <v>40.000,00</v>
          </cell>
          <cell r="J486" t="str">
            <v>1.100,00</v>
          </cell>
          <cell r="O486" t="str">
            <v>C7941/2762/2</v>
          </cell>
        </row>
        <row r="487">
          <cell r="I487" t="str">
            <v>40.000,00</v>
          </cell>
          <cell r="J487" t="str">
            <v>1.100,00</v>
          </cell>
          <cell r="O487" t="str">
            <v>C7941/2762/2/1</v>
          </cell>
        </row>
        <row r="488">
          <cell r="I488" t="str">
            <v>83.000,00</v>
          </cell>
          <cell r="J488" t="str">
            <v>0,00</v>
          </cell>
          <cell r="O488" t="str">
            <v>C7941/2763</v>
          </cell>
        </row>
        <row r="489">
          <cell r="I489" t="str">
            <v>83.000,00</v>
          </cell>
          <cell r="J489" t="str">
            <v>0,00</v>
          </cell>
          <cell r="O489" t="str">
            <v>C7941/2763</v>
          </cell>
        </row>
        <row r="490">
          <cell r="I490" t="str">
            <v>83.000,00</v>
          </cell>
          <cell r="J490" t="str">
            <v>0,00</v>
          </cell>
          <cell r="O490" t="str">
            <v>C7941/2763/2</v>
          </cell>
        </row>
        <row r="491">
          <cell r="I491" t="str">
            <v>83.000,00</v>
          </cell>
          <cell r="J491" t="str">
            <v>0,00</v>
          </cell>
          <cell r="O491" t="str">
            <v>C7941/2763/2/1</v>
          </cell>
        </row>
        <row r="492">
          <cell r="I492" t="str">
            <v>43.000,00</v>
          </cell>
          <cell r="J492" t="str">
            <v>0,00</v>
          </cell>
          <cell r="O492" t="str">
            <v>C7941/2764</v>
          </cell>
        </row>
        <row r="493">
          <cell r="I493" t="str">
            <v>43.000,00</v>
          </cell>
          <cell r="J493" t="str">
            <v>0,00</v>
          </cell>
          <cell r="O493" t="str">
            <v>C7941/2764</v>
          </cell>
        </row>
        <row r="494">
          <cell r="I494" t="str">
            <v>43.000,00</v>
          </cell>
          <cell r="J494" t="str">
            <v>0,00</v>
          </cell>
          <cell r="O494" t="str">
            <v>C7941/2764/2</v>
          </cell>
        </row>
        <row r="495">
          <cell r="I495" t="str">
            <v>43.000,00</v>
          </cell>
          <cell r="J495" t="str">
            <v>0,00</v>
          </cell>
          <cell r="O495" t="str">
            <v>C7941/2764/2/1</v>
          </cell>
        </row>
        <row r="496">
          <cell r="I496" t="str">
            <v>50.000,00</v>
          </cell>
          <cell r="J496" t="str">
            <v>0,00</v>
          </cell>
          <cell r="O496" t="str">
            <v>C7941/2766</v>
          </cell>
        </row>
        <row r="497">
          <cell r="I497" t="str">
            <v>50.000,00</v>
          </cell>
          <cell r="J497" t="str">
            <v>0,00</v>
          </cell>
          <cell r="O497" t="str">
            <v>C7941/2766</v>
          </cell>
        </row>
        <row r="498">
          <cell r="I498" t="str">
            <v>50.000,00</v>
          </cell>
          <cell r="J498" t="str">
            <v>0,00</v>
          </cell>
          <cell r="O498" t="str">
            <v>C7941/2766/2</v>
          </cell>
        </row>
        <row r="499">
          <cell r="I499" t="str">
            <v>50.000,00</v>
          </cell>
          <cell r="J499" t="str">
            <v>0,00</v>
          </cell>
          <cell r="O499" t="str">
            <v>C7941/2766/2/1</v>
          </cell>
        </row>
        <row r="500">
          <cell r="I500" t="str">
            <v>420.450,00</v>
          </cell>
          <cell r="J500" t="str">
            <v>0,00</v>
          </cell>
          <cell r="O500" t="str">
            <v>C7941/2768</v>
          </cell>
        </row>
        <row r="501">
          <cell r="I501" t="str">
            <v>420.450,00</v>
          </cell>
          <cell r="J501" t="str">
            <v>0,00</v>
          </cell>
          <cell r="O501" t="str">
            <v>C7941/2768</v>
          </cell>
        </row>
        <row r="502">
          <cell r="I502" t="str">
            <v>420.450,00</v>
          </cell>
          <cell r="J502" t="str">
            <v>0,00</v>
          </cell>
          <cell r="O502" t="str">
            <v>C7941/2768/2</v>
          </cell>
        </row>
        <row r="503">
          <cell r="I503" t="str">
            <v>412.000,00</v>
          </cell>
          <cell r="J503" t="str">
            <v>0,00</v>
          </cell>
          <cell r="O503" t="str">
            <v>C7941/2768/2/1</v>
          </cell>
        </row>
        <row r="504">
          <cell r="I504" t="str">
            <v>8.450,00</v>
          </cell>
          <cell r="J504" t="str">
            <v>0,00</v>
          </cell>
          <cell r="O504" t="str">
            <v>C7941/2768/2/2</v>
          </cell>
        </row>
        <row r="505">
          <cell r="I505" t="str">
            <v>88.500,00</v>
          </cell>
          <cell r="J505" t="str">
            <v>0,00</v>
          </cell>
          <cell r="O505" t="str">
            <v>C7941/2769</v>
          </cell>
        </row>
        <row r="506">
          <cell r="I506" t="str">
            <v>88.500,00</v>
          </cell>
          <cell r="J506" t="str">
            <v>0,00</v>
          </cell>
          <cell r="O506" t="str">
            <v>C7941/2769</v>
          </cell>
        </row>
        <row r="507">
          <cell r="I507" t="str">
            <v>88.500,00</v>
          </cell>
          <cell r="J507" t="str">
            <v>0,00</v>
          </cell>
          <cell r="O507" t="str">
            <v>C7941/2769/2</v>
          </cell>
        </row>
        <row r="508">
          <cell r="I508" t="str">
            <v>15.000,00</v>
          </cell>
          <cell r="J508" t="str">
            <v>0,00</v>
          </cell>
          <cell r="O508" t="str">
            <v>C7941/2769/2/1</v>
          </cell>
        </row>
        <row r="509">
          <cell r="I509" t="str">
            <v>73.500,00</v>
          </cell>
          <cell r="J509" t="str">
            <v>0,00</v>
          </cell>
          <cell r="O509" t="str">
            <v>C7941/2769/2/2</v>
          </cell>
        </row>
        <row r="510">
          <cell r="I510" t="str">
            <v>58.500,00</v>
          </cell>
          <cell r="J510" t="str">
            <v>0,00</v>
          </cell>
          <cell r="O510" t="str">
            <v>C7941/2771</v>
          </cell>
        </row>
        <row r="511">
          <cell r="I511" t="str">
            <v>58.500,00</v>
          </cell>
          <cell r="J511" t="str">
            <v>0,00</v>
          </cell>
          <cell r="O511" t="str">
            <v>C7941/2771</v>
          </cell>
        </row>
        <row r="512">
          <cell r="I512" t="str">
            <v>58.500,00</v>
          </cell>
          <cell r="J512" t="str">
            <v>0,00</v>
          </cell>
          <cell r="O512" t="str">
            <v>C7941/2771/2</v>
          </cell>
        </row>
        <row r="513">
          <cell r="I513" t="str">
            <v>30.000,00</v>
          </cell>
          <cell r="J513" t="str">
            <v>0,00</v>
          </cell>
          <cell r="O513" t="str">
            <v>C7941/2771/2/1</v>
          </cell>
        </row>
        <row r="514">
          <cell r="I514" t="str">
            <v>28.500,00</v>
          </cell>
          <cell r="J514" t="str">
            <v>0,00</v>
          </cell>
          <cell r="O514" t="str">
            <v>C7941/2771/2/2</v>
          </cell>
        </row>
        <row r="515">
          <cell r="I515" t="str">
            <v>60.000,00</v>
          </cell>
          <cell r="J515" t="str">
            <v>0,00</v>
          </cell>
          <cell r="O515" t="str">
            <v>C7941/2772</v>
          </cell>
        </row>
        <row r="516">
          <cell r="I516" t="str">
            <v>60.000,00</v>
          </cell>
          <cell r="J516" t="str">
            <v>0,00</v>
          </cell>
          <cell r="O516" t="str">
            <v>C7941/2772</v>
          </cell>
        </row>
        <row r="517">
          <cell r="I517" t="str">
            <v>60.000,00</v>
          </cell>
          <cell r="J517" t="str">
            <v>0,00</v>
          </cell>
          <cell r="O517" t="str">
            <v>C7941/2772/2</v>
          </cell>
        </row>
        <row r="518">
          <cell r="I518" t="str">
            <v>60.000,00</v>
          </cell>
          <cell r="J518" t="str">
            <v>0,00</v>
          </cell>
          <cell r="O518" t="str">
            <v>C7941/2772/2/1</v>
          </cell>
        </row>
        <row r="519">
          <cell r="I519" t="str">
            <v>75.000,00</v>
          </cell>
          <cell r="J519" t="str">
            <v>0,00</v>
          </cell>
          <cell r="O519" t="str">
            <v>C7941/2774</v>
          </cell>
        </row>
        <row r="520">
          <cell r="I520" t="str">
            <v>75.000,00</v>
          </cell>
          <cell r="J520" t="str">
            <v>0,00</v>
          </cell>
          <cell r="O520" t="str">
            <v>C7941/2774</v>
          </cell>
        </row>
        <row r="521">
          <cell r="I521" t="str">
            <v>75.000,00</v>
          </cell>
          <cell r="J521" t="str">
            <v>0,00</v>
          </cell>
          <cell r="O521" t="str">
            <v>C7941/2774/2</v>
          </cell>
        </row>
        <row r="522">
          <cell r="I522" t="str">
            <v>50.000,00</v>
          </cell>
          <cell r="J522" t="str">
            <v>0,00</v>
          </cell>
          <cell r="O522" t="str">
            <v>C7941/2774/2/1</v>
          </cell>
        </row>
        <row r="523">
          <cell r="I523" t="str">
            <v>25.000,00</v>
          </cell>
          <cell r="J523" t="str">
            <v>0,00</v>
          </cell>
          <cell r="O523" t="str">
            <v>C7941/2774/2/2</v>
          </cell>
        </row>
        <row r="524">
          <cell r="I524" t="str">
            <v>24.000,00</v>
          </cell>
          <cell r="J524" t="str">
            <v>0,00</v>
          </cell>
          <cell r="O524" t="str">
            <v>C7941/2775</v>
          </cell>
        </row>
        <row r="525">
          <cell r="I525" t="str">
            <v>24.000,00</v>
          </cell>
          <cell r="J525" t="str">
            <v>0,00</v>
          </cell>
          <cell r="O525" t="str">
            <v>C7941/2775</v>
          </cell>
        </row>
        <row r="526">
          <cell r="I526" t="str">
            <v>24.000,00</v>
          </cell>
          <cell r="J526" t="str">
            <v>0,00</v>
          </cell>
          <cell r="O526" t="str">
            <v>C7941/2775/2</v>
          </cell>
        </row>
        <row r="527">
          <cell r="I527" t="str">
            <v>24.000,00</v>
          </cell>
          <cell r="J527" t="str">
            <v>0,00</v>
          </cell>
          <cell r="O527" t="str">
            <v>C7941/2775/2/2</v>
          </cell>
        </row>
        <row r="528">
          <cell r="I528" t="str">
            <v>73.200,00</v>
          </cell>
          <cell r="J528" t="str">
            <v>900,00</v>
          </cell>
          <cell r="O528" t="str">
            <v>C7941/2776</v>
          </cell>
        </row>
        <row r="529">
          <cell r="I529" t="str">
            <v>73.200,00</v>
          </cell>
          <cell r="J529" t="str">
            <v>900,00</v>
          </cell>
          <cell r="O529" t="str">
            <v>C7941/2776</v>
          </cell>
        </row>
        <row r="530">
          <cell r="I530" t="str">
            <v>73.200,00</v>
          </cell>
          <cell r="J530" t="str">
            <v>900,00</v>
          </cell>
          <cell r="O530" t="str">
            <v>C7941/2776/2</v>
          </cell>
        </row>
        <row r="531">
          <cell r="I531" t="str">
            <v>3.200,00</v>
          </cell>
          <cell r="J531" t="str">
            <v>900,00</v>
          </cell>
          <cell r="O531" t="str">
            <v>C7941/2776/2/1</v>
          </cell>
        </row>
        <row r="532">
          <cell r="I532" t="str">
            <v>70.000,00</v>
          </cell>
          <cell r="J532" t="str">
            <v>0,00</v>
          </cell>
          <cell r="O532" t="str">
            <v>C7941/2776/2/2</v>
          </cell>
        </row>
        <row r="533">
          <cell r="I533" t="str">
            <v>50.000,00</v>
          </cell>
          <cell r="J533" t="str">
            <v>28.046,00</v>
          </cell>
          <cell r="O533" t="str">
            <v>C7941/2777</v>
          </cell>
        </row>
        <row r="534">
          <cell r="I534" t="str">
            <v>50.000,00</v>
          </cell>
          <cell r="J534" t="str">
            <v>28.046,00</v>
          </cell>
          <cell r="O534" t="str">
            <v>C7941/2777</v>
          </cell>
        </row>
        <row r="535">
          <cell r="I535" t="str">
            <v>50.000,00</v>
          </cell>
          <cell r="J535" t="str">
            <v>28.046,00</v>
          </cell>
          <cell r="O535" t="str">
            <v>C7941/2777/2</v>
          </cell>
        </row>
        <row r="536">
          <cell r="I536" t="str">
            <v>50.000,00</v>
          </cell>
          <cell r="J536" t="str">
            <v>28.046,00</v>
          </cell>
          <cell r="O536" t="str">
            <v>C7941/2777/2/1</v>
          </cell>
        </row>
        <row r="537">
          <cell r="I537" t="str">
            <v>50.000,00</v>
          </cell>
          <cell r="J537" t="str">
            <v>30.515,00</v>
          </cell>
          <cell r="O537" t="str">
            <v>C7941/2778</v>
          </cell>
        </row>
        <row r="538">
          <cell r="I538" t="str">
            <v>50.000,00</v>
          </cell>
          <cell r="J538" t="str">
            <v>30.515,00</v>
          </cell>
          <cell r="O538" t="str">
            <v>C7941/2778</v>
          </cell>
        </row>
        <row r="539">
          <cell r="I539" t="str">
            <v>50.000,00</v>
          </cell>
          <cell r="J539" t="str">
            <v>30.515,00</v>
          </cell>
          <cell r="O539" t="str">
            <v>C7941/2778/2</v>
          </cell>
        </row>
        <row r="540">
          <cell r="I540" t="str">
            <v>50.000,00</v>
          </cell>
          <cell r="J540" t="str">
            <v>30.515,00</v>
          </cell>
          <cell r="O540" t="str">
            <v>C7941/2778/2/1</v>
          </cell>
        </row>
        <row r="541">
          <cell r="I541" t="str">
            <v>20.000,00</v>
          </cell>
          <cell r="J541" t="str">
            <v>1.600,00</v>
          </cell>
          <cell r="O541" t="str">
            <v>C7941/2779</v>
          </cell>
        </row>
        <row r="542">
          <cell r="I542" t="str">
            <v>20.000,00</v>
          </cell>
          <cell r="J542" t="str">
            <v>1.600,00</v>
          </cell>
          <cell r="O542" t="str">
            <v>C7941/2779</v>
          </cell>
        </row>
        <row r="543">
          <cell r="I543" t="str">
            <v>20.000,00</v>
          </cell>
          <cell r="J543" t="str">
            <v>1.600,00</v>
          </cell>
          <cell r="O543" t="str">
            <v>C7941/2779/2</v>
          </cell>
        </row>
        <row r="544">
          <cell r="I544" t="str">
            <v>20.000,00</v>
          </cell>
          <cell r="J544" t="str">
            <v>1.600,00</v>
          </cell>
          <cell r="O544" t="str">
            <v>C7941/2779/2/1</v>
          </cell>
        </row>
        <row r="545">
          <cell r="I545" t="str">
            <v>25.000,00</v>
          </cell>
          <cell r="J545" t="str">
            <v>0,00</v>
          </cell>
          <cell r="O545" t="str">
            <v>C7941/2781</v>
          </cell>
        </row>
        <row r="546">
          <cell r="I546" t="str">
            <v>25.000,00</v>
          </cell>
          <cell r="J546" t="str">
            <v>0,00</v>
          </cell>
          <cell r="O546" t="str">
            <v>C7941/2781</v>
          </cell>
        </row>
        <row r="547">
          <cell r="I547" t="str">
            <v>25.000,00</v>
          </cell>
          <cell r="J547" t="str">
            <v>0,00</v>
          </cell>
          <cell r="O547" t="str">
            <v>C7941/2781/2</v>
          </cell>
        </row>
        <row r="548">
          <cell r="I548" t="str">
            <v>25.000,00</v>
          </cell>
          <cell r="J548" t="str">
            <v>0,00</v>
          </cell>
          <cell r="O548" t="str">
            <v>C7941/2781/2/1</v>
          </cell>
        </row>
        <row r="549">
          <cell r="I549" t="str">
            <v>20.000,00</v>
          </cell>
          <cell r="J549" t="str">
            <v>2.100,00</v>
          </cell>
          <cell r="O549" t="str">
            <v>C7941/2783</v>
          </cell>
        </row>
        <row r="550">
          <cell r="I550" t="str">
            <v>20.000,00</v>
          </cell>
          <cell r="J550" t="str">
            <v>2.100,00</v>
          </cell>
          <cell r="O550" t="str">
            <v>C7941/2783</v>
          </cell>
        </row>
        <row r="551">
          <cell r="I551" t="str">
            <v>20.000,00</v>
          </cell>
          <cell r="J551" t="str">
            <v>2.100,00</v>
          </cell>
          <cell r="O551" t="str">
            <v>C7941/2783/2</v>
          </cell>
        </row>
        <row r="552">
          <cell r="I552" t="str">
            <v>20.000,00</v>
          </cell>
          <cell r="J552" t="str">
            <v>2.100,00</v>
          </cell>
          <cell r="O552" t="str">
            <v>C7941/2783/2/1</v>
          </cell>
        </row>
        <row r="553">
          <cell r="I553" t="str">
            <v>12.800,00</v>
          </cell>
          <cell r="J553" t="str">
            <v>2.255,00</v>
          </cell>
          <cell r="O553" t="str">
            <v>C7941/2784</v>
          </cell>
        </row>
        <row r="554">
          <cell r="I554" t="str">
            <v>12.800,00</v>
          </cell>
          <cell r="J554" t="str">
            <v>2.255,00</v>
          </cell>
          <cell r="O554" t="str">
            <v>C7941/2784</v>
          </cell>
        </row>
        <row r="555">
          <cell r="I555" t="str">
            <v>12.800,00</v>
          </cell>
          <cell r="J555" t="str">
            <v>2.255,00</v>
          </cell>
          <cell r="O555" t="str">
            <v>C7941/2784/2</v>
          </cell>
        </row>
        <row r="556">
          <cell r="I556" t="str">
            <v>12.800,00</v>
          </cell>
          <cell r="J556" t="str">
            <v>2.255,00</v>
          </cell>
          <cell r="O556" t="str">
            <v>C7941/2784/2/1</v>
          </cell>
        </row>
        <row r="557">
          <cell r="I557" t="str">
            <v>5.880,00</v>
          </cell>
          <cell r="J557" t="str">
            <v>5.100,00</v>
          </cell>
          <cell r="O557" t="str">
            <v>C7941/2785</v>
          </cell>
        </row>
        <row r="558">
          <cell r="I558" t="str">
            <v>5.880,00</v>
          </cell>
          <cell r="J558" t="str">
            <v>5.100,00</v>
          </cell>
          <cell r="O558" t="str">
            <v>C7941/2785</v>
          </cell>
        </row>
        <row r="559">
          <cell r="I559" t="str">
            <v>5.880,00</v>
          </cell>
          <cell r="J559" t="str">
            <v>5.100,00</v>
          </cell>
          <cell r="O559" t="str">
            <v>C7941/2785/2</v>
          </cell>
        </row>
        <row r="560">
          <cell r="I560" t="str">
            <v>5.880,00</v>
          </cell>
          <cell r="J560" t="str">
            <v>5.100,00</v>
          </cell>
          <cell r="O560" t="str">
            <v>C7941/2785/2/1</v>
          </cell>
        </row>
        <row r="561">
          <cell r="I561" t="str">
            <v>0,00</v>
          </cell>
          <cell r="J561" t="str">
            <v>0,00</v>
          </cell>
          <cell r="O561" t="str">
            <v>C7941/2785/2/2</v>
          </cell>
        </row>
        <row r="562">
          <cell r="I562" t="str">
            <v>20.000,00</v>
          </cell>
          <cell r="J562" t="str">
            <v>6.400,00</v>
          </cell>
          <cell r="O562" t="str">
            <v>C7941/2786</v>
          </cell>
        </row>
        <row r="563">
          <cell r="I563" t="str">
            <v>20.000,00</v>
          </cell>
          <cell r="J563" t="str">
            <v>6.400,00</v>
          </cell>
          <cell r="O563" t="str">
            <v>C7941/2786</v>
          </cell>
        </row>
        <row r="564">
          <cell r="I564" t="str">
            <v>20.000,00</v>
          </cell>
          <cell r="J564" t="str">
            <v>6.400,00</v>
          </cell>
          <cell r="O564" t="str">
            <v>C7941/2786/2</v>
          </cell>
        </row>
        <row r="565">
          <cell r="I565" t="str">
            <v>20.000,00</v>
          </cell>
          <cell r="J565" t="str">
            <v>6.400,00</v>
          </cell>
          <cell r="O565" t="str">
            <v>C7941/2786/2/1</v>
          </cell>
        </row>
        <row r="566">
          <cell r="I566" t="str">
            <v>75.000,00</v>
          </cell>
          <cell r="J566" t="str">
            <v>0,00</v>
          </cell>
          <cell r="O566" t="str">
            <v>C7941/2787</v>
          </cell>
        </row>
        <row r="567">
          <cell r="I567" t="str">
            <v>75.000,00</v>
          </cell>
          <cell r="J567" t="str">
            <v>0,00</v>
          </cell>
          <cell r="O567" t="str">
            <v>C7941/2787</v>
          </cell>
        </row>
        <row r="568">
          <cell r="I568" t="str">
            <v>75.000,00</v>
          </cell>
          <cell r="J568" t="str">
            <v>0,00</v>
          </cell>
          <cell r="O568" t="str">
            <v>C7941/2787/2</v>
          </cell>
        </row>
        <row r="569">
          <cell r="I569" t="str">
            <v>25.000,00</v>
          </cell>
          <cell r="J569" t="str">
            <v>0,00</v>
          </cell>
          <cell r="O569" t="str">
            <v>C7941/2787/2/1</v>
          </cell>
        </row>
        <row r="570">
          <cell r="I570" t="str">
            <v>50.000,00</v>
          </cell>
          <cell r="J570" t="str">
            <v>0,00</v>
          </cell>
          <cell r="O570" t="str">
            <v>C7941/2787/2/2</v>
          </cell>
        </row>
        <row r="571">
          <cell r="I571" t="str">
            <v>50.000,00</v>
          </cell>
          <cell r="J571" t="str">
            <v>0,00</v>
          </cell>
          <cell r="O571" t="str">
            <v>C7941/2788</v>
          </cell>
        </row>
        <row r="572">
          <cell r="I572" t="str">
            <v>50.000,00</v>
          </cell>
          <cell r="J572" t="str">
            <v>0,00</v>
          </cell>
          <cell r="O572" t="str">
            <v>C7941/2788</v>
          </cell>
        </row>
        <row r="573">
          <cell r="I573" t="str">
            <v>50.000,00</v>
          </cell>
          <cell r="J573" t="str">
            <v>0,00</v>
          </cell>
          <cell r="O573" t="str">
            <v>C7941/2788/2</v>
          </cell>
        </row>
        <row r="574">
          <cell r="I574" t="str">
            <v>50.000,00</v>
          </cell>
          <cell r="J574" t="str">
            <v>0,00</v>
          </cell>
          <cell r="O574" t="str">
            <v>C7941/2788/2/1</v>
          </cell>
        </row>
        <row r="575">
          <cell r="I575" t="str">
            <v>10.000,00</v>
          </cell>
          <cell r="J575" t="str">
            <v>0,00</v>
          </cell>
          <cell r="O575" t="str">
            <v>C7941/3000</v>
          </cell>
        </row>
        <row r="576">
          <cell r="I576" t="str">
            <v>10.000,00</v>
          </cell>
          <cell r="J576" t="str">
            <v>0,00</v>
          </cell>
          <cell r="O576" t="str">
            <v>C7941/3000</v>
          </cell>
        </row>
        <row r="577">
          <cell r="I577" t="str">
            <v>10.000,00</v>
          </cell>
          <cell r="J577" t="str">
            <v>0,00</v>
          </cell>
          <cell r="O577" t="str">
            <v>C7941/3000/2</v>
          </cell>
        </row>
        <row r="578">
          <cell r="I578" t="str">
            <v>10.000,00</v>
          </cell>
          <cell r="J578" t="str">
            <v>0,00</v>
          </cell>
          <cell r="O578" t="str">
            <v>C7941/3000/2/1</v>
          </cell>
        </row>
        <row r="579">
          <cell r="I579" t="str">
            <v>50.000,00</v>
          </cell>
          <cell r="J579" t="str">
            <v>0,00</v>
          </cell>
          <cell r="O579" t="str">
            <v>C7941/3030</v>
          </cell>
        </row>
        <row r="580">
          <cell r="I580" t="str">
            <v>50.000,00</v>
          </cell>
          <cell r="J580" t="str">
            <v>0,00</v>
          </cell>
          <cell r="O580" t="str">
            <v>C7941/3030</v>
          </cell>
        </row>
        <row r="581">
          <cell r="I581" t="str">
            <v>50.000,00</v>
          </cell>
          <cell r="J581" t="str">
            <v>0,00</v>
          </cell>
          <cell r="O581" t="str">
            <v>C7941/3030/2</v>
          </cell>
        </row>
        <row r="582">
          <cell r="I582" t="str">
            <v>50.000,00</v>
          </cell>
          <cell r="J582" t="str">
            <v>0,00</v>
          </cell>
          <cell r="O582" t="str">
            <v>C7941/3030/2/1</v>
          </cell>
        </row>
        <row r="583">
          <cell r="I583" t="str">
            <v>3.075,00</v>
          </cell>
          <cell r="J583" t="str">
            <v>-154,50</v>
          </cell>
          <cell r="O583" t="str">
            <v>C7941/8100</v>
          </cell>
        </row>
        <row r="584">
          <cell r="I584" t="str">
            <v>3.075,00</v>
          </cell>
          <cell r="J584" t="str">
            <v>-154,50</v>
          </cell>
          <cell r="O584" t="str">
            <v>C7941/8100</v>
          </cell>
        </row>
        <row r="585">
          <cell r="I585" t="str">
            <v>0,00</v>
          </cell>
          <cell r="J585" t="str">
            <v>-3.229,00</v>
          </cell>
          <cell r="O585" t="str">
            <v>C7941/8100/1</v>
          </cell>
        </row>
        <row r="586">
          <cell r="I586" t="str">
            <v>3.075,00</v>
          </cell>
          <cell r="J586" t="str">
            <v>3.074,50</v>
          </cell>
          <cell r="O586" t="str">
            <v>C7941/8100/2</v>
          </cell>
        </row>
        <row r="587">
          <cell r="I587" t="str">
            <v>3.075,00</v>
          </cell>
          <cell r="J587" t="str">
            <v>3.074,50</v>
          </cell>
          <cell r="O587" t="str">
            <v>C7941/8100/2/1</v>
          </cell>
        </row>
        <row r="588">
          <cell r="I588" t="str">
            <v>3.900,00</v>
          </cell>
          <cell r="J588" t="str">
            <v>3.900,00</v>
          </cell>
          <cell r="O588" t="str">
            <v>C7941/8101</v>
          </cell>
        </row>
        <row r="589">
          <cell r="I589" t="str">
            <v>3.900,00</v>
          </cell>
          <cell r="J589" t="str">
            <v>3.900,00</v>
          </cell>
          <cell r="O589" t="str">
            <v>C7941/8101</v>
          </cell>
        </row>
        <row r="590">
          <cell r="I590" t="str">
            <v>3.900,00</v>
          </cell>
          <cell r="J590" t="str">
            <v>3.900,00</v>
          </cell>
          <cell r="O590" t="str">
            <v>C7941/8101/2</v>
          </cell>
        </row>
        <row r="591">
          <cell r="I591" t="str">
            <v>3.900,00</v>
          </cell>
          <cell r="J591" t="str">
            <v>3.900,00</v>
          </cell>
          <cell r="O591" t="str">
            <v>C7941/8101/2/1</v>
          </cell>
        </row>
        <row r="592">
          <cell r="I592" t="str">
            <v>15.000,00</v>
          </cell>
          <cell r="J592" t="str">
            <v>11.125,00</v>
          </cell>
          <cell r="O592" t="str">
            <v>C7941/8105</v>
          </cell>
        </row>
        <row r="593">
          <cell r="I593" t="str">
            <v>15.000,00</v>
          </cell>
          <cell r="J593" t="str">
            <v>11.125,00</v>
          </cell>
          <cell r="O593" t="str">
            <v>C7941/8105</v>
          </cell>
        </row>
        <row r="594">
          <cell r="I594" t="str">
            <v>15.000,00</v>
          </cell>
          <cell r="J594" t="str">
            <v>11.125,00</v>
          </cell>
          <cell r="O594" t="str">
            <v>C7941/8105/2</v>
          </cell>
        </row>
        <row r="595">
          <cell r="I595" t="str">
            <v>15.000,00</v>
          </cell>
          <cell r="J595" t="str">
            <v>11.125,00</v>
          </cell>
          <cell r="O595" t="str">
            <v>C7941/8105/2/1</v>
          </cell>
        </row>
        <row r="596">
          <cell r="I596" t="str">
            <v>19.000,00</v>
          </cell>
          <cell r="J596" t="str">
            <v>19.000,00</v>
          </cell>
          <cell r="O596" t="str">
            <v>C7941/8112</v>
          </cell>
        </row>
        <row r="597">
          <cell r="I597" t="str">
            <v>19.000,00</v>
          </cell>
          <cell r="J597" t="str">
            <v>19.000,00</v>
          </cell>
          <cell r="O597" t="str">
            <v>C7941/8112</v>
          </cell>
        </row>
        <row r="598">
          <cell r="I598" t="str">
            <v>19.000,00</v>
          </cell>
          <cell r="J598" t="str">
            <v>19.000,00</v>
          </cell>
          <cell r="O598" t="str">
            <v>C7941/8112/2</v>
          </cell>
        </row>
        <row r="599">
          <cell r="I599" t="str">
            <v>19.000,00</v>
          </cell>
          <cell r="J599" t="str">
            <v>19.000,00</v>
          </cell>
          <cell r="O599" t="str">
            <v>C7941/8112/2/1</v>
          </cell>
        </row>
        <row r="600">
          <cell r="I600" t="str">
            <v>10.018,00</v>
          </cell>
          <cell r="J600" t="str">
            <v>-1.982,00</v>
          </cell>
          <cell r="O600" t="str">
            <v>C7941/8114</v>
          </cell>
        </row>
        <row r="601">
          <cell r="I601" t="str">
            <v>10.018,00</v>
          </cell>
          <cell r="J601" t="str">
            <v>-1.982,00</v>
          </cell>
          <cell r="O601" t="str">
            <v>C7941/8114</v>
          </cell>
        </row>
        <row r="602">
          <cell r="I602" t="str">
            <v>0,00</v>
          </cell>
          <cell r="J602" t="str">
            <v>-12.000,00</v>
          </cell>
          <cell r="O602" t="str">
            <v>C7941/8114/1</v>
          </cell>
        </row>
        <row r="603">
          <cell r="I603" t="str">
            <v>10.018,00</v>
          </cell>
          <cell r="J603" t="str">
            <v>10.018,00</v>
          </cell>
          <cell r="O603" t="str">
            <v>C7941/8114/2</v>
          </cell>
        </row>
        <row r="604">
          <cell r="I604" t="str">
            <v>10.018,00</v>
          </cell>
          <cell r="J604" t="str">
            <v>10.018,00</v>
          </cell>
          <cell r="O604" t="str">
            <v>C7941/8114/2/1</v>
          </cell>
        </row>
        <row r="605">
          <cell r="I605" t="str">
            <v>12.000,00</v>
          </cell>
          <cell r="J605" t="str">
            <v>1.723,00</v>
          </cell>
          <cell r="O605" t="str">
            <v>C7941/8117</v>
          </cell>
        </row>
        <row r="606">
          <cell r="I606" t="str">
            <v>12.000,00</v>
          </cell>
          <cell r="J606" t="str">
            <v>1.723,00</v>
          </cell>
          <cell r="O606" t="str">
            <v>C7941/8117</v>
          </cell>
        </row>
        <row r="607">
          <cell r="I607" t="str">
            <v>0,00</v>
          </cell>
          <cell r="J607" t="str">
            <v>-5.740,00</v>
          </cell>
          <cell r="O607" t="str">
            <v>C7941/8117/1</v>
          </cell>
        </row>
        <row r="608">
          <cell r="I608" t="str">
            <v>12.000,00</v>
          </cell>
          <cell r="J608" t="str">
            <v>7.463,00</v>
          </cell>
          <cell r="O608" t="str">
            <v>C7941/8117/2</v>
          </cell>
        </row>
        <row r="609">
          <cell r="I609" t="str">
            <v>12.000,00</v>
          </cell>
          <cell r="J609" t="str">
            <v>7.463,00</v>
          </cell>
          <cell r="O609" t="str">
            <v>C7941/8117/2/1</v>
          </cell>
        </row>
        <row r="610">
          <cell r="I610" t="str">
            <v>20.000,00</v>
          </cell>
          <cell r="J610" t="str">
            <v>6.300,00</v>
          </cell>
          <cell r="O610" t="str">
            <v>C7941/8138</v>
          </cell>
        </row>
        <row r="611">
          <cell r="I611" t="str">
            <v>20.000,00</v>
          </cell>
          <cell r="J611" t="str">
            <v>6.300,00</v>
          </cell>
          <cell r="O611" t="str">
            <v>C7941/8138</v>
          </cell>
        </row>
        <row r="612">
          <cell r="I612" t="str">
            <v>20.000,00</v>
          </cell>
          <cell r="J612" t="str">
            <v>6.300,00</v>
          </cell>
          <cell r="O612" t="str">
            <v>C7941/8138/2</v>
          </cell>
        </row>
        <row r="613">
          <cell r="I613" t="str">
            <v>20.000,00</v>
          </cell>
          <cell r="J613" t="str">
            <v>6.300,00</v>
          </cell>
          <cell r="O613" t="str">
            <v>C7941/8138/2/1</v>
          </cell>
        </row>
        <row r="614">
          <cell r="I614" t="str">
            <v>11.600,00</v>
          </cell>
          <cell r="J614" t="str">
            <v>10.850,00</v>
          </cell>
          <cell r="O614" t="str">
            <v>C7941/8141</v>
          </cell>
        </row>
        <row r="615">
          <cell r="I615" t="str">
            <v>11.600,00</v>
          </cell>
          <cell r="J615" t="str">
            <v>10.850,00</v>
          </cell>
          <cell r="O615" t="str">
            <v>C7941/8141</v>
          </cell>
        </row>
        <row r="616">
          <cell r="I616" t="str">
            <v>11.600,00</v>
          </cell>
          <cell r="J616" t="str">
            <v>10.850,00</v>
          </cell>
          <cell r="O616" t="str">
            <v>C7941/8141/2</v>
          </cell>
        </row>
        <row r="617">
          <cell r="I617" t="str">
            <v>11.600,00</v>
          </cell>
          <cell r="J617" t="str">
            <v>10.850,00</v>
          </cell>
          <cell r="O617" t="str">
            <v>C7941/8141/2/1</v>
          </cell>
        </row>
        <row r="618">
          <cell r="I618" t="str">
            <v>10.000,00</v>
          </cell>
          <cell r="J618" t="str">
            <v>6.850,00</v>
          </cell>
          <cell r="O618" t="str">
            <v>C7941/8142</v>
          </cell>
        </row>
        <row r="619">
          <cell r="I619" t="str">
            <v>10.000,00</v>
          </cell>
          <cell r="J619" t="str">
            <v>6.850,00</v>
          </cell>
          <cell r="O619" t="str">
            <v>C7941/8142</v>
          </cell>
        </row>
        <row r="620">
          <cell r="I620" t="str">
            <v>10.000,00</v>
          </cell>
          <cell r="J620" t="str">
            <v>6.850,00</v>
          </cell>
          <cell r="O620" t="str">
            <v>C7941/8142/2</v>
          </cell>
        </row>
        <row r="621">
          <cell r="I621" t="str">
            <v>10.000,00</v>
          </cell>
          <cell r="J621" t="str">
            <v>6.850,00</v>
          </cell>
          <cell r="O621" t="str">
            <v>C7941/8142/2/1</v>
          </cell>
        </row>
        <row r="622">
          <cell r="I622" t="str">
            <v>10.000,00</v>
          </cell>
          <cell r="J622" t="str">
            <v>6.000,00</v>
          </cell>
          <cell r="O622" t="str">
            <v>C7941/8185</v>
          </cell>
        </row>
        <row r="623">
          <cell r="I623" t="str">
            <v>10.000,00</v>
          </cell>
          <cell r="J623" t="str">
            <v>6.000,00</v>
          </cell>
          <cell r="O623" t="str">
            <v>C7941/8185</v>
          </cell>
        </row>
        <row r="624">
          <cell r="I624" t="str">
            <v>10.000,00</v>
          </cell>
          <cell r="J624" t="str">
            <v>6.000,00</v>
          </cell>
          <cell r="O624" t="str">
            <v>C7941/8185/2</v>
          </cell>
        </row>
        <row r="625">
          <cell r="I625" t="str">
            <v>10.000,00</v>
          </cell>
          <cell r="J625" t="str">
            <v>6.000,00</v>
          </cell>
          <cell r="O625" t="str">
            <v>C7941/8185/2/1</v>
          </cell>
        </row>
        <row r="626">
          <cell r="I626" t="str">
            <v>108.000,00</v>
          </cell>
          <cell r="J626" t="str">
            <v>0,00</v>
          </cell>
          <cell r="O626" t="str">
            <v>C7941/8188</v>
          </cell>
        </row>
        <row r="627">
          <cell r="I627" t="str">
            <v>108.000,00</v>
          </cell>
          <cell r="J627" t="str">
            <v>0,00</v>
          </cell>
          <cell r="O627" t="str">
            <v>C7941/8188</v>
          </cell>
        </row>
        <row r="628">
          <cell r="I628" t="str">
            <v>108.000,00</v>
          </cell>
          <cell r="J628" t="str">
            <v>0,00</v>
          </cell>
          <cell r="O628" t="str">
            <v>C7941/8188/2</v>
          </cell>
        </row>
        <row r="629">
          <cell r="I629" t="str">
            <v>108.000,00</v>
          </cell>
          <cell r="J629" t="str">
            <v>0,00</v>
          </cell>
          <cell r="O629" t="str">
            <v>C7941/8188/2/1</v>
          </cell>
        </row>
        <row r="630">
          <cell r="I630" t="str">
            <v>700,00</v>
          </cell>
          <cell r="J630" t="str">
            <v>700,00</v>
          </cell>
          <cell r="O630" t="str">
            <v>C7941/8189</v>
          </cell>
        </row>
        <row r="631">
          <cell r="I631" t="str">
            <v>700,00</v>
          </cell>
          <cell r="J631" t="str">
            <v>700,00</v>
          </cell>
          <cell r="O631" t="str">
            <v>C7941/8189</v>
          </cell>
        </row>
        <row r="632">
          <cell r="I632" t="str">
            <v>700,00</v>
          </cell>
          <cell r="J632" t="str">
            <v>700,00</v>
          </cell>
          <cell r="O632" t="str">
            <v>C7941/8189/2</v>
          </cell>
        </row>
        <row r="633">
          <cell r="I633" t="str">
            <v>700,00</v>
          </cell>
          <cell r="J633" t="str">
            <v>700,00</v>
          </cell>
          <cell r="O633" t="str">
            <v>C7941/8189/2/2</v>
          </cell>
        </row>
        <row r="634">
          <cell r="I634" t="str">
            <v>12.000,00</v>
          </cell>
          <cell r="J634" t="str">
            <v>-8.700,00</v>
          </cell>
          <cell r="O634" t="str">
            <v>C7941/8190</v>
          </cell>
        </row>
        <row r="635">
          <cell r="I635" t="str">
            <v>12.000,00</v>
          </cell>
          <cell r="J635" t="str">
            <v>-8.700,00</v>
          </cell>
          <cell r="O635" t="str">
            <v>C7941/8190</v>
          </cell>
        </row>
        <row r="636">
          <cell r="I636" t="str">
            <v>0,00</v>
          </cell>
          <cell r="J636" t="str">
            <v>-12.000,00</v>
          </cell>
          <cell r="O636" t="str">
            <v>C7941/8190/1</v>
          </cell>
        </row>
        <row r="637">
          <cell r="I637" t="str">
            <v>12.000,00</v>
          </cell>
          <cell r="J637" t="str">
            <v>3.300,00</v>
          </cell>
          <cell r="O637" t="str">
            <v>C7941/8190/2</v>
          </cell>
        </row>
        <row r="638">
          <cell r="I638" t="str">
            <v>12.000,00</v>
          </cell>
          <cell r="J638" t="str">
            <v>3.300,00</v>
          </cell>
          <cell r="O638" t="str">
            <v>C7941/8190/2/1</v>
          </cell>
        </row>
        <row r="639">
          <cell r="I639" t="str">
            <v>20.000,00</v>
          </cell>
          <cell r="J639" t="str">
            <v>200,00</v>
          </cell>
          <cell r="O639" t="str">
            <v>C7941/8192</v>
          </cell>
        </row>
        <row r="640">
          <cell r="I640" t="str">
            <v>20.000,00</v>
          </cell>
          <cell r="J640" t="str">
            <v>200,00</v>
          </cell>
          <cell r="O640" t="str">
            <v>C7941/8192</v>
          </cell>
        </row>
        <row r="641">
          <cell r="I641" t="str">
            <v>20.000,00</v>
          </cell>
          <cell r="J641" t="str">
            <v>200,00</v>
          </cell>
          <cell r="O641" t="str">
            <v>C7941/8192/2</v>
          </cell>
        </row>
        <row r="642">
          <cell r="I642" t="str">
            <v>20.000,00</v>
          </cell>
          <cell r="J642" t="str">
            <v>200,00</v>
          </cell>
          <cell r="O642" t="str">
            <v>C7941/8192/2/1</v>
          </cell>
        </row>
        <row r="643">
          <cell r="I643" t="str">
            <v>15.000,00</v>
          </cell>
          <cell r="J643" t="str">
            <v>-749,00</v>
          </cell>
          <cell r="O643" t="str">
            <v>C7941/8196</v>
          </cell>
        </row>
        <row r="644">
          <cell r="I644" t="str">
            <v>15.000,00</v>
          </cell>
          <cell r="J644" t="str">
            <v>-749,00</v>
          </cell>
          <cell r="O644" t="str">
            <v>C7941/8196</v>
          </cell>
        </row>
        <row r="645">
          <cell r="I645" t="str">
            <v>0,00</v>
          </cell>
          <cell r="J645" t="str">
            <v>-15.725,00</v>
          </cell>
          <cell r="O645" t="str">
            <v>C7941/8196/1</v>
          </cell>
        </row>
        <row r="646">
          <cell r="I646" t="str">
            <v>15.000,00</v>
          </cell>
          <cell r="J646" t="str">
            <v>14.976,00</v>
          </cell>
          <cell r="O646" t="str">
            <v>C7941/8196/2</v>
          </cell>
        </row>
        <row r="647">
          <cell r="I647" t="str">
            <v>15.000,00</v>
          </cell>
          <cell r="J647" t="str">
            <v>14.976,00</v>
          </cell>
          <cell r="O647" t="str">
            <v>C7941/8196/2/1</v>
          </cell>
        </row>
        <row r="648">
          <cell r="I648" t="str">
            <v>72.000,00</v>
          </cell>
          <cell r="J648" t="str">
            <v>-120,00</v>
          </cell>
          <cell r="O648" t="str">
            <v>C7941/8197</v>
          </cell>
        </row>
        <row r="649">
          <cell r="I649" t="str">
            <v>72.000,00</v>
          </cell>
          <cell r="J649" t="str">
            <v>-120,00</v>
          </cell>
          <cell r="O649" t="str">
            <v>C7941/8197</v>
          </cell>
        </row>
        <row r="650">
          <cell r="I650" t="str">
            <v>0,00</v>
          </cell>
          <cell r="J650" t="str">
            <v>-36.120,00</v>
          </cell>
          <cell r="O650" t="str">
            <v>C7941/8197/1</v>
          </cell>
        </row>
        <row r="651">
          <cell r="I651" t="str">
            <v>72.000,00</v>
          </cell>
          <cell r="J651" t="str">
            <v>36.000,00</v>
          </cell>
          <cell r="O651" t="str">
            <v>C7941/8197/2</v>
          </cell>
        </row>
        <row r="652">
          <cell r="I652" t="str">
            <v>72.000,00</v>
          </cell>
          <cell r="J652" t="str">
            <v>36.000,00</v>
          </cell>
          <cell r="O652" t="str">
            <v>C7941/8197/2/1</v>
          </cell>
        </row>
        <row r="653">
          <cell r="I653" t="str">
            <v>100.000,00</v>
          </cell>
          <cell r="J653" t="str">
            <v>0,00</v>
          </cell>
          <cell r="O653" t="str">
            <v>C7941/8206</v>
          </cell>
        </row>
        <row r="654">
          <cell r="I654" t="str">
            <v>100.000,00</v>
          </cell>
          <cell r="J654" t="str">
            <v>0,00</v>
          </cell>
          <cell r="O654" t="str">
            <v>C7941/8206</v>
          </cell>
        </row>
        <row r="655">
          <cell r="I655" t="str">
            <v>100.000,00</v>
          </cell>
          <cell r="J655" t="str">
            <v>0,00</v>
          </cell>
          <cell r="O655" t="str">
            <v>C7941/8206/2</v>
          </cell>
        </row>
        <row r="656">
          <cell r="I656" t="str">
            <v>100.000,00</v>
          </cell>
          <cell r="J656" t="str">
            <v>0,00</v>
          </cell>
          <cell r="O656" t="str">
            <v>C7941/8206/2/1</v>
          </cell>
        </row>
        <row r="657">
          <cell r="I657" t="str">
            <v>60.000,00</v>
          </cell>
          <cell r="J657" t="str">
            <v>29.848,00</v>
          </cell>
          <cell r="O657" t="str">
            <v>C7941/8210</v>
          </cell>
        </row>
        <row r="658">
          <cell r="I658" t="str">
            <v>60.000,00</v>
          </cell>
          <cell r="J658" t="str">
            <v>29.848,00</v>
          </cell>
          <cell r="O658" t="str">
            <v>C7941/8210</v>
          </cell>
        </row>
        <row r="659">
          <cell r="I659" t="str">
            <v>60.000,00</v>
          </cell>
          <cell r="J659" t="str">
            <v>29.848,00</v>
          </cell>
          <cell r="O659" t="str">
            <v>C7941/8210/2</v>
          </cell>
        </row>
        <row r="660">
          <cell r="I660" t="str">
            <v>60.000,00</v>
          </cell>
          <cell r="J660" t="str">
            <v>29.848,00</v>
          </cell>
          <cell r="O660" t="str">
            <v>C7941/8210/2/1</v>
          </cell>
        </row>
        <row r="661">
          <cell r="I661" t="str">
            <v>12.000,00</v>
          </cell>
          <cell r="J661" t="str">
            <v>2.950,00</v>
          </cell>
          <cell r="O661" t="str">
            <v>C7941/8213</v>
          </cell>
        </row>
        <row r="662">
          <cell r="I662" t="str">
            <v>12.000,00</v>
          </cell>
          <cell r="J662" t="str">
            <v>2.950,00</v>
          </cell>
          <cell r="O662" t="str">
            <v>C7941/8213</v>
          </cell>
        </row>
        <row r="663">
          <cell r="I663" t="str">
            <v>12.000,00</v>
          </cell>
          <cell r="J663" t="str">
            <v>2.950,00</v>
          </cell>
          <cell r="O663" t="str">
            <v>C7941/8213/2</v>
          </cell>
        </row>
        <row r="664">
          <cell r="I664" t="str">
            <v>12.000,00</v>
          </cell>
          <cell r="J664" t="str">
            <v>2.950,00</v>
          </cell>
          <cell r="O664" t="str">
            <v>C7941/8213/2/1</v>
          </cell>
        </row>
        <row r="665">
          <cell r="I665" t="str">
            <v>12.000,00</v>
          </cell>
          <cell r="J665" t="str">
            <v>1.900,00</v>
          </cell>
          <cell r="O665" t="str">
            <v>C7941/8214</v>
          </cell>
        </row>
        <row r="666">
          <cell r="I666" t="str">
            <v>12.000,00</v>
          </cell>
          <cell r="J666" t="str">
            <v>1.900,00</v>
          </cell>
          <cell r="O666" t="str">
            <v>C7941/8214</v>
          </cell>
        </row>
        <row r="667">
          <cell r="I667" t="str">
            <v>12.000,00</v>
          </cell>
          <cell r="J667" t="str">
            <v>1.900,00</v>
          </cell>
          <cell r="O667" t="str">
            <v>C7941/8214/2</v>
          </cell>
        </row>
        <row r="668">
          <cell r="I668" t="str">
            <v>12.000,00</v>
          </cell>
          <cell r="J668" t="str">
            <v>1.900,00</v>
          </cell>
          <cell r="O668" t="str">
            <v>C7941/8214/2/1</v>
          </cell>
        </row>
        <row r="669">
          <cell r="I669" t="str">
            <v>12.000,00</v>
          </cell>
          <cell r="J669" t="str">
            <v>200,00</v>
          </cell>
          <cell r="O669" t="str">
            <v>C7941/8216</v>
          </cell>
        </row>
        <row r="670">
          <cell r="I670" t="str">
            <v>12.000,00</v>
          </cell>
          <cell r="J670" t="str">
            <v>200,00</v>
          </cell>
          <cell r="O670" t="str">
            <v>C7941/8216</v>
          </cell>
        </row>
        <row r="671">
          <cell r="I671" t="str">
            <v>12.000,00</v>
          </cell>
          <cell r="J671" t="str">
            <v>200,00</v>
          </cell>
          <cell r="O671" t="str">
            <v>C7941/8216/2</v>
          </cell>
        </row>
        <row r="672">
          <cell r="I672" t="str">
            <v>12.000,00</v>
          </cell>
          <cell r="J672" t="str">
            <v>200,00</v>
          </cell>
          <cell r="O672" t="str">
            <v>C7941/8216/2/1</v>
          </cell>
        </row>
        <row r="673">
          <cell r="I673" t="str">
            <v>12.000,00</v>
          </cell>
          <cell r="J673" t="str">
            <v>3.100,00</v>
          </cell>
          <cell r="O673" t="str">
            <v>C7941/8217</v>
          </cell>
        </row>
        <row r="674">
          <cell r="I674" t="str">
            <v>12.000,00</v>
          </cell>
          <cell r="J674" t="str">
            <v>3.100,00</v>
          </cell>
          <cell r="O674" t="str">
            <v>C7941/8217</v>
          </cell>
        </row>
        <row r="675">
          <cell r="I675" t="str">
            <v>12.000,00</v>
          </cell>
          <cell r="J675" t="str">
            <v>3.100,00</v>
          </cell>
          <cell r="O675" t="str">
            <v>C7941/8217/2</v>
          </cell>
        </row>
        <row r="676">
          <cell r="I676" t="str">
            <v>12.000,00</v>
          </cell>
          <cell r="J676" t="str">
            <v>3.100,00</v>
          </cell>
          <cell r="O676" t="str">
            <v>C7941/8217/2/1</v>
          </cell>
        </row>
        <row r="677">
          <cell r="I677" t="str">
            <v>12.000,00</v>
          </cell>
          <cell r="J677" t="str">
            <v>400,00</v>
          </cell>
          <cell r="O677" t="str">
            <v>C7941/8218</v>
          </cell>
        </row>
        <row r="678">
          <cell r="I678" t="str">
            <v>12.000,00</v>
          </cell>
          <cell r="J678" t="str">
            <v>400,00</v>
          </cell>
          <cell r="O678" t="str">
            <v>C7941/8218</v>
          </cell>
        </row>
        <row r="679">
          <cell r="I679" t="str">
            <v>12.000,00</v>
          </cell>
          <cell r="J679" t="str">
            <v>400,00</v>
          </cell>
          <cell r="O679" t="str">
            <v>C7941/8218/2</v>
          </cell>
        </row>
        <row r="680">
          <cell r="I680" t="str">
            <v>12.000,00</v>
          </cell>
          <cell r="J680" t="str">
            <v>400,00</v>
          </cell>
          <cell r="O680" t="str">
            <v>C7941/8218/2/1</v>
          </cell>
        </row>
        <row r="681">
          <cell r="I681" t="str">
            <v>36.960,00</v>
          </cell>
          <cell r="J681" t="str">
            <v>0,00</v>
          </cell>
          <cell r="O681" t="str">
            <v>C7941/8222</v>
          </cell>
        </row>
        <row r="682">
          <cell r="I682" t="str">
            <v>36.960,00</v>
          </cell>
          <cell r="J682" t="str">
            <v>0,00</v>
          </cell>
          <cell r="O682" t="str">
            <v>C7941/8222</v>
          </cell>
        </row>
        <row r="683">
          <cell r="I683" t="str">
            <v>36.960,00</v>
          </cell>
          <cell r="J683" t="str">
            <v>0,00</v>
          </cell>
          <cell r="O683" t="str">
            <v>C7941/8222/2</v>
          </cell>
        </row>
        <row r="684">
          <cell r="I684" t="str">
            <v>36.960,00</v>
          </cell>
          <cell r="J684" t="str">
            <v>0,00</v>
          </cell>
          <cell r="O684" t="str">
            <v>C7941/8222/2/1</v>
          </cell>
        </row>
        <row r="685">
          <cell r="I685" t="str">
            <v>12.000,00</v>
          </cell>
          <cell r="J685" t="str">
            <v>0,00</v>
          </cell>
          <cell r="O685" t="str">
            <v>C7941/8223</v>
          </cell>
        </row>
        <row r="686">
          <cell r="I686" t="str">
            <v>12.000,00</v>
          </cell>
          <cell r="J686" t="str">
            <v>0,00</v>
          </cell>
          <cell r="O686" t="str">
            <v>C7941/8223</v>
          </cell>
        </row>
        <row r="687">
          <cell r="I687" t="str">
            <v>12.000,00</v>
          </cell>
          <cell r="J687" t="str">
            <v>0,00</v>
          </cell>
          <cell r="O687" t="str">
            <v>C7941/8223/2</v>
          </cell>
        </row>
        <row r="688">
          <cell r="I688" t="str">
            <v>12.000,00</v>
          </cell>
          <cell r="J688" t="str">
            <v>0,00</v>
          </cell>
          <cell r="O688" t="str">
            <v>C7941/8223/2/1</v>
          </cell>
        </row>
        <row r="689">
          <cell r="I689" t="str">
            <v>140.000,00</v>
          </cell>
          <cell r="J689" t="str">
            <v>68.373,00</v>
          </cell>
          <cell r="O689" t="str">
            <v>N7941/2507</v>
          </cell>
        </row>
        <row r="690">
          <cell r="I690" t="str">
            <v>140.000,00</v>
          </cell>
          <cell r="J690" t="str">
            <v>68.373,00</v>
          </cell>
          <cell r="O690" t="str">
            <v>N7941/2507</v>
          </cell>
        </row>
        <row r="691">
          <cell r="I691" t="str">
            <v>100.070,50</v>
          </cell>
          <cell r="J691" t="str">
            <v>1.423,37</v>
          </cell>
          <cell r="O691" t="str">
            <v>O2326/2609</v>
          </cell>
        </row>
        <row r="692">
          <cell r="I692" t="str">
            <v>100.070,50</v>
          </cell>
          <cell r="J692" t="str">
            <v>1.423,37</v>
          </cell>
          <cell r="O692" t="str">
            <v>O2326/2609</v>
          </cell>
        </row>
        <row r="693">
          <cell r="I693" t="str">
            <v>54.700,00</v>
          </cell>
          <cell r="J693" t="str">
            <v>571,85</v>
          </cell>
          <cell r="O693" t="str">
            <v>O6300/2603</v>
          </cell>
        </row>
        <row r="694">
          <cell r="I694" t="str">
            <v>54.700,00</v>
          </cell>
          <cell r="J694" t="str">
            <v>571,85</v>
          </cell>
          <cell r="O694" t="str">
            <v>O6300/2603</v>
          </cell>
        </row>
        <row r="695">
          <cell r="I695" t="str">
            <v>585.000,00</v>
          </cell>
          <cell r="J695" t="str">
            <v>494.765,35</v>
          </cell>
          <cell r="O695" t="str">
            <v>O7941/2513</v>
          </cell>
        </row>
        <row r="696">
          <cell r="I696" t="str">
            <v>585.000,00</v>
          </cell>
          <cell r="J696" t="str">
            <v>494.765,35</v>
          </cell>
          <cell r="O696" t="str">
            <v>O7941/2513</v>
          </cell>
        </row>
        <row r="697">
          <cell r="I697" t="str">
            <v>928.000,00</v>
          </cell>
          <cell r="J697" t="str">
            <v>605.511,75</v>
          </cell>
          <cell r="O697" t="str">
            <v>O7941/2517</v>
          </cell>
        </row>
        <row r="698">
          <cell r="I698" t="str">
            <v>928.000,00</v>
          </cell>
          <cell r="J698" t="str">
            <v>605.511,75</v>
          </cell>
          <cell r="O698" t="str">
            <v>O7941/2517</v>
          </cell>
        </row>
        <row r="699">
          <cell r="I699" t="str">
            <v>874.000,00</v>
          </cell>
          <cell r="J699" t="str">
            <v>784.687,09</v>
          </cell>
          <cell r="O699" t="str">
            <v>O7941/2519</v>
          </cell>
        </row>
        <row r="700">
          <cell r="I700" t="str">
            <v>874.000,00</v>
          </cell>
          <cell r="J700" t="str">
            <v>784.687,09</v>
          </cell>
          <cell r="O700" t="str">
            <v>O7941/2519</v>
          </cell>
        </row>
        <row r="701">
          <cell r="I701" t="str">
            <v>119.580,00</v>
          </cell>
          <cell r="J701" t="str">
            <v>97.645,60</v>
          </cell>
          <cell r="O701" t="str">
            <v>O7941/2523</v>
          </cell>
        </row>
        <row r="702">
          <cell r="I702" t="str">
            <v>119.580,00</v>
          </cell>
          <cell r="J702" t="str">
            <v>97.645,60</v>
          </cell>
          <cell r="O702" t="str">
            <v>O7941/2523</v>
          </cell>
        </row>
        <row r="703">
          <cell r="I703" t="str">
            <v>20.000,00</v>
          </cell>
          <cell r="J703" t="str">
            <v>0,00</v>
          </cell>
          <cell r="O703" t="str">
            <v>O7941/2602</v>
          </cell>
        </row>
        <row r="704">
          <cell r="I704" t="str">
            <v>20.000,00</v>
          </cell>
          <cell r="J704" t="str">
            <v>0,00</v>
          </cell>
          <cell r="O704" t="str">
            <v>O7941/2602</v>
          </cell>
        </row>
        <row r="705">
          <cell r="I705" t="str">
            <v>100.000,00</v>
          </cell>
          <cell r="J705" t="str">
            <v>78.613,94</v>
          </cell>
          <cell r="O705" t="str">
            <v>O7941/2603</v>
          </cell>
        </row>
        <row r="706">
          <cell r="I706" t="str">
            <v>100.000,00</v>
          </cell>
          <cell r="J706" t="str">
            <v>78.613,94</v>
          </cell>
          <cell r="O706" t="str">
            <v>O7941/2603</v>
          </cell>
        </row>
        <row r="707">
          <cell r="I707" t="str">
            <v>116.424,00</v>
          </cell>
          <cell r="J707" t="str">
            <v>41.583,96</v>
          </cell>
          <cell r="O707" t="str">
            <v>O7941/2604</v>
          </cell>
        </row>
        <row r="708">
          <cell r="I708" t="str">
            <v>116.424,00</v>
          </cell>
          <cell r="J708" t="str">
            <v>41.583,96</v>
          </cell>
          <cell r="O708" t="str">
            <v>O7941/2604</v>
          </cell>
        </row>
        <row r="709">
          <cell r="I709" t="str">
            <v>50.000,00</v>
          </cell>
          <cell r="J709" t="str">
            <v>50.000,00</v>
          </cell>
          <cell r="O709" t="str">
            <v>O7941/2605</v>
          </cell>
        </row>
        <row r="710">
          <cell r="I710" t="str">
            <v>50.000,00</v>
          </cell>
          <cell r="J710" t="str">
            <v>50.000,00</v>
          </cell>
          <cell r="O710" t="str">
            <v>O7941/2605</v>
          </cell>
        </row>
        <row r="711">
          <cell r="I711" t="str">
            <v>135.470,00</v>
          </cell>
          <cell r="J711" t="str">
            <v>32.500,00</v>
          </cell>
          <cell r="O711" t="str">
            <v>O7941/2606</v>
          </cell>
        </row>
        <row r="712">
          <cell r="I712" t="str">
            <v>135.470,00</v>
          </cell>
          <cell r="J712" t="str">
            <v>32.500,00</v>
          </cell>
          <cell r="O712" t="str">
            <v>O7941/2606</v>
          </cell>
        </row>
        <row r="713">
          <cell r="I713" t="str">
            <v>191.538,00</v>
          </cell>
          <cell r="J713" t="str">
            <v>191.538,00</v>
          </cell>
          <cell r="O713" t="str">
            <v>O7941/2607</v>
          </cell>
        </row>
        <row r="714">
          <cell r="I714" t="str">
            <v>191.538,00</v>
          </cell>
          <cell r="J714" t="str">
            <v>191.538,00</v>
          </cell>
          <cell r="O714" t="str">
            <v>O7941/2607</v>
          </cell>
        </row>
        <row r="715">
          <cell r="I715" t="str">
            <v>100.000,00</v>
          </cell>
          <cell r="J715" t="str">
            <v>75.885,00</v>
          </cell>
          <cell r="O715" t="str">
            <v>O7941/2609</v>
          </cell>
        </row>
        <row r="716">
          <cell r="I716" t="str">
            <v>100.000,00</v>
          </cell>
          <cell r="J716" t="str">
            <v>75.885,00</v>
          </cell>
          <cell r="O716" t="str">
            <v>O7941/2609</v>
          </cell>
        </row>
        <row r="717">
          <cell r="I717" t="str">
            <v>13.000,00</v>
          </cell>
          <cell r="J717" t="str">
            <v>0,00</v>
          </cell>
          <cell r="O717" t="str">
            <v>O7941/2609/1</v>
          </cell>
        </row>
        <row r="718">
          <cell r="I718" t="str">
            <v>87.000,00</v>
          </cell>
          <cell r="J718" t="str">
            <v>75.885,00</v>
          </cell>
          <cell r="O718" t="str">
            <v>O7941/2609/2</v>
          </cell>
        </row>
        <row r="719">
          <cell r="I719" t="str">
            <v>450.000,00</v>
          </cell>
          <cell r="J719" t="str">
            <v>329.156,00</v>
          </cell>
          <cell r="O719" t="str">
            <v>O7941/2610</v>
          </cell>
        </row>
        <row r="720">
          <cell r="I720" t="str">
            <v>450.000,00</v>
          </cell>
          <cell r="J720" t="str">
            <v>329.156,00</v>
          </cell>
          <cell r="O720" t="str">
            <v>O7941/2610</v>
          </cell>
        </row>
        <row r="721">
          <cell r="I721" t="str">
            <v>38.115,00</v>
          </cell>
          <cell r="J721" t="str">
            <v>38.115,00</v>
          </cell>
          <cell r="O721" t="str">
            <v>O7941/2611</v>
          </cell>
        </row>
        <row r="722">
          <cell r="I722" t="str">
            <v>38.115,00</v>
          </cell>
          <cell r="J722" t="str">
            <v>38.115,00</v>
          </cell>
          <cell r="O722" t="str">
            <v>O7941/2611</v>
          </cell>
        </row>
        <row r="723">
          <cell r="I723" t="str">
            <v>192.154,00</v>
          </cell>
          <cell r="J723" t="str">
            <v>179.947,60</v>
          </cell>
          <cell r="O723" t="str">
            <v>O7941/2612</v>
          </cell>
        </row>
        <row r="724">
          <cell r="I724" t="str">
            <v>192.154,00</v>
          </cell>
          <cell r="J724" t="str">
            <v>179.947,60</v>
          </cell>
          <cell r="O724" t="str">
            <v>O7941/2612</v>
          </cell>
        </row>
        <row r="725">
          <cell r="I725" t="str">
            <v>160.500,00</v>
          </cell>
          <cell r="J725" t="str">
            <v>122.050,56</v>
          </cell>
          <cell r="O725" t="str">
            <v>O7941/2613</v>
          </cell>
        </row>
        <row r="726">
          <cell r="I726" t="str">
            <v>160.500,00</v>
          </cell>
          <cell r="J726" t="str">
            <v>122.050,56</v>
          </cell>
          <cell r="O726" t="str">
            <v>O7941/2613</v>
          </cell>
        </row>
        <row r="727">
          <cell r="I727" t="str">
            <v>160.000,00</v>
          </cell>
          <cell r="J727" t="str">
            <v>88.646,75</v>
          </cell>
          <cell r="O727" t="str">
            <v>O7941/2614</v>
          </cell>
        </row>
        <row r="728">
          <cell r="I728" t="str">
            <v>160.000,00</v>
          </cell>
          <cell r="J728" t="str">
            <v>88.646,75</v>
          </cell>
          <cell r="O728" t="str">
            <v>O7941/2614</v>
          </cell>
        </row>
        <row r="729">
          <cell r="I729" t="str">
            <v>144.716,00</v>
          </cell>
          <cell r="J729" t="str">
            <v>135.855,00</v>
          </cell>
          <cell r="O729" t="str">
            <v>O7941/2615</v>
          </cell>
        </row>
        <row r="730">
          <cell r="I730" t="str">
            <v>144.716,00</v>
          </cell>
          <cell r="J730" t="str">
            <v>135.855,00</v>
          </cell>
          <cell r="O730" t="str">
            <v>O7941/2615</v>
          </cell>
        </row>
        <row r="731">
          <cell r="I731" t="str">
            <v>79.224,00</v>
          </cell>
          <cell r="J731" t="str">
            <v>42.705,00</v>
          </cell>
          <cell r="O731" t="str">
            <v>O7941/2616</v>
          </cell>
        </row>
        <row r="732">
          <cell r="I732" t="str">
            <v>79.224,00</v>
          </cell>
          <cell r="J732" t="str">
            <v>42.705,00</v>
          </cell>
          <cell r="O732" t="str">
            <v>O7941/2616</v>
          </cell>
        </row>
        <row r="733">
          <cell r="I733" t="str">
            <v>41.584,00</v>
          </cell>
          <cell r="J733" t="str">
            <v>25.202,00</v>
          </cell>
          <cell r="O733" t="str">
            <v>O7941/2617</v>
          </cell>
        </row>
        <row r="734">
          <cell r="I734" t="str">
            <v>41.584,00</v>
          </cell>
          <cell r="J734" t="str">
            <v>25.202,00</v>
          </cell>
          <cell r="O734" t="str">
            <v>O7941/2617</v>
          </cell>
        </row>
        <row r="735">
          <cell r="I735" t="str">
            <v>30.941,00</v>
          </cell>
          <cell r="J735" t="str">
            <v>18.752,66</v>
          </cell>
          <cell r="O735" t="str">
            <v>O7941/2618</v>
          </cell>
        </row>
        <row r="736">
          <cell r="I736" t="str">
            <v>30.941,00</v>
          </cell>
          <cell r="J736" t="str">
            <v>18.752,66</v>
          </cell>
          <cell r="O736" t="str">
            <v>O7941/2618</v>
          </cell>
        </row>
        <row r="737">
          <cell r="I737" t="str">
            <v>571.200,00</v>
          </cell>
          <cell r="J737" t="str">
            <v>550.411,00</v>
          </cell>
          <cell r="O737" t="str">
            <v>O7941/2620</v>
          </cell>
        </row>
        <row r="738">
          <cell r="I738" t="str">
            <v>571.200,00</v>
          </cell>
          <cell r="J738" t="str">
            <v>550.411,00</v>
          </cell>
          <cell r="O738" t="str">
            <v>O7941/2620</v>
          </cell>
        </row>
        <row r="739">
          <cell r="I739" t="str">
            <v>31.780,00</v>
          </cell>
          <cell r="J739" t="str">
            <v>0,00</v>
          </cell>
          <cell r="O739" t="str">
            <v>O7941/2621</v>
          </cell>
        </row>
        <row r="740">
          <cell r="I740" t="str">
            <v>31.780,00</v>
          </cell>
          <cell r="J740" t="str">
            <v>0,00</v>
          </cell>
          <cell r="O740" t="str">
            <v>O7941/2621</v>
          </cell>
        </row>
        <row r="741">
          <cell r="I741" t="str">
            <v>285.000,00</v>
          </cell>
          <cell r="J741" t="str">
            <v>162.500,00</v>
          </cell>
          <cell r="O741" t="str">
            <v>O7941/2622</v>
          </cell>
        </row>
        <row r="742">
          <cell r="I742" t="str">
            <v>285.000,00</v>
          </cell>
          <cell r="J742" t="str">
            <v>162.500,00</v>
          </cell>
          <cell r="O742" t="str">
            <v>O7941/2622</v>
          </cell>
        </row>
        <row r="743">
          <cell r="I743" t="str">
            <v>305.670,00</v>
          </cell>
          <cell r="J743" t="str">
            <v>47.350,00</v>
          </cell>
          <cell r="O743" t="str">
            <v>O7941/2623</v>
          </cell>
        </row>
        <row r="744">
          <cell r="I744" t="str">
            <v>305.670,00</v>
          </cell>
          <cell r="J744" t="str">
            <v>47.350,00</v>
          </cell>
          <cell r="O744" t="str">
            <v>O7941/2623</v>
          </cell>
        </row>
        <row r="745">
          <cell r="I745" t="str">
            <v>360.000,00</v>
          </cell>
          <cell r="J745" t="str">
            <v>360.000,00</v>
          </cell>
          <cell r="O745" t="str">
            <v>O7941/2624</v>
          </cell>
        </row>
        <row r="746">
          <cell r="I746" t="str">
            <v>360.000,00</v>
          </cell>
          <cell r="J746" t="str">
            <v>360.000,00</v>
          </cell>
          <cell r="O746" t="str">
            <v>O7941/2624</v>
          </cell>
        </row>
        <row r="747">
          <cell r="I747" t="str">
            <v>125.000,00</v>
          </cell>
          <cell r="J747" t="str">
            <v>115.143,00</v>
          </cell>
          <cell r="O747" t="str">
            <v>O7941/2625</v>
          </cell>
        </row>
        <row r="748">
          <cell r="I748" t="str">
            <v>125.000,00</v>
          </cell>
          <cell r="J748" t="str">
            <v>115.143,00</v>
          </cell>
          <cell r="O748" t="str">
            <v>O7941/2625</v>
          </cell>
        </row>
        <row r="749">
          <cell r="I749" t="str">
            <v>150.000,00</v>
          </cell>
          <cell r="J749" t="str">
            <v>100.000,00</v>
          </cell>
          <cell r="O749" t="str">
            <v>O7941/2627</v>
          </cell>
        </row>
        <row r="750">
          <cell r="I750" t="str">
            <v>150.000,00</v>
          </cell>
          <cell r="J750" t="str">
            <v>100.000,00</v>
          </cell>
          <cell r="O750" t="str">
            <v>O7941/2627</v>
          </cell>
        </row>
        <row r="751">
          <cell r="I751" t="str">
            <v>162.000,00</v>
          </cell>
          <cell r="J751" t="str">
            <v>96.500,00</v>
          </cell>
          <cell r="O751" t="str">
            <v>O7941/2628</v>
          </cell>
        </row>
        <row r="752">
          <cell r="I752" t="str">
            <v>162.000,00</v>
          </cell>
          <cell r="J752" t="str">
            <v>96.500,00</v>
          </cell>
          <cell r="O752" t="str">
            <v>O7941/2628</v>
          </cell>
        </row>
        <row r="753">
          <cell r="I753" t="str">
            <v>875.000,00</v>
          </cell>
          <cell r="J753" t="str">
            <v>606.064,64</v>
          </cell>
          <cell r="O753" t="str">
            <v>O7941/2629</v>
          </cell>
        </row>
        <row r="754">
          <cell r="I754" t="str">
            <v>875.000,00</v>
          </cell>
          <cell r="J754" t="str">
            <v>606.064,64</v>
          </cell>
          <cell r="O754" t="str">
            <v>O7941/2629</v>
          </cell>
        </row>
        <row r="755">
          <cell r="I755" t="str">
            <v>125.000,00</v>
          </cell>
          <cell r="J755" t="str">
            <v>18.165,00</v>
          </cell>
          <cell r="O755" t="str">
            <v>O7941/2631</v>
          </cell>
        </row>
        <row r="756">
          <cell r="I756" t="str">
            <v>125.000,00</v>
          </cell>
          <cell r="J756" t="str">
            <v>18.165,00</v>
          </cell>
          <cell r="O756" t="str">
            <v>O7941/2631</v>
          </cell>
        </row>
        <row r="757">
          <cell r="I757" t="str">
            <v>108.200,00</v>
          </cell>
          <cell r="J757" t="str">
            <v>36.400,00</v>
          </cell>
          <cell r="O757" t="str">
            <v>O7941/2632</v>
          </cell>
        </row>
        <row r="758">
          <cell r="I758" t="str">
            <v>108.200,00</v>
          </cell>
          <cell r="J758" t="str">
            <v>36.400,00</v>
          </cell>
          <cell r="O758" t="str">
            <v>O7941/2632</v>
          </cell>
        </row>
        <row r="759">
          <cell r="I759" t="str">
            <v>134.000,00</v>
          </cell>
          <cell r="J759" t="str">
            <v>2.300,00</v>
          </cell>
          <cell r="O759" t="str">
            <v>O7941/2633</v>
          </cell>
        </row>
        <row r="760">
          <cell r="I760" t="str">
            <v>134.000,00</v>
          </cell>
          <cell r="J760" t="str">
            <v>2.300,00</v>
          </cell>
          <cell r="O760" t="str">
            <v>O7941/2633</v>
          </cell>
        </row>
        <row r="761">
          <cell r="I761" t="str">
            <v>155.500,00</v>
          </cell>
          <cell r="J761" t="str">
            <v>13.469,00</v>
          </cell>
          <cell r="O761" t="str">
            <v>O7941/2634</v>
          </cell>
        </row>
        <row r="762">
          <cell r="I762" t="str">
            <v>155.500,00</v>
          </cell>
          <cell r="J762" t="str">
            <v>13.469,00</v>
          </cell>
          <cell r="O762" t="str">
            <v>O7941/2634</v>
          </cell>
        </row>
        <row r="763">
          <cell r="I763" t="str">
            <v>100.960,00</v>
          </cell>
          <cell r="J763" t="str">
            <v>44.950,00</v>
          </cell>
          <cell r="O763" t="str">
            <v>O7941/2635</v>
          </cell>
        </row>
        <row r="764">
          <cell r="I764" t="str">
            <v>100.960,00</v>
          </cell>
          <cell r="J764" t="str">
            <v>44.950,00</v>
          </cell>
          <cell r="O764" t="str">
            <v>O7941/2635</v>
          </cell>
        </row>
        <row r="765">
          <cell r="I765" t="str">
            <v>180.000,00</v>
          </cell>
          <cell r="J765" t="str">
            <v>122.119,00</v>
          </cell>
          <cell r="O765" t="str">
            <v>O7941/2636</v>
          </cell>
        </row>
        <row r="766">
          <cell r="I766" t="str">
            <v>180.000,00</v>
          </cell>
          <cell r="J766" t="str">
            <v>122.119,00</v>
          </cell>
          <cell r="O766" t="str">
            <v>O7941/2636</v>
          </cell>
        </row>
        <row r="767">
          <cell r="I767" t="str">
            <v>182.000,00</v>
          </cell>
          <cell r="J767" t="str">
            <v>58.992,00</v>
          </cell>
          <cell r="O767" t="str">
            <v>O7941/2637</v>
          </cell>
        </row>
        <row r="768">
          <cell r="I768" t="str">
            <v>182.000,00</v>
          </cell>
          <cell r="J768" t="str">
            <v>58.992,00</v>
          </cell>
          <cell r="O768" t="str">
            <v>O7941/2637</v>
          </cell>
        </row>
        <row r="769">
          <cell r="I769" t="str">
            <v>189.200,00</v>
          </cell>
          <cell r="J769" t="str">
            <v>2.700,00</v>
          </cell>
          <cell r="O769" t="str">
            <v>O7941/2638</v>
          </cell>
        </row>
        <row r="770">
          <cell r="I770" t="str">
            <v>189.200,00</v>
          </cell>
          <cell r="J770" t="str">
            <v>2.700,00</v>
          </cell>
          <cell r="O770" t="str">
            <v>O7941/2638</v>
          </cell>
        </row>
        <row r="771">
          <cell r="I771" t="str">
            <v>122.100,00</v>
          </cell>
          <cell r="J771" t="str">
            <v>59.972,50</v>
          </cell>
          <cell r="O771" t="str">
            <v>O7942/2602</v>
          </cell>
        </row>
        <row r="772">
          <cell r="I772" t="str">
            <v>122.100,00</v>
          </cell>
          <cell r="J772" t="str">
            <v>59.972,50</v>
          </cell>
          <cell r="O772" t="str">
            <v>O7942/2602</v>
          </cell>
        </row>
        <row r="773">
          <cell r="I773" t="str">
            <v>22.000,00</v>
          </cell>
          <cell r="J773" t="str">
            <v>1.565,28</v>
          </cell>
          <cell r="O773" t="str">
            <v>O9100/2601</v>
          </cell>
        </row>
        <row r="774">
          <cell r="I774" t="str">
            <v>22.000,00</v>
          </cell>
          <cell r="J774" t="str">
            <v>1.565,28</v>
          </cell>
          <cell r="O774" t="str">
            <v>O9100/2601</v>
          </cell>
        </row>
        <row r="775">
          <cell r="I775" t="str">
            <v>20.000,00</v>
          </cell>
          <cell r="J775" t="str">
            <v>0,00</v>
          </cell>
          <cell r="O775" t="str">
            <v>O9563/2608</v>
          </cell>
        </row>
        <row r="776">
          <cell r="I776" t="str">
            <v>20.000,00</v>
          </cell>
          <cell r="J776" t="str">
            <v>0,00</v>
          </cell>
          <cell r="O776" t="str">
            <v>O9563/2608</v>
          </cell>
        </row>
        <row r="777">
          <cell r="I777" t="str">
            <v>29006.364,50</v>
          </cell>
          <cell r="J777" t="str">
            <v>7.948.453,14</v>
          </cell>
          <cell r="O777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537F5-CEBD-442B-932D-142586B42AD8}" name="CapexProjectSpend" displayName="CapexProjectSpend" ref="A7:O54" totalsRowShown="0">
  <autoFilter ref="A7:O54" xr:uid="{0A8537F5-CEBD-442B-932D-142586B42AD8}"/>
  <tableColumns count="15">
    <tableColumn id="1" xr3:uid="{84577434-75E5-498D-A44F-41C03EFA9826}" name="CAPEX WBS"/>
    <tableColumn id="2" xr3:uid="{E8D9735A-07F9-46C1-AEBB-861CB56AE969}" name="2025 Internal Reclass" dataDxfId="55">
      <calculatedColumnFormula>SUMIFS('[1]Capex CJI3'!$F$2:$F$433,'[1]Capex CJI3'!$A$2:$A$433,$A8,'[1]Capex CJI3'!$K$2:$K$433,2025,'[1]Capex CJI3'!$J$2:$J$433,"*Reclass internal hours*")</calculatedColumnFormula>
    </tableColumn>
    <tableColumn id="3" xr3:uid="{D67745EE-6880-45B3-9FD7-EF14340136D3}" name="2025 External" dataDxfId="54">
      <calculatedColumnFormula array="1">SUMPRODUCT(('[1]Capex CJI3'!$A$2:$A$433=$A8)*(IFERROR(VALUE('[1]Capex CJI3'!$K$2:$K$433),0)=2025)*(LEN('[1]Capex CJI3'!$E$2:$E$433)&gt;0)*ISERROR(SEARCH("Reclass internal hours",'[1]Capex CJI3'!$J$2:$J$433))*IFERROR(VALUE('[1]Capex CJI3'!$F$2:$F$433),0))</calculatedColumnFormula>
    </tableColumn>
    <tableColumn id="4" xr3:uid="{D86C67A5-AC41-47C2-9CE0-DBA058D40A79}" name="2025 Other" dataDxfId="53">
      <calculatedColumnFormula array="1">SUMPRODUCT(('[1]Capex CJI3'!$A$2:$A$433=$A8)*(IFERROR(VALUE('[1]Capex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calculatedColumnFormula>
    </tableColumn>
    <tableColumn id="5" xr3:uid="{7871AAF1-656B-42AF-B6E2-7604AAC77362}" name="2025 Total" dataDxfId="52">
      <calculatedColumnFormula>SUM(B8:D8)</calculatedColumnFormula>
    </tableColumn>
    <tableColumn id="6" xr3:uid="{31EC26C2-09B3-4B34-922A-D86C94634656}" name="2026 Internal Reclass" dataDxfId="51">
      <calculatedColumnFormula>SUMIFS('[1]Capex CJI3'!$F$2:$F$433,'[1]Capex CJI3'!$A$2:$A$433,$A8,'[1]Capex CJI3'!$K$2:$K$433,2026,'[1]Capex CJI3'!$J$2:$J$433,"*Reclass internal hours*")</calculatedColumnFormula>
    </tableColumn>
    <tableColumn id="7" xr3:uid="{DA92EF42-F1B4-4B7A-BE2F-ACF4A5B61D1B}" name="2026 External" dataDxfId="50">
      <calculatedColumnFormula array="1">SUMPRODUCT(('[1]Capex CJI3'!$A$2:$A$433=$A8)*(IFERROR(VALUE('[1]Capex CJI3'!$K$2:$K$433),0)=2026)*(LEN('[1]Capex CJI3'!$E$2:$E$433)&gt;0)*ISERROR(SEARCH("Reclass internal hours",'[1]Capex CJI3'!$J$2:$J$433))*IFERROR(VALUE('[1]Capex CJI3'!$F$2:$F$433),0))-IF($A8="O7941/2517",'[1]Capex CJI3'!$F$124,0)-IF($A8="O7941/2613",'[1]Capex CJI3'!$F$313,0)</calculatedColumnFormula>
    </tableColumn>
    <tableColumn id="8" xr3:uid="{1718B89D-6912-454D-8965-2225B020F6BA}" name="2026 Other" dataDxfId="49">
      <calculatedColumnFormula array="1">SUMPRODUCT(('[1]Capex CJI3'!$A$2:$A$433=$A8)*(IFERROR(VALUE('[1]Capex CJI3'!$K$2:$K$433),0)=2026)*(LEN('[1]Capex CJI3'!$E$2:$E$433)=0)*ISERROR(SEARCH("Reclass internal hours",'[1]Capex CJI3'!$J$2:$J$433))*ISERROR(SEARCH("WBS Correction",'[1]Capex CJI3'!$J$2:$J$433))*('[1]Capex CJI3'!$D$2:$D$433&lt;&gt;"6405000000")*((($A8&lt;&gt;"O7941/2513")+('[1]Capex CJI3'!$D$2:$D$433&lt;&gt;"7405000000")+(IFERROR(VALUE('[1]Capex CJI3'!$L$2:$L$433),0)&gt;=3))&gt;0)*IFERROR(VALUE('[1]Capex CJI3'!$F$2:$F$433),0))-IF($A8="O7941/2517",'[1]Capex CJI3'!$F$132,0)-IF($A8="O9100/2601",'[1]Capex CJI3'!$F$429,0)</calculatedColumnFormula>
    </tableColumn>
    <tableColumn id="9" xr3:uid="{AB2C415B-7A8B-4440-B96D-CE65398753C6}" name="2026 Total" dataDxfId="48">
      <calculatedColumnFormula>SUM(F8:H8)</calculatedColumnFormula>
    </tableColumn>
    <tableColumn id="10" xr3:uid="{D46AA2B6-8AA4-407F-B40A-22A437D155DD}" name="Grand Total" dataDxfId="47">
      <calculatedColumnFormula>E8+I8</calculatedColumnFormula>
    </tableColumn>
    <tableColumn id="11" xr3:uid="{B5D9BF64-2A6A-49EF-B068-CD9CCA419C3F}" name="Latest Posting" dataDxfId="46"/>
    <tableColumn id="12" xr3:uid="{937C669D-C945-4EC1-8A28-A0AAFE1D20EA}" name="Transactions" dataDxfId="45">
      <calculatedColumnFormula array="1">SUMPRODUCT(('[1]Capex CJI3'!$A$2:$A$433=$A8)*(IFERROR(VALUE('[1]Capex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CJI3'!$D$2:$D$433&lt;&gt;"6405000000"))&gt;0))-IF($A8="O7941/2517",2,0)-IF($A8="O7941/2613",1,0)-IF($A8="O9100/2601",1,0)-IF($A8="O7941/2513",4,0)</calculatedColumnFormula>
    </tableColumn>
    <tableColumn id="13" xr3:uid="{3E61518F-AF3D-4126-AB20-7565ABB0C45B}" name="PO Lines" dataDxfId="44">
      <calculatedColumnFormula array="1">SUMPRODUCT(('[1]Capex CJI3'!$A$2:$A$433=$A8)*(IFERROR(VALUE('[1]Capex CJI3'!$K$2:$K$433),0)&gt;0)*(LEN('[1]Capex CJI3'!$E$2:$E$433)&gt;0)*ISERROR(SEARCH("Reclass internal hours",'[1]Capex CJI3'!$J$2:$J$433)))-IF($A8="O7941/2517",1,0)-IF($A8="O7941/2613",1,0)</calculatedColumnFormula>
    </tableColumn>
    <tableColumn id="14" xr3:uid="{FE23F2D2-86F7-4629-81D5-89EE8388F22C}" name="Currency"/>
    <tableColumn id="15" xr3:uid="{BEDD6497-92EE-4C8C-B494-95201955DCDB}" name="Project Budget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26C74-A27D-4FA4-8955-9BDC90218EB6}" name="CapexVendorSpend" displayName="CapexVendorSpend" ref="A58:F89" totalsRowShown="0">
  <autoFilter ref="A58:F89" xr:uid="{65426C74-A27D-4FA4-8955-9BDC90218EB6}"/>
  <tableColumns count="6">
    <tableColumn id="1" xr3:uid="{C267E6D1-463A-4773-86EB-F8639019E96A}" name="CAPEX WBS"/>
    <tableColumn id="2" xr3:uid="{FCACA49D-5A9B-4BD5-861D-24C7E6FB2252}" name="Vendor"/>
    <tableColumn id="3" xr3:uid="{374F9E47-E0E4-486D-B074-76EAB3A9ED57}" name="2025 External" dataDxfId="42">
      <calculatedColumnFormula array="1">SUMPRODUCT(('[1]Capex CJI3'!$A$2:$A$433=$A59)*(IFERROR(VALUE('[1]Capex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NV",_xlpm.n))=$B59)*IFERROR(VALUE('[1]Capex CJI3'!$F$2:$F$433),0))</calculatedColumnFormula>
    </tableColumn>
    <tableColumn id="4" xr3:uid="{05E8369E-D3AF-424A-97B0-6A4B00BBC378}" name="2026 External" dataDxfId="41">
      <calculatedColumnFormula array="1">SUMPRODUCT(('[1]Capex CJI3'!$A$2:$A$433=$A59)*(IFERROR(VALUE('[1]Capex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NV",_xlpm.n))=$B59)*IFERROR(VALUE('[1]Capex CJI3'!$F$2:$F$433),0))-IF(AND($A59="O7941/2517",$B59="ERNST &amp; YOUNG CONSULTING"),'[1]Capex CJI3'!$F$124,0)-IF(AND($A59="O7941/2613",$B59="ERNST &amp; YOUNG CONSULTING"),'[1]Capex CJI3'!$F$313,0)</calculatedColumnFormula>
    </tableColumn>
    <tableColumn id="5" xr3:uid="{352460B3-7A42-4A1B-AC9C-757CC826883E}" name="Vendor Total" dataDxfId="40">
      <calculatedColumnFormula>C59+D59</calculatedColumnFormula>
    </tableColumn>
    <tableColumn id="6" xr3:uid="{B03B3942-F81D-40E3-93AE-BF2C40F2EAB3}" name="PO Lines" dataDxfId="39">
      <calculatedColumnFormula array="1">SUMPRODUCT(('[1]Capex CJI3'!$A$2:$A$433=$A59)*(LEN('[1]Capex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NV",_xlpm.n))=$B59))-IF(AND($A59="O7941/2517",$B59="ERNST &amp; YOUNG CONSULTING"),1,0)-IF(AND($A59="O7941/2613",$B59="ERNST &amp; YOUNG CONSULTING"),1,0)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E4AA1-0DC9-453D-8460-FECBFFEC021D}" name="OpexInternalGuide" displayName="OpexInternalGuide" ref="A8:H60" totalsRowShown="0" headerRowDxfId="21" dataDxfId="20">
  <autoFilter ref="A8:H60" xr:uid="{DA4E4AA1-0DC9-453D-8460-FECBFFEC021D}"/>
  <tableColumns count="8">
    <tableColumn id="1" xr3:uid="{D23E1C1A-0EA5-4D6A-8F29-6791B4B4A0A7}" name="Project" dataDxfId="29"/>
    <tableColumn id="2" xr3:uid="{E9F51867-4A69-4223-AEAA-F00964E827DB}" name="OPEX Code" dataDxfId="28"/>
    <tableColumn id="3" xr3:uid="{0A5B59BF-D623-4957-9B3A-F94BF27336FF}" name="Before 2026 — ENTER POSITIVE ONLY" dataDxfId="27">
      <calculatedColumnFormula>IF($B9="",0,MAX(0,_xlfn.XLOOKUP($B9,'Opex Tables'!$A$2:$A$133,'Opex Tables'!$H$2:$H$133,0)))</calculatedColumnFormula>
    </tableColumn>
    <tableColumn id="4" xr3:uid="{F959F5C9-DD7A-41CA-8517-33FFAA70CE41}" name="Jan–May 2026 — ENTER POSITIVE ONLY" dataDxfId="26">
      <calculatedColumnFormula>IF($B9="",0,MAX(0,_xlfn.XLOOKUP($B9,'Opex Tables'!$A$2:$A$133,'Opex Tables'!$I$2:$I$133,0)))</calculatedColumnFormula>
    </tableColumn>
    <tableColumn id="5" xr3:uid="{14DF72F9-EB94-487E-B700-82873506EC0C}" name="Jun+ 2026 — COMPARE POSITIVE ONLY" dataDxfId="25">
      <calculatedColumnFormula>IF($B9="",0,MAX(0,_xlfn.XLOOKUP($B9,'Opex Tables'!$A$2:$A$133,'Opex Tables'!$J$2:$J$133,0)))</calculatedColumnFormula>
    </tableColumn>
    <tableColumn id="6" xr3:uid="{BE18EABC-1890-4D82-AABA-D82BC2D0A314}" name="Planisware Internal Cost" dataDxfId="24">
      <calculatedColumnFormula>SUM(C9:E9)</calculatedColumnFormula>
    </tableColumn>
    <tableColumn id="7" xr3:uid="{43F53B05-7782-477D-9442-76BDB0FE83EF}" name="Gross Reclass Credits — DO NOT ENTER" dataDxfId="23">
      <calculatedColumnFormula>IF($B9="",0,SUMIFS('OPEX CJI3'!$F$2:$F$7490,'OPEX CJI3'!$A$2:$A$7490,$B9&amp;"*",'OPEX CJI3'!$J$2:$J$7490,"*Reclass internal hours*"))</calculatedColumnFormula>
    </tableColumn>
    <tableColumn id="8" xr3:uid="{6330E058-1875-4E1B-90CA-C2AE16102852}" name="Action / Check" dataDxfId="22">
      <calculatedColumnFormula>IF($B9="","No OPEX code",IF(COUNTIF('Opex Tables'!$A$2:$A$133,$B9)=0,"REVIEW: no processed spend",IF(AND(C9=0,D9=0,E9=0,G9&lt;0),"Credit only — DO NOT ENTER",IF(AND(C9=0,D9=0,E9=0,G9=0),"No internal spend","Enter C/D; compare E"))))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99D9A1-E7A3-4052-B524-F5F873AC8CF9}" name="CapexInternalGuide" displayName="CapexInternalGuide" ref="J8:Q61" totalsRowShown="0" headerRowDxfId="14" dataDxfId="13">
  <autoFilter ref="J8:Q61" xr:uid="{8B99D9A1-E7A3-4052-B524-F5F873AC8CF9}"/>
  <tableColumns count="8">
    <tableColumn id="1" xr3:uid="{8C24E45C-A618-4DF1-89FE-862AC5EF5929}" name="Project / Shared Pool" dataDxfId="19"/>
    <tableColumn id="2" xr3:uid="{9B19D0A3-1DED-4AF3-8A05-86DD4A3A0098}" name="CAPEX Code" dataDxfId="18"/>
    <tableColumn id="3" xr3:uid="{00D4FA36-F7CA-44FA-899E-746DA6B86A62}" name="Before 2026 — ENTER" dataDxfId="2">
      <calculatedColumnFormula>IF(OR($K9="",$K9="Not needed",FALSE),0,_xlfn.XLOOKUP($K9,'CAPEX Tables'!$A$8:$A$54,'CAPEX Tables'!$B$8:$B$54,0))</calculatedColumnFormula>
    </tableColumn>
    <tableColumn id="4" xr3:uid="{7959DF0B-6CC0-41EA-A6C1-A2FB81EBF332}" name="Jan–May 2026 — ENTER" dataDxfId="1">
      <calculatedColumnFormula>IF(OR($K9="",$K9="Not needed",FALSE),0,SUMIFS('CAPEX CJI3'!$F$2:$F$433,'CAPEX CJI3'!$A$2:$A$433,$K9,'CAPEX CJI3'!$K$2:$K$433,2026,'CAPEX CJI3'!$J$2:$J$433,"*Reclass internal hours*",'CAPEX CJI3'!$N$2:$N$433,"&lt;"&amp;DATE(2026,6,1)))</calculatedColumnFormula>
    </tableColumn>
    <tableColumn id="5" xr3:uid="{CAC1AC47-138F-4F03-9FC3-47000098BCE0}" name="Jun+ 2026 — COMPARE" dataDxfId="0">
      <calculatedColumnFormula>IF(OR($K9="",$K9="Not needed",FALSE),0,SUMIFS('CAPEX CJI3'!$F$2:$F$433,'CAPEX CJI3'!$A$2:$A$433,$K9,'CAPEX CJI3'!$K$2:$K$433,2026,'CAPEX CJI3'!$J$2:$J$433,"*Reclass internal hours*",'CAPEX CJI3'!$N$2:$N$433,"&gt;="&amp;DATE(2026,6,1)))</calculatedColumnFormula>
    </tableColumn>
    <tableColumn id="6" xr3:uid="{D327D5BD-352A-4EBE-98E7-64CAF42ED92D}" name="Full CAPEX Internal" dataDxfId="17">
      <calculatedColumnFormula>SUM(L9:N9)</calculatedColumnFormula>
    </tableColumn>
    <tableColumn id="7" xr3:uid="{C2EC201A-F853-45C0-9E7C-60BB3F5C527D}" name="OPEX↔CAPEX Reclass Bridge" dataDxfId="16"/>
    <tableColumn id="8" xr3:uid="{0BF4BCBE-9DB2-43A1-9E0F-70487D2C2502}" name="Action / Check" dataDxfId="15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41B1D6-18EF-42DD-8B3F-86D6AD098388}" name="ExternalEntryGuide" displayName="ExternalEntryGuide" ref="A65:H110" totalsRowShown="0" headerRowDxfId="4" dataDxfId="3">
  <autoFilter ref="A65:H110" xr:uid="{B341B1D6-18EF-42DD-8B3F-86D6AD098388}"/>
  <tableColumns count="8">
    <tableColumn id="1" xr3:uid="{69A82BF0-D88C-4BCB-9BCF-F5256ED05687}" name="Project / Shared Pool" dataDxfId="12"/>
    <tableColumn id="2" xr3:uid="{0566617B-E084-49CD-9C04-36B07142422C}" name="Cost Bucket" dataDxfId="11"/>
    <tableColumn id="3" xr3:uid="{A6CD33CF-E8E2-4DE3-A51F-E3579F38F626}" name="SAP Code" dataDxfId="10"/>
    <tableColumn id="4" xr3:uid="{B6AC6CCF-DC7D-4364-92B0-BD593A47D003}" name="Vendor / Adjustment" dataDxfId="9"/>
    <tableColumn id="5" xr3:uid="{AB4DEBEC-6343-4961-9B9B-5128B2AB98D3}" name="Before 2026 — ENTER POSITIVE ONLY" dataDxfId="8">
      <calculatedColumnFormula>0</calculatedColumnFormula>
    </tableColumn>
    <tableColumn id="6" xr3:uid="{16BC7CAC-4792-4566-AA44-FAC9F862D485}" name="2026 — ENTER POSITIVE ONLY" dataDxfId="7">
      <calculatedColumnFormula>0</calculatedColumnFormula>
    </tableColumn>
    <tableColumn id="7" xr3:uid="{378ABF26-E961-437A-9D6E-2C6D49BCBCE8}" name="SAP Signed Control Total" dataDxfId="6">
      <calculatedColumnFormula>'Opex Tables'!AB124</calculatedColumnFormula>
    </tableColumn>
    <tableColumn id="8" xr3:uid="{AE276C7A-74BB-4CBC-820C-819607E98518}" name="Action / Check" dataDxfId="5">
      <calculatedColumnFormula>"SAP credit - DO NOT ENTER"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"/>
  <sheetViews>
    <sheetView topLeftCell="A5" workbookViewId="0">
      <selection activeCell="A27" sqref="A27"/>
    </sheetView>
  </sheetViews>
  <sheetFormatPr defaultRowHeight="12.5" outlineLevelRow="2" x14ac:dyDescent="0.25"/>
  <cols>
    <col min="1" max="1" width="14" bestFit="1" customWidth="1"/>
    <col min="2" max="2" width="15" bestFit="1" customWidth="1"/>
    <col min="3" max="4" width="14" bestFit="1" customWidth="1"/>
    <col min="5" max="5" width="21" bestFit="1" customWidth="1"/>
    <col min="6" max="6" width="20" bestFit="1" customWidth="1"/>
    <col min="7" max="7" width="16" bestFit="1" customWidth="1"/>
    <col min="8" max="8" width="12" bestFit="1" customWidth="1"/>
    <col min="9" max="9" width="14" bestFit="1" customWidth="1"/>
    <col min="10" max="10" width="52" bestFit="1" customWidth="1"/>
    <col min="11" max="11" width="6" bestFit="1" customWidth="1"/>
    <col min="12" max="12" width="13" bestFit="1" customWidth="1"/>
    <col min="13" max="13" width="41" bestFit="1" customWidth="1"/>
    <col min="14" max="14" width="14" bestFit="1" customWidth="1"/>
  </cols>
  <sheetData>
    <row r="1" spans="1:14" ht="37.5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2" t="s">
        <v>214</v>
      </c>
      <c r="I1" s="12" t="s">
        <v>215</v>
      </c>
      <c r="J1" s="1" t="s">
        <v>216</v>
      </c>
      <c r="K1" s="12" t="s">
        <v>217</v>
      </c>
      <c r="L1" s="1" t="s">
        <v>218</v>
      </c>
      <c r="M1" s="1" t="s">
        <v>219</v>
      </c>
      <c r="N1" s="1" t="s">
        <v>220</v>
      </c>
    </row>
    <row r="2" spans="1:14" outlineLevel="2" x14ac:dyDescent="0.25">
      <c r="A2" t="s">
        <v>0</v>
      </c>
      <c r="B2" s="2">
        <v>45929</v>
      </c>
      <c r="C2" t="s">
        <v>0</v>
      </c>
      <c r="D2" t="s">
        <v>1</v>
      </c>
      <c r="E2" t="s">
        <v>2</v>
      </c>
      <c r="F2" s="3">
        <v>1145</v>
      </c>
      <c r="G2" s="3">
        <v>1145</v>
      </c>
      <c r="H2" t="s">
        <v>3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s="2">
        <v>45929</v>
      </c>
    </row>
    <row r="3" spans="1:14" outlineLevel="2" x14ac:dyDescent="0.25">
      <c r="A3" t="s">
        <v>0</v>
      </c>
      <c r="B3" s="2">
        <v>45950</v>
      </c>
      <c r="C3" t="s">
        <v>0</v>
      </c>
      <c r="D3" t="s">
        <v>1</v>
      </c>
      <c r="E3" t="s">
        <v>2</v>
      </c>
      <c r="F3" s="3">
        <v>2290</v>
      </c>
      <c r="G3" s="3">
        <v>2290</v>
      </c>
      <c r="H3" t="s">
        <v>3</v>
      </c>
      <c r="I3" t="s">
        <v>3</v>
      </c>
      <c r="J3" t="s">
        <v>4</v>
      </c>
      <c r="K3" t="s">
        <v>5</v>
      </c>
      <c r="L3" t="s">
        <v>8</v>
      </c>
      <c r="M3" t="s">
        <v>7</v>
      </c>
      <c r="N3" s="2">
        <v>45950</v>
      </c>
    </row>
    <row r="4" spans="1:14" outlineLevel="2" x14ac:dyDescent="0.25">
      <c r="A4" t="s">
        <v>0</v>
      </c>
      <c r="B4" s="2">
        <v>45961</v>
      </c>
      <c r="C4" t="s">
        <v>0</v>
      </c>
      <c r="D4" t="s">
        <v>1</v>
      </c>
      <c r="E4" t="s">
        <v>9</v>
      </c>
      <c r="F4" s="3">
        <v>10950</v>
      </c>
      <c r="G4" s="3">
        <v>10950</v>
      </c>
      <c r="H4" t="s">
        <v>3</v>
      </c>
      <c r="I4" t="s">
        <v>3</v>
      </c>
      <c r="J4" t="s">
        <v>10</v>
      </c>
      <c r="K4" t="s">
        <v>5</v>
      </c>
      <c r="L4" t="s">
        <v>8</v>
      </c>
      <c r="M4" t="s">
        <v>7</v>
      </c>
      <c r="N4" s="2">
        <v>45961</v>
      </c>
    </row>
    <row r="5" spans="1:14" outlineLevel="2" x14ac:dyDescent="0.25">
      <c r="A5" t="s">
        <v>0</v>
      </c>
      <c r="B5" s="2">
        <v>45991</v>
      </c>
      <c r="C5" t="s">
        <v>0</v>
      </c>
      <c r="D5" t="s">
        <v>1</v>
      </c>
      <c r="E5" t="s">
        <v>9</v>
      </c>
      <c r="F5" s="3">
        <v>1400</v>
      </c>
      <c r="G5" s="3">
        <v>1400</v>
      </c>
      <c r="H5" t="s">
        <v>3</v>
      </c>
      <c r="I5" t="s">
        <v>3</v>
      </c>
      <c r="J5" t="s">
        <v>10</v>
      </c>
      <c r="K5" t="s">
        <v>5</v>
      </c>
      <c r="L5" t="s">
        <v>11</v>
      </c>
      <c r="M5" t="s">
        <v>7</v>
      </c>
      <c r="N5" s="2">
        <v>45991</v>
      </c>
    </row>
    <row r="6" spans="1:14" outlineLevel="2" x14ac:dyDescent="0.25">
      <c r="A6" t="s">
        <v>0</v>
      </c>
      <c r="B6" s="2">
        <v>45995</v>
      </c>
      <c r="C6" t="s">
        <v>0</v>
      </c>
      <c r="D6" t="s">
        <v>1</v>
      </c>
      <c r="E6" t="s">
        <v>2</v>
      </c>
      <c r="F6" s="3">
        <v>2290</v>
      </c>
      <c r="G6" s="3">
        <v>2290</v>
      </c>
      <c r="H6" t="s">
        <v>3</v>
      </c>
      <c r="I6" t="s">
        <v>3</v>
      </c>
      <c r="J6" t="s">
        <v>4</v>
      </c>
      <c r="K6" t="s">
        <v>5</v>
      </c>
      <c r="L6" t="s">
        <v>12</v>
      </c>
      <c r="M6" t="s">
        <v>7</v>
      </c>
      <c r="N6" s="2">
        <v>45995</v>
      </c>
    </row>
    <row r="7" spans="1:14" outlineLevel="2" x14ac:dyDescent="0.25">
      <c r="A7" t="s">
        <v>0</v>
      </c>
      <c r="B7" s="2">
        <v>46005</v>
      </c>
      <c r="C7" t="s">
        <v>0</v>
      </c>
      <c r="D7" t="s">
        <v>1</v>
      </c>
      <c r="E7" t="s">
        <v>2</v>
      </c>
      <c r="F7" s="3">
        <v>2290</v>
      </c>
      <c r="G7" s="3">
        <v>2290</v>
      </c>
      <c r="H7" t="s">
        <v>3</v>
      </c>
      <c r="I7" t="s">
        <v>3</v>
      </c>
      <c r="J7" t="s">
        <v>4</v>
      </c>
      <c r="K7" t="s">
        <v>5</v>
      </c>
      <c r="L7" t="s">
        <v>12</v>
      </c>
      <c r="M7" t="s">
        <v>7</v>
      </c>
      <c r="N7" s="2">
        <v>46005</v>
      </c>
    </row>
    <row r="8" spans="1:14" outlineLevel="2" x14ac:dyDescent="0.25">
      <c r="A8" t="s">
        <v>0</v>
      </c>
      <c r="B8" s="2">
        <v>46022</v>
      </c>
      <c r="C8" t="s">
        <v>0</v>
      </c>
      <c r="D8" t="s">
        <v>1</v>
      </c>
      <c r="E8" t="s">
        <v>9</v>
      </c>
      <c r="F8" s="3">
        <v>800</v>
      </c>
      <c r="G8" s="3">
        <v>800</v>
      </c>
      <c r="H8" t="s">
        <v>3</v>
      </c>
      <c r="I8" t="s">
        <v>3</v>
      </c>
      <c r="J8" t="s">
        <v>10</v>
      </c>
      <c r="K8" t="s">
        <v>5</v>
      </c>
      <c r="L8" t="s">
        <v>12</v>
      </c>
      <c r="M8" t="s">
        <v>7</v>
      </c>
      <c r="N8" s="2">
        <v>46022</v>
      </c>
    </row>
    <row r="9" spans="1:14" outlineLevel="2" x14ac:dyDescent="0.25">
      <c r="A9" t="s">
        <v>0</v>
      </c>
      <c r="B9" s="2">
        <v>46053</v>
      </c>
      <c r="C9" t="s">
        <v>0</v>
      </c>
      <c r="D9" t="s">
        <v>1</v>
      </c>
      <c r="E9" t="s">
        <v>9</v>
      </c>
      <c r="F9" s="3">
        <v>3300</v>
      </c>
      <c r="G9" s="3">
        <v>3300</v>
      </c>
      <c r="H9" t="s">
        <v>3</v>
      </c>
      <c r="I9" t="s">
        <v>3</v>
      </c>
      <c r="J9" t="s">
        <v>10</v>
      </c>
      <c r="K9" t="s">
        <v>13</v>
      </c>
      <c r="L9" t="s">
        <v>14</v>
      </c>
      <c r="M9" t="s">
        <v>7</v>
      </c>
      <c r="N9" s="2">
        <v>46053</v>
      </c>
    </row>
    <row r="10" spans="1:14" outlineLevel="2" x14ac:dyDescent="0.25">
      <c r="A10" t="s">
        <v>0</v>
      </c>
      <c r="B10" s="2">
        <v>46081</v>
      </c>
      <c r="C10" t="s">
        <v>0</v>
      </c>
      <c r="D10" t="s">
        <v>1</v>
      </c>
      <c r="E10" t="s">
        <v>9</v>
      </c>
      <c r="F10" s="3">
        <v>3100</v>
      </c>
      <c r="G10" s="3">
        <v>3100</v>
      </c>
      <c r="H10" t="s">
        <v>3</v>
      </c>
      <c r="I10" t="s">
        <v>3</v>
      </c>
      <c r="J10" t="s">
        <v>10</v>
      </c>
      <c r="K10" t="s">
        <v>13</v>
      </c>
      <c r="L10" t="s">
        <v>15</v>
      </c>
      <c r="M10" t="s">
        <v>7</v>
      </c>
      <c r="N10" s="2">
        <v>46081</v>
      </c>
    </row>
    <row r="11" spans="1:14" outlineLevel="2" x14ac:dyDescent="0.25">
      <c r="A11" t="s">
        <v>0</v>
      </c>
      <c r="B11" s="2">
        <v>46112</v>
      </c>
      <c r="C11" t="s">
        <v>0</v>
      </c>
      <c r="D11" t="s">
        <v>1</v>
      </c>
      <c r="E11" t="s">
        <v>9</v>
      </c>
      <c r="F11" s="3">
        <v>1100</v>
      </c>
      <c r="G11" s="3">
        <v>1100</v>
      </c>
      <c r="H11" t="s">
        <v>3</v>
      </c>
      <c r="I11" t="s">
        <v>3</v>
      </c>
      <c r="J11" t="s">
        <v>10</v>
      </c>
      <c r="K11" t="s">
        <v>13</v>
      </c>
      <c r="L11" t="s">
        <v>16</v>
      </c>
      <c r="M11" t="s">
        <v>7</v>
      </c>
      <c r="N11" s="2">
        <v>46112</v>
      </c>
    </row>
    <row r="12" spans="1:14" outlineLevel="2" x14ac:dyDescent="0.25">
      <c r="A12" t="s">
        <v>0</v>
      </c>
      <c r="B12" s="2">
        <v>46142</v>
      </c>
      <c r="C12" t="s">
        <v>0</v>
      </c>
      <c r="D12" t="s">
        <v>1</v>
      </c>
      <c r="E12" t="s">
        <v>9</v>
      </c>
      <c r="F12" s="3">
        <v>9400</v>
      </c>
      <c r="G12" s="3">
        <v>9400</v>
      </c>
      <c r="H12" t="s">
        <v>3</v>
      </c>
      <c r="I12" t="s">
        <v>3</v>
      </c>
      <c r="J12" t="s">
        <v>10</v>
      </c>
      <c r="K12" t="s">
        <v>13</v>
      </c>
      <c r="L12" t="s">
        <v>17</v>
      </c>
      <c r="M12" t="s">
        <v>7</v>
      </c>
      <c r="N12" s="2">
        <v>46142</v>
      </c>
    </row>
    <row r="13" spans="1:14" outlineLevel="2" x14ac:dyDescent="0.25">
      <c r="A13" t="s">
        <v>0</v>
      </c>
      <c r="B13" s="2">
        <v>46173</v>
      </c>
      <c r="C13" t="s">
        <v>0</v>
      </c>
      <c r="D13" t="s">
        <v>1</v>
      </c>
      <c r="E13" t="s">
        <v>9</v>
      </c>
      <c r="F13" s="3">
        <v>3400</v>
      </c>
      <c r="G13" s="3">
        <v>3400</v>
      </c>
      <c r="H13" t="s">
        <v>3</v>
      </c>
      <c r="I13" t="s">
        <v>3</v>
      </c>
      <c r="J13" t="s">
        <v>10</v>
      </c>
      <c r="K13" t="s">
        <v>13</v>
      </c>
      <c r="L13" t="s">
        <v>18</v>
      </c>
      <c r="M13" t="s">
        <v>7</v>
      </c>
      <c r="N13" s="2">
        <v>46173</v>
      </c>
    </row>
    <row r="14" spans="1:14" outlineLevel="2" x14ac:dyDescent="0.25">
      <c r="A14" t="s">
        <v>0</v>
      </c>
      <c r="B14" s="2">
        <v>46203</v>
      </c>
      <c r="C14" t="s">
        <v>0</v>
      </c>
      <c r="D14" t="s">
        <v>1</v>
      </c>
      <c r="E14" t="s">
        <v>9</v>
      </c>
      <c r="F14" s="3">
        <v>6175.28</v>
      </c>
      <c r="G14" s="3">
        <v>6175.28</v>
      </c>
      <c r="H14" t="s">
        <v>3</v>
      </c>
      <c r="I14" t="s">
        <v>3</v>
      </c>
      <c r="J14" t="s">
        <v>10</v>
      </c>
      <c r="K14" t="s">
        <v>13</v>
      </c>
      <c r="L14" t="s">
        <v>19</v>
      </c>
      <c r="M14" t="s">
        <v>7</v>
      </c>
      <c r="N14" s="2">
        <v>46203</v>
      </c>
    </row>
    <row r="15" spans="1:14" outlineLevel="2" x14ac:dyDescent="0.25">
      <c r="A15" t="s">
        <v>0</v>
      </c>
      <c r="B15" s="2">
        <v>46219</v>
      </c>
      <c r="C15" t="s">
        <v>0</v>
      </c>
      <c r="D15" t="s">
        <v>1</v>
      </c>
      <c r="E15" t="s">
        <v>2</v>
      </c>
      <c r="F15" s="3">
        <v>2290</v>
      </c>
      <c r="G15" s="3">
        <v>2290</v>
      </c>
      <c r="H15" t="s">
        <v>3</v>
      </c>
      <c r="I15" t="s">
        <v>3</v>
      </c>
      <c r="J15" t="s">
        <v>20</v>
      </c>
      <c r="K15" t="s">
        <v>13</v>
      </c>
      <c r="L15" t="s">
        <v>21</v>
      </c>
      <c r="M15" t="s">
        <v>7</v>
      </c>
      <c r="N15" s="2">
        <v>46219</v>
      </c>
    </row>
    <row r="16" spans="1:14" outlineLevel="2" x14ac:dyDescent="0.25">
      <c r="A16" t="s">
        <v>0</v>
      </c>
      <c r="B16" s="2">
        <v>46234</v>
      </c>
      <c r="C16" t="s">
        <v>0</v>
      </c>
      <c r="D16" t="s">
        <v>1</v>
      </c>
      <c r="E16" t="s">
        <v>9</v>
      </c>
      <c r="F16" s="3">
        <v>3774.72</v>
      </c>
      <c r="G16" s="3">
        <v>3774.72</v>
      </c>
      <c r="H16" t="s">
        <v>3</v>
      </c>
      <c r="I16" t="s">
        <v>3</v>
      </c>
      <c r="J16" t="s">
        <v>10</v>
      </c>
      <c r="K16" t="s">
        <v>13</v>
      </c>
      <c r="L16" t="s">
        <v>21</v>
      </c>
      <c r="M16" t="s">
        <v>7</v>
      </c>
      <c r="N16" s="2">
        <v>46234</v>
      </c>
    </row>
    <row r="17" spans="1:14" outlineLevel="2" x14ac:dyDescent="0.25">
      <c r="A17" t="s">
        <v>0</v>
      </c>
      <c r="B17" s="2">
        <v>46265</v>
      </c>
      <c r="C17" t="s">
        <v>0</v>
      </c>
      <c r="D17" t="s">
        <v>1</v>
      </c>
      <c r="E17" t="s">
        <v>9</v>
      </c>
      <c r="F17" s="3">
        <v>14668</v>
      </c>
      <c r="G17" s="3">
        <v>14668</v>
      </c>
      <c r="H17" t="s">
        <v>3</v>
      </c>
      <c r="I17" t="s">
        <v>3</v>
      </c>
      <c r="J17" t="s">
        <v>10</v>
      </c>
      <c r="K17" t="s">
        <v>13</v>
      </c>
      <c r="L17" t="s">
        <v>22</v>
      </c>
      <c r="M17" t="s">
        <v>7</v>
      </c>
      <c r="N17" s="2">
        <v>46265</v>
      </c>
    </row>
    <row r="18" spans="1:14" outlineLevel="1" x14ac:dyDescent="0.25">
      <c r="A18" s="4" t="s">
        <v>0</v>
      </c>
      <c r="B18" s="5"/>
      <c r="C18" s="4" t="s">
        <v>9</v>
      </c>
      <c r="D18" s="4" t="s">
        <v>9</v>
      </c>
      <c r="E18" s="4" t="s">
        <v>9</v>
      </c>
      <c r="F18" s="6">
        <v>68373</v>
      </c>
      <c r="G18" s="6">
        <v>68373</v>
      </c>
      <c r="H18" s="4" t="s">
        <v>9</v>
      </c>
      <c r="I18" s="4" t="s">
        <v>3</v>
      </c>
      <c r="J18" s="4" t="s">
        <v>9</v>
      </c>
      <c r="K18" s="4" t="s">
        <v>9</v>
      </c>
      <c r="L18" s="4" t="s">
        <v>9</v>
      </c>
      <c r="M18" s="4" t="s">
        <v>9</v>
      </c>
      <c r="N18" s="5"/>
    </row>
    <row r="19" spans="1:14" outlineLevel="2" x14ac:dyDescent="0.25">
      <c r="A19" t="s">
        <v>23</v>
      </c>
      <c r="B19" s="2">
        <v>46239</v>
      </c>
      <c r="C19" t="s">
        <v>23</v>
      </c>
      <c r="D19" t="s">
        <v>1</v>
      </c>
      <c r="E19" t="s">
        <v>24</v>
      </c>
      <c r="F19" s="3">
        <v>571.85</v>
      </c>
      <c r="G19" s="3">
        <v>571.85</v>
      </c>
      <c r="H19" t="s">
        <v>3</v>
      </c>
      <c r="I19" t="s">
        <v>3</v>
      </c>
      <c r="J19" t="s">
        <v>25</v>
      </c>
      <c r="K19" t="s">
        <v>13</v>
      </c>
      <c r="L19" t="s">
        <v>22</v>
      </c>
      <c r="M19" t="s">
        <v>7</v>
      </c>
      <c r="N19" s="2">
        <v>46258</v>
      </c>
    </row>
    <row r="20" spans="1:14" outlineLevel="1" x14ac:dyDescent="0.25">
      <c r="A20" s="4" t="s">
        <v>23</v>
      </c>
      <c r="B20" s="5"/>
      <c r="C20" s="4" t="s">
        <v>9</v>
      </c>
      <c r="D20" s="4" t="s">
        <v>9</v>
      </c>
      <c r="E20" s="4" t="s">
        <v>9</v>
      </c>
      <c r="F20" s="6">
        <v>571.85</v>
      </c>
      <c r="G20" s="6">
        <v>571.85</v>
      </c>
      <c r="H20" s="4" t="s">
        <v>9</v>
      </c>
      <c r="I20" s="4" t="s">
        <v>3</v>
      </c>
      <c r="J20" s="4" t="s">
        <v>9</v>
      </c>
      <c r="K20" s="4" t="s">
        <v>9</v>
      </c>
      <c r="L20" s="4" t="s">
        <v>9</v>
      </c>
      <c r="M20" s="4" t="s">
        <v>9</v>
      </c>
      <c r="N20" s="5"/>
    </row>
    <row r="21" spans="1:14" outlineLevel="2" x14ac:dyDescent="0.25">
      <c r="A21" t="s">
        <v>26</v>
      </c>
      <c r="B21" s="2">
        <v>45961</v>
      </c>
      <c r="C21" t="s">
        <v>26</v>
      </c>
      <c r="D21" t="s">
        <v>1</v>
      </c>
      <c r="E21" t="s">
        <v>9</v>
      </c>
      <c r="F21" s="3">
        <v>3800</v>
      </c>
      <c r="G21" s="3">
        <v>3800</v>
      </c>
      <c r="H21" t="s">
        <v>3</v>
      </c>
      <c r="I21" t="s">
        <v>3</v>
      </c>
      <c r="J21" t="s">
        <v>10</v>
      </c>
      <c r="K21" t="s">
        <v>5</v>
      </c>
      <c r="L21" t="s">
        <v>8</v>
      </c>
      <c r="M21" t="s">
        <v>7</v>
      </c>
      <c r="N21" s="2">
        <v>45961</v>
      </c>
    </row>
    <row r="22" spans="1:14" outlineLevel="2" x14ac:dyDescent="0.25">
      <c r="A22" t="s">
        <v>26</v>
      </c>
      <c r="B22" s="2">
        <v>45991</v>
      </c>
      <c r="C22" t="s">
        <v>26</v>
      </c>
      <c r="D22" t="s">
        <v>1</v>
      </c>
      <c r="E22" t="s">
        <v>9</v>
      </c>
      <c r="F22" s="3">
        <v>1500</v>
      </c>
      <c r="G22" s="3">
        <v>1500</v>
      </c>
      <c r="H22" t="s">
        <v>3</v>
      </c>
      <c r="I22" t="s">
        <v>3</v>
      </c>
      <c r="J22" t="s">
        <v>10</v>
      </c>
      <c r="K22" t="s">
        <v>5</v>
      </c>
      <c r="L22" t="s">
        <v>11</v>
      </c>
      <c r="M22" t="s">
        <v>7</v>
      </c>
      <c r="N22" s="2">
        <v>45991</v>
      </c>
    </row>
    <row r="23" spans="1:14" outlineLevel="2" x14ac:dyDescent="0.25">
      <c r="A23" t="s">
        <v>26</v>
      </c>
      <c r="B23" s="2">
        <v>45993</v>
      </c>
      <c r="C23" t="s">
        <v>26</v>
      </c>
      <c r="D23" t="s">
        <v>1</v>
      </c>
      <c r="E23" t="s">
        <v>27</v>
      </c>
      <c r="F23" s="3">
        <v>60000</v>
      </c>
      <c r="G23" s="3">
        <v>60000</v>
      </c>
      <c r="H23" t="s">
        <v>3</v>
      </c>
      <c r="I23" t="s">
        <v>3</v>
      </c>
      <c r="J23" t="s">
        <v>28</v>
      </c>
      <c r="K23" t="s">
        <v>5</v>
      </c>
      <c r="L23" t="s">
        <v>12</v>
      </c>
      <c r="M23" t="s">
        <v>7</v>
      </c>
      <c r="N23" s="2">
        <v>45993</v>
      </c>
    </row>
    <row r="24" spans="1:14" outlineLevel="2" x14ac:dyDescent="0.25">
      <c r="A24" t="s">
        <v>26</v>
      </c>
      <c r="B24" s="2">
        <v>45993</v>
      </c>
      <c r="C24" t="s">
        <v>26</v>
      </c>
      <c r="D24" t="s">
        <v>1</v>
      </c>
      <c r="E24" t="s">
        <v>27</v>
      </c>
      <c r="F24" s="3">
        <v>15000</v>
      </c>
      <c r="G24" s="3">
        <v>15000</v>
      </c>
      <c r="H24" t="s">
        <v>3</v>
      </c>
      <c r="I24" t="s">
        <v>3</v>
      </c>
      <c r="J24" t="s">
        <v>29</v>
      </c>
      <c r="K24" t="s">
        <v>5</v>
      </c>
      <c r="L24" t="s">
        <v>12</v>
      </c>
      <c r="M24" t="s">
        <v>7</v>
      </c>
      <c r="N24" s="2">
        <v>45993</v>
      </c>
    </row>
    <row r="25" spans="1:14" outlineLevel="2" x14ac:dyDescent="0.25">
      <c r="A25" t="s">
        <v>26</v>
      </c>
      <c r="B25" s="2">
        <v>46006</v>
      </c>
      <c r="C25" t="s">
        <v>26</v>
      </c>
      <c r="D25" t="s">
        <v>1</v>
      </c>
      <c r="E25" t="s">
        <v>27</v>
      </c>
      <c r="F25" s="3">
        <v>40000</v>
      </c>
      <c r="G25" s="3">
        <v>40000</v>
      </c>
      <c r="H25" t="s">
        <v>3</v>
      </c>
      <c r="I25" t="s">
        <v>3</v>
      </c>
      <c r="J25" t="s">
        <v>28</v>
      </c>
      <c r="K25" t="s">
        <v>5</v>
      </c>
      <c r="L25" t="s">
        <v>12</v>
      </c>
      <c r="M25" t="s">
        <v>7</v>
      </c>
      <c r="N25" s="2">
        <v>46006</v>
      </c>
    </row>
    <row r="26" spans="1:14" outlineLevel="2" x14ac:dyDescent="0.25">
      <c r="A26" t="s">
        <v>26</v>
      </c>
      <c r="B26" s="2">
        <v>46006</v>
      </c>
      <c r="C26" t="s">
        <v>26</v>
      </c>
      <c r="D26" t="s">
        <v>1</v>
      </c>
      <c r="E26" t="s">
        <v>30</v>
      </c>
      <c r="F26" s="3">
        <v>11760</v>
      </c>
      <c r="G26" s="3">
        <v>11760</v>
      </c>
      <c r="H26" t="s">
        <v>3</v>
      </c>
      <c r="I26" t="s">
        <v>3</v>
      </c>
      <c r="J26" t="s">
        <v>31</v>
      </c>
      <c r="K26" t="s">
        <v>5</v>
      </c>
      <c r="L26" t="s">
        <v>12</v>
      </c>
      <c r="M26" t="s">
        <v>7</v>
      </c>
      <c r="N26" s="2">
        <v>46006</v>
      </c>
    </row>
    <row r="27" spans="1:14" outlineLevel="2" x14ac:dyDescent="0.25">
      <c r="A27" t="s">
        <v>26</v>
      </c>
      <c r="B27" s="2">
        <v>46006</v>
      </c>
      <c r="C27" t="s">
        <v>26</v>
      </c>
      <c r="D27" t="s">
        <v>1</v>
      </c>
      <c r="E27" t="s">
        <v>27</v>
      </c>
      <c r="F27" s="3">
        <v>1687.8</v>
      </c>
      <c r="G27" s="3">
        <v>1687.8</v>
      </c>
      <c r="H27" t="s">
        <v>3</v>
      </c>
      <c r="I27" t="s">
        <v>3</v>
      </c>
      <c r="J27" t="s">
        <v>32</v>
      </c>
      <c r="K27" t="s">
        <v>5</v>
      </c>
      <c r="L27" t="s">
        <v>12</v>
      </c>
      <c r="M27" t="s">
        <v>7</v>
      </c>
      <c r="N27" s="2">
        <v>46006</v>
      </c>
    </row>
    <row r="28" spans="1:14" outlineLevel="2" x14ac:dyDescent="0.25">
      <c r="A28" t="s">
        <v>26</v>
      </c>
      <c r="B28" s="2">
        <v>46022</v>
      </c>
      <c r="C28" t="s">
        <v>26</v>
      </c>
      <c r="D28" t="s">
        <v>33</v>
      </c>
      <c r="E28" t="s">
        <v>9</v>
      </c>
      <c r="F28" s="3">
        <v>17548</v>
      </c>
      <c r="G28" s="3">
        <v>17548</v>
      </c>
      <c r="H28" t="s">
        <v>3</v>
      </c>
      <c r="I28" t="s">
        <v>3</v>
      </c>
      <c r="J28" t="s">
        <v>34</v>
      </c>
      <c r="K28" t="s">
        <v>5</v>
      </c>
      <c r="L28" t="s">
        <v>12</v>
      </c>
      <c r="M28" t="s">
        <v>35</v>
      </c>
      <c r="N28" s="2">
        <v>46022</v>
      </c>
    </row>
    <row r="29" spans="1:14" outlineLevel="2" x14ac:dyDescent="0.25">
      <c r="A29" t="s">
        <v>26</v>
      </c>
      <c r="B29" s="2">
        <v>46022</v>
      </c>
      <c r="C29" t="s">
        <v>26</v>
      </c>
      <c r="D29" t="s">
        <v>1</v>
      </c>
      <c r="E29" t="s">
        <v>9</v>
      </c>
      <c r="F29" s="3">
        <v>12700</v>
      </c>
      <c r="G29" s="3">
        <v>12700</v>
      </c>
      <c r="H29" t="s">
        <v>3</v>
      </c>
      <c r="I29" t="s">
        <v>3</v>
      </c>
      <c r="J29" t="s">
        <v>10</v>
      </c>
      <c r="K29" t="s">
        <v>5</v>
      </c>
      <c r="L29" t="s">
        <v>12</v>
      </c>
      <c r="M29" t="s">
        <v>7</v>
      </c>
      <c r="N29" s="2">
        <v>46022</v>
      </c>
    </row>
    <row r="30" spans="1:14" outlineLevel="2" x14ac:dyDescent="0.25">
      <c r="A30" t="s">
        <v>26</v>
      </c>
      <c r="B30" s="2">
        <v>46022</v>
      </c>
      <c r="C30" t="s">
        <v>26</v>
      </c>
      <c r="D30" t="s">
        <v>36</v>
      </c>
      <c r="E30" t="s">
        <v>9</v>
      </c>
      <c r="F30" s="3">
        <v>17548</v>
      </c>
      <c r="G30" s="3">
        <v>17548</v>
      </c>
      <c r="H30" t="s">
        <v>3</v>
      </c>
      <c r="I30" t="s">
        <v>3</v>
      </c>
      <c r="J30" t="s">
        <v>34</v>
      </c>
      <c r="K30" t="s">
        <v>5</v>
      </c>
      <c r="L30" t="s">
        <v>12</v>
      </c>
      <c r="M30" t="s">
        <v>37</v>
      </c>
      <c r="N30" s="2">
        <v>46022</v>
      </c>
    </row>
    <row r="31" spans="1:14" outlineLevel="2" x14ac:dyDescent="0.25">
      <c r="A31" t="s">
        <v>26</v>
      </c>
      <c r="B31" s="2">
        <v>46053</v>
      </c>
      <c r="C31" t="s">
        <v>26</v>
      </c>
      <c r="D31" t="s">
        <v>33</v>
      </c>
      <c r="E31" t="s">
        <v>9</v>
      </c>
      <c r="F31" s="3">
        <v>26475</v>
      </c>
      <c r="G31" s="3">
        <v>26475</v>
      </c>
      <c r="H31" t="s">
        <v>3</v>
      </c>
      <c r="I31" t="s">
        <v>3</v>
      </c>
      <c r="J31" t="s">
        <v>34</v>
      </c>
      <c r="K31" t="s">
        <v>13</v>
      </c>
      <c r="L31" t="s">
        <v>14</v>
      </c>
      <c r="M31" t="s">
        <v>35</v>
      </c>
      <c r="N31" s="2">
        <v>46053</v>
      </c>
    </row>
    <row r="32" spans="1:14" outlineLevel="2" x14ac:dyDescent="0.25">
      <c r="A32" t="s">
        <v>26</v>
      </c>
      <c r="B32" s="2">
        <v>46053</v>
      </c>
      <c r="C32" t="s">
        <v>26</v>
      </c>
      <c r="D32" t="s">
        <v>33</v>
      </c>
      <c r="E32" t="s">
        <v>9</v>
      </c>
      <c r="F32" s="3">
        <v>2675</v>
      </c>
      <c r="G32" s="3">
        <v>2675</v>
      </c>
      <c r="H32" t="s">
        <v>3</v>
      </c>
      <c r="I32" t="s">
        <v>3</v>
      </c>
      <c r="J32" t="s">
        <v>34</v>
      </c>
      <c r="K32" t="s">
        <v>13</v>
      </c>
      <c r="L32" t="s">
        <v>14</v>
      </c>
      <c r="M32" t="s">
        <v>35</v>
      </c>
      <c r="N32" s="2">
        <v>46053</v>
      </c>
    </row>
    <row r="33" spans="1:14" outlineLevel="2" x14ac:dyDescent="0.25">
      <c r="A33" t="s">
        <v>26</v>
      </c>
      <c r="B33" s="2">
        <v>46053</v>
      </c>
      <c r="C33" t="s">
        <v>26</v>
      </c>
      <c r="D33" t="s">
        <v>1</v>
      </c>
      <c r="E33" t="s">
        <v>9</v>
      </c>
      <c r="F33" s="3">
        <v>1800</v>
      </c>
      <c r="G33" s="3">
        <v>1800</v>
      </c>
      <c r="H33" t="s">
        <v>3</v>
      </c>
      <c r="I33" t="s">
        <v>3</v>
      </c>
      <c r="J33" t="s">
        <v>10</v>
      </c>
      <c r="K33" t="s">
        <v>13</v>
      </c>
      <c r="L33" t="s">
        <v>14</v>
      </c>
      <c r="M33" t="s">
        <v>7</v>
      </c>
      <c r="N33" s="2">
        <v>46053</v>
      </c>
    </row>
    <row r="34" spans="1:14" outlineLevel="2" x14ac:dyDescent="0.25">
      <c r="A34" t="s">
        <v>26</v>
      </c>
      <c r="B34" s="2">
        <v>46053</v>
      </c>
      <c r="C34" t="s">
        <v>26</v>
      </c>
      <c r="D34" t="s">
        <v>1</v>
      </c>
      <c r="E34" t="s">
        <v>9</v>
      </c>
      <c r="F34" s="3">
        <v>2675</v>
      </c>
      <c r="G34" s="3">
        <v>2675</v>
      </c>
      <c r="H34" t="s">
        <v>3</v>
      </c>
      <c r="I34" t="s">
        <v>3</v>
      </c>
      <c r="J34" t="s">
        <v>38</v>
      </c>
      <c r="K34" t="s">
        <v>13</v>
      </c>
      <c r="L34" t="s">
        <v>14</v>
      </c>
      <c r="M34" t="s">
        <v>7</v>
      </c>
      <c r="N34" s="2">
        <v>46053</v>
      </c>
    </row>
    <row r="35" spans="1:14" outlineLevel="2" x14ac:dyDescent="0.25">
      <c r="A35" t="s">
        <v>26</v>
      </c>
      <c r="B35" s="2">
        <v>46063</v>
      </c>
      <c r="C35" t="s">
        <v>26</v>
      </c>
      <c r="D35" t="s">
        <v>1</v>
      </c>
      <c r="E35" t="s">
        <v>30</v>
      </c>
      <c r="F35" s="3">
        <v>3570</v>
      </c>
      <c r="G35" s="3">
        <v>3570</v>
      </c>
      <c r="H35" t="s">
        <v>3</v>
      </c>
      <c r="I35" t="s">
        <v>3</v>
      </c>
      <c r="J35" t="s">
        <v>39</v>
      </c>
      <c r="K35" t="s">
        <v>13</v>
      </c>
      <c r="L35" t="s">
        <v>15</v>
      </c>
      <c r="M35" t="s">
        <v>7</v>
      </c>
      <c r="N35" s="2">
        <v>46063</v>
      </c>
    </row>
    <row r="36" spans="1:14" outlineLevel="2" x14ac:dyDescent="0.25">
      <c r="A36" t="s">
        <v>26</v>
      </c>
      <c r="B36" s="2">
        <v>46066</v>
      </c>
      <c r="C36" t="s">
        <v>26</v>
      </c>
      <c r="D36" t="s">
        <v>33</v>
      </c>
      <c r="E36" t="s">
        <v>9</v>
      </c>
      <c r="F36" s="3">
        <v>7543.5</v>
      </c>
      <c r="G36" s="3">
        <v>7543.5</v>
      </c>
      <c r="H36" t="s">
        <v>3</v>
      </c>
      <c r="I36" t="s">
        <v>3</v>
      </c>
      <c r="J36" t="s">
        <v>34</v>
      </c>
      <c r="K36" t="s">
        <v>13</v>
      </c>
      <c r="L36" t="s">
        <v>15</v>
      </c>
      <c r="M36" t="s">
        <v>35</v>
      </c>
      <c r="N36" s="2">
        <v>46066</v>
      </c>
    </row>
    <row r="37" spans="1:14" outlineLevel="2" x14ac:dyDescent="0.25">
      <c r="A37" t="s">
        <v>26</v>
      </c>
      <c r="B37" s="2">
        <v>46081</v>
      </c>
      <c r="C37" t="s">
        <v>26</v>
      </c>
      <c r="D37" t="s">
        <v>1</v>
      </c>
      <c r="E37" t="s">
        <v>9</v>
      </c>
      <c r="F37" s="3">
        <v>5085</v>
      </c>
      <c r="G37" s="3">
        <v>5085</v>
      </c>
      <c r="H37" t="s">
        <v>3</v>
      </c>
      <c r="I37" t="s">
        <v>3</v>
      </c>
      <c r="J37" t="s">
        <v>10</v>
      </c>
      <c r="K37" t="s">
        <v>13</v>
      </c>
      <c r="L37" t="s">
        <v>15</v>
      </c>
      <c r="M37" t="s">
        <v>7</v>
      </c>
      <c r="N37" s="2">
        <v>46081</v>
      </c>
    </row>
    <row r="38" spans="1:14" outlineLevel="2" x14ac:dyDescent="0.25">
      <c r="A38" t="s">
        <v>26</v>
      </c>
      <c r="B38" s="2">
        <v>46083</v>
      </c>
      <c r="C38" t="s">
        <v>26</v>
      </c>
      <c r="D38" t="s">
        <v>1</v>
      </c>
      <c r="E38" t="s">
        <v>30</v>
      </c>
      <c r="F38" s="3">
        <v>5600</v>
      </c>
      <c r="G38" s="3">
        <v>5600</v>
      </c>
      <c r="H38" t="s">
        <v>3</v>
      </c>
      <c r="I38" t="s">
        <v>3</v>
      </c>
      <c r="J38" t="s">
        <v>39</v>
      </c>
      <c r="K38" t="s">
        <v>13</v>
      </c>
      <c r="L38" t="s">
        <v>16</v>
      </c>
      <c r="M38" t="s">
        <v>7</v>
      </c>
      <c r="N38" s="2">
        <v>46083</v>
      </c>
    </row>
    <row r="39" spans="1:14" outlineLevel="2" x14ac:dyDescent="0.25">
      <c r="A39" t="s">
        <v>26</v>
      </c>
      <c r="B39" s="2">
        <v>46081</v>
      </c>
      <c r="C39" t="s">
        <v>26</v>
      </c>
      <c r="D39" t="s">
        <v>1</v>
      </c>
      <c r="E39" t="s">
        <v>9</v>
      </c>
      <c r="F39" s="3">
        <v>7543.5</v>
      </c>
      <c r="G39" s="3">
        <v>7543.5</v>
      </c>
      <c r="H39" t="s">
        <v>3</v>
      </c>
      <c r="I39" t="s">
        <v>3</v>
      </c>
      <c r="J39" t="s">
        <v>38</v>
      </c>
      <c r="K39" t="s">
        <v>13</v>
      </c>
      <c r="L39" t="s">
        <v>15</v>
      </c>
      <c r="M39" t="s">
        <v>7</v>
      </c>
      <c r="N39" s="2">
        <v>46081</v>
      </c>
    </row>
    <row r="40" spans="1:14" outlineLevel="2" x14ac:dyDescent="0.25">
      <c r="A40" t="s">
        <v>26</v>
      </c>
      <c r="B40" s="2">
        <v>46092</v>
      </c>
      <c r="C40" t="s">
        <v>26</v>
      </c>
      <c r="D40" t="s">
        <v>1</v>
      </c>
      <c r="E40" t="s">
        <v>40</v>
      </c>
      <c r="F40" s="3">
        <v>15000</v>
      </c>
      <c r="G40" s="3">
        <v>15000</v>
      </c>
      <c r="H40" t="s">
        <v>3</v>
      </c>
      <c r="I40" t="s">
        <v>3</v>
      </c>
      <c r="J40" t="s">
        <v>41</v>
      </c>
      <c r="K40" t="s">
        <v>13</v>
      </c>
      <c r="L40" t="s">
        <v>16</v>
      </c>
      <c r="M40" t="s">
        <v>7</v>
      </c>
      <c r="N40" s="2">
        <v>46092</v>
      </c>
    </row>
    <row r="41" spans="1:14" outlineLevel="2" x14ac:dyDescent="0.25">
      <c r="A41" t="s">
        <v>26</v>
      </c>
      <c r="B41" s="2">
        <v>46092</v>
      </c>
      <c r="C41" t="s">
        <v>26</v>
      </c>
      <c r="D41" t="s">
        <v>1</v>
      </c>
      <c r="E41" t="s">
        <v>40</v>
      </c>
      <c r="F41" s="3">
        <v>40000</v>
      </c>
      <c r="G41" s="3">
        <v>40000</v>
      </c>
      <c r="H41" t="s">
        <v>3</v>
      </c>
      <c r="I41" t="s">
        <v>3</v>
      </c>
      <c r="J41" t="s">
        <v>42</v>
      </c>
      <c r="K41" t="s">
        <v>13</v>
      </c>
      <c r="L41" t="s">
        <v>16</v>
      </c>
      <c r="M41" t="s">
        <v>7</v>
      </c>
      <c r="N41" s="2">
        <v>46092</v>
      </c>
    </row>
    <row r="42" spans="1:14" outlineLevel="2" x14ac:dyDescent="0.25">
      <c r="A42" t="s">
        <v>26</v>
      </c>
      <c r="B42" s="2">
        <v>46092</v>
      </c>
      <c r="C42" t="s">
        <v>26</v>
      </c>
      <c r="D42" t="s">
        <v>1</v>
      </c>
      <c r="E42" t="s">
        <v>40</v>
      </c>
      <c r="F42" s="3">
        <v>382.98</v>
      </c>
      <c r="G42" s="3">
        <v>382.98</v>
      </c>
      <c r="H42" t="s">
        <v>3</v>
      </c>
      <c r="I42" t="s">
        <v>3</v>
      </c>
      <c r="J42" t="s">
        <v>43</v>
      </c>
      <c r="K42" t="s">
        <v>13</v>
      </c>
      <c r="L42" t="s">
        <v>16</v>
      </c>
      <c r="M42" t="s">
        <v>7</v>
      </c>
      <c r="N42" s="2">
        <v>46092</v>
      </c>
    </row>
    <row r="43" spans="1:14" outlineLevel="2" x14ac:dyDescent="0.25">
      <c r="A43" t="s">
        <v>26</v>
      </c>
      <c r="B43" s="2">
        <v>46082</v>
      </c>
      <c r="C43" t="s">
        <v>26</v>
      </c>
      <c r="D43" t="s">
        <v>33</v>
      </c>
      <c r="E43" t="s">
        <v>9</v>
      </c>
      <c r="F43" s="3">
        <v>17708.5</v>
      </c>
      <c r="G43" s="3">
        <v>17708.5</v>
      </c>
      <c r="H43" t="s">
        <v>3</v>
      </c>
      <c r="I43" t="s">
        <v>3</v>
      </c>
      <c r="J43" t="s">
        <v>34</v>
      </c>
      <c r="K43" t="s">
        <v>13</v>
      </c>
      <c r="L43" t="s">
        <v>16</v>
      </c>
      <c r="M43" t="s">
        <v>35</v>
      </c>
      <c r="N43" s="2">
        <v>46082</v>
      </c>
    </row>
    <row r="44" spans="1:14" outlineLevel="2" x14ac:dyDescent="0.25">
      <c r="A44" t="s">
        <v>26</v>
      </c>
      <c r="B44" s="2">
        <v>46097</v>
      </c>
      <c r="C44" t="s">
        <v>26</v>
      </c>
      <c r="D44" t="s">
        <v>1</v>
      </c>
      <c r="E44" t="s">
        <v>40</v>
      </c>
      <c r="F44" s="3">
        <v>40000</v>
      </c>
      <c r="G44" s="3">
        <v>40000</v>
      </c>
      <c r="H44" t="s">
        <v>3</v>
      </c>
      <c r="I44" t="s">
        <v>3</v>
      </c>
      <c r="J44" t="s">
        <v>42</v>
      </c>
      <c r="K44" t="s">
        <v>13</v>
      </c>
      <c r="L44" t="s">
        <v>16</v>
      </c>
      <c r="M44" t="s">
        <v>7</v>
      </c>
      <c r="N44" s="2">
        <v>46097</v>
      </c>
    </row>
    <row r="45" spans="1:14" outlineLevel="2" x14ac:dyDescent="0.25">
      <c r="A45" t="s">
        <v>26</v>
      </c>
      <c r="B45" s="2">
        <v>46097</v>
      </c>
      <c r="C45" t="s">
        <v>26</v>
      </c>
      <c r="D45" t="s">
        <v>1</v>
      </c>
      <c r="E45" t="s">
        <v>40</v>
      </c>
      <c r="F45" s="3">
        <v>343.2</v>
      </c>
      <c r="G45" s="3">
        <v>343.2</v>
      </c>
      <c r="H45" t="s">
        <v>3</v>
      </c>
      <c r="I45" t="s">
        <v>3</v>
      </c>
      <c r="J45" t="s">
        <v>43</v>
      </c>
      <c r="K45" t="s">
        <v>13</v>
      </c>
      <c r="L45" t="s">
        <v>16</v>
      </c>
      <c r="M45" t="s">
        <v>7</v>
      </c>
      <c r="N45" s="2">
        <v>46097</v>
      </c>
    </row>
    <row r="46" spans="1:14" outlineLevel="2" x14ac:dyDescent="0.25">
      <c r="A46" t="s">
        <v>26</v>
      </c>
      <c r="B46" s="2">
        <v>46112</v>
      </c>
      <c r="C46" t="s">
        <v>26</v>
      </c>
      <c r="D46" t="s">
        <v>1</v>
      </c>
      <c r="E46" t="s">
        <v>9</v>
      </c>
      <c r="F46" s="3">
        <v>10105</v>
      </c>
      <c r="G46" s="3">
        <v>10105</v>
      </c>
      <c r="H46" t="s">
        <v>3</v>
      </c>
      <c r="I46" t="s">
        <v>3</v>
      </c>
      <c r="J46" t="s">
        <v>10</v>
      </c>
      <c r="K46" t="s">
        <v>13</v>
      </c>
      <c r="L46" t="s">
        <v>16</v>
      </c>
      <c r="M46" t="s">
        <v>7</v>
      </c>
      <c r="N46" s="2">
        <v>46112</v>
      </c>
    </row>
    <row r="47" spans="1:14" outlineLevel="2" x14ac:dyDescent="0.25">
      <c r="A47" t="s">
        <v>26</v>
      </c>
      <c r="B47" s="2">
        <v>46114</v>
      </c>
      <c r="C47" t="s">
        <v>26</v>
      </c>
      <c r="D47" t="s">
        <v>1</v>
      </c>
      <c r="E47" t="s">
        <v>30</v>
      </c>
      <c r="F47" s="3">
        <v>6090</v>
      </c>
      <c r="G47" s="3">
        <v>6090</v>
      </c>
      <c r="H47" t="s">
        <v>3</v>
      </c>
      <c r="I47" t="s">
        <v>3</v>
      </c>
      <c r="J47" t="s">
        <v>39</v>
      </c>
      <c r="K47" t="s">
        <v>13</v>
      </c>
      <c r="L47" t="s">
        <v>17</v>
      </c>
      <c r="M47" t="s">
        <v>7</v>
      </c>
      <c r="N47" s="2">
        <v>46114</v>
      </c>
    </row>
    <row r="48" spans="1:14" outlineLevel="2" x14ac:dyDescent="0.25">
      <c r="A48" t="s">
        <v>26</v>
      </c>
      <c r="B48" s="2">
        <v>46112</v>
      </c>
      <c r="C48" t="s">
        <v>26</v>
      </c>
      <c r="D48" t="s">
        <v>1</v>
      </c>
      <c r="E48" t="s">
        <v>9</v>
      </c>
      <c r="F48" s="3">
        <v>343.2</v>
      </c>
      <c r="G48" s="3">
        <v>343.2</v>
      </c>
      <c r="H48" t="s">
        <v>3</v>
      </c>
      <c r="I48" t="s">
        <v>3</v>
      </c>
      <c r="J48" t="s">
        <v>44</v>
      </c>
      <c r="K48" t="s">
        <v>13</v>
      </c>
      <c r="L48" t="s">
        <v>16</v>
      </c>
      <c r="M48" t="s">
        <v>7</v>
      </c>
      <c r="N48" s="2">
        <v>46112</v>
      </c>
    </row>
    <row r="49" spans="1:14" outlineLevel="2" x14ac:dyDescent="0.25">
      <c r="A49" t="s">
        <v>26</v>
      </c>
      <c r="B49" s="2">
        <v>46112</v>
      </c>
      <c r="C49" t="s">
        <v>26</v>
      </c>
      <c r="D49" t="s">
        <v>1</v>
      </c>
      <c r="E49" t="s">
        <v>9</v>
      </c>
      <c r="F49" s="3">
        <v>382.98</v>
      </c>
      <c r="G49" s="3">
        <v>382.98</v>
      </c>
      <c r="H49" t="s">
        <v>3</v>
      </c>
      <c r="I49" t="s">
        <v>3</v>
      </c>
      <c r="J49" t="s">
        <v>44</v>
      </c>
      <c r="K49" t="s">
        <v>13</v>
      </c>
      <c r="L49" t="s">
        <v>16</v>
      </c>
      <c r="M49" t="s">
        <v>7</v>
      </c>
      <c r="N49" s="2">
        <v>46112</v>
      </c>
    </row>
    <row r="50" spans="1:14" outlineLevel="2" x14ac:dyDescent="0.25">
      <c r="A50" t="s">
        <v>26</v>
      </c>
      <c r="B50" s="2">
        <v>46112</v>
      </c>
      <c r="C50" t="s">
        <v>26</v>
      </c>
      <c r="D50" t="s">
        <v>1</v>
      </c>
      <c r="E50" t="s">
        <v>9</v>
      </c>
      <c r="F50" s="3">
        <v>5600</v>
      </c>
      <c r="G50" s="3">
        <v>5600</v>
      </c>
      <c r="H50" t="s">
        <v>3</v>
      </c>
      <c r="I50" t="s">
        <v>3</v>
      </c>
      <c r="J50" t="s">
        <v>44</v>
      </c>
      <c r="K50" t="s">
        <v>13</v>
      </c>
      <c r="L50" t="s">
        <v>16</v>
      </c>
      <c r="M50" t="s">
        <v>7</v>
      </c>
      <c r="N50" s="2">
        <v>46112</v>
      </c>
    </row>
    <row r="51" spans="1:14" outlineLevel="2" x14ac:dyDescent="0.25">
      <c r="A51" t="s">
        <v>26</v>
      </c>
      <c r="B51" s="2">
        <v>46112</v>
      </c>
      <c r="C51" t="s">
        <v>26</v>
      </c>
      <c r="D51" t="s">
        <v>1</v>
      </c>
      <c r="E51" t="s">
        <v>9</v>
      </c>
      <c r="F51" s="3">
        <v>10105</v>
      </c>
      <c r="G51" s="3">
        <v>10105</v>
      </c>
      <c r="H51" t="s">
        <v>3</v>
      </c>
      <c r="I51" t="s">
        <v>3</v>
      </c>
      <c r="J51" t="s">
        <v>44</v>
      </c>
      <c r="K51" t="s">
        <v>13</v>
      </c>
      <c r="L51" t="s">
        <v>16</v>
      </c>
      <c r="M51" t="s">
        <v>7</v>
      </c>
      <c r="N51" s="2">
        <v>46112</v>
      </c>
    </row>
    <row r="52" spans="1:14" outlineLevel="2" x14ac:dyDescent="0.25">
      <c r="A52" t="s">
        <v>26</v>
      </c>
      <c r="B52" s="2">
        <v>46112</v>
      </c>
      <c r="C52" t="s">
        <v>26</v>
      </c>
      <c r="D52" t="s">
        <v>1</v>
      </c>
      <c r="E52" t="s">
        <v>9</v>
      </c>
      <c r="F52" s="3">
        <v>15000</v>
      </c>
      <c r="G52" s="3">
        <v>15000</v>
      </c>
      <c r="H52" t="s">
        <v>3</v>
      </c>
      <c r="I52" t="s">
        <v>3</v>
      </c>
      <c r="J52" t="s">
        <v>44</v>
      </c>
      <c r="K52" t="s">
        <v>13</v>
      </c>
      <c r="L52" t="s">
        <v>16</v>
      </c>
      <c r="M52" t="s">
        <v>7</v>
      </c>
      <c r="N52" s="2">
        <v>46112</v>
      </c>
    </row>
    <row r="53" spans="1:14" outlineLevel="2" x14ac:dyDescent="0.25">
      <c r="A53" t="s">
        <v>26</v>
      </c>
      <c r="B53" s="2">
        <v>46112</v>
      </c>
      <c r="C53" t="s">
        <v>26</v>
      </c>
      <c r="D53" t="s">
        <v>1</v>
      </c>
      <c r="E53" t="s">
        <v>9</v>
      </c>
      <c r="F53" s="3">
        <v>40000</v>
      </c>
      <c r="G53" s="3">
        <v>40000</v>
      </c>
      <c r="H53" t="s">
        <v>3</v>
      </c>
      <c r="I53" t="s">
        <v>3</v>
      </c>
      <c r="J53" t="s">
        <v>44</v>
      </c>
      <c r="K53" t="s">
        <v>13</v>
      </c>
      <c r="L53" t="s">
        <v>16</v>
      </c>
      <c r="M53" t="s">
        <v>7</v>
      </c>
      <c r="N53" s="2">
        <v>46112</v>
      </c>
    </row>
    <row r="54" spans="1:14" outlineLevel="2" x14ac:dyDescent="0.25">
      <c r="A54" t="s">
        <v>26</v>
      </c>
      <c r="B54" s="2">
        <v>46112</v>
      </c>
      <c r="C54" t="s">
        <v>26</v>
      </c>
      <c r="D54" t="s">
        <v>1</v>
      </c>
      <c r="E54" t="s">
        <v>9</v>
      </c>
      <c r="F54" s="3">
        <v>40000</v>
      </c>
      <c r="G54" s="3">
        <v>40000</v>
      </c>
      <c r="H54" t="s">
        <v>3</v>
      </c>
      <c r="I54" t="s">
        <v>3</v>
      </c>
      <c r="J54" t="s">
        <v>44</v>
      </c>
      <c r="K54" t="s">
        <v>13</v>
      </c>
      <c r="L54" t="s">
        <v>16</v>
      </c>
      <c r="M54" t="s">
        <v>7</v>
      </c>
      <c r="N54" s="2">
        <v>46112</v>
      </c>
    </row>
    <row r="55" spans="1:14" outlineLevel="2" x14ac:dyDescent="0.25">
      <c r="A55" t="s">
        <v>26</v>
      </c>
      <c r="B55" s="2">
        <v>46112</v>
      </c>
      <c r="C55" t="s">
        <v>26</v>
      </c>
      <c r="D55" t="s">
        <v>33</v>
      </c>
      <c r="E55" t="s">
        <v>9</v>
      </c>
      <c r="F55" s="3">
        <v>343.2</v>
      </c>
      <c r="G55" s="3">
        <v>343.2</v>
      </c>
      <c r="H55" t="s">
        <v>3</v>
      </c>
      <c r="I55" t="s">
        <v>3</v>
      </c>
      <c r="J55" t="s">
        <v>44</v>
      </c>
      <c r="K55" t="s">
        <v>13</v>
      </c>
      <c r="L55" t="s">
        <v>16</v>
      </c>
      <c r="M55" t="s">
        <v>35</v>
      </c>
      <c r="N55" s="2">
        <v>46112</v>
      </c>
    </row>
    <row r="56" spans="1:14" outlineLevel="2" x14ac:dyDescent="0.25">
      <c r="A56" t="s">
        <v>26</v>
      </c>
      <c r="B56" s="2">
        <v>46112</v>
      </c>
      <c r="C56" t="s">
        <v>26</v>
      </c>
      <c r="D56" t="s">
        <v>33</v>
      </c>
      <c r="E56" t="s">
        <v>9</v>
      </c>
      <c r="F56" s="3">
        <v>382.98</v>
      </c>
      <c r="G56" s="3">
        <v>382.98</v>
      </c>
      <c r="H56" t="s">
        <v>3</v>
      </c>
      <c r="I56" t="s">
        <v>3</v>
      </c>
      <c r="J56" t="s">
        <v>44</v>
      </c>
      <c r="K56" t="s">
        <v>13</v>
      </c>
      <c r="L56" t="s">
        <v>16</v>
      </c>
      <c r="M56" t="s">
        <v>35</v>
      </c>
      <c r="N56" s="2">
        <v>46112</v>
      </c>
    </row>
    <row r="57" spans="1:14" outlineLevel="2" x14ac:dyDescent="0.25">
      <c r="A57" t="s">
        <v>26</v>
      </c>
      <c r="B57" s="2">
        <v>46112</v>
      </c>
      <c r="C57" t="s">
        <v>26</v>
      </c>
      <c r="D57" t="s">
        <v>33</v>
      </c>
      <c r="E57" t="s">
        <v>9</v>
      </c>
      <c r="F57" s="3">
        <v>5600</v>
      </c>
      <c r="G57" s="3">
        <v>5600</v>
      </c>
      <c r="H57" t="s">
        <v>3</v>
      </c>
      <c r="I57" t="s">
        <v>3</v>
      </c>
      <c r="J57" t="s">
        <v>44</v>
      </c>
      <c r="K57" t="s">
        <v>13</v>
      </c>
      <c r="L57" t="s">
        <v>16</v>
      </c>
      <c r="M57" t="s">
        <v>35</v>
      </c>
      <c r="N57" s="2">
        <v>46112</v>
      </c>
    </row>
    <row r="58" spans="1:14" outlineLevel="2" x14ac:dyDescent="0.25">
      <c r="A58" t="s">
        <v>26</v>
      </c>
      <c r="B58" s="2">
        <v>46112</v>
      </c>
      <c r="C58" t="s">
        <v>26</v>
      </c>
      <c r="D58" t="s">
        <v>33</v>
      </c>
      <c r="E58" t="s">
        <v>9</v>
      </c>
      <c r="F58" s="3">
        <v>10105</v>
      </c>
      <c r="G58" s="3">
        <v>10105</v>
      </c>
      <c r="H58" t="s">
        <v>3</v>
      </c>
      <c r="I58" t="s">
        <v>3</v>
      </c>
      <c r="J58" t="s">
        <v>44</v>
      </c>
      <c r="K58" t="s">
        <v>13</v>
      </c>
      <c r="L58" t="s">
        <v>16</v>
      </c>
      <c r="M58" t="s">
        <v>35</v>
      </c>
      <c r="N58" s="2">
        <v>46112</v>
      </c>
    </row>
    <row r="59" spans="1:14" outlineLevel="2" x14ac:dyDescent="0.25">
      <c r="A59" t="s">
        <v>26</v>
      </c>
      <c r="B59" s="2">
        <v>46112</v>
      </c>
      <c r="C59" t="s">
        <v>26</v>
      </c>
      <c r="D59" t="s">
        <v>33</v>
      </c>
      <c r="E59" t="s">
        <v>9</v>
      </c>
      <c r="F59" s="3">
        <v>15000</v>
      </c>
      <c r="G59" s="3">
        <v>15000</v>
      </c>
      <c r="H59" t="s">
        <v>3</v>
      </c>
      <c r="I59" t="s">
        <v>3</v>
      </c>
      <c r="J59" t="s">
        <v>44</v>
      </c>
      <c r="K59" t="s">
        <v>13</v>
      </c>
      <c r="L59" t="s">
        <v>16</v>
      </c>
      <c r="M59" t="s">
        <v>35</v>
      </c>
      <c r="N59" s="2">
        <v>46112</v>
      </c>
    </row>
    <row r="60" spans="1:14" outlineLevel="2" x14ac:dyDescent="0.25">
      <c r="A60" t="s">
        <v>26</v>
      </c>
      <c r="B60" s="2">
        <v>46112</v>
      </c>
      <c r="C60" t="s">
        <v>26</v>
      </c>
      <c r="D60" t="s">
        <v>33</v>
      </c>
      <c r="E60" t="s">
        <v>9</v>
      </c>
      <c r="F60" s="3">
        <v>40000</v>
      </c>
      <c r="G60" s="3">
        <v>40000</v>
      </c>
      <c r="H60" t="s">
        <v>3</v>
      </c>
      <c r="I60" t="s">
        <v>3</v>
      </c>
      <c r="J60" t="s">
        <v>44</v>
      </c>
      <c r="K60" t="s">
        <v>13</v>
      </c>
      <c r="L60" t="s">
        <v>16</v>
      </c>
      <c r="M60" t="s">
        <v>35</v>
      </c>
      <c r="N60" s="2">
        <v>46112</v>
      </c>
    </row>
    <row r="61" spans="1:14" outlineLevel="2" x14ac:dyDescent="0.25">
      <c r="A61" t="s">
        <v>26</v>
      </c>
      <c r="B61" s="2">
        <v>46112</v>
      </c>
      <c r="C61" t="s">
        <v>26</v>
      </c>
      <c r="D61" t="s">
        <v>33</v>
      </c>
      <c r="E61" t="s">
        <v>9</v>
      </c>
      <c r="F61" s="3">
        <v>40000</v>
      </c>
      <c r="G61" s="3">
        <v>40000</v>
      </c>
      <c r="H61" t="s">
        <v>3</v>
      </c>
      <c r="I61" t="s">
        <v>3</v>
      </c>
      <c r="J61" t="s">
        <v>44</v>
      </c>
      <c r="K61" t="s">
        <v>13</v>
      </c>
      <c r="L61" t="s">
        <v>16</v>
      </c>
      <c r="M61" t="s">
        <v>35</v>
      </c>
      <c r="N61" s="2">
        <v>46112</v>
      </c>
    </row>
    <row r="62" spans="1:14" outlineLevel="2" x14ac:dyDescent="0.25">
      <c r="A62" t="s">
        <v>26</v>
      </c>
      <c r="B62" s="2">
        <v>46112</v>
      </c>
      <c r="C62" t="s">
        <v>26</v>
      </c>
      <c r="D62" t="s">
        <v>33</v>
      </c>
      <c r="E62" t="s">
        <v>9</v>
      </c>
      <c r="F62" s="3">
        <v>343.2</v>
      </c>
      <c r="G62" s="3">
        <v>343.2</v>
      </c>
      <c r="H62" t="s">
        <v>3</v>
      </c>
      <c r="I62" t="s">
        <v>3</v>
      </c>
      <c r="J62" t="s">
        <v>44</v>
      </c>
      <c r="K62" t="s">
        <v>13</v>
      </c>
      <c r="L62" t="s">
        <v>16</v>
      </c>
      <c r="M62" t="s">
        <v>35</v>
      </c>
      <c r="N62" s="2">
        <v>46112</v>
      </c>
    </row>
    <row r="63" spans="1:14" outlineLevel="2" x14ac:dyDescent="0.25">
      <c r="A63" t="s">
        <v>26</v>
      </c>
      <c r="B63" s="2">
        <v>46112</v>
      </c>
      <c r="C63" t="s">
        <v>26</v>
      </c>
      <c r="D63" t="s">
        <v>33</v>
      </c>
      <c r="E63" t="s">
        <v>9</v>
      </c>
      <c r="F63" s="3">
        <v>382.98</v>
      </c>
      <c r="G63" s="3">
        <v>382.98</v>
      </c>
      <c r="H63" t="s">
        <v>3</v>
      </c>
      <c r="I63" t="s">
        <v>3</v>
      </c>
      <c r="J63" t="s">
        <v>44</v>
      </c>
      <c r="K63" t="s">
        <v>13</v>
      </c>
      <c r="L63" t="s">
        <v>16</v>
      </c>
      <c r="M63" t="s">
        <v>35</v>
      </c>
      <c r="N63" s="2">
        <v>46112</v>
      </c>
    </row>
    <row r="64" spans="1:14" outlineLevel="2" x14ac:dyDescent="0.25">
      <c r="A64" t="s">
        <v>26</v>
      </c>
      <c r="B64" s="2">
        <v>46112</v>
      </c>
      <c r="C64" t="s">
        <v>26</v>
      </c>
      <c r="D64" t="s">
        <v>33</v>
      </c>
      <c r="E64" t="s">
        <v>9</v>
      </c>
      <c r="F64" s="3">
        <v>5600</v>
      </c>
      <c r="G64" s="3">
        <v>5600</v>
      </c>
      <c r="H64" t="s">
        <v>3</v>
      </c>
      <c r="I64" t="s">
        <v>3</v>
      </c>
      <c r="J64" t="s">
        <v>44</v>
      </c>
      <c r="K64" t="s">
        <v>13</v>
      </c>
      <c r="L64" t="s">
        <v>16</v>
      </c>
      <c r="M64" t="s">
        <v>35</v>
      </c>
      <c r="N64" s="2">
        <v>46112</v>
      </c>
    </row>
    <row r="65" spans="1:14" outlineLevel="2" x14ac:dyDescent="0.25">
      <c r="A65" t="s">
        <v>26</v>
      </c>
      <c r="B65" s="2">
        <v>46112</v>
      </c>
      <c r="C65" t="s">
        <v>26</v>
      </c>
      <c r="D65" t="s">
        <v>33</v>
      </c>
      <c r="E65" t="s">
        <v>9</v>
      </c>
      <c r="F65" s="3">
        <v>10105</v>
      </c>
      <c r="G65" s="3">
        <v>10105</v>
      </c>
      <c r="H65" t="s">
        <v>3</v>
      </c>
      <c r="I65" t="s">
        <v>3</v>
      </c>
      <c r="J65" t="s">
        <v>44</v>
      </c>
      <c r="K65" t="s">
        <v>13</v>
      </c>
      <c r="L65" t="s">
        <v>16</v>
      </c>
      <c r="M65" t="s">
        <v>35</v>
      </c>
      <c r="N65" s="2">
        <v>46112</v>
      </c>
    </row>
    <row r="66" spans="1:14" outlineLevel="2" x14ac:dyDescent="0.25">
      <c r="A66" t="s">
        <v>26</v>
      </c>
      <c r="B66" s="2">
        <v>46112</v>
      </c>
      <c r="C66" t="s">
        <v>26</v>
      </c>
      <c r="D66" t="s">
        <v>33</v>
      </c>
      <c r="E66" t="s">
        <v>9</v>
      </c>
      <c r="F66" s="3">
        <v>15000</v>
      </c>
      <c r="G66" s="3">
        <v>15000</v>
      </c>
      <c r="H66" t="s">
        <v>3</v>
      </c>
      <c r="I66" t="s">
        <v>3</v>
      </c>
      <c r="J66" t="s">
        <v>44</v>
      </c>
      <c r="K66" t="s">
        <v>13</v>
      </c>
      <c r="L66" t="s">
        <v>16</v>
      </c>
      <c r="M66" t="s">
        <v>35</v>
      </c>
      <c r="N66" s="2">
        <v>46112</v>
      </c>
    </row>
    <row r="67" spans="1:14" outlineLevel="2" x14ac:dyDescent="0.25">
      <c r="A67" t="s">
        <v>26</v>
      </c>
      <c r="B67" s="2">
        <v>46112</v>
      </c>
      <c r="C67" t="s">
        <v>26</v>
      </c>
      <c r="D67" t="s">
        <v>33</v>
      </c>
      <c r="E67" t="s">
        <v>9</v>
      </c>
      <c r="F67" s="3">
        <v>40000</v>
      </c>
      <c r="G67" s="3">
        <v>40000</v>
      </c>
      <c r="H67" t="s">
        <v>3</v>
      </c>
      <c r="I67" t="s">
        <v>3</v>
      </c>
      <c r="J67" t="s">
        <v>44</v>
      </c>
      <c r="K67" t="s">
        <v>13</v>
      </c>
      <c r="L67" t="s">
        <v>16</v>
      </c>
      <c r="M67" t="s">
        <v>35</v>
      </c>
      <c r="N67" s="2">
        <v>46112</v>
      </c>
    </row>
    <row r="68" spans="1:14" outlineLevel="2" x14ac:dyDescent="0.25">
      <c r="A68" t="s">
        <v>26</v>
      </c>
      <c r="B68" s="2">
        <v>46112</v>
      </c>
      <c r="C68" t="s">
        <v>26</v>
      </c>
      <c r="D68" t="s">
        <v>33</v>
      </c>
      <c r="E68" t="s">
        <v>9</v>
      </c>
      <c r="F68" s="3">
        <v>40000</v>
      </c>
      <c r="G68" s="3">
        <v>40000</v>
      </c>
      <c r="H68" t="s">
        <v>3</v>
      </c>
      <c r="I68" t="s">
        <v>3</v>
      </c>
      <c r="J68" t="s">
        <v>44</v>
      </c>
      <c r="K68" t="s">
        <v>13</v>
      </c>
      <c r="L68" t="s">
        <v>16</v>
      </c>
      <c r="M68" t="s">
        <v>35</v>
      </c>
      <c r="N68" s="2">
        <v>46112</v>
      </c>
    </row>
    <row r="69" spans="1:14" outlineLevel="2" x14ac:dyDescent="0.25">
      <c r="A69" t="s">
        <v>26</v>
      </c>
      <c r="B69" s="2">
        <v>46112</v>
      </c>
      <c r="C69" t="s">
        <v>26</v>
      </c>
      <c r="D69" t="s">
        <v>1</v>
      </c>
      <c r="E69" t="s">
        <v>9</v>
      </c>
      <c r="F69" s="3">
        <v>343.2</v>
      </c>
      <c r="G69" s="3">
        <v>343.2</v>
      </c>
      <c r="H69" t="s">
        <v>3</v>
      </c>
      <c r="I69" t="s">
        <v>3</v>
      </c>
      <c r="J69" t="s">
        <v>45</v>
      </c>
      <c r="K69" t="s">
        <v>13</v>
      </c>
      <c r="L69" t="s">
        <v>16</v>
      </c>
      <c r="M69" t="s">
        <v>7</v>
      </c>
      <c r="N69" s="2">
        <v>46112</v>
      </c>
    </row>
    <row r="70" spans="1:14" outlineLevel="2" x14ac:dyDescent="0.25">
      <c r="A70" t="s">
        <v>26</v>
      </c>
      <c r="B70" s="2">
        <v>46112</v>
      </c>
      <c r="C70" t="s">
        <v>26</v>
      </c>
      <c r="D70" t="s">
        <v>1</v>
      </c>
      <c r="E70" t="s">
        <v>9</v>
      </c>
      <c r="F70" s="3">
        <v>382.98</v>
      </c>
      <c r="G70" s="3">
        <v>382.98</v>
      </c>
      <c r="H70" t="s">
        <v>3</v>
      </c>
      <c r="I70" t="s">
        <v>3</v>
      </c>
      <c r="J70" t="s">
        <v>45</v>
      </c>
      <c r="K70" t="s">
        <v>13</v>
      </c>
      <c r="L70" t="s">
        <v>16</v>
      </c>
      <c r="M70" t="s">
        <v>7</v>
      </c>
      <c r="N70" s="2">
        <v>46112</v>
      </c>
    </row>
    <row r="71" spans="1:14" outlineLevel="2" x14ac:dyDescent="0.25">
      <c r="A71" t="s">
        <v>26</v>
      </c>
      <c r="B71" s="2">
        <v>46112</v>
      </c>
      <c r="C71" t="s">
        <v>26</v>
      </c>
      <c r="D71" t="s">
        <v>1</v>
      </c>
      <c r="E71" t="s">
        <v>9</v>
      </c>
      <c r="F71" s="3">
        <v>5600</v>
      </c>
      <c r="G71" s="3">
        <v>5600</v>
      </c>
      <c r="H71" t="s">
        <v>3</v>
      </c>
      <c r="I71" t="s">
        <v>3</v>
      </c>
      <c r="J71" t="s">
        <v>45</v>
      </c>
      <c r="K71" t="s">
        <v>13</v>
      </c>
      <c r="L71" t="s">
        <v>16</v>
      </c>
      <c r="M71" t="s">
        <v>7</v>
      </c>
      <c r="N71" s="2">
        <v>46112</v>
      </c>
    </row>
    <row r="72" spans="1:14" outlineLevel="2" x14ac:dyDescent="0.25">
      <c r="A72" t="s">
        <v>26</v>
      </c>
      <c r="B72" s="2">
        <v>46112</v>
      </c>
      <c r="C72" t="s">
        <v>26</v>
      </c>
      <c r="D72" t="s">
        <v>1</v>
      </c>
      <c r="E72" t="s">
        <v>9</v>
      </c>
      <c r="F72" s="3">
        <v>10105</v>
      </c>
      <c r="G72" s="3">
        <v>10105</v>
      </c>
      <c r="H72" t="s">
        <v>3</v>
      </c>
      <c r="I72" t="s">
        <v>3</v>
      </c>
      <c r="J72" t="s">
        <v>45</v>
      </c>
      <c r="K72" t="s">
        <v>13</v>
      </c>
      <c r="L72" t="s">
        <v>16</v>
      </c>
      <c r="M72" t="s">
        <v>7</v>
      </c>
      <c r="N72" s="2">
        <v>46112</v>
      </c>
    </row>
    <row r="73" spans="1:14" outlineLevel="2" x14ac:dyDescent="0.25">
      <c r="A73" t="s">
        <v>26</v>
      </c>
      <c r="B73" s="2">
        <v>46112</v>
      </c>
      <c r="C73" t="s">
        <v>26</v>
      </c>
      <c r="D73" t="s">
        <v>1</v>
      </c>
      <c r="E73" t="s">
        <v>9</v>
      </c>
      <c r="F73" s="3">
        <v>15000</v>
      </c>
      <c r="G73" s="3">
        <v>15000</v>
      </c>
      <c r="H73" t="s">
        <v>3</v>
      </c>
      <c r="I73" t="s">
        <v>3</v>
      </c>
      <c r="J73" t="s">
        <v>45</v>
      </c>
      <c r="K73" t="s">
        <v>13</v>
      </c>
      <c r="L73" t="s">
        <v>16</v>
      </c>
      <c r="M73" t="s">
        <v>7</v>
      </c>
      <c r="N73" s="2">
        <v>46112</v>
      </c>
    </row>
    <row r="74" spans="1:14" outlineLevel="2" x14ac:dyDescent="0.25">
      <c r="A74" t="s">
        <v>26</v>
      </c>
      <c r="B74" s="2">
        <v>46112</v>
      </c>
      <c r="C74" t="s">
        <v>26</v>
      </c>
      <c r="D74" t="s">
        <v>1</v>
      </c>
      <c r="E74" t="s">
        <v>9</v>
      </c>
      <c r="F74" s="3">
        <v>40000</v>
      </c>
      <c r="G74" s="3">
        <v>40000</v>
      </c>
      <c r="H74" t="s">
        <v>3</v>
      </c>
      <c r="I74" t="s">
        <v>3</v>
      </c>
      <c r="J74" t="s">
        <v>45</v>
      </c>
      <c r="K74" t="s">
        <v>13</v>
      </c>
      <c r="L74" t="s">
        <v>16</v>
      </c>
      <c r="M74" t="s">
        <v>7</v>
      </c>
      <c r="N74" s="2">
        <v>46112</v>
      </c>
    </row>
    <row r="75" spans="1:14" outlineLevel="2" x14ac:dyDescent="0.25">
      <c r="A75" t="s">
        <v>26</v>
      </c>
      <c r="B75" s="2">
        <v>46112</v>
      </c>
      <c r="C75" t="s">
        <v>26</v>
      </c>
      <c r="D75" t="s">
        <v>1</v>
      </c>
      <c r="E75" t="s">
        <v>9</v>
      </c>
      <c r="F75" s="3">
        <v>40000</v>
      </c>
      <c r="G75" s="3">
        <v>40000</v>
      </c>
      <c r="H75" t="s">
        <v>3</v>
      </c>
      <c r="I75" t="s">
        <v>3</v>
      </c>
      <c r="J75" t="s">
        <v>45</v>
      </c>
      <c r="K75" t="s">
        <v>13</v>
      </c>
      <c r="L75" t="s">
        <v>16</v>
      </c>
      <c r="M75" t="s">
        <v>7</v>
      </c>
      <c r="N75" s="2">
        <v>46112</v>
      </c>
    </row>
    <row r="76" spans="1:14" outlineLevel="2" x14ac:dyDescent="0.25">
      <c r="A76" t="s">
        <v>26</v>
      </c>
      <c r="B76" s="2">
        <v>46112</v>
      </c>
      <c r="C76" t="s">
        <v>26</v>
      </c>
      <c r="D76" t="s">
        <v>1</v>
      </c>
      <c r="E76" t="s">
        <v>9</v>
      </c>
      <c r="F76" s="3">
        <v>17708.5</v>
      </c>
      <c r="G76" s="3">
        <v>17708.5</v>
      </c>
      <c r="H76" t="s">
        <v>3</v>
      </c>
      <c r="I76" t="s">
        <v>3</v>
      </c>
      <c r="J76" t="s">
        <v>45</v>
      </c>
      <c r="K76" t="s">
        <v>13</v>
      </c>
      <c r="L76" t="s">
        <v>16</v>
      </c>
      <c r="M76" t="s">
        <v>7</v>
      </c>
      <c r="N76" s="2">
        <v>46112</v>
      </c>
    </row>
    <row r="77" spans="1:14" outlineLevel="2" x14ac:dyDescent="0.25">
      <c r="A77" t="s">
        <v>26</v>
      </c>
      <c r="B77" s="2">
        <v>46142</v>
      </c>
      <c r="C77" t="s">
        <v>26</v>
      </c>
      <c r="D77" t="s">
        <v>33</v>
      </c>
      <c r="E77" t="s">
        <v>9</v>
      </c>
      <c r="F77" s="3">
        <v>17922.5</v>
      </c>
      <c r="G77" s="3">
        <v>17922.5</v>
      </c>
      <c r="H77" t="s">
        <v>3</v>
      </c>
      <c r="I77" t="s">
        <v>3</v>
      </c>
      <c r="J77" t="s">
        <v>34</v>
      </c>
      <c r="K77" t="s">
        <v>13</v>
      </c>
      <c r="L77" t="s">
        <v>17</v>
      </c>
      <c r="M77" t="s">
        <v>35</v>
      </c>
      <c r="N77" s="2">
        <v>46142</v>
      </c>
    </row>
    <row r="78" spans="1:14" outlineLevel="2" x14ac:dyDescent="0.25">
      <c r="A78" t="s">
        <v>26</v>
      </c>
      <c r="B78" s="2">
        <v>46132</v>
      </c>
      <c r="C78" t="s">
        <v>26</v>
      </c>
      <c r="D78" t="s">
        <v>1</v>
      </c>
      <c r="E78" t="s">
        <v>40</v>
      </c>
      <c r="F78" s="3">
        <v>20000</v>
      </c>
      <c r="G78" s="3">
        <v>20000</v>
      </c>
      <c r="H78" t="s">
        <v>3</v>
      </c>
      <c r="I78" t="s">
        <v>3</v>
      </c>
      <c r="J78" t="s">
        <v>42</v>
      </c>
      <c r="K78" t="s">
        <v>13</v>
      </c>
      <c r="L78" t="s">
        <v>17</v>
      </c>
      <c r="M78" t="s">
        <v>7</v>
      </c>
      <c r="N78" s="2">
        <v>46132</v>
      </c>
    </row>
    <row r="79" spans="1:14" outlineLevel="2" x14ac:dyDescent="0.25">
      <c r="A79" t="s">
        <v>26</v>
      </c>
      <c r="B79" s="2">
        <v>46132</v>
      </c>
      <c r="C79" t="s">
        <v>26</v>
      </c>
      <c r="D79" t="s">
        <v>1</v>
      </c>
      <c r="E79" t="s">
        <v>40</v>
      </c>
      <c r="F79" s="3">
        <v>648.48</v>
      </c>
      <c r="G79" s="3">
        <v>648.48</v>
      </c>
      <c r="H79" t="s">
        <v>3</v>
      </c>
      <c r="I79" t="s">
        <v>3</v>
      </c>
      <c r="J79" t="s">
        <v>43</v>
      </c>
      <c r="K79" t="s">
        <v>13</v>
      </c>
      <c r="L79" t="s">
        <v>17</v>
      </c>
      <c r="M79" t="s">
        <v>7</v>
      </c>
      <c r="N79" s="2">
        <v>46132</v>
      </c>
    </row>
    <row r="80" spans="1:14" outlineLevel="2" x14ac:dyDescent="0.25">
      <c r="A80" t="s">
        <v>26</v>
      </c>
      <c r="B80" s="2">
        <v>46142</v>
      </c>
      <c r="C80" t="s">
        <v>26</v>
      </c>
      <c r="D80" t="s">
        <v>1</v>
      </c>
      <c r="E80" t="s">
        <v>9</v>
      </c>
      <c r="F80" s="3">
        <v>17922.5</v>
      </c>
      <c r="G80" s="3">
        <v>17922.5</v>
      </c>
      <c r="H80" t="s">
        <v>3</v>
      </c>
      <c r="I80" t="s">
        <v>3</v>
      </c>
      <c r="J80" t="s">
        <v>45</v>
      </c>
      <c r="K80" t="s">
        <v>13</v>
      </c>
      <c r="L80" t="s">
        <v>17</v>
      </c>
      <c r="M80" t="s">
        <v>7</v>
      </c>
      <c r="N80" s="2">
        <v>46142</v>
      </c>
    </row>
    <row r="81" spans="1:14" outlineLevel="2" x14ac:dyDescent="0.25">
      <c r="A81" t="s">
        <v>26</v>
      </c>
      <c r="B81" s="2">
        <v>46142</v>
      </c>
      <c r="C81" t="s">
        <v>26</v>
      </c>
      <c r="D81" t="s">
        <v>1</v>
      </c>
      <c r="E81" t="s">
        <v>9</v>
      </c>
      <c r="F81" s="3">
        <v>4700</v>
      </c>
      <c r="G81" s="3">
        <v>4700</v>
      </c>
      <c r="H81" t="s">
        <v>3</v>
      </c>
      <c r="I81" t="s">
        <v>3</v>
      </c>
      <c r="J81" t="s">
        <v>10</v>
      </c>
      <c r="K81" t="s">
        <v>13</v>
      </c>
      <c r="L81" t="s">
        <v>17</v>
      </c>
      <c r="M81" t="s">
        <v>7</v>
      </c>
      <c r="N81" s="2">
        <v>46142</v>
      </c>
    </row>
    <row r="82" spans="1:14" outlineLevel="2" x14ac:dyDescent="0.25">
      <c r="A82" t="s">
        <v>26</v>
      </c>
      <c r="B82" s="2">
        <v>46146</v>
      </c>
      <c r="C82" t="s">
        <v>26</v>
      </c>
      <c r="D82" t="s">
        <v>1</v>
      </c>
      <c r="E82" t="s">
        <v>30</v>
      </c>
      <c r="F82" s="3">
        <v>2800</v>
      </c>
      <c r="G82" s="3">
        <v>2800</v>
      </c>
      <c r="H82" t="s">
        <v>3</v>
      </c>
      <c r="I82" t="s">
        <v>3</v>
      </c>
      <c r="J82" t="s">
        <v>39</v>
      </c>
      <c r="K82" t="s">
        <v>13</v>
      </c>
      <c r="L82" t="s">
        <v>18</v>
      </c>
      <c r="M82" t="s">
        <v>7</v>
      </c>
      <c r="N82" s="2">
        <v>46146</v>
      </c>
    </row>
    <row r="83" spans="1:14" outlineLevel="2" x14ac:dyDescent="0.25">
      <c r="A83" t="s">
        <v>26</v>
      </c>
      <c r="B83" s="2">
        <v>46150</v>
      </c>
      <c r="C83" t="s">
        <v>26</v>
      </c>
      <c r="D83" t="s">
        <v>1</v>
      </c>
      <c r="E83" t="s">
        <v>40</v>
      </c>
      <c r="F83" s="3">
        <v>413.49</v>
      </c>
      <c r="G83" s="3">
        <v>413.49</v>
      </c>
      <c r="H83" t="s">
        <v>3</v>
      </c>
      <c r="I83" t="s">
        <v>3</v>
      </c>
      <c r="J83" t="s">
        <v>43</v>
      </c>
      <c r="K83" t="s">
        <v>13</v>
      </c>
      <c r="L83" t="s">
        <v>18</v>
      </c>
      <c r="M83" t="s">
        <v>7</v>
      </c>
      <c r="N83" s="2">
        <v>46150</v>
      </c>
    </row>
    <row r="84" spans="1:14" outlineLevel="2" x14ac:dyDescent="0.25">
      <c r="A84" t="s">
        <v>26</v>
      </c>
      <c r="B84" s="2">
        <v>46153</v>
      </c>
      <c r="C84" t="s">
        <v>26</v>
      </c>
      <c r="D84" t="s">
        <v>1</v>
      </c>
      <c r="E84" t="s">
        <v>46</v>
      </c>
      <c r="F84" s="3">
        <v>20000</v>
      </c>
      <c r="G84" s="3">
        <v>20000</v>
      </c>
      <c r="H84" t="s">
        <v>3</v>
      </c>
      <c r="I84" t="s">
        <v>3</v>
      </c>
      <c r="J84" t="s">
        <v>47</v>
      </c>
      <c r="K84" t="s">
        <v>13</v>
      </c>
      <c r="L84" t="s">
        <v>18</v>
      </c>
      <c r="M84" t="s">
        <v>7</v>
      </c>
      <c r="N84" s="2">
        <v>46153</v>
      </c>
    </row>
    <row r="85" spans="1:14" outlineLevel="2" x14ac:dyDescent="0.25">
      <c r="A85" t="s">
        <v>26</v>
      </c>
      <c r="B85" s="2">
        <v>46173</v>
      </c>
      <c r="C85" t="s">
        <v>26</v>
      </c>
      <c r="D85" t="s">
        <v>33</v>
      </c>
      <c r="E85" t="s">
        <v>9</v>
      </c>
      <c r="F85" s="3">
        <v>8667</v>
      </c>
      <c r="G85" s="3">
        <v>8667</v>
      </c>
      <c r="H85" t="s">
        <v>3</v>
      </c>
      <c r="I85" t="s">
        <v>3</v>
      </c>
      <c r="J85" t="s">
        <v>34</v>
      </c>
      <c r="K85" t="s">
        <v>13</v>
      </c>
      <c r="L85" t="s">
        <v>18</v>
      </c>
      <c r="M85" t="s">
        <v>35</v>
      </c>
      <c r="N85" s="2">
        <v>46173</v>
      </c>
    </row>
    <row r="86" spans="1:14" outlineLevel="2" x14ac:dyDescent="0.25">
      <c r="A86" t="s">
        <v>26</v>
      </c>
      <c r="B86" s="2">
        <v>46173</v>
      </c>
      <c r="C86" t="s">
        <v>26</v>
      </c>
      <c r="D86" t="s">
        <v>1</v>
      </c>
      <c r="E86" t="s">
        <v>9</v>
      </c>
      <c r="F86" s="3">
        <v>9000</v>
      </c>
      <c r="G86" s="3">
        <v>9000</v>
      </c>
      <c r="H86" t="s">
        <v>3</v>
      </c>
      <c r="I86" t="s">
        <v>3</v>
      </c>
      <c r="J86" t="s">
        <v>10</v>
      </c>
      <c r="K86" t="s">
        <v>13</v>
      </c>
      <c r="L86" t="s">
        <v>18</v>
      </c>
      <c r="M86" t="s">
        <v>7</v>
      </c>
      <c r="N86" s="2">
        <v>46173</v>
      </c>
    </row>
    <row r="87" spans="1:14" outlineLevel="2" x14ac:dyDescent="0.25">
      <c r="A87" t="s">
        <v>26</v>
      </c>
      <c r="B87" s="2">
        <v>46174</v>
      </c>
      <c r="C87" t="s">
        <v>26</v>
      </c>
      <c r="D87" t="s">
        <v>1</v>
      </c>
      <c r="E87" t="s">
        <v>30</v>
      </c>
      <c r="F87" s="3">
        <v>2520</v>
      </c>
      <c r="G87" s="3">
        <v>2520</v>
      </c>
      <c r="H87" t="s">
        <v>3</v>
      </c>
      <c r="I87" t="s">
        <v>3</v>
      </c>
      <c r="J87" t="s">
        <v>39</v>
      </c>
      <c r="K87" t="s">
        <v>13</v>
      </c>
      <c r="L87" t="s">
        <v>19</v>
      </c>
      <c r="M87" t="s">
        <v>7</v>
      </c>
      <c r="N87" s="2">
        <v>46174</v>
      </c>
    </row>
    <row r="88" spans="1:14" outlineLevel="2" x14ac:dyDescent="0.25">
      <c r="A88" t="s">
        <v>26</v>
      </c>
      <c r="B88" s="2">
        <v>46173</v>
      </c>
      <c r="C88" t="s">
        <v>26</v>
      </c>
      <c r="D88" t="s">
        <v>1</v>
      </c>
      <c r="E88" t="s">
        <v>9</v>
      </c>
      <c r="F88" s="3">
        <v>8667</v>
      </c>
      <c r="G88" s="3">
        <v>8667</v>
      </c>
      <c r="H88" t="s">
        <v>3</v>
      </c>
      <c r="I88" t="s">
        <v>3</v>
      </c>
      <c r="J88" t="s">
        <v>45</v>
      </c>
      <c r="K88" t="s">
        <v>13</v>
      </c>
      <c r="L88" t="s">
        <v>18</v>
      </c>
      <c r="M88" t="s">
        <v>7</v>
      </c>
      <c r="N88" s="2">
        <v>46173</v>
      </c>
    </row>
    <row r="89" spans="1:14" outlineLevel="2" x14ac:dyDescent="0.25">
      <c r="A89" t="s">
        <v>26</v>
      </c>
      <c r="B89" s="2">
        <v>46203</v>
      </c>
      <c r="C89" t="s">
        <v>26</v>
      </c>
      <c r="D89" t="s">
        <v>33</v>
      </c>
      <c r="E89" t="s">
        <v>9</v>
      </c>
      <c r="F89" s="3">
        <v>9737</v>
      </c>
      <c r="G89" s="3">
        <v>9737</v>
      </c>
      <c r="H89" t="s">
        <v>3</v>
      </c>
      <c r="I89" t="s">
        <v>3</v>
      </c>
      <c r="J89" t="s">
        <v>34</v>
      </c>
      <c r="K89" t="s">
        <v>13</v>
      </c>
      <c r="L89" t="s">
        <v>19</v>
      </c>
      <c r="M89" t="s">
        <v>35</v>
      </c>
      <c r="N89" s="2">
        <v>46203</v>
      </c>
    </row>
    <row r="90" spans="1:14" outlineLevel="2" x14ac:dyDescent="0.25">
      <c r="A90" t="s">
        <v>26</v>
      </c>
      <c r="B90" s="2">
        <v>46198</v>
      </c>
      <c r="C90" t="s">
        <v>26</v>
      </c>
      <c r="D90" t="s">
        <v>1</v>
      </c>
      <c r="E90" t="s">
        <v>46</v>
      </c>
      <c r="F90" s="3">
        <v>23062.5</v>
      </c>
      <c r="G90" s="3">
        <v>23062.5</v>
      </c>
      <c r="H90" t="s">
        <v>3</v>
      </c>
      <c r="I90" t="s">
        <v>3</v>
      </c>
      <c r="J90" t="s">
        <v>47</v>
      </c>
      <c r="K90" t="s">
        <v>13</v>
      </c>
      <c r="L90" t="s">
        <v>19</v>
      </c>
      <c r="M90" t="s">
        <v>7</v>
      </c>
      <c r="N90" s="2">
        <v>46198</v>
      </c>
    </row>
    <row r="91" spans="1:14" outlineLevel="2" x14ac:dyDescent="0.25">
      <c r="A91" t="s">
        <v>26</v>
      </c>
      <c r="B91" s="2">
        <v>46203</v>
      </c>
      <c r="C91" t="s">
        <v>26</v>
      </c>
      <c r="D91" t="s">
        <v>1</v>
      </c>
      <c r="E91" t="s">
        <v>9</v>
      </c>
      <c r="F91" s="3">
        <v>18000</v>
      </c>
      <c r="G91" s="3">
        <v>18000</v>
      </c>
      <c r="H91" t="s">
        <v>3</v>
      </c>
      <c r="I91" t="s">
        <v>3</v>
      </c>
      <c r="J91" t="s">
        <v>10</v>
      </c>
      <c r="K91" t="s">
        <v>13</v>
      </c>
      <c r="L91" t="s">
        <v>19</v>
      </c>
      <c r="M91" t="s">
        <v>7</v>
      </c>
      <c r="N91" s="2">
        <v>46203</v>
      </c>
    </row>
    <row r="92" spans="1:14" outlineLevel="2" x14ac:dyDescent="0.25">
      <c r="A92" t="s">
        <v>26</v>
      </c>
      <c r="B92" s="2">
        <v>46205</v>
      </c>
      <c r="C92" t="s">
        <v>26</v>
      </c>
      <c r="D92" t="s">
        <v>1</v>
      </c>
      <c r="E92" t="s">
        <v>30</v>
      </c>
      <c r="F92" s="3">
        <v>5059.3999999999996</v>
      </c>
      <c r="G92" s="3">
        <v>5059.3999999999996</v>
      </c>
      <c r="H92" t="s">
        <v>3</v>
      </c>
      <c r="I92" t="s">
        <v>3</v>
      </c>
      <c r="J92" t="s">
        <v>39</v>
      </c>
      <c r="K92" t="s">
        <v>13</v>
      </c>
      <c r="L92" t="s">
        <v>21</v>
      </c>
      <c r="M92" t="s">
        <v>7</v>
      </c>
      <c r="N92" s="2">
        <v>46205</v>
      </c>
    </row>
    <row r="93" spans="1:14" outlineLevel="2" x14ac:dyDescent="0.25">
      <c r="A93" t="s">
        <v>26</v>
      </c>
      <c r="B93" s="2">
        <v>46203</v>
      </c>
      <c r="C93" t="s">
        <v>26</v>
      </c>
      <c r="D93" t="s">
        <v>1</v>
      </c>
      <c r="E93" t="s">
        <v>9</v>
      </c>
      <c r="F93" s="3">
        <v>9737</v>
      </c>
      <c r="G93" s="3">
        <v>9737</v>
      </c>
      <c r="H93" t="s">
        <v>3</v>
      </c>
      <c r="I93" t="s">
        <v>3</v>
      </c>
      <c r="J93" t="s">
        <v>45</v>
      </c>
      <c r="K93" t="s">
        <v>13</v>
      </c>
      <c r="L93" t="s">
        <v>19</v>
      </c>
      <c r="M93" t="s">
        <v>7</v>
      </c>
      <c r="N93" s="2">
        <v>46203</v>
      </c>
    </row>
    <row r="94" spans="1:14" outlineLevel="2" x14ac:dyDescent="0.25">
      <c r="A94" t="s">
        <v>26</v>
      </c>
      <c r="B94" s="2">
        <v>46234</v>
      </c>
      <c r="C94" t="s">
        <v>26</v>
      </c>
      <c r="D94" t="s">
        <v>33</v>
      </c>
      <c r="E94" t="s">
        <v>9</v>
      </c>
      <c r="F94" s="3">
        <v>12840</v>
      </c>
      <c r="G94" s="3">
        <v>12840</v>
      </c>
      <c r="H94" t="s">
        <v>3</v>
      </c>
      <c r="I94" t="s">
        <v>3</v>
      </c>
      <c r="J94" t="s">
        <v>48</v>
      </c>
      <c r="K94" t="s">
        <v>13</v>
      </c>
      <c r="L94" t="s">
        <v>21</v>
      </c>
      <c r="M94" t="s">
        <v>35</v>
      </c>
      <c r="N94" s="2">
        <v>46234</v>
      </c>
    </row>
    <row r="95" spans="1:14" outlineLevel="2" x14ac:dyDescent="0.25">
      <c r="A95" t="s">
        <v>26</v>
      </c>
      <c r="B95" s="2">
        <v>46238</v>
      </c>
      <c r="C95" t="s">
        <v>26</v>
      </c>
      <c r="D95" t="s">
        <v>1</v>
      </c>
      <c r="E95" t="s">
        <v>30</v>
      </c>
      <c r="F95" s="3">
        <v>560</v>
      </c>
      <c r="G95" s="3">
        <v>560</v>
      </c>
      <c r="H95" t="s">
        <v>3</v>
      </c>
      <c r="I95" t="s">
        <v>3</v>
      </c>
      <c r="J95" t="s">
        <v>39</v>
      </c>
      <c r="K95" t="s">
        <v>13</v>
      </c>
      <c r="L95" t="s">
        <v>22</v>
      </c>
      <c r="M95" t="s">
        <v>7</v>
      </c>
      <c r="N95" s="2">
        <v>46238</v>
      </c>
    </row>
    <row r="96" spans="1:14" outlineLevel="2" x14ac:dyDescent="0.25">
      <c r="A96" t="s">
        <v>26</v>
      </c>
      <c r="B96" s="2">
        <v>46234</v>
      </c>
      <c r="C96" t="s">
        <v>26</v>
      </c>
      <c r="D96" t="s">
        <v>1</v>
      </c>
      <c r="E96" t="s">
        <v>9</v>
      </c>
      <c r="F96" s="3">
        <v>12840</v>
      </c>
      <c r="G96" s="3">
        <v>12840</v>
      </c>
      <c r="H96" t="s">
        <v>3</v>
      </c>
      <c r="I96" t="s">
        <v>3</v>
      </c>
      <c r="J96" t="s">
        <v>45</v>
      </c>
      <c r="K96" t="s">
        <v>13</v>
      </c>
      <c r="L96" t="s">
        <v>21</v>
      </c>
      <c r="M96" t="s">
        <v>7</v>
      </c>
      <c r="N96" s="2">
        <v>46234</v>
      </c>
    </row>
    <row r="97" spans="1:14" outlineLevel="2" x14ac:dyDescent="0.25">
      <c r="A97" t="s">
        <v>26</v>
      </c>
      <c r="B97" s="2">
        <v>46265</v>
      </c>
      <c r="C97" t="s">
        <v>26</v>
      </c>
      <c r="D97" t="s">
        <v>33</v>
      </c>
      <c r="E97" t="s">
        <v>9</v>
      </c>
      <c r="F97" s="3">
        <v>16906</v>
      </c>
      <c r="G97" s="3">
        <v>16906</v>
      </c>
      <c r="H97" t="s">
        <v>3</v>
      </c>
      <c r="I97" t="s">
        <v>3</v>
      </c>
      <c r="J97" t="s">
        <v>49</v>
      </c>
      <c r="K97" t="s">
        <v>13</v>
      </c>
      <c r="L97" t="s">
        <v>22</v>
      </c>
      <c r="M97" t="s">
        <v>35</v>
      </c>
      <c r="N97" s="2">
        <v>46265</v>
      </c>
    </row>
    <row r="98" spans="1:14" outlineLevel="2" x14ac:dyDescent="0.25">
      <c r="A98" t="s">
        <v>26</v>
      </c>
      <c r="B98" s="2">
        <v>46265</v>
      </c>
      <c r="C98" t="s">
        <v>26</v>
      </c>
      <c r="D98" t="s">
        <v>1</v>
      </c>
      <c r="E98" t="s">
        <v>9</v>
      </c>
      <c r="F98" s="3">
        <v>16906</v>
      </c>
      <c r="G98" s="3">
        <v>16906</v>
      </c>
      <c r="H98" t="s">
        <v>3</v>
      </c>
      <c r="I98" t="s">
        <v>3</v>
      </c>
      <c r="J98" t="s">
        <v>45</v>
      </c>
      <c r="K98" t="s">
        <v>13</v>
      </c>
      <c r="L98" t="s">
        <v>22</v>
      </c>
      <c r="M98" t="s">
        <v>7</v>
      </c>
      <c r="N98" s="2">
        <v>46265</v>
      </c>
    </row>
    <row r="99" spans="1:14" outlineLevel="2" x14ac:dyDescent="0.25">
      <c r="A99" t="s">
        <v>26</v>
      </c>
      <c r="B99" s="2">
        <v>46269</v>
      </c>
      <c r="C99" t="s">
        <v>26</v>
      </c>
      <c r="D99" t="s">
        <v>1</v>
      </c>
      <c r="E99" t="s">
        <v>30</v>
      </c>
      <c r="F99" s="3">
        <v>2030</v>
      </c>
      <c r="G99" s="3">
        <v>2030</v>
      </c>
      <c r="H99" t="s">
        <v>3</v>
      </c>
      <c r="I99" t="s">
        <v>3</v>
      </c>
      <c r="J99" t="s">
        <v>39</v>
      </c>
      <c r="K99" t="s">
        <v>13</v>
      </c>
      <c r="L99" t="s">
        <v>6</v>
      </c>
      <c r="M99" t="s">
        <v>7</v>
      </c>
      <c r="N99" s="2">
        <v>46269</v>
      </c>
    </row>
    <row r="100" spans="1:14" outlineLevel="1" x14ac:dyDescent="0.25">
      <c r="A100" s="4" t="s">
        <v>26</v>
      </c>
      <c r="B100" s="5"/>
      <c r="C100" s="4" t="s">
        <v>9</v>
      </c>
      <c r="D100" s="4" t="s">
        <v>9</v>
      </c>
      <c r="E100" s="4" t="s">
        <v>9</v>
      </c>
      <c r="F100" s="6">
        <v>1078512.57</v>
      </c>
      <c r="G100" s="6">
        <v>1078512.57</v>
      </c>
      <c r="H100" s="4" t="s">
        <v>9</v>
      </c>
      <c r="I100" s="4" t="s">
        <v>3</v>
      </c>
      <c r="J100" s="4" t="s">
        <v>9</v>
      </c>
      <c r="K100" s="4" t="s">
        <v>9</v>
      </c>
      <c r="L100" s="4" t="s">
        <v>9</v>
      </c>
      <c r="M100" s="4" t="s">
        <v>9</v>
      </c>
      <c r="N100" s="5"/>
    </row>
    <row r="101" spans="1:14" outlineLevel="2" x14ac:dyDescent="0.25">
      <c r="A101" t="s">
        <v>50</v>
      </c>
      <c r="B101" s="2">
        <v>45962</v>
      </c>
      <c r="C101" t="s">
        <v>50</v>
      </c>
      <c r="D101" t="s">
        <v>51</v>
      </c>
      <c r="E101" t="s">
        <v>9</v>
      </c>
      <c r="F101" s="3">
        <v>27762</v>
      </c>
      <c r="G101" s="3">
        <v>27762</v>
      </c>
      <c r="H101" t="s">
        <v>3</v>
      </c>
      <c r="I101" t="s">
        <v>3</v>
      </c>
      <c r="J101" t="s">
        <v>52</v>
      </c>
      <c r="K101" t="s">
        <v>5</v>
      </c>
      <c r="L101" t="s">
        <v>11</v>
      </c>
      <c r="M101" t="s">
        <v>53</v>
      </c>
      <c r="N101" s="2">
        <v>45962</v>
      </c>
    </row>
    <row r="102" spans="1:14" outlineLevel="2" x14ac:dyDescent="0.25">
      <c r="A102" t="s">
        <v>50</v>
      </c>
      <c r="B102" s="2">
        <v>45986</v>
      </c>
      <c r="C102" t="s">
        <v>50</v>
      </c>
      <c r="D102" t="s">
        <v>51</v>
      </c>
      <c r="E102" t="s">
        <v>9</v>
      </c>
      <c r="F102" s="3">
        <v>61250</v>
      </c>
      <c r="G102" s="3">
        <v>61250</v>
      </c>
      <c r="H102" t="s">
        <v>3</v>
      </c>
      <c r="I102" t="s">
        <v>3</v>
      </c>
      <c r="J102" t="s">
        <v>52</v>
      </c>
      <c r="K102" t="s">
        <v>5</v>
      </c>
      <c r="L102" t="s">
        <v>11</v>
      </c>
      <c r="M102" t="s">
        <v>53</v>
      </c>
      <c r="N102" s="2">
        <v>45986</v>
      </c>
    </row>
    <row r="103" spans="1:14" outlineLevel="2" x14ac:dyDescent="0.25">
      <c r="A103" t="s">
        <v>50</v>
      </c>
      <c r="B103" s="2">
        <v>45991</v>
      </c>
      <c r="C103" t="s">
        <v>50</v>
      </c>
      <c r="D103" t="s">
        <v>1</v>
      </c>
      <c r="E103" t="s">
        <v>9</v>
      </c>
      <c r="F103" s="3">
        <v>2100</v>
      </c>
      <c r="G103" s="3">
        <v>2100</v>
      </c>
      <c r="H103" t="s">
        <v>3</v>
      </c>
      <c r="I103" t="s">
        <v>3</v>
      </c>
      <c r="J103" t="s">
        <v>10</v>
      </c>
      <c r="K103" t="s">
        <v>5</v>
      </c>
      <c r="L103" t="s">
        <v>11</v>
      </c>
      <c r="M103" t="s">
        <v>7</v>
      </c>
      <c r="N103" s="2">
        <v>45991</v>
      </c>
    </row>
    <row r="104" spans="1:14" outlineLevel="2" x14ac:dyDescent="0.25">
      <c r="A104" t="s">
        <v>50</v>
      </c>
      <c r="B104" s="2">
        <v>46006</v>
      </c>
      <c r="C104" t="s">
        <v>50</v>
      </c>
      <c r="D104" t="s">
        <v>1</v>
      </c>
      <c r="E104" t="s">
        <v>54</v>
      </c>
      <c r="F104" s="3">
        <v>32137.88</v>
      </c>
      <c r="G104" s="3">
        <v>32137.88</v>
      </c>
      <c r="H104" t="s">
        <v>3</v>
      </c>
      <c r="I104" t="s">
        <v>3</v>
      </c>
      <c r="J104" t="s">
        <v>55</v>
      </c>
      <c r="K104" t="s">
        <v>5</v>
      </c>
      <c r="L104" t="s">
        <v>12</v>
      </c>
      <c r="M104" t="s">
        <v>7</v>
      </c>
      <c r="N104" s="2">
        <v>46006</v>
      </c>
    </row>
    <row r="105" spans="1:14" outlineLevel="2" x14ac:dyDescent="0.25">
      <c r="A105" t="s">
        <v>50</v>
      </c>
      <c r="B105" s="2">
        <v>46013</v>
      </c>
      <c r="C105" t="s">
        <v>50</v>
      </c>
      <c r="D105" t="s">
        <v>1</v>
      </c>
      <c r="E105" t="s">
        <v>54</v>
      </c>
      <c r="F105" s="3">
        <v>21000</v>
      </c>
      <c r="G105" s="3">
        <v>21000</v>
      </c>
      <c r="H105" t="s">
        <v>3</v>
      </c>
      <c r="I105" t="s">
        <v>3</v>
      </c>
      <c r="J105" t="s">
        <v>55</v>
      </c>
      <c r="K105" t="s">
        <v>5</v>
      </c>
      <c r="L105" t="s">
        <v>12</v>
      </c>
      <c r="M105" t="s">
        <v>7</v>
      </c>
      <c r="N105" s="2">
        <v>46013</v>
      </c>
    </row>
    <row r="106" spans="1:14" outlineLevel="2" x14ac:dyDescent="0.25">
      <c r="A106" t="s">
        <v>50</v>
      </c>
      <c r="B106" s="2">
        <v>46022</v>
      </c>
      <c r="C106" t="s">
        <v>50</v>
      </c>
      <c r="D106" t="s">
        <v>1</v>
      </c>
      <c r="E106" t="s">
        <v>9</v>
      </c>
      <c r="F106" s="3">
        <v>800</v>
      </c>
      <c r="G106" s="3">
        <v>800</v>
      </c>
      <c r="H106" t="s">
        <v>3</v>
      </c>
      <c r="I106" t="s">
        <v>3</v>
      </c>
      <c r="J106" t="s">
        <v>10</v>
      </c>
      <c r="K106" t="s">
        <v>5</v>
      </c>
      <c r="L106" t="s">
        <v>12</v>
      </c>
      <c r="M106" t="s">
        <v>7</v>
      </c>
      <c r="N106" s="2">
        <v>46022</v>
      </c>
    </row>
    <row r="107" spans="1:14" outlineLevel="2" x14ac:dyDescent="0.25">
      <c r="A107" t="s">
        <v>50</v>
      </c>
      <c r="B107" s="2">
        <v>46015</v>
      </c>
      <c r="C107" t="s">
        <v>50</v>
      </c>
      <c r="D107" t="s">
        <v>1</v>
      </c>
      <c r="E107" t="s">
        <v>54</v>
      </c>
      <c r="F107" s="3">
        <v>17444.7</v>
      </c>
      <c r="G107" s="3">
        <v>17444.7</v>
      </c>
      <c r="H107" t="s">
        <v>3</v>
      </c>
      <c r="I107" t="s">
        <v>3</v>
      </c>
      <c r="J107" t="s">
        <v>55</v>
      </c>
      <c r="K107" t="s">
        <v>5</v>
      </c>
      <c r="L107" t="s">
        <v>12</v>
      </c>
      <c r="M107" t="s">
        <v>7</v>
      </c>
      <c r="N107" s="2">
        <v>46015</v>
      </c>
    </row>
    <row r="108" spans="1:14" outlineLevel="2" x14ac:dyDescent="0.25">
      <c r="A108" t="s">
        <v>50</v>
      </c>
      <c r="B108" s="2">
        <v>46015</v>
      </c>
      <c r="C108" t="s">
        <v>50</v>
      </c>
      <c r="D108" t="s">
        <v>1</v>
      </c>
      <c r="E108" t="s">
        <v>54</v>
      </c>
      <c r="F108" s="3">
        <v>29417.42</v>
      </c>
      <c r="G108" s="3">
        <v>29417.42</v>
      </c>
      <c r="H108" t="s">
        <v>3</v>
      </c>
      <c r="I108" t="s">
        <v>3</v>
      </c>
      <c r="J108" t="s">
        <v>55</v>
      </c>
      <c r="K108" t="s">
        <v>5</v>
      </c>
      <c r="L108" t="s">
        <v>12</v>
      </c>
      <c r="M108" t="s">
        <v>7</v>
      </c>
      <c r="N108" s="2">
        <v>46015</v>
      </c>
    </row>
    <row r="109" spans="1:14" outlineLevel="2" x14ac:dyDescent="0.25">
      <c r="A109" t="s">
        <v>50</v>
      </c>
      <c r="B109" s="2">
        <v>46021</v>
      </c>
      <c r="C109" t="s">
        <v>50</v>
      </c>
      <c r="D109" t="s">
        <v>1</v>
      </c>
      <c r="E109" t="s">
        <v>54</v>
      </c>
      <c r="F109" s="3">
        <v>21088</v>
      </c>
      <c r="G109" s="3">
        <v>21088</v>
      </c>
      <c r="H109" t="s">
        <v>3</v>
      </c>
      <c r="I109" t="s">
        <v>3</v>
      </c>
      <c r="J109" t="s">
        <v>55</v>
      </c>
      <c r="K109" t="s">
        <v>5</v>
      </c>
      <c r="L109" t="s">
        <v>12</v>
      </c>
      <c r="M109" t="s">
        <v>7</v>
      </c>
      <c r="N109" s="2">
        <v>46021</v>
      </c>
    </row>
    <row r="110" spans="1:14" outlineLevel="2" x14ac:dyDescent="0.25">
      <c r="A110" t="s">
        <v>50</v>
      </c>
      <c r="B110" s="2">
        <v>46112</v>
      </c>
      <c r="C110" t="s">
        <v>50</v>
      </c>
      <c r="D110" t="s">
        <v>1</v>
      </c>
      <c r="E110" t="s">
        <v>9</v>
      </c>
      <c r="F110" s="3">
        <v>13100</v>
      </c>
      <c r="G110" s="3">
        <v>13100</v>
      </c>
      <c r="H110" t="s">
        <v>3</v>
      </c>
      <c r="I110" t="s">
        <v>3</v>
      </c>
      <c r="J110" t="s">
        <v>10</v>
      </c>
      <c r="K110" t="s">
        <v>13</v>
      </c>
      <c r="L110" t="s">
        <v>16</v>
      </c>
      <c r="M110" t="s">
        <v>7</v>
      </c>
      <c r="N110" s="2">
        <v>46112</v>
      </c>
    </row>
    <row r="111" spans="1:14" outlineLevel="2" x14ac:dyDescent="0.25">
      <c r="A111" t="s">
        <v>50</v>
      </c>
      <c r="B111" s="2">
        <v>46121</v>
      </c>
      <c r="C111" t="s">
        <v>50</v>
      </c>
      <c r="D111" t="s">
        <v>1</v>
      </c>
      <c r="E111" t="s">
        <v>54</v>
      </c>
      <c r="F111" s="3">
        <v>28044.84</v>
      </c>
      <c r="G111" s="3">
        <v>28044.84</v>
      </c>
      <c r="H111" t="s">
        <v>3</v>
      </c>
      <c r="I111" t="s">
        <v>3</v>
      </c>
      <c r="J111" t="s">
        <v>56</v>
      </c>
      <c r="K111" t="s">
        <v>13</v>
      </c>
      <c r="L111" t="s">
        <v>17</v>
      </c>
      <c r="M111" t="s">
        <v>7</v>
      </c>
      <c r="N111" s="2">
        <v>46121</v>
      </c>
    </row>
    <row r="112" spans="1:14" outlineLevel="2" x14ac:dyDescent="0.25">
      <c r="A112" t="s">
        <v>50</v>
      </c>
      <c r="B112" s="2">
        <v>46122</v>
      </c>
      <c r="C112" t="s">
        <v>50</v>
      </c>
      <c r="D112" t="s">
        <v>1</v>
      </c>
      <c r="E112" t="s">
        <v>9</v>
      </c>
      <c r="F112" s="3">
        <v>10416.67</v>
      </c>
      <c r="G112" s="3">
        <v>10416.67</v>
      </c>
      <c r="H112" t="s">
        <v>3</v>
      </c>
      <c r="I112" t="s">
        <v>3</v>
      </c>
      <c r="J112" t="s">
        <v>57</v>
      </c>
      <c r="K112" t="s">
        <v>13</v>
      </c>
      <c r="L112" t="s">
        <v>17</v>
      </c>
      <c r="M112" t="s">
        <v>7</v>
      </c>
      <c r="N112" s="2">
        <v>46122</v>
      </c>
    </row>
    <row r="113" spans="1:14" outlineLevel="2" x14ac:dyDescent="0.25">
      <c r="A113" t="s">
        <v>50</v>
      </c>
      <c r="B113" s="2">
        <v>46134</v>
      </c>
      <c r="C113" t="s">
        <v>50</v>
      </c>
      <c r="D113" t="s">
        <v>1</v>
      </c>
      <c r="E113" t="s">
        <v>54</v>
      </c>
      <c r="F113" s="3">
        <v>38719.410000000003</v>
      </c>
      <c r="G113" s="3">
        <v>38719.410000000003</v>
      </c>
      <c r="H113" t="s">
        <v>3</v>
      </c>
      <c r="I113" t="s">
        <v>3</v>
      </c>
      <c r="J113" t="s">
        <v>56</v>
      </c>
      <c r="K113" t="s">
        <v>13</v>
      </c>
      <c r="L113" t="s">
        <v>17</v>
      </c>
      <c r="M113" t="s">
        <v>7</v>
      </c>
      <c r="N113" s="2">
        <v>46134</v>
      </c>
    </row>
    <row r="114" spans="1:14" outlineLevel="2" x14ac:dyDescent="0.25">
      <c r="A114" t="s">
        <v>50</v>
      </c>
      <c r="B114" s="2">
        <v>46122</v>
      </c>
      <c r="C114" t="s">
        <v>50</v>
      </c>
      <c r="D114" t="s">
        <v>1</v>
      </c>
      <c r="E114" t="s">
        <v>9</v>
      </c>
      <c r="F114" s="3">
        <v>20833.34</v>
      </c>
      <c r="G114" s="3">
        <v>20833.34</v>
      </c>
      <c r="H114" t="s">
        <v>3</v>
      </c>
      <c r="I114" t="s">
        <v>3</v>
      </c>
      <c r="J114" t="s">
        <v>58</v>
      </c>
      <c r="K114" t="s">
        <v>13</v>
      </c>
      <c r="L114" t="s">
        <v>17</v>
      </c>
      <c r="M114" t="s">
        <v>7</v>
      </c>
      <c r="N114" s="2">
        <v>46122</v>
      </c>
    </row>
    <row r="115" spans="1:14" outlineLevel="2" x14ac:dyDescent="0.25">
      <c r="A115" t="s">
        <v>50</v>
      </c>
      <c r="B115" s="2">
        <v>46092</v>
      </c>
      <c r="C115" t="s">
        <v>50</v>
      </c>
      <c r="D115" t="s">
        <v>1</v>
      </c>
      <c r="E115" t="s">
        <v>9</v>
      </c>
      <c r="F115" s="3">
        <v>10416.67</v>
      </c>
      <c r="G115" s="3">
        <v>10416.67</v>
      </c>
      <c r="H115" t="s">
        <v>3</v>
      </c>
      <c r="I115" t="s">
        <v>3</v>
      </c>
      <c r="J115" t="s">
        <v>59</v>
      </c>
      <c r="K115" t="s">
        <v>13</v>
      </c>
      <c r="L115" t="s">
        <v>17</v>
      </c>
      <c r="M115" t="s">
        <v>7</v>
      </c>
      <c r="N115" s="2">
        <v>46122</v>
      </c>
    </row>
    <row r="116" spans="1:14" outlineLevel="2" x14ac:dyDescent="0.25">
      <c r="A116" t="s">
        <v>50</v>
      </c>
      <c r="B116" s="2">
        <v>46142</v>
      </c>
      <c r="C116" t="s">
        <v>50</v>
      </c>
      <c r="D116" t="s">
        <v>1</v>
      </c>
      <c r="E116" t="s">
        <v>9</v>
      </c>
      <c r="F116" s="3">
        <v>3600</v>
      </c>
      <c r="G116" s="3">
        <v>3600</v>
      </c>
      <c r="H116" t="s">
        <v>3</v>
      </c>
      <c r="I116" t="s">
        <v>3</v>
      </c>
      <c r="J116" t="s">
        <v>10</v>
      </c>
      <c r="K116" t="s">
        <v>13</v>
      </c>
      <c r="L116" t="s">
        <v>17</v>
      </c>
      <c r="M116" t="s">
        <v>7</v>
      </c>
      <c r="N116" s="2">
        <v>46142</v>
      </c>
    </row>
    <row r="117" spans="1:14" outlineLevel="2" x14ac:dyDescent="0.25">
      <c r="A117" t="s">
        <v>50</v>
      </c>
      <c r="B117" s="2">
        <v>46152</v>
      </c>
      <c r="C117" t="s">
        <v>50</v>
      </c>
      <c r="D117" t="s">
        <v>1</v>
      </c>
      <c r="E117" t="s">
        <v>9</v>
      </c>
      <c r="F117" s="3">
        <v>10416.67</v>
      </c>
      <c r="G117" s="3">
        <v>10416.67</v>
      </c>
      <c r="H117" t="s">
        <v>3</v>
      </c>
      <c r="I117" t="s">
        <v>3</v>
      </c>
      <c r="J117" t="s">
        <v>60</v>
      </c>
      <c r="K117" t="s">
        <v>13</v>
      </c>
      <c r="L117" t="s">
        <v>18</v>
      </c>
      <c r="M117" t="s">
        <v>7</v>
      </c>
      <c r="N117" s="2">
        <v>46152</v>
      </c>
    </row>
    <row r="118" spans="1:14" outlineLevel="2" x14ac:dyDescent="0.25">
      <c r="A118" t="s">
        <v>50</v>
      </c>
      <c r="B118" s="2">
        <v>46173</v>
      </c>
      <c r="C118" t="s">
        <v>50</v>
      </c>
      <c r="D118" t="s">
        <v>1</v>
      </c>
      <c r="E118" t="s">
        <v>9</v>
      </c>
      <c r="F118" s="3">
        <v>1100</v>
      </c>
      <c r="G118" s="3">
        <v>1100</v>
      </c>
      <c r="H118" t="s">
        <v>3</v>
      </c>
      <c r="I118" t="s">
        <v>3</v>
      </c>
      <c r="J118" t="s">
        <v>10</v>
      </c>
      <c r="K118" t="s">
        <v>13</v>
      </c>
      <c r="L118" t="s">
        <v>18</v>
      </c>
      <c r="M118" t="s">
        <v>7</v>
      </c>
      <c r="N118" s="2">
        <v>46173</v>
      </c>
    </row>
    <row r="119" spans="1:14" outlineLevel="2" x14ac:dyDescent="0.25">
      <c r="A119" t="s">
        <v>50</v>
      </c>
      <c r="B119" s="2">
        <v>46176</v>
      </c>
      <c r="C119" t="s">
        <v>50</v>
      </c>
      <c r="D119" t="s">
        <v>1</v>
      </c>
      <c r="E119" t="s">
        <v>54</v>
      </c>
      <c r="F119" s="3">
        <v>29235.94</v>
      </c>
      <c r="G119" s="3">
        <v>29235.94</v>
      </c>
      <c r="H119" t="s">
        <v>3</v>
      </c>
      <c r="I119" t="s">
        <v>3</v>
      </c>
      <c r="J119" t="s">
        <v>56</v>
      </c>
      <c r="K119" t="s">
        <v>13</v>
      </c>
      <c r="L119" t="s">
        <v>19</v>
      </c>
      <c r="M119" t="s">
        <v>7</v>
      </c>
      <c r="N119" s="2">
        <v>46176</v>
      </c>
    </row>
    <row r="120" spans="1:14" outlineLevel="2" x14ac:dyDescent="0.25">
      <c r="A120" t="s">
        <v>50</v>
      </c>
      <c r="B120" s="2">
        <v>46183</v>
      </c>
      <c r="C120" t="s">
        <v>50</v>
      </c>
      <c r="D120" t="s">
        <v>1</v>
      </c>
      <c r="E120" t="s">
        <v>9</v>
      </c>
      <c r="F120" s="3">
        <v>10416.67</v>
      </c>
      <c r="G120" s="3">
        <v>10416.67</v>
      </c>
      <c r="H120" t="s">
        <v>3</v>
      </c>
      <c r="I120" t="s">
        <v>3</v>
      </c>
      <c r="J120" t="s">
        <v>61</v>
      </c>
      <c r="K120" t="s">
        <v>13</v>
      </c>
      <c r="L120" t="s">
        <v>19</v>
      </c>
      <c r="M120" t="s">
        <v>7</v>
      </c>
      <c r="N120" s="2">
        <v>46183</v>
      </c>
    </row>
    <row r="121" spans="1:14" outlineLevel="2" x14ac:dyDescent="0.25">
      <c r="A121" t="s">
        <v>50</v>
      </c>
      <c r="B121" s="2">
        <v>46203</v>
      </c>
      <c r="C121" t="s">
        <v>50</v>
      </c>
      <c r="D121" t="s">
        <v>1</v>
      </c>
      <c r="E121" t="s">
        <v>9</v>
      </c>
      <c r="F121" s="3">
        <v>9471.92</v>
      </c>
      <c r="G121" s="3">
        <v>9471.92</v>
      </c>
      <c r="H121" t="s">
        <v>3</v>
      </c>
      <c r="I121" t="s">
        <v>3</v>
      </c>
      <c r="J121" t="s">
        <v>10</v>
      </c>
      <c r="K121" t="s">
        <v>13</v>
      </c>
      <c r="L121" t="s">
        <v>19</v>
      </c>
      <c r="M121" t="s">
        <v>7</v>
      </c>
      <c r="N121" s="2">
        <v>46203</v>
      </c>
    </row>
    <row r="122" spans="1:14" outlineLevel="2" x14ac:dyDescent="0.25">
      <c r="A122" t="s">
        <v>50</v>
      </c>
      <c r="B122" s="2">
        <v>46213</v>
      </c>
      <c r="C122" t="s">
        <v>50</v>
      </c>
      <c r="D122" t="s">
        <v>1</v>
      </c>
      <c r="E122" t="s">
        <v>9</v>
      </c>
      <c r="F122" s="3">
        <v>10416.67</v>
      </c>
      <c r="G122" s="3">
        <v>10416.67</v>
      </c>
      <c r="H122" t="s">
        <v>3</v>
      </c>
      <c r="I122" t="s">
        <v>3</v>
      </c>
      <c r="J122" t="s">
        <v>62</v>
      </c>
      <c r="K122" t="s">
        <v>13</v>
      </c>
      <c r="L122" t="s">
        <v>21</v>
      </c>
      <c r="M122" t="s">
        <v>7</v>
      </c>
      <c r="N122" s="2">
        <v>46213</v>
      </c>
    </row>
    <row r="123" spans="1:14" outlineLevel="2" x14ac:dyDescent="0.25">
      <c r="A123" t="s">
        <v>50</v>
      </c>
      <c r="B123" s="2">
        <v>46234</v>
      </c>
      <c r="C123" t="s">
        <v>50</v>
      </c>
      <c r="D123" t="s">
        <v>51</v>
      </c>
      <c r="E123" t="s">
        <v>9</v>
      </c>
      <c r="F123" s="3">
        <v>73500</v>
      </c>
      <c r="G123" s="3">
        <v>73500</v>
      </c>
      <c r="H123" t="s">
        <v>3</v>
      </c>
      <c r="I123" t="s">
        <v>3</v>
      </c>
      <c r="J123" t="s">
        <v>63</v>
      </c>
      <c r="K123" t="s">
        <v>13</v>
      </c>
      <c r="L123" t="s">
        <v>21</v>
      </c>
      <c r="M123" t="s">
        <v>53</v>
      </c>
      <c r="N123" s="2">
        <v>46234</v>
      </c>
    </row>
    <row r="124" spans="1:14" outlineLevel="2" x14ac:dyDescent="0.25">
      <c r="A124" t="s">
        <v>50</v>
      </c>
      <c r="B124" s="2">
        <v>46227</v>
      </c>
      <c r="C124" t="s">
        <v>50</v>
      </c>
      <c r="D124" t="s">
        <v>1</v>
      </c>
      <c r="E124" t="s">
        <v>54</v>
      </c>
      <c r="F124" s="3">
        <v>28141.3</v>
      </c>
      <c r="G124" s="3">
        <v>28141.3</v>
      </c>
      <c r="H124" t="s">
        <v>3</v>
      </c>
      <c r="I124" t="s">
        <v>3</v>
      </c>
      <c r="J124" t="s">
        <v>56</v>
      </c>
      <c r="K124" t="s">
        <v>13</v>
      </c>
      <c r="L124" t="s">
        <v>21</v>
      </c>
      <c r="M124" t="s">
        <v>7</v>
      </c>
      <c r="N124" s="2">
        <v>46227</v>
      </c>
    </row>
    <row r="125" spans="1:14" outlineLevel="2" x14ac:dyDescent="0.25">
      <c r="A125" t="s">
        <v>50</v>
      </c>
      <c r="B125" s="2">
        <v>46227</v>
      </c>
      <c r="C125" t="s">
        <v>50</v>
      </c>
      <c r="D125" t="s">
        <v>1</v>
      </c>
      <c r="E125" t="s">
        <v>54</v>
      </c>
      <c r="F125" s="3">
        <v>10696.6</v>
      </c>
      <c r="G125" s="3">
        <v>10696.6</v>
      </c>
      <c r="H125" t="s">
        <v>3</v>
      </c>
      <c r="I125" t="s">
        <v>3</v>
      </c>
      <c r="J125" t="s">
        <v>56</v>
      </c>
      <c r="K125" t="s">
        <v>13</v>
      </c>
      <c r="L125" t="s">
        <v>21</v>
      </c>
      <c r="M125" t="s">
        <v>7</v>
      </c>
      <c r="N125" s="2">
        <v>46227</v>
      </c>
    </row>
    <row r="126" spans="1:14" outlineLevel="2" x14ac:dyDescent="0.25">
      <c r="A126" t="s">
        <v>50</v>
      </c>
      <c r="B126" s="2">
        <v>46234</v>
      </c>
      <c r="C126" t="s">
        <v>50</v>
      </c>
      <c r="D126" t="s">
        <v>1</v>
      </c>
      <c r="E126" t="s">
        <v>9</v>
      </c>
      <c r="F126" s="3">
        <v>7337.08</v>
      </c>
      <c r="G126" s="3">
        <v>7337.08</v>
      </c>
      <c r="H126" t="s">
        <v>3</v>
      </c>
      <c r="I126" t="s">
        <v>3</v>
      </c>
      <c r="J126" t="s">
        <v>10</v>
      </c>
      <c r="K126" t="s">
        <v>13</v>
      </c>
      <c r="L126" t="s">
        <v>21</v>
      </c>
      <c r="M126" t="s">
        <v>7</v>
      </c>
      <c r="N126" s="2">
        <v>46234</v>
      </c>
    </row>
    <row r="127" spans="1:14" outlineLevel="2" x14ac:dyDescent="0.25">
      <c r="A127" t="s">
        <v>50</v>
      </c>
      <c r="B127" s="2">
        <v>46248</v>
      </c>
      <c r="C127" t="s">
        <v>50</v>
      </c>
      <c r="D127" t="s">
        <v>1</v>
      </c>
      <c r="E127" t="s">
        <v>54</v>
      </c>
      <c r="F127" s="3">
        <v>32992.31</v>
      </c>
      <c r="G127" s="3">
        <v>32992.31</v>
      </c>
      <c r="H127" t="s">
        <v>3</v>
      </c>
      <c r="I127" t="s">
        <v>3</v>
      </c>
      <c r="J127" t="s">
        <v>56</v>
      </c>
      <c r="K127" t="s">
        <v>13</v>
      </c>
      <c r="L127" t="s">
        <v>22</v>
      </c>
      <c r="M127" t="s">
        <v>7</v>
      </c>
      <c r="N127" s="2">
        <v>46248</v>
      </c>
    </row>
    <row r="128" spans="1:14" outlineLevel="2" x14ac:dyDescent="0.25">
      <c r="A128" t="s">
        <v>50</v>
      </c>
      <c r="B128" s="2">
        <v>46244</v>
      </c>
      <c r="C128" t="s">
        <v>50</v>
      </c>
      <c r="D128" t="s">
        <v>1</v>
      </c>
      <c r="E128" t="s">
        <v>9</v>
      </c>
      <c r="F128" s="3">
        <v>10416.67</v>
      </c>
      <c r="G128" s="3">
        <v>10416.67</v>
      </c>
      <c r="H128" t="s">
        <v>3</v>
      </c>
      <c r="I128" t="s">
        <v>3</v>
      </c>
      <c r="J128" t="s">
        <v>64</v>
      </c>
      <c r="K128" t="s">
        <v>13</v>
      </c>
      <c r="L128" t="s">
        <v>22</v>
      </c>
      <c r="M128" t="s">
        <v>7</v>
      </c>
      <c r="N128" s="2">
        <v>46244</v>
      </c>
    </row>
    <row r="129" spans="1:14" outlineLevel="2" x14ac:dyDescent="0.25">
      <c r="A129" t="s">
        <v>50</v>
      </c>
      <c r="B129" s="2">
        <v>46258</v>
      </c>
      <c r="C129" t="s">
        <v>50</v>
      </c>
      <c r="D129" t="s">
        <v>1</v>
      </c>
      <c r="E129" t="s">
        <v>54</v>
      </c>
      <c r="F129" s="3">
        <v>25003.13</v>
      </c>
      <c r="G129" s="3">
        <v>25003.13</v>
      </c>
      <c r="H129" t="s">
        <v>3</v>
      </c>
      <c r="I129" t="s">
        <v>3</v>
      </c>
      <c r="J129" t="s">
        <v>56</v>
      </c>
      <c r="K129" t="s">
        <v>13</v>
      </c>
      <c r="L129" t="s">
        <v>22</v>
      </c>
      <c r="M129" t="s">
        <v>7</v>
      </c>
      <c r="N129" s="2">
        <v>46258</v>
      </c>
    </row>
    <row r="130" spans="1:14" outlineLevel="2" x14ac:dyDescent="0.25">
      <c r="A130" t="s">
        <v>50</v>
      </c>
      <c r="B130" s="2">
        <v>46265</v>
      </c>
      <c r="C130" t="s">
        <v>50</v>
      </c>
      <c r="D130" t="s">
        <v>51</v>
      </c>
      <c r="E130" t="s">
        <v>9</v>
      </c>
      <c r="F130" s="3">
        <v>36904</v>
      </c>
      <c r="G130" s="3">
        <v>36904</v>
      </c>
      <c r="H130" t="s">
        <v>3</v>
      </c>
      <c r="I130" t="s">
        <v>3</v>
      </c>
      <c r="J130" t="s">
        <v>65</v>
      </c>
      <c r="K130" t="s">
        <v>13</v>
      </c>
      <c r="L130" t="s">
        <v>22</v>
      </c>
      <c r="M130" t="s">
        <v>53</v>
      </c>
      <c r="N130" s="2">
        <v>46265</v>
      </c>
    </row>
    <row r="131" spans="1:14" outlineLevel="2" x14ac:dyDescent="0.25">
      <c r="A131" t="s">
        <v>50</v>
      </c>
      <c r="B131" s="2">
        <v>46265</v>
      </c>
      <c r="C131" t="s">
        <v>50</v>
      </c>
      <c r="D131" t="s">
        <v>1</v>
      </c>
      <c r="E131" t="s">
        <v>9</v>
      </c>
      <c r="F131" s="3">
        <v>44629</v>
      </c>
      <c r="G131" s="3">
        <v>44629</v>
      </c>
      <c r="H131" t="s">
        <v>3</v>
      </c>
      <c r="I131" t="s">
        <v>3</v>
      </c>
      <c r="J131" t="s">
        <v>10</v>
      </c>
      <c r="K131" t="s">
        <v>13</v>
      </c>
      <c r="L131" t="s">
        <v>22</v>
      </c>
      <c r="M131" t="s">
        <v>7</v>
      </c>
      <c r="N131" s="2">
        <v>46265</v>
      </c>
    </row>
    <row r="132" spans="1:14" outlineLevel="2" x14ac:dyDescent="0.25">
      <c r="A132" t="s">
        <v>50</v>
      </c>
      <c r="B132" s="2">
        <v>46272</v>
      </c>
      <c r="C132" t="s">
        <v>50</v>
      </c>
      <c r="D132" t="s">
        <v>51</v>
      </c>
      <c r="E132" t="s">
        <v>9</v>
      </c>
      <c r="F132" s="3">
        <v>36904</v>
      </c>
      <c r="G132" s="3">
        <v>36904</v>
      </c>
      <c r="H132" t="s">
        <v>3</v>
      </c>
      <c r="I132" t="s">
        <v>3</v>
      </c>
      <c r="J132" t="s">
        <v>66</v>
      </c>
      <c r="K132" t="s">
        <v>13</v>
      </c>
      <c r="L132" t="s">
        <v>22</v>
      </c>
      <c r="M132" t="s">
        <v>53</v>
      </c>
      <c r="N132" s="2">
        <v>46265</v>
      </c>
    </row>
    <row r="133" spans="1:14" outlineLevel="1" x14ac:dyDescent="0.25">
      <c r="A133" s="4" t="s">
        <v>50</v>
      </c>
      <c r="B133" s="5"/>
      <c r="C133" s="4" t="s">
        <v>9</v>
      </c>
      <c r="D133" s="4" t="s">
        <v>9</v>
      </c>
      <c r="E133" s="4" t="s">
        <v>9</v>
      </c>
      <c r="F133" s="6">
        <v>715712.89</v>
      </c>
      <c r="G133" s="6">
        <v>715712.89</v>
      </c>
      <c r="H133" s="4" t="s">
        <v>9</v>
      </c>
      <c r="I133" s="4" t="s">
        <v>3</v>
      </c>
      <c r="J133" s="4" t="s">
        <v>9</v>
      </c>
      <c r="K133" s="4" t="s">
        <v>9</v>
      </c>
      <c r="L133" s="4" t="s">
        <v>9</v>
      </c>
      <c r="M133" s="4" t="s">
        <v>9</v>
      </c>
      <c r="N133" s="5"/>
    </row>
    <row r="134" spans="1:14" outlineLevel="2" x14ac:dyDescent="0.25">
      <c r="A134" t="s">
        <v>67</v>
      </c>
      <c r="B134" s="2">
        <v>45991</v>
      </c>
      <c r="C134" t="s">
        <v>67</v>
      </c>
      <c r="D134" t="s">
        <v>1</v>
      </c>
      <c r="E134" t="s">
        <v>9</v>
      </c>
      <c r="F134" s="3">
        <v>18900</v>
      </c>
      <c r="G134" s="3">
        <v>18900</v>
      </c>
      <c r="H134" t="s">
        <v>3</v>
      </c>
      <c r="I134" t="s">
        <v>3</v>
      </c>
      <c r="J134" t="s">
        <v>10</v>
      </c>
      <c r="K134" t="s">
        <v>5</v>
      </c>
      <c r="L134" t="s">
        <v>11</v>
      </c>
      <c r="M134" t="s">
        <v>7</v>
      </c>
      <c r="N134" s="2">
        <v>45991</v>
      </c>
    </row>
    <row r="135" spans="1:14" outlineLevel="2" x14ac:dyDescent="0.25">
      <c r="A135" t="s">
        <v>67</v>
      </c>
      <c r="B135" s="2">
        <v>46008</v>
      </c>
      <c r="C135" t="s">
        <v>67</v>
      </c>
      <c r="D135" t="s">
        <v>1</v>
      </c>
      <c r="E135" t="s">
        <v>68</v>
      </c>
      <c r="F135" s="3">
        <v>90000</v>
      </c>
      <c r="G135" s="3">
        <v>90000</v>
      </c>
      <c r="H135" t="s">
        <v>3</v>
      </c>
      <c r="I135" t="s">
        <v>3</v>
      </c>
      <c r="J135" t="s">
        <v>69</v>
      </c>
      <c r="K135" t="s">
        <v>5</v>
      </c>
      <c r="L135" t="s">
        <v>12</v>
      </c>
      <c r="M135" t="s">
        <v>7</v>
      </c>
      <c r="N135" s="2">
        <v>46008</v>
      </c>
    </row>
    <row r="136" spans="1:14" outlineLevel="2" x14ac:dyDescent="0.25">
      <c r="A136" t="s">
        <v>67</v>
      </c>
      <c r="B136" s="2">
        <v>46010</v>
      </c>
      <c r="C136" t="s">
        <v>67</v>
      </c>
      <c r="D136" t="s">
        <v>1</v>
      </c>
      <c r="E136" t="s">
        <v>70</v>
      </c>
      <c r="F136" s="3">
        <v>10000</v>
      </c>
      <c r="G136" s="3">
        <v>10000</v>
      </c>
      <c r="H136" t="s">
        <v>3</v>
      </c>
      <c r="I136" t="s">
        <v>3</v>
      </c>
      <c r="J136" t="s">
        <v>71</v>
      </c>
      <c r="K136" t="s">
        <v>5</v>
      </c>
      <c r="L136" t="s">
        <v>12</v>
      </c>
      <c r="M136" t="s">
        <v>7</v>
      </c>
      <c r="N136" s="2">
        <v>46010</v>
      </c>
    </row>
    <row r="137" spans="1:14" outlineLevel="2" x14ac:dyDescent="0.25">
      <c r="A137" t="s">
        <v>67</v>
      </c>
      <c r="B137" s="2">
        <v>46022</v>
      </c>
      <c r="C137" t="s">
        <v>67</v>
      </c>
      <c r="D137" t="s">
        <v>1</v>
      </c>
      <c r="E137" t="s">
        <v>9</v>
      </c>
      <c r="F137" s="3">
        <v>19100</v>
      </c>
      <c r="G137" s="3">
        <v>19100</v>
      </c>
      <c r="H137" t="s">
        <v>3</v>
      </c>
      <c r="I137" t="s">
        <v>3</v>
      </c>
      <c r="J137" t="s">
        <v>10</v>
      </c>
      <c r="K137" t="s">
        <v>5</v>
      </c>
      <c r="L137" t="s">
        <v>12</v>
      </c>
      <c r="M137" t="s">
        <v>7</v>
      </c>
      <c r="N137" s="2">
        <v>46022</v>
      </c>
    </row>
    <row r="138" spans="1:14" outlineLevel="2" x14ac:dyDescent="0.25">
      <c r="A138" t="s">
        <v>67</v>
      </c>
      <c r="B138" s="2">
        <v>46053</v>
      </c>
      <c r="C138" t="s">
        <v>67</v>
      </c>
      <c r="D138" t="s">
        <v>1</v>
      </c>
      <c r="E138" t="s">
        <v>9</v>
      </c>
      <c r="F138" s="3">
        <v>21950</v>
      </c>
      <c r="G138" s="3">
        <v>21950</v>
      </c>
      <c r="H138" t="s">
        <v>3</v>
      </c>
      <c r="I138" t="s">
        <v>3</v>
      </c>
      <c r="J138" t="s">
        <v>10</v>
      </c>
      <c r="K138" t="s">
        <v>13</v>
      </c>
      <c r="L138" t="s">
        <v>14</v>
      </c>
      <c r="M138" t="s">
        <v>7</v>
      </c>
      <c r="N138" s="2">
        <v>46053</v>
      </c>
    </row>
    <row r="139" spans="1:14" outlineLevel="2" x14ac:dyDescent="0.25">
      <c r="A139" t="s">
        <v>67</v>
      </c>
      <c r="B139" s="2">
        <v>46032</v>
      </c>
      <c r="C139" t="s">
        <v>67</v>
      </c>
      <c r="D139" t="s">
        <v>1</v>
      </c>
      <c r="E139" t="s">
        <v>9</v>
      </c>
      <c r="F139" s="3">
        <v>16678.96</v>
      </c>
      <c r="G139" s="3">
        <v>16678.96</v>
      </c>
      <c r="H139" t="s">
        <v>3</v>
      </c>
      <c r="I139" t="s">
        <v>3</v>
      </c>
      <c r="J139" t="s">
        <v>72</v>
      </c>
      <c r="K139" t="s">
        <v>13</v>
      </c>
      <c r="L139" t="s">
        <v>15</v>
      </c>
      <c r="M139" t="s">
        <v>7</v>
      </c>
      <c r="N139" s="2">
        <v>46063</v>
      </c>
    </row>
    <row r="140" spans="1:14" outlineLevel="2" x14ac:dyDescent="0.25">
      <c r="A140" t="s">
        <v>67</v>
      </c>
      <c r="B140" s="2">
        <v>46063</v>
      </c>
      <c r="C140" t="s">
        <v>67</v>
      </c>
      <c r="D140" t="s">
        <v>1</v>
      </c>
      <c r="E140" t="s">
        <v>9</v>
      </c>
      <c r="F140" s="3">
        <v>16678.96</v>
      </c>
      <c r="G140" s="3">
        <v>16678.96</v>
      </c>
      <c r="H140" t="s">
        <v>3</v>
      </c>
      <c r="I140" t="s">
        <v>3</v>
      </c>
      <c r="J140" t="s">
        <v>73</v>
      </c>
      <c r="K140" t="s">
        <v>13</v>
      </c>
      <c r="L140" t="s">
        <v>15</v>
      </c>
      <c r="M140" t="s">
        <v>7</v>
      </c>
      <c r="N140" s="2">
        <v>46063</v>
      </c>
    </row>
    <row r="141" spans="1:14" outlineLevel="2" x14ac:dyDescent="0.25">
      <c r="A141" t="s">
        <v>67</v>
      </c>
      <c r="B141" s="2">
        <v>46081</v>
      </c>
      <c r="C141" t="s">
        <v>67</v>
      </c>
      <c r="D141" t="s">
        <v>1</v>
      </c>
      <c r="E141" t="s">
        <v>9</v>
      </c>
      <c r="F141" s="3">
        <v>27700</v>
      </c>
      <c r="G141" s="3">
        <v>27700</v>
      </c>
      <c r="H141" t="s">
        <v>3</v>
      </c>
      <c r="I141" t="s">
        <v>3</v>
      </c>
      <c r="J141" t="s">
        <v>10</v>
      </c>
      <c r="K141" t="s">
        <v>13</v>
      </c>
      <c r="L141" t="s">
        <v>15</v>
      </c>
      <c r="M141" t="s">
        <v>7</v>
      </c>
      <c r="N141" s="2">
        <v>46081</v>
      </c>
    </row>
    <row r="142" spans="1:14" outlineLevel="2" x14ac:dyDescent="0.25">
      <c r="A142" t="s">
        <v>67</v>
      </c>
      <c r="B142" s="2">
        <v>46091</v>
      </c>
      <c r="C142" t="s">
        <v>67</v>
      </c>
      <c r="D142" t="s">
        <v>1</v>
      </c>
      <c r="E142" t="s">
        <v>9</v>
      </c>
      <c r="F142" s="3">
        <v>16678.96</v>
      </c>
      <c r="G142" s="3">
        <v>16678.96</v>
      </c>
      <c r="H142" t="s">
        <v>3</v>
      </c>
      <c r="I142" t="s">
        <v>3</v>
      </c>
      <c r="J142" t="s">
        <v>74</v>
      </c>
      <c r="K142" t="s">
        <v>13</v>
      </c>
      <c r="L142" t="s">
        <v>16</v>
      </c>
      <c r="M142" t="s">
        <v>7</v>
      </c>
      <c r="N142" s="2">
        <v>46091</v>
      </c>
    </row>
    <row r="143" spans="1:14" outlineLevel="2" x14ac:dyDescent="0.25">
      <c r="A143" t="s">
        <v>67</v>
      </c>
      <c r="B143" s="2">
        <v>46112</v>
      </c>
      <c r="C143" t="s">
        <v>67</v>
      </c>
      <c r="D143" t="s">
        <v>1</v>
      </c>
      <c r="E143" t="s">
        <v>9</v>
      </c>
      <c r="F143" s="3">
        <v>51750</v>
      </c>
      <c r="G143" s="3">
        <v>51750</v>
      </c>
      <c r="H143" t="s">
        <v>3</v>
      </c>
      <c r="I143" t="s">
        <v>3</v>
      </c>
      <c r="J143" t="s">
        <v>10</v>
      </c>
      <c r="K143" t="s">
        <v>13</v>
      </c>
      <c r="L143" t="s">
        <v>16</v>
      </c>
      <c r="M143" t="s">
        <v>7</v>
      </c>
      <c r="N143" s="2">
        <v>46112</v>
      </c>
    </row>
    <row r="144" spans="1:14" outlineLevel="2" x14ac:dyDescent="0.25">
      <c r="A144" t="s">
        <v>67</v>
      </c>
      <c r="B144" s="2">
        <v>46122</v>
      </c>
      <c r="C144" t="s">
        <v>67</v>
      </c>
      <c r="D144" t="s">
        <v>1</v>
      </c>
      <c r="E144" t="s">
        <v>9</v>
      </c>
      <c r="F144" s="3">
        <v>16678.96</v>
      </c>
      <c r="G144" s="3">
        <v>16678.96</v>
      </c>
      <c r="H144" t="s">
        <v>3</v>
      </c>
      <c r="I144" t="s">
        <v>3</v>
      </c>
      <c r="J144" t="s">
        <v>75</v>
      </c>
      <c r="K144" t="s">
        <v>13</v>
      </c>
      <c r="L144" t="s">
        <v>17</v>
      </c>
      <c r="M144" t="s">
        <v>7</v>
      </c>
      <c r="N144" s="2">
        <v>46122</v>
      </c>
    </row>
    <row r="145" spans="1:14" outlineLevel="2" x14ac:dyDescent="0.25">
      <c r="A145" t="s">
        <v>67</v>
      </c>
      <c r="B145" s="2">
        <v>46142</v>
      </c>
      <c r="C145" t="s">
        <v>67</v>
      </c>
      <c r="D145" t="s">
        <v>33</v>
      </c>
      <c r="E145" t="s">
        <v>9</v>
      </c>
      <c r="F145" s="3">
        <v>1215</v>
      </c>
      <c r="G145" s="3">
        <v>1215</v>
      </c>
      <c r="H145" t="s">
        <v>3</v>
      </c>
      <c r="I145" t="s">
        <v>3</v>
      </c>
      <c r="J145" t="s">
        <v>76</v>
      </c>
      <c r="K145" t="s">
        <v>13</v>
      </c>
      <c r="L145" t="s">
        <v>17</v>
      </c>
      <c r="M145" t="s">
        <v>35</v>
      </c>
      <c r="N145" s="2">
        <v>46142</v>
      </c>
    </row>
    <row r="146" spans="1:14" outlineLevel="2" x14ac:dyDescent="0.25">
      <c r="A146" t="s">
        <v>67</v>
      </c>
      <c r="B146" s="2">
        <v>46142</v>
      </c>
      <c r="C146" t="s">
        <v>67</v>
      </c>
      <c r="D146" t="s">
        <v>1</v>
      </c>
      <c r="E146" t="s">
        <v>9</v>
      </c>
      <c r="F146" s="3">
        <v>1215</v>
      </c>
      <c r="G146" s="3">
        <v>1215</v>
      </c>
      <c r="H146" t="s">
        <v>3</v>
      </c>
      <c r="I146" t="s">
        <v>3</v>
      </c>
      <c r="J146" t="s">
        <v>45</v>
      </c>
      <c r="K146" t="s">
        <v>13</v>
      </c>
      <c r="L146" t="s">
        <v>17</v>
      </c>
      <c r="M146" t="s">
        <v>7</v>
      </c>
      <c r="N146" s="2">
        <v>46142</v>
      </c>
    </row>
    <row r="147" spans="1:14" outlineLevel="2" x14ac:dyDescent="0.25">
      <c r="A147" t="s">
        <v>67</v>
      </c>
      <c r="B147" s="2">
        <v>46142</v>
      </c>
      <c r="C147" t="s">
        <v>67</v>
      </c>
      <c r="D147" t="s">
        <v>1</v>
      </c>
      <c r="E147" t="s">
        <v>9</v>
      </c>
      <c r="F147" s="3">
        <v>42500</v>
      </c>
      <c r="G147" s="3">
        <v>42500</v>
      </c>
      <c r="H147" t="s">
        <v>3</v>
      </c>
      <c r="I147" t="s">
        <v>3</v>
      </c>
      <c r="J147" t="s">
        <v>10</v>
      </c>
      <c r="K147" t="s">
        <v>13</v>
      </c>
      <c r="L147" t="s">
        <v>17</v>
      </c>
      <c r="M147" t="s">
        <v>7</v>
      </c>
      <c r="N147" s="2">
        <v>46142</v>
      </c>
    </row>
    <row r="148" spans="1:14" outlineLevel="2" x14ac:dyDescent="0.25">
      <c r="A148" t="s">
        <v>67</v>
      </c>
      <c r="B148" s="2">
        <v>46150</v>
      </c>
      <c r="C148" t="s">
        <v>67</v>
      </c>
      <c r="D148" t="s">
        <v>1</v>
      </c>
      <c r="E148" t="s">
        <v>77</v>
      </c>
      <c r="F148" s="3">
        <v>952</v>
      </c>
      <c r="G148" s="3">
        <v>952</v>
      </c>
      <c r="H148" t="s">
        <v>3</v>
      </c>
      <c r="I148" t="s">
        <v>3</v>
      </c>
      <c r="J148" t="s">
        <v>78</v>
      </c>
      <c r="K148" t="s">
        <v>13</v>
      </c>
      <c r="L148" t="s">
        <v>18</v>
      </c>
      <c r="M148" t="s">
        <v>7</v>
      </c>
      <c r="N148" s="2">
        <v>46150</v>
      </c>
    </row>
    <row r="149" spans="1:14" outlineLevel="2" x14ac:dyDescent="0.25">
      <c r="A149" t="s">
        <v>67</v>
      </c>
      <c r="B149" s="2">
        <v>46173</v>
      </c>
      <c r="C149" t="s">
        <v>67</v>
      </c>
      <c r="D149" t="s">
        <v>33</v>
      </c>
      <c r="E149" t="s">
        <v>9</v>
      </c>
      <c r="F149" s="3">
        <v>540</v>
      </c>
      <c r="G149" s="3">
        <v>540</v>
      </c>
      <c r="H149" t="s">
        <v>3</v>
      </c>
      <c r="I149" t="s">
        <v>3</v>
      </c>
      <c r="J149" t="s">
        <v>76</v>
      </c>
      <c r="K149" t="s">
        <v>13</v>
      </c>
      <c r="L149" t="s">
        <v>18</v>
      </c>
      <c r="M149" t="s">
        <v>35</v>
      </c>
      <c r="N149" s="2">
        <v>46173</v>
      </c>
    </row>
    <row r="150" spans="1:14" outlineLevel="2" x14ac:dyDescent="0.25">
      <c r="A150" t="s">
        <v>67</v>
      </c>
      <c r="B150" s="2">
        <v>46152</v>
      </c>
      <c r="C150" t="s">
        <v>67</v>
      </c>
      <c r="D150" t="s">
        <v>1</v>
      </c>
      <c r="E150" t="s">
        <v>9</v>
      </c>
      <c r="F150" s="3">
        <v>16678.96</v>
      </c>
      <c r="G150" s="3">
        <v>16678.96</v>
      </c>
      <c r="H150" t="s">
        <v>3</v>
      </c>
      <c r="I150" t="s">
        <v>3</v>
      </c>
      <c r="J150" t="s">
        <v>79</v>
      </c>
      <c r="K150" t="s">
        <v>13</v>
      </c>
      <c r="L150" t="s">
        <v>18</v>
      </c>
      <c r="M150" t="s">
        <v>7</v>
      </c>
      <c r="N150" s="2">
        <v>46152</v>
      </c>
    </row>
    <row r="151" spans="1:14" outlineLevel="2" x14ac:dyDescent="0.25">
      <c r="A151" t="s">
        <v>67</v>
      </c>
      <c r="B151" s="2">
        <v>46173</v>
      </c>
      <c r="C151" t="s">
        <v>67</v>
      </c>
      <c r="D151" t="s">
        <v>1</v>
      </c>
      <c r="E151" t="s">
        <v>9</v>
      </c>
      <c r="F151" s="3">
        <v>35300</v>
      </c>
      <c r="G151" s="3">
        <v>35300</v>
      </c>
      <c r="H151" t="s">
        <v>3</v>
      </c>
      <c r="I151" t="s">
        <v>3</v>
      </c>
      <c r="J151" t="s">
        <v>10</v>
      </c>
      <c r="K151" t="s">
        <v>13</v>
      </c>
      <c r="L151" t="s">
        <v>18</v>
      </c>
      <c r="M151" t="s">
        <v>7</v>
      </c>
      <c r="N151" s="2">
        <v>46173</v>
      </c>
    </row>
    <row r="152" spans="1:14" outlineLevel="2" x14ac:dyDescent="0.25">
      <c r="A152" t="s">
        <v>67</v>
      </c>
      <c r="B152" s="2">
        <v>46175</v>
      </c>
      <c r="C152" t="s">
        <v>67</v>
      </c>
      <c r="D152" t="s">
        <v>1</v>
      </c>
      <c r="E152" t="s">
        <v>68</v>
      </c>
      <c r="F152" s="3">
        <v>119218.7</v>
      </c>
      <c r="G152" s="3">
        <v>119218.7</v>
      </c>
      <c r="H152" t="s">
        <v>3</v>
      </c>
      <c r="I152" t="s">
        <v>3</v>
      </c>
      <c r="J152" t="s">
        <v>80</v>
      </c>
      <c r="K152" t="s">
        <v>13</v>
      </c>
      <c r="L152" t="s">
        <v>19</v>
      </c>
      <c r="M152" t="s">
        <v>7</v>
      </c>
      <c r="N152" s="2">
        <v>46175</v>
      </c>
    </row>
    <row r="153" spans="1:14" outlineLevel="2" x14ac:dyDescent="0.25">
      <c r="A153" t="s">
        <v>67</v>
      </c>
      <c r="B153" s="2">
        <v>46175</v>
      </c>
      <c r="C153" t="s">
        <v>67</v>
      </c>
      <c r="D153" t="s">
        <v>1</v>
      </c>
      <c r="E153" t="s">
        <v>68</v>
      </c>
      <c r="F153" s="3">
        <v>59577.1</v>
      </c>
      <c r="G153" s="3">
        <v>59577.1</v>
      </c>
      <c r="H153" t="s">
        <v>3</v>
      </c>
      <c r="I153" t="s">
        <v>3</v>
      </c>
      <c r="J153" t="s">
        <v>80</v>
      </c>
      <c r="K153" t="s">
        <v>13</v>
      </c>
      <c r="L153" t="s">
        <v>19</v>
      </c>
      <c r="M153" t="s">
        <v>7</v>
      </c>
      <c r="N153" s="2">
        <v>46175</v>
      </c>
    </row>
    <row r="154" spans="1:14" outlineLevel="2" x14ac:dyDescent="0.25">
      <c r="A154" t="s">
        <v>67</v>
      </c>
      <c r="B154" s="2">
        <v>46173</v>
      </c>
      <c r="C154" t="s">
        <v>67</v>
      </c>
      <c r="D154" t="s">
        <v>1</v>
      </c>
      <c r="E154" t="s">
        <v>9</v>
      </c>
      <c r="F154" s="3">
        <v>540</v>
      </c>
      <c r="G154" s="3">
        <v>540</v>
      </c>
      <c r="H154" t="s">
        <v>3</v>
      </c>
      <c r="I154" t="s">
        <v>3</v>
      </c>
      <c r="J154" t="s">
        <v>45</v>
      </c>
      <c r="K154" t="s">
        <v>13</v>
      </c>
      <c r="L154" t="s">
        <v>18</v>
      </c>
      <c r="M154" t="s">
        <v>7</v>
      </c>
      <c r="N154" s="2">
        <v>46173</v>
      </c>
    </row>
    <row r="155" spans="1:14" outlineLevel="2" x14ac:dyDescent="0.25">
      <c r="A155" t="s">
        <v>67</v>
      </c>
      <c r="B155" s="2">
        <v>46183</v>
      </c>
      <c r="C155" t="s">
        <v>67</v>
      </c>
      <c r="D155" t="s">
        <v>1</v>
      </c>
      <c r="E155" t="s">
        <v>9</v>
      </c>
      <c r="F155" s="3">
        <v>16678.96</v>
      </c>
      <c r="G155" s="3">
        <v>16678.96</v>
      </c>
      <c r="H155" t="s">
        <v>3</v>
      </c>
      <c r="I155" t="s">
        <v>3</v>
      </c>
      <c r="J155" t="s">
        <v>81</v>
      </c>
      <c r="K155" t="s">
        <v>13</v>
      </c>
      <c r="L155" t="s">
        <v>19</v>
      </c>
      <c r="M155" t="s">
        <v>7</v>
      </c>
      <c r="N155" s="2">
        <v>46183</v>
      </c>
    </row>
    <row r="156" spans="1:14" outlineLevel="2" x14ac:dyDescent="0.25">
      <c r="A156" t="s">
        <v>67</v>
      </c>
      <c r="B156" s="2">
        <v>46203</v>
      </c>
      <c r="C156" t="s">
        <v>67</v>
      </c>
      <c r="D156" t="s">
        <v>33</v>
      </c>
      <c r="E156" t="s">
        <v>9</v>
      </c>
      <c r="F156" s="3">
        <v>1215</v>
      </c>
      <c r="G156" s="3">
        <v>1215</v>
      </c>
      <c r="H156" t="s">
        <v>3</v>
      </c>
      <c r="I156" t="s">
        <v>3</v>
      </c>
      <c r="J156" t="s">
        <v>76</v>
      </c>
      <c r="K156" t="s">
        <v>13</v>
      </c>
      <c r="L156" t="s">
        <v>19</v>
      </c>
      <c r="M156" t="s">
        <v>35</v>
      </c>
      <c r="N156" s="2">
        <v>46203</v>
      </c>
    </row>
    <row r="157" spans="1:14" outlineLevel="2" x14ac:dyDescent="0.25">
      <c r="A157" t="s">
        <v>67</v>
      </c>
      <c r="B157" s="2">
        <v>46204</v>
      </c>
      <c r="C157" t="s">
        <v>67</v>
      </c>
      <c r="D157" t="s">
        <v>1</v>
      </c>
      <c r="E157" t="s">
        <v>70</v>
      </c>
      <c r="F157" s="3">
        <v>30000</v>
      </c>
      <c r="G157" s="3">
        <v>30000</v>
      </c>
      <c r="H157" t="s">
        <v>3</v>
      </c>
      <c r="I157" t="s">
        <v>3</v>
      </c>
      <c r="J157" t="s">
        <v>71</v>
      </c>
      <c r="K157" t="s">
        <v>13</v>
      </c>
      <c r="L157" t="s">
        <v>21</v>
      </c>
      <c r="M157" t="s">
        <v>7</v>
      </c>
      <c r="N157" s="2">
        <v>46204</v>
      </c>
    </row>
    <row r="158" spans="1:14" outlineLevel="2" x14ac:dyDescent="0.25">
      <c r="A158" t="s">
        <v>67</v>
      </c>
      <c r="B158" s="2">
        <v>46203</v>
      </c>
      <c r="C158" t="s">
        <v>67</v>
      </c>
      <c r="D158" t="s">
        <v>1</v>
      </c>
      <c r="E158" t="s">
        <v>9</v>
      </c>
      <c r="F158" s="3">
        <v>43858.400000000001</v>
      </c>
      <c r="G158" s="3">
        <v>43858.400000000001</v>
      </c>
      <c r="H158" t="s">
        <v>3</v>
      </c>
      <c r="I158" t="s">
        <v>3</v>
      </c>
      <c r="J158" t="s">
        <v>10</v>
      </c>
      <c r="K158" t="s">
        <v>13</v>
      </c>
      <c r="L158" t="s">
        <v>19</v>
      </c>
      <c r="M158" t="s">
        <v>7</v>
      </c>
      <c r="N158" s="2">
        <v>46203</v>
      </c>
    </row>
    <row r="159" spans="1:14" outlineLevel="2" x14ac:dyDescent="0.25">
      <c r="A159" t="s">
        <v>67</v>
      </c>
      <c r="B159" s="2">
        <v>46203</v>
      </c>
      <c r="C159" t="s">
        <v>67</v>
      </c>
      <c r="D159" t="s">
        <v>1</v>
      </c>
      <c r="E159" t="s">
        <v>9</v>
      </c>
      <c r="F159" s="3">
        <v>1215</v>
      </c>
      <c r="G159" s="3">
        <v>1215</v>
      </c>
      <c r="H159" t="s">
        <v>3</v>
      </c>
      <c r="I159" t="s">
        <v>3</v>
      </c>
      <c r="J159" t="s">
        <v>45</v>
      </c>
      <c r="K159" t="s">
        <v>13</v>
      </c>
      <c r="L159" t="s">
        <v>19</v>
      </c>
      <c r="M159" t="s">
        <v>7</v>
      </c>
      <c r="N159" s="2">
        <v>46203</v>
      </c>
    </row>
    <row r="160" spans="1:14" outlineLevel="2" x14ac:dyDescent="0.25">
      <c r="A160" t="s">
        <v>67</v>
      </c>
      <c r="B160" s="2">
        <v>46203</v>
      </c>
      <c r="C160" t="s">
        <v>67</v>
      </c>
      <c r="D160" t="s">
        <v>1</v>
      </c>
      <c r="E160" t="s">
        <v>70</v>
      </c>
      <c r="F160" s="3">
        <v>2</v>
      </c>
      <c r="G160" s="3">
        <v>2</v>
      </c>
      <c r="H160" t="s">
        <v>3</v>
      </c>
      <c r="I160" t="s">
        <v>3</v>
      </c>
      <c r="J160" t="s">
        <v>71</v>
      </c>
      <c r="K160" t="s">
        <v>13</v>
      </c>
      <c r="L160" t="s">
        <v>21</v>
      </c>
      <c r="M160" t="s">
        <v>7</v>
      </c>
      <c r="N160" s="2">
        <v>46206</v>
      </c>
    </row>
    <row r="161" spans="1:14" outlineLevel="2" x14ac:dyDescent="0.25">
      <c r="A161" t="s">
        <v>67</v>
      </c>
      <c r="B161" s="2">
        <v>46213</v>
      </c>
      <c r="C161" t="s">
        <v>67</v>
      </c>
      <c r="D161" t="s">
        <v>1</v>
      </c>
      <c r="E161" t="s">
        <v>9</v>
      </c>
      <c r="F161" s="3">
        <v>16678.96</v>
      </c>
      <c r="G161" s="3">
        <v>16678.96</v>
      </c>
      <c r="H161" t="s">
        <v>3</v>
      </c>
      <c r="I161" t="s">
        <v>3</v>
      </c>
      <c r="J161" t="s">
        <v>82</v>
      </c>
      <c r="K161" t="s">
        <v>13</v>
      </c>
      <c r="L161" t="s">
        <v>21</v>
      </c>
      <c r="M161" t="s">
        <v>7</v>
      </c>
      <c r="N161" s="2">
        <v>46213</v>
      </c>
    </row>
    <row r="162" spans="1:14" outlineLevel="2" x14ac:dyDescent="0.25">
      <c r="A162" t="s">
        <v>67</v>
      </c>
      <c r="B162" s="2">
        <v>46234</v>
      </c>
      <c r="C162" t="s">
        <v>67</v>
      </c>
      <c r="D162" t="s">
        <v>33</v>
      </c>
      <c r="E162" t="s">
        <v>9</v>
      </c>
      <c r="F162" s="3">
        <v>5030</v>
      </c>
      <c r="G162" s="3">
        <v>5030</v>
      </c>
      <c r="H162" t="s">
        <v>3</v>
      </c>
      <c r="I162" t="s">
        <v>3</v>
      </c>
      <c r="J162" t="s">
        <v>83</v>
      </c>
      <c r="K162" t="s">
        <v>13</v>
      </c>
      <c r="L162" t="s">
        <v>21</v>
      </c>
      <c r="M162" t="s">
        <v>35</v>
      </c>
      <c r="N162" s="2">
        <v>46234</v>
      </c>
    </row>
    <row r="163" spans="1:14" outlineLevel="2" x14ac:dyDescent="0.25">
      <c r="A163" t="s">
        <v>67</v>
      </c>
      <c r="B163" s="2">
        <v>46234</v>
      </c>
      <c r="C163" t="s">
        <v>67</v>
      </c>
      <c r="D163" t="s">
        <v>1</v>
      </c>
      <c r="E163" t="s">
        <v>9</v>
      </c>
      <c r="F163" s="3">
        <v>3992</v>
      </c>
      <c r="G163" s="3">
        <v>3992</v>
      </c>
      <c r="H163" t="s">
        <v>3</v>
      </c>
      <c r="I163" t="s">
        <v>3</v>
      </c>
      <c r="J163" t="s">
        <v>10</v>
      </c>
      <c r="K163" t="s">
        <v>13</v>
      </c>
      <c r="L163" t="s">
        <v>21</v>
      </c>
      <c r="M163" t="s">
        <v>7</v>
      </c>
      <c r="N163" s="2">
        <v>46234</v>
      </c>
    </row>
    <row r="164" spans="1:14" outlineLevel="2" x14ac:dyDescent="0.25">
      <c r="A164" t="s">
        <v>67</v>
      </c>
      <c r="B164" s="2">
        <v>46234</v>
      </c>
      <c r="C164" t="s">
        <v>67</v>
      </c>
      <c r="D164" t="s">
        <v>1</v>
      </c>
      <c r="E164" t="s">
        <v>9</v>
      </c>
      <c r="F164" s="3">
        <v>5030</v>
      </c>
      <c r="G164" s="3">
        <v>5030</v>
      </c>
      <c r="H164" t="s">
        <v>3</v>
      </c>
      <c r="I164" t="s">
        <v>3</v>
      </c>
      <c r="J164" t="s">
        <v>45</v>
      </c>
      <c r="K164" t="s">
        <v>13</v>
      </c>
      <c r="L164" t="s">
        <v>21</v>
      </c>
      <c r="M164" t="s">
        <v>7</v>
      </c>
      <c r="N164" s="2">
        <v>46234</v>
      </c>
    </row>
    <row r="165" spans="1:14" outlineLevel="2" x14ac:dyDescent="0.25">
      <c r="A165" t="s">
        <v>67</v>
      </c>
      <c r="B165" s="2">
        <v>46237</v>
      </c>
      <c r="C165" t="s">
        <v>67</v>
      </c>
      <c r="D165" t="s">
        <v>1</v>
      </c>
      <c r="E165" t="s">
        <v>68</v>
      </c>
      <c r="F165" s="3">
        <v>28733.15</v>
      </c>
      <c r="G165" s="3">
        <v>28733.15</v>
      </c>
      <c r="H165" t="s">
        <v>3</v>
      </c>
      <c r="I165" t="s">
        <v>3</v>
      </c>
      <c r="J165" t="s">
        <v>84</v>
      </c>
      <c r="K165" t="s">
        <v>13</v>
      </c>
      <c r="L165" t="s">
        <v>22</v>
      </c>
      <c r="M165" t="s">
        <v>7</v>
      </c>
      <c r="N165" s="2">
        <v>46239</v>
      </c>
    </row>
    <row r="166" spans="1:14" outlineLevel="2" x14ac:dyDescent="0.25">
      <c r="A166" t="s">
        <v>67</v>
      </c>
      <c r="B166" s="2">
        <v>46244</v>
      </c>
      <c r="C166" t="s">
        <v>67</v>
      </c>
      <c r="D166" t="s">
        <v>1</v>
      </c>
      <c r="E166" t="s">
        <v>9</v>
      </c>
      <c r="F166" s="3">
        <v>16678.96</v>
      </c>
      <c r="G166" s="3">
        <v>16678.96</v>
      </c>
      <c r="H166" t="s">
        <v>3</v>
      </c>
      <c r="I166" t="s">
        <v>3</v>
      </c>
      <c r="J166" t="s">
        <v>85</v>
      </c>
      <c r="K166" t="s">
        <v>13</v>
      </c>
      <c r="L166" t="s">
        <v>22</v>
      </c>
      <c r="M166" t="s">
        <v>7</v>
      </c>
      <c r="N166" s="2">
        <v>46244</v>
      </c>
    </row>
    <row r="167" spans="1:14" outlineLevel="2" x14ac:dyDescent="0.25">
      <c r="A167" t="s">
        <v>67</v>
      </c>
      <c r="B167" s="2">
        <v>46262</v>
      </c>
      <c r="C167" t="s">
        <v>67</v>
      </c>
      <c r="D167" t="s">
        <v>1</v>
      </c>
      <c r="E167" t="s">
        <v>68</v>
      </c>
      <c r="F167" s="3">
        <v>10289</v>
      </c>
      <c r="G167" s="3">
        <v>10289</v>
      </c>
      <c r="H167" t="s">
        <v>3</v>
      </c>
      <c r="I167" t="s">
        <v>3</v>
      </c>
      <c r="J167" t="s">
        <v>80</v>
      </c>
      <c r="K167" t="s">
        <v>13</v>
      </c>
      <c r="L167" t="s">
        <v>22</v>
      </c>
      <c r="M167" t="s">
        <v>7</v>
      </c>
      <c r="N167" s="2">
        <v>46262</v>
      </c>
    </row>
    <row r="168" spans="1:14" outlineLevel="2" x14ac:dyDescent="0.25">
      <c r="A168" t="s">
        <v>67</v>
      </c>
      <c r="B168" s="2">
        <v>46265</v>
      </c>
      <c r="C168" t="s">
        <v>67</v>
      </c>
      <c r="D168" t="s">
        <v>1</v>
      </c>
      <c r="E168" t="s">
        <v>9</v>
      </c>
      <c r="F168" s="3">
        <v>700</v>
      </c>
      <c r="G168" s="3">
        <v>700</v>
      </c>
      <c r="H168" t="s">
        <v>3</v>
      </c>
      <c r="I168" t="s">
        <v>3</v>
      </c>
      <c r="J168" t="s">
        <v>10</v>
      </c>
      <c r="K168" t="s">
        <v>13</v>
      </c>
      <c r="L168" t="s">
        <v>22</v>
      </c>
      <c r="M168" t="s">
        <v>7</v>
      </c>
      <c r="N168" s="2">
        <v>46265</v>
      </c>
    </row>
    <row r="169" spans="1:14" outlineLevel="2" x14ac:dyDescent="0.25">
      <c r="A169" t="s">
        <v>67</v>
      </c>
      <c r="B169" s="2">
        <v>46269</v>
      </c>
      <c r="C169" t="s">
        <v>67</v>
      </c>
      <c r="D169" t="s">
        <v>1</v>
      </c>
      <c r="E169" t="s">
        <v>68</v>
      </c>
      <c r="F169" s="3">
        <v>28733.15</v>
      </c>
      <c r="G169" s="3">
        <v>28733.15</v>
      </c>
      <c r="H169" t="s">
        <v>3</v>
      </c>
      <c r="I169" t="s">
        <v>3</v>
      </c>
      <c r="J169" t="s">
        <v>80</v>
      </c>
      <c r="K169" t="s">
        <v>13</v>
      </c>
      <c r="L169" t="s">
        <v>6</v>
      </c>
      <c r="M169" t="s">
        <v>7</v>
      </c>
      <c r="N169" s="2">
        <v>46269</v>
      </c>
    </row>
    <row r="170" spans="1:14" outlineLevel="1" x14ac:dyDescent="0.25">
      <c r="A170" s="4" t="s">
        <v>67</v>
      </c>
      <c r="B170" s="5"/>
      <c r="C170" s="4" t="s">
        <v>9</v>
      </c>
      <c r="D170" s="4" t="s">
        <v>9</v>
      </c>
      <c r="E170" s="4" t="s">
        <v>9</v>
      </c>
      <c r="F170" s="6">
        <v>792687.18</v>
      </c>
      <c r="G170" s="6">
        <v>792687.18</v>
      </c>
      <c r="H170" s="4" t="s">
        <v>9</v>
      </c>
      <c r="I170" s="4" t="s">
        <v>3</v>
      </c>
      <c r="J170" s="4" t="s">
        <v>9</v>
      </c>
      <c r="K170" s="4" t="s">
        <v>9</v>
      </c>
      <c r="L170" s="4" t="s">
        <v>9</v>
      </c>
      <c r="M170" s="4" t="s">
        <v>9</v>
      </c>
      <c r="N170" s="5"/>
    </row>
    <row r="171" spans="1:14" outlineLevel="2" x14ac:dyDescent="0.25">
      <c r="A171" t="s">
        <v>86</v>
      </c>
      <c r="B171" s="2">
        <v>46010</v>
      </c>
      <c r="C171" t="s">
        <v>86</v>
      </c>
      <c r="D171" t="s">
        <v>1</v>
      </c>
      <c r="E171" t="s">
        <v>87</v>
      </c>
      <c r="F171" s="3">
        <v>31990.6</v>
      </c>
      <c r="G171" s="3">
        <v>31990.6</v>
      </c>
      <c r="H171" t="s">
        <v>3</v>
      </c>
      <c r="I171" t="s">
        <v>3</v>
      </c>
      <c r="J171" t="s">
        <v>88</v>
      </c>
      <c r="K171" t="s">
        <v>5</v>
      </c>
      <c r="L171" t="s">
        <v>12</v>
      </c>
      <c r="M171" t="s">
        <v>7</v>
      </c>
      <c r="N171" s="2">
        <v>46010</v>
      </c>
    </row>
    <row r="172" spans="1:14" outlineLevel="2" x14ac:dyDescent="0.25">
      <c r="A172" t="s">
        <v>86</v>
      </c>
      <c r="B172" s="2">
        <v>46053</v>
      </c>
      <c r="C172" t="s">
        <v>86</v>
      </c>
      <c r="D172" t="s">
        <v>1</v>
      </c>
      <c r="E172" t="s">
        <v>9</v>
      </c>
      <c r="F172" s="3">
        <v>3850</v>
      </c>
      <c r="G172" s="3">
        <v>3850</v>
      </c>
      <c r="H172" t="s">
        <v>3</v>
      </c>
      <c r="I172" t="s">
        <v>3</v>
      </c>
      <c r="J172" t="s">
        <v>10</v>
      </c>
      <c r="K172" t="s">
        <v>13</v>
      </c>
      <c r="L172" t="s">
        <v>14</v>
      </c>
      <c r="M172" t="s">
        <v>7</v>
      </c>
      <c r="N172" s="2">
        <v>46053</v>
      </c>
    </row>
    <row r="173" spans="1:14" outlineLevel="2" x14ac:dyDescent="0.25">
      <c r="A173" t="s">
        <v>86</v>
      </c>
      <c r="B173" s="2">
        <v>46081</v>
      </c>
      <c r="C173" t="s">
        <v>86</v>
      </c>
      <c r="D173" t="s">
        <v>1</v>
      </c>
      <c r="E173" t="s">
        <v>9</v>
      </c>
      <c r="F173" s="3">
        <v>5550</v>
      </c>
      <c r="G173" s="3">
        <v>5550</v>
      </c>
      <c r="H173" t="s">
        <v>3</v>
      </c>
      <c r="I173" t="s">
        <v>3</v>
      </c>
      <c r="J173" t="s">
        <v>10</v>
      </c>
      <c r="K173" t="s">
        <v>13</v>
      </c>
      <c r="L173" t="s">
        <v>15</v>
      </c>
      <c r="M173" t="s">
        <v>7</v>
      </c>
      <c r="N173" s="2">
        <v>46081</v>
      </c>
    </row>
    <row r="174" spans="1:14" outlineLevel="2" x14ac:dyDescent="0.25">
      <c r="A174" t="s">
        <v>86</v>
      </c>
      <c r="B174" s="2">
        <v>46112</v>
      </c>
      <c r="C174" t="s">
        <v>86</v>
      </c>
      <c r="D174" t="s">
        <v>1</v>
      </c>
      <c r="E174" t="s">
        <v>9</v>
      </c>
      <c r="F174" s="3">
        <v>10050</v>
      </c>
      <c r="G174" s="3">
        <v>10050</v>
      </c>
      <c r="H174" t="s">
        <v>3</v>
      </c>
      <c r="I174" t="s">
        <v>3</v>
      </c>
      <c r="J174" t="s">
        <v>10</v>
      </c>
      <c r="K174" t="s">
        <v>13</v>
      </c>
      <c r="L174" t="s">
        <v>16</v>
      </c>
      <c r="M174" t="s">
        <v>7</v>
      </c>
      <c r="N174" s="2">
        <v>46112</v>
      </c>
    </row>
    <row r="175" spans="1:14" outlineLevel="2" x14ac:dyDescent="0.25">
      <c r="A175" t="s">
        <v>86</v>
      </c>
      <c r="B175" s="2">
        <v>46142</v>
      </c>
      <c r="C175" t="s">
        <v>86</v>
      </c>
      <c r="D175" t="s">
        <v>1</v>
      </c>
      <c r="E175" t="s">
        <v>9</v>
      </c>
      <c r="F175" s="3">
        <v>6559</v>
      </c>
      <c r="G175" s="3">
        <v>6559</v>
      </c>
      <c r="H175" t="s">
        <v>3</v>
      </c>
      <c r="I175" t="s">
        <v>3</v>
      </c>
      <c r="J175" t="s">
        <v>10</v>
      </c>
      <c r="K175" t="s">
        <v>13</v>
      </c>
      <c r="L175" t="s">
        <v>17</v>
      </c>
      <c r="M175" t="s">
        <v>7</v>
      </c>
      <c r="N175" s="2">
        <v>46142</v>
      </c>
    </row>
    <row r="176" spans="1:14" outlineLevel="2" x14ac:dyDescent="0.25">
      <c r="A176" t="s">
        <v>86</v>
      </c>
      <c r="B176" s="2">
        <v>46255</v>
      </c>
      <c r="C176" t="s">
        <v>86</v>
      </c>
      <c r="D176" t="s">
        <v>1</v>
      </c>
      <c r="E176" t="s">
        <v>89</v>
      </c>
      <c r="F176" s="3">
        <v>4125</v>
      </c>
      <c r="G176" s="3">
        <v>4125</v>
      </c>
      <c r="H176" t="s">
        <v>3</v>
      </c>
      <c r="I176" t="s">
        <v>3</v>
      </c>
      <c r="J176" t="s">
        <v>90</v>
      </c>
      <c r="K176" t="s">
        <v>13</v>
      </c>
      <c r="L176" t="s">
        <v>22</v>
      </c>
      <c r="M176" t="s">
        <v>7</v>
      </c>
      <c r="N176" s="2">
        <v>46255</v>
      </c>
    </row>
    <row r="177" spans="1:14" outlineLevel="2" x14ac:dyDescent="0.25">
      <c r="A177" t="s">
        <v>86</v>
      </c>
      <c r="B177" s="2">
        <v>46255</v>
      </c>
      <c r="C177" t="s">
        <v>86</v>
      </c>
      <c r="D177" t="s">
        <v>1</v>
      </c>
      <c r="E177" t="s">
        <v>89</v>
      </c>
      <c r="F177" s="3">
        <v>35521</v>
      </c>
      <c r="G177" s="3">
        <v>35521</v>
      </c>
      <c r="H177" t="s">
        <v>3</v>
      </c>
      <c r="I177" t="s">
        <v>3</v>
      </c>
      <c r="J177" t="s">
        <v>90</v>
      </c>
      <c r="K177" t="s">
        <v>13</v>
      </c>
      <c r="L177" t="s">
        <v>22</v>
      </c>
      <c r="M177" t="s">
        <v>7</v>
      </c>
      <c r="N177" s="2">
        <v>46255</v>
      </c>
    </row>
    <row r="178" spans="1:14" outlineLevel="1" x14ac:dyDescent="0.25">
      <c r="A178" s="4" t="s">
        <v>86</v>
      </c>
      <c r="B178" s="5"/>
      <c r="C178" s="4" t="s">
        <v>9</v>
      </c>
      <c r="D178" s="4" t="s">
        <v>9</v>
      </c>
      <c r="E178" s="4" t="s">
        <v>9</v>
      </c>
      <c r="F178" s="6">
        <v>97645.6</v>
      </c>
      <c r="G178" s="6">
        <v>97645.6</v>
      </c>
      <c r="H178" s="4" t="s">
        <v>9</v>
      </c>
      <c r="I178" s="4" t="s">
        <v>3</v>
      </c>
      <c r="J178" s="4" t="s">
        <v>9</v>
      </c>
      <c r="K178" s="4" t="s">
        <v>9</v>
      </c>
      <c r="L178" s="4" t="s">
        <v>9</v>
      </c>
      <c r="M178" s="4" t="s">
        <v>9</v>
      </c>
      <c r="N178" s="5"/>
    </row>
    <row r="179" spans="1:14" outlineLevel="2" x14ac:dyDescent="0.25">
      <c r="A179" t="s">
        <v>91</v>
      </c>
      <c r="B179" s="2">
        <v>46080</v>
      </c>
      <c r="C179" t="s">
        <v>91</v>
      </c>
      <c r="D179" t="s">
        <v>1</v>
      </c>
      <c r="E179" t="s">
        <v>92</v>
      </c>
      <c r="F179" s="3">
        <v>75000</v>
      </c>
      <c r="G179" s="3">
        <v>75000</v>
      </c>
      <c r="H179" t="s">
        <v>3</v>
      </c>
      <c r="I179" t="s">
        <v>3</v>
      </c>
      <c r="J179" t="s">
        <v>93</v>
      </c>
      <c r="K179" t="s">
        <v>13</v>
      </c>
      <c r="L179" t="s">
        <v>15</v>
      </c>
      <c r="M179" t="s">
        <v>7</v>
      </c>
      <c r="N179" s="2">
        <v>46080</v>
      </c>
    </row>
    <row r="180" spans="1:14" outlineLevel="2" x14ac:dyDescent="0.25">
      <c r="A180" t="s">
        <v>91</v>
      </c>
      <c r="B180" s="2">
        <v>46090</v>
      </c>
      <c r="C180" t="s">
        <v>91</v>
      </c>
      <c r="D180" t="s">
        <v>1</v>
      </c>
      <c r="E180" t="s">
        <v>92</v>
      </c>
      <c r="F180" s="3">
        <v>86000</v>
      </c>
      <c r="G180" s="3">
        <v>86000</v>
      </c>
      <c r="H180" t="s">
        <v>3</v>
      </c>
      <c r="I180" t="s">
        <v>3</v>
      </c>
      <c r="J180" t="s">
        <v>93</v>
      </c>
      <c r="K180" t="s">
        <v>13</v>
      </c>
      <c r="L180" t="s">
        <v>16</v>
      </c>
      <c r="M180" t="s">
        <v>7</v>
      </c>
      <c r="N180" s="2">
        <v>46090</v>
      </c>
    </row>
    <row r="181" spans="1:14" outlineLevel="2" x14ac:dyDescent="0.25">
      <c r="A181" t="s">
        <v>91</v>
      </c>
      <c r="B181" s="2">
        <v>46141</v>
      </c>
      <c r="C181" t="s">
        <v>91</v>
      </c>
      <c r="D181" t="s">
        <v>1</v>
      </c>
      <c r="E181" t="s">
        <v>92</v>
      </c>
      <c r="F181" s="3">
        <v>3155</v>
      </c>
      <c r="G181" s="3">
        <v>3155</v>
      </c>
      <c r="H181" t="s">
        <v>3</v>
      </c>
      <c r="I181" t="s">
        <v>3</v>
      </c>
      <c r="J181" t="s">
        <v>94</v>
      </c>
      <c r="K181" t="s">
        <v>13</v>
      </c>
      <c r="L181" t="s">
        <v>17</v>
      </c>
      <c r="M181" t="s">
        <v>7</v>
      </c>
      <c r="N181" s="2">
        <v>46141</v>
      </c>
    </row>
    <row r="182" spans="1:14" outlineLevel="2" x14ac:dyDescent="0.25">
      <c r="A182" t="s">
        <v>91</v>
      </c>
      <c r="B182" s="2">
        <v>46182</v>
      </c>
      <c r="C182" t="s">
        <v>91</v>
      </c>
      <c r="D182" t="s">
        <v>1</v>
      </c>
      <c r="E182" t="s">
        <v>9</v>
      </c>
      <c r="F182" s="3">
        <v>164155</v>
      </c>
      <c r="G182" s="3">
        <v>164155</v>
      </c>
      <c r="H182" t="s">
        <v>3</v>
      </c>
      <c r="I182" t="s">
        <v>3</v>
      </c>
      <c r="J182" t="s">
        <v>95</v>
      </c>
      <c r="K182" t="s">
        <v>13</v>
      </c>
      <c r="L182" t="s">
        <v>19</v>
      </c>
      <c r="M182" t="s">
        <v>7</v>
      </c>
      <c r="N182" s="2">
        <v>46203</v>
      </c>
    </row>
    <row r="183" spans="1:14" outlineLevel="2" x14ac:dyDescent="0.25">
      <c r="A183" t="s">
        <v>91</v>
      </c>
      <c r="B183" s="2">
        <v>46210</v>
      </c>
      <c r="C183" t="s">
        <v>91</v>
      </c>
      <c r="D183" t="s">
        <v>1</v>
      </c>
      <c r="E183" t="s">
        <v>92</v>
      </c>
      <c r="F183" s="3">
        <v>3272</v>
      </c>
      <c r="G183" s="3">
        <v>3272</v>
      </c>
      <c r="H183" t="s">
        <v>3</v>
      </c>
      <c r="I183" t="s">
        <v>3</v>
      </c>
      <c r="J183" t="s">
        <v>94</v>
      </c>
      <c r="K183" t="s">
        <v>13</v>
      </c>
      <c r="L183" t="s">
        <v>21</v>
      </c>
      <c r="M183" t="s">
        <v>7</v>
      </c>
      <c r="N183" s="2">
        <v>46210</v>
      </c>
    </row>
    <row r="184" spans="1:14" outlineLevel="2" x14ac:dyDescent="0.25">
      <c r="A184" t="s">
        <v>91</v>
      </c>
      <c r="B184" s="2">
        <v>46274</v>
      </c>
      <c r="C184" t="s">
        <v>91</v>
      </c>
      <c r="D184" t="s">
        <v>1</v>
      </c>
      <c r="E184" t="s">
        <v>92</v>
      </c>
      <c r="F184" s="3">
        <v>1762</v>
      </c>
      <c r="G184" s="3">
        <v>1762</v>
      </c>
      <c r="H184" t="s">
        <v>3</v>
      </c>
      <c r="I184" t="s">
        <v>3</v>
      </c>
      <c r="J184" t="s">
        <v>94</v>
      </c>
      <c r="K184" t="s">
        <v>13</v>
      </c>
      <c r="L184" t="s">
        <v>6</v>
      </c>
      <c r="M184" t="s">
        <v>7</v>
      </c>
      <c r="N184" s="2">
        <v>46274</v>
      </c>
    </row>
    <row r="185" spans="1:14" outlineLevel="1" x14ac:dyDescent="0.25">
      <c r="A185" s="4" t="s">
        <v>91</v>
      </c>
      <c r="B185" s="5"/>
      <c r="C185" s="4" t="s">
        <v>9</v>
      </c>
      <c r="D185" s="4" t="s">
        <v>9</v>
      </c>
      <c r="E185" s="4" t="s">
        <v>9</v>
      </c>
      <c r="F185" s="6">
        <v>333344</v>
      </c>
      <c r="G185" s="6">
        <v>333344</v>
      </c>
      <c r="H185" s="4" t="s">
        <v>9</v>
      </c>
      <c r="I185" s="4" t="s">
        <v>3</v>
      </c>
      <c r="J185" s="4" t="s">
        <v>9</v>
      </c>
      <c r="K185" s="4" t="s">
        <v>9</v>
      </c>
      <c r="L185" s="4" t="s">
        <v>9</v>
      </c>
      <c r="M185" s="4" t="s">
        <v>9</v>
      </c>
      <c r="N185" s="5"/>
    </row>
    <row r="186" spans="1:14" outlineLevel="2" x14ac:dyDescent="0.25">
      <c r="A186" t="s">
        <v>96</v>
      </c>
      <c r="B186" s="2">
        <v>46114</v>
      </c>
      <c r="C186" t="s">
        <v>96</v>
      </c>
      <c r="D186" t="s">
        <v>1</v>
      </c>
      <c r="E186" t="s">
        <v>92</v>
      </c>
      <c r="F186" s="3">
        <v>92000</v>
      </c>
      <c r="G186" s="3">
        <v>92000</v>
      </c>
      <c r="H186" t="s">
        <v>3</v>
      </c>
      <c r="I186" t="s">
        <v>3</v>
      </c>
      <c r="J186" t="s">
        <v>93</v>
      </c>
      <c r="K186" t="s">
        <v>13</v>
      </c>
      <c r="L186" t="s">
        <v>17</v>
      </c>
      <c r="M186" t="s">
        <v>7</v>
      </c>
      <c r="N186" s="2">
        <v>46114</v>
      </c>
    </row>
    <row r="187" spans="1:14" outlineLevel="2" x14ac:dyDescent="0.25">
      <c r="A187" t="s">
        <v>96</v>
      </c>
      <c r="B187" s="2">
        <v>46148</v>
      </c>
      <c r="C187" t="s">
        <v>96</v>
      </c>
      <c r="D187" t="s">
        <v>1</v>
      </c>
      <c r="E187" t="s">
        <v>92</v>
      </c>
      <c r="F187" s="3">
        <v>113000</v>
      </c>
      <c r="G187" s="3">
        <v>113000</v>
      </c>
      <c r="H187" t="s">
        <v>3</v>
      </c>
      <c r="I187" t="s">
        <v>3</v>
      </c>
      <c r="J187" t="s">
        <v>93</v>
      </c>
      <c r="K187" t="s">
        <v>13</v>
      </c>
      <c r="L187" t="s">
        <v>18</v>
      </c>
      <c r="M187" t="s">
        <v>7</v>
      </c>
      <c r="N187" s="2">
        <v>46148</v>
      </c>
    </row>
    <row r="188" spans="1:14" outlineLevel="2" x14ac:dyDescent="0.25">
      <c r="A188" t="s">
        <v>96</v>
      </c>
      <c r="B188" s="2">
        <v>46176</v>
      </c>
      <c r="C188" t="s">
        <v>96</v>
      </c>
      <c r="D188" t="s">
        <v>1</v>
      </c>
      <c r="E188" t="s">
        <v>92</v>
      </c>
      <c r="F188" s="3">
        <v>110000</v>
      </c>
      <c r="G188" s="3">
        <v>110000</v>
      </c>
      <c r="H188" t="s">
        <v>3</v>
      </c>
      <c r="I188" t="s">
        <v>3</v>
      </c>
      <c r="J188" t="s">
        <v>93</v>
      </c>
      <c r="K188" t="s">
        <v>13</v>
      </c>
      <c r="L188" t="s">
        <v>19</v>
      </c>
      <c r="M188" t="s">
        <v>7</v>
      </c>
      <c r="N188" s="2">
        <v>46176</v>
      </c>
    </row>
    <row r="189" spans="1:14" outlineLevel="2" x14ac:dyDescent="0.25">
      <c r="A189" t="s">
        <v>96</v>
      </c>
      <c r="B189" s="2">
        <v>46174</v>
      </c>
      <c r="C189" t="s">
        <v>96</v>
      </c>
      <c r="D189" t="s">
        <v>1</v>
      </c>
      <c r="E189" t="s">
        <v>9</v>
      </c>
      <c r="F189" s="3">
        <v>75000</v>
      </c>
      <c r="G189" s="3">
        <v>75000</v>
      </c>
      <c r="H189" t="s">
        <v>3</v>
      </c>
      <c r="I189" t="s">
        <v>3</v>
      </c>
      <c r="J189" t="s">
        <v>97</v>
      </c>
      <c r="K189" t="s">
        <v>13</v>
      </c>
      <c r="L189" t="s">
        <v>19</v>
      </c>
      <c r="M189" t="s">
        <v>7</v>
      </c>
      <c r="N189" s="2">
        <v>46174</v>
      </c>
    </row>
    <row r="190" spans="1:14" outlineLevel="2" x14ac:dyDescent="0.25">
      <c r="A190" t="s">
        <v>96</v>
      </c>
      <c r="B190" s="2">
        <v>46174</v>
      </c>
      <c r="C190" t="s">
        <v>96</v>
      </c>
      <c r="D190" t="s">
        <v>1</v>
      </c>
      <c r="E190" t="s">
        <v>9</v>
      </c>
      <c r="F190" s="3">
        <v>86000</v>
      </c>
      <c r="G190" s="3">
        <v>86000</v>
      </c>
      <c r="H190" t="s">
        <v>3</v>
      </c>
      <c r="I190" t="s">
        <v>3</v>
      </c>
      <c r="J190" t="s">
        <v>97</v>
      </c>
      <c r="K190" t="s">
        <v>13</v>
      </c>
      <c r="L190" t="s">
        <v>19</v>
      </c>
      <c r="M190" t="s">
        <v>7</v>
      </c>
      <c r="N190" s="2">
        <v>46174</v>
      </c>
    </row>
    <row r="191" spans="1:14" outlineLevel="2" x14ac:dyDescent="0.25">
      <c r="A191" t="s">
        <v>96</v>
      </c>
      <c r="B191" s="2">
        <v>46206</v>
      </c>
      <c r="C191" t="s">
        <v>96</v>
      </c>
      <c r="D191" t="s">
        <v>1</v>
      </c>
      <c r="E191" t="s">
        <v>92</v>
      </c>
      <c r="F191" s="3">
        <v>117000</v>
      </c>
      <c r="G191" s="3">
        <v>117000</v>
      </c>
      <c r="H191" t="s">
        <v>3</v>
      </c>
      <c r="I191" t="s">
        <v>3</v>
      </c>
      <c r="J191" t="s">
        <v>93</v>
      </c>
      <c r="K191" t="s">
        <v>13</v>
      </c>
      <c r="L191" t="s">
        <v>21</v>
      </c>
      <c r="M191" t="s">
        <v>7</v>
      </c>
      <c r="N191" s="2">
        <v>46206</v>
      </c>
    </row>
    <row r="192" spans="1:14" outlineLevel="2" x14ac:dyDescent="0.25">
      <c r="A192" t="s">
        <v>96</v>
      </c>
      <c r="B192" s="2">
        <v>46239</v>
      </c>
      <c r="C192" t="s">
        <v>96</v>
      </c>
      <c r="D192" t="s">
        <v>1</v>
      </c>
      <c r="E192" t="s">
        <v>92</v>
      </c>
      <c r="F192" s="3">
        <v>95000</v>
      </c>
      <c r="G192" s="3">
        <v>95000</v>
      </c>
      <c r="H192" t="s">
        <v>3</v>
      </c>
      <c r="I192" t="s">
        <v>3</v>
      </c>
      <c r="J192" t="s">
        <v>93</v>
      </c>
      <c r="K192" t="s">
        <v>13</v>
      </c>
      <c r="L192" t="s">
        <v>22</v>
      </c>
      <c r="M192" t="s">
        <v>7</v>
      </c>
      <c r="N192" s="2">
        <v>46239</v>
      </c>
    </row>
    <row r="193" spans="1:14" outlineLevel="2" x14ac:dyDescent="0.25">
      <c r="A193" t="s">
        <v>96</v>
      </c>
      <c r="B193" s="2">
        <v>46274</v>
      </c>
      <c r="C193" t="s">
        <v>96</v>
      </c>
      <c r="D193" t="s">
        <v>1</v>
      </c>
      <c r="E193" t="s">
        <v>92</v>
      </c>
      <c r="F193" s="3">
        <v>105000</v>
      </c>
      <c r="G193" s="3">
        <v>105000</v>
      </c>
      <c r="H193" t="s">
        <v>3</v>
      </c>
      <c r="I193" t="s">
        <v>3</v>
      </c>
      <c r="J193" t="s">
        <v>93</v>
      </c>
      <c r="K193" t="s">
        <v>13</v>
      </c>
      <c r="L193" t="s">
        <v>6</v>
      </c>
      <c r="M193" t="s">
        <v>7</v>
      </c>
      <c r="N193" s="2">
        <v>46274</v>
      </c>
    </row>
    <row r="194" spans="1:14" outlineLevel="1" x14ac:dyDescent="0.25">
      <c r="A194" s="4" t="s">
        <v>96</v>
      </c>
      <c r="B194" s="5"/>
      <c r="C194" s="4" t="s">
        <v>9</v>
      </c>
      <c r="D194" s="4" t="s">
        <v>9</v>
      </c>
      <c r="E194" s="4" t="s">
        <v>9</v>
      </c>
      <c r="F194" s="6">
        <v>793000</v>
      </c>
      <c r="G194" s="6">
        <v>793000</v>
      </c>
      <c r="H194" s="4" t="s">
        <v>9</v>
      </c>
      <c r="I194" s="4" t="s">
        <v>3</v>
      </c>
      <c r="J194" s="4" t="s">
        <v>9</v>
      </c>
      <c r="K194" s="4" t="s">
        <v>9</v>
      </c>
      <c r="L194" s="4" t="s">
        <v>9</v>
      </c>
      <c r="M194" s="4" t="s">
        <v>9</v>
      </c>
      <c r="N194" s="5"/>
    </row>
    <row r="195" spans="1:14" outlineLevel="2" x14ac:dyDescent="0.25">
      <c r="A195" t="s">
        <v>98</v>
      </c>
      <c r="B195" s="2">
        <v>46104</v>
      </c>
      <c r="C195" t="s">
        <v>98</v>
      </c>
      <c r="D195" t="s">
        <v>99</v>
      </c>
      <c r="E195" t="s">
        <v>100</v>
      </c>
      <c r="F195" s="3">
        <v>13020</v>
      </c>
      <c r="G195" s="3">
        <v>13020</v>
      </c>
      <c r="H195" t="s">
        <v>3</v>
      </c>
      <c r="I195" t="s">
        <v>3</v>
      </c>
      <c r="J195" t="s">
        <v>101</v>
      </c>
      <c r="K195" t="s">
        <v>13</v>
      </c>
      <c r="L195" t="s">
        <v>16</v>
      </c>
      <c r="M195" t="s">
        <v>102</v>
      </c>
      <c r="N195" s="2">
        <v>46104</v>
      </c>
    </row>
    <row r="196" spans="1:14" outlineLevel="2" x14ac:dyDescent="0.25">
      <c r="A196" t="s">
        <v>98</v>
      </c>
      <c r="B196" s="2">
        <v>46082</v>
      </c>
      <c r="C196" t="s">
        <v>98</v>
      </c>
      <c r="D196" t="s">
        <v>99</v>
      </c>
      <c r="E196" t="s">
        <v>9</v>
      </c>
      <c r="F196" s="3">
        <v>14199.99</v>
      </c>
      <c r="G196" s="3">
        <v>14199.99</v>
      </c>
      <c r="H196" t="s">
        <v>3</v>
      </c>
      <c r="I196" t="s">
        <v>3</v>
      </c>
      <c r="J196" t="s">
        <v>103</v>
      </c>
      <c r="K196" t="s">
        <v>13</v>
      </c>
      <c r="L196" t="s">
        <v>16</v>
      </c>
      <c r="M196" t="s">
        <v>102</v>
      </c>
      <c r="N196" s="2">
        <v>46082</v>
      </c>
    </row>
    <row r="197" spans="1:14" outlineLevel="2" x14ac:dyDescent="0.25">
      <c r="A197" t="s">
        <v>98</v>
      </c>
      <c r="B197" s="2">
        <v>46120</v>
      </c>
      <c r="C197" t="s">
        <v>98</v>
      </c>
      <c r="D197" t="s">
        <v>99</v>
      </c>
      <c r="E197" t="s">
        <v>100</v>
      </c>
      <c r="F197" s="3">
        <v>15120</v>
      </c>
      <c r="G197" s="3">
        <v>15120</v>
      </c>
      <c r="H197" t="s">
        <v>3</v>
      </c>
      <c r="I197" t="s">
        <v>3</v>
      </c>
      <c r="J197" t="s">
        <v>101</v>
      </c>
      <c r="K197" t="s">
        <v>13</v>
      </c>
      <c r="L197" t="s">
        <v>17</v>
      </c>
      <c r="M197" t="s">
        <v>102</v>
      </c>
      <c r="N197" s="2">
        <v>46120</v>
      </c>
    </row>
    <row r="198" spans="1:14" outlineLevel="2" x14ac:dyDescent="0.25">
      <c r="A198" t="s">
        <v>98</v>
      </c>
      <c r="B198" s="2">
        <v>46155</v>
      </c>
      <c r="C198" t="s">
        <v>98</v>
      </c>
      <c r="D198" t="s">
        <v>99</v>
      </c>
      <c r="E198" t="s">
        <v>100</v>
      </c>
      <c r="F198" s="3">
        <v>12600</v>
      </c>
      <c r="G198" s="3">
        <v>12600</v>
      </c>
      <c r="H198" t="s">
        <v>3</v>
      </c>
      <c r="I198" t="s">
        <v>3</v>
      </c>
      <c r="J198" t="s">
        <v>101</v>
      </c>
      <c r="K198" t="s">
        <v>13</v>
      </c>
      <c r="L198" t="s">
        <v>18</v>
      </c>
      <c r="M198" t="s">
        <v>102</v>
      </c>
      <c r="N198" s="2">
        <v>46155</v>
      </c>
    </row>
    <row r="199" spans="1:14" outlineLevel="2" x14ac:dyDescent="0.25">
      <c r="A199" t="s">
        <v>98</v>
      </c>
      <c r="B199" s="2">
        <v>46178</v>
      </c>
      <c r="C199" t="s">
        <v>98</v>
      </c>
      <c r="D199" t="s">
        <v>99</v>
      </c>
      <c r="E199" t="s">
        <v>100</v>
      </c>
      <c r="F199" s="3">
        <v>8820</v>
      </c>
      <c r="G199" s="3">
        <v>8820</v>
      </c>
      <c r="H199" t="s">
        <v>3</v>
      </c>
      <c r="I199" t="s">
        <v>3</v>
      </c>
      <c r="J199" t="s">
        <v>101</v>
      </c>
      <c r="K199" t="s">
        <v>13</v>
      </c>
      <c r="L199" t="s">
        <v>19</v>
      </c>
      <c r="M199" t="s">
        <v>102</v>
      </c>
      <c r="N199" s="2">
        <v>46178</v>
      </c>
    </row>
    <row r="200" spans="1:14" outlineLevel="2" x14ac:dyDescent="0.25">
      <c r="A200" t="s">
        <v>98</v>
      </c>
      <c r="B200" s="2">
        <v>46209</v>
      </c>
      <c r="C200" t="s">
        <v>98</v>
      </c>
      <c r="D200" t="s">
        <v>99</v>
      </c>
      <c r="E200" t="s">
        <v>100</v>
      </c>
      <c r="F200" s="3">
        <v>12600</v>
      </c>
      <c r="G200" s="3">
        <v>12600</v>
      </c>
      <c r="H200" t="s">
        <v>3</v>
      </c>
      <c r="I200" t="s">
        <v>3</v>
      </c>
      <c r="J200" t="s">
        <v>101</v>
      </c>
      <c r="K200" t="s">
        <v>13</v>
      </c>
      <c r="L200" t="s">
        <v>21</v>
      </c>
      <c r="M200" t="s">
        <v>102</v>
      </c>
      <c r="N200" s="2">
        <v>46209</v>
      </c>
    </row>
    <row r="201" spans="1:14" outlineLevel="2" x14ac:dyDescent="0.25">
      <c r="A201" t="s">
        <v>98</v>
      </c>
      <c r="B201" s="2">
        <v>46251</v>
      </c>
      <c r="C201" t="s">
        <v>98</v>
      </c>
      <c r="D201" t="s">
        <v>99</v>
      </c>
      <c r="E201" t="s">
        <v>100</v>
      </c>
      <c r="F201" s="3">
        <v>12600</v>
      </c>
      <c r="G201" s="3">
        <v>12600</v>
      </c>
      <c r="H201" t="s">
        <v>3</v>
      </c>
      <c r="I201" t="s">
        <v>3</v>
      </c>
      <c r="J201" t="s">
        <v>104</v>
      </c>
      <c r="K201" t="s">
        <v>13</v>
      </c>
      <c r="L201" t="s">
        <v>22</v>
      </c>
      <c r="M201" t="s">
        <v>102</v>
      </c>
      <c r="N201" s="2">
        <v>46251</v>
      </c>
    </row>
    <row r="202" spans="1:14" outlineLevel="1" x14ac:dyDescent="0.25">
      <c r="A202" s="4" t="s">
        <v>98</v>
      </c>
      <c r="B202" s="5"/>
      <c r="C202" s="4" t="s">
        <v>9</v>
      </c>
      <c r="D202" s="4" t="s">
        <v>9</v>
      </c>
      <c r="E202" s="4" t="s">
        <v>9</v>
      </c>
      <c r="F202" s="6">
        <v>88959.99</v>
      </c>
      <c r="G202" s="6">
        <v>88959.99</v>
      </c>
      <c r="H202" s="4" t="s">
        <v>9</v>
      </c>
      <c r="I202" s="4" t="s">
        <v>3</v>
      </c>
      <c r="J202" s="4" t="s">
        <v>9</v>
      </c>
      <c r="K202" s="4" t="s">
        <v>9</v>
      </c>
      <c r="L202" s="4" t="s">
        <v>9</v>
      </c>
      <c r="M202" s="4" t="s">
        <v>9</v>
      </c>
      <c r="N202" s="5"/>
    </row>
    <row r="203" spans="1:14" outlineLevel="2" x14ac:dyDescent="0.25">
      <c r="A203" t="s">
        <v>105</v>
      </c>
      <c r="B203" s="2">
        <v>46142</v>
      </c>
      <c r="C203" t="s">
        <v>105</v>
      </c>
      <c r="D203" t="s">
        <v>33</v>
      </c>
      <c r="E203" t="s">
        <v>9</v>
      </c>
      <c r="F203" s="3">
        <v>9315</v>
      </c>
      <c r="G203" s="3">
        <v>9315</v>
      </c>
      <c r="H203" t="s">
        <v>3</v>
      </c>
      <c r="I203" t="s">
        <v>3</v>
      </c>
      <c r="J203" t="s">
        <v>106</v>
      </c>
      <c r="K203" t="s">
        <v>13</v>
      </c>
      <c r="L203" t="s">
        <v>17</v>
      </c>
      <c r="M203" t="s">
        <v>35</v>
      </c>
      <c r="N203" s="2">
        <v>46142</v>
      </c>
    </row>
    <row r="204" spans="1:14" outlineLevel="2" x14ac:dyDescent="0.25">
      <c r="A204" t="s">
        <v>105</v>
      </c>
      <c r="B204" s="2">
        <v>46142</v>
      </c>
      <c r="C204" t="s">
        <v>105</v>
      </c>
      <c r="D204" t="s">
        <v>1</v>
      </c>
      <c r="E204" t="s">
        <v>9</v>
      </c>
      <c r="F204" s="3">
        <v>9315</v>
      </c>
      <c r="G204" s="3">
        <v>9315</v>
      </c>
      <c r="H204" t="s">
        <v>3</v>
      </c>
      <c r="I204" t="s">
        <v>3</v>
      </c>
      <c r="J204" t="s">
        <v>45</v>
      </c>
      <c r="K204" t="s">
        <v>13</v>
      </c>
      <c r="L204" t="s">
        <v>17</v>
      </c>
      <c r="M204" t="s">
        <v>7</v>
      </c>
      <c r="N204" s="2">
        <v>46142</v>
      </c>
    </row>
    <row r="205" spans="1:14" outlineLevel="2" x14ac:dyDescent="0.25">
      <c r="A205" t="s">
        <v>105</v>
      </c>
      <c r="B205" s="2">
        <v>46173</v>
      </c>
      <c r="C205" t="s">
        <v>105</v>
      </c>
      <c r="D205" t="s">
        <v>33</v>
      </c>
      <c r="E205" t="s">
        <v>9</v>
      </c>
      <c r="F205" s="3">
        <v>405</v>
      </c>
      <c r="G205" s="3">
        <v>405</v>
      </c>
      <c r="H205" t="s">
        <v>3</v>
      </c>
      <c r="I205" t="s">
        <v>3</v>
      </c>
      <c r="J205" t="s">
        <v>106</v>
      </c>
      <c r="K205" t="s">
        <v>13</v>
      </c>
      <c r="L205" t="s">
        <v>18</v>
      </c>
      <c r="M205" t="s">
        <v>35</v>
      </c>
      <c r="N205" s="2">
        <v>46173</v>
      </c>
    </row>
    <row r="206" spans="1:14" outlineLevel="2" x14ac:dyDescent="0.25">
      <c r="A206" t="s">
        <v>105</v>
      </c>
      <c r="B206" s="2">
        <v>46173</v>
      </c>
      <c r="C206" t="s">
        <v>105</v>
      </c>
      <c r="D206" t="s">
        <v>1</v>
      </c>
      <c r="E206" t="s">
        <v>9</v>
      </c>
      <c r="F206" s="3">
        <v>405</v>
      </c>
      <c r="G206" s="3">
        <v>405</v>
      </c>
      <c r="H206" t="s">
        <v>3</v>
      </c>
      <c r="I206" t="s">
        <v>3</v>
      </c>
      <c r="J206" t="s">
        <v>45</v>
      </c>
      <c r="K206" t="s">
        <v>13</v>
      </c>
      <c r="L206" t="s">
        <v>18</v>
      </c>
      <c r="M206" t="s">
        <v>7</v>
      </c>
      <c r="N206" s="2">
        <v>46173</v>
      </c>
    </row>
    <row r="207" spans="1:14" outlineLevel="2" x14ac:dyDescent="0.25">
      <c r="A207" t="s">
        <v>105</v>
      </c>
      <c r="B207" s="2">
        <v>46203</v>
      </c>
      <c r="C207" t="s">
        <v>105</v>
      </c>
      <c r="D207" t="s">
        <v>33</v>
      </c>
      <c r="E207" t="s">
        <v>9</v>
      </c>
      <c r="F207" s="3">
        <v>945</v>
      </c>
      <c r="G207" s="3">
        <v>945</v>
      </c>
      <c r="H207" t="s">
        <v>3</v>
      </c>
      <c r="I207" t="s">
        <v>3</v>
      </c>
      <c r="J207" t="s">
        <v>106</v>
      </c>
      <c r="K207" t="s">
        <v>13</v>
      </c>
      <c r="L207" t="s">
        <v>19</v>
      </c>
      <c r="M207" t="s">
        <v>35</v>
      </c>
      <c r="N207" s="2">
        <v>46203</v>
      </c>
    </row>
    <row r="208" spans="1:14" outlineLevel="2" x14ac:dyDescent="0.25">
      <c r="A208" t="s">
        <v>105</v>
      </c>
      <c r="B208" s="2">
        <v>46203</v>
      </c>
      <c r="C208" t="s">
        <v>105</v>
      </c>
      <c r="D208" t="s">
        <v>1</v>
      </c>
      <c r="E208" t="s">
        <v>9</v>
      </c>
      <c r="F208" s="3">
        <v>945</v>
      </c>
      <c r="G208" s="3">
        <v>945</v>
      </c>
      <c r="H208" t="s">
        <v>3</v>
      </c>
      <c r="I208" t="s">
        <v>3</v>
      </c>
      <c r="J208" t="s">
        <v>45</v>
      </c>
      <c r="K208" t="s">
        <v>13</v>
      </c>
      <c r="L208" t="s">
        <v>19</v>
      </c>
      <c r="M208" t="s">
        <v>7</v>
      </c>
      <c r="N208" s="2">
        <v>46203</v>
      </c>
    </row>
    <row r="209" spans="1:14" outlineLevel="2" x14ac:dyDescent="0.25">
      <c r="A209" t="s">
        <v>105</v>
      </c>
      <c r="B209" s="2">
        <v>46234</v>
      </c>
      <c r="C209" t="s">
        <v>105</v>
      </c>
      <c r="D209" t="s">
        <v>33</v>
      </c>
      <c r="E209" t="s">
        <v>9</v>
      </c>
      <c r="F209" s="3">
        <v>540</v>
      </c>
      <c r="G209" s="3">
        <v>540</v>
      </c>
      <c r="H209" t="s">
        <v>3</v>
      </c>
      <c r="I209" t="s">
        <v>3</v>
      </c>
      <c r="J209" t="s">
        <v>107</v>
      </c>
      <c r="K209" t="s">
        <v>13</v>
      </c>
      <c r="L209" t="s">
        <v>21</v>
      </c>
      <c r="M209" t="s">
        <v>35</v>
      </c>
      <c r="N209" s="2">
        <v>46234</v>
      </c>
    </row>
    <row r="210" spans="1:14" outlineLevel="2" x14ac:dyDescent="0.25">
      <c r="A210" t="s">
        <v>105</v>
      </c>
      <c r="B210" s="2">
        <v>46234</v>
      </c>
      <c r="C210" t="s">
        <v>105</v>
      </c>
      <c r="D210" t="s">
        <v>1</v>
      </c>
      <c r="E210" t="s">
        <v>9</v>
      </c>
      <c r="F210" s="3">
        <v>540</v>
      </c>
      <c r="G210" s="3">
        <v>540</v>
      </c>
      <c r="H210" t="s">
        <v>3</v>
      </c>
      <c r="I210" t="s">
        <v>3</v>
      </c>
      <c r="J210" t="s">
        <v>45</v>
      </c>
      <c r="K210" t="s">
        <v>13</v>
      </c>
      <c r="L210" t="s">
        <v>21</v>
      </c>
      <c r="M210" t="s">
        <v>7</v>
      </c>
      <c r="N210" s="2">
        <v>46234</v>
      </c>
    </row>
    <row r="211" spans="1:14" outlineLevel="2" x14ac:dyDescent="0.25">
      <c r="A211" t="s">
        <v>105</v>
      </c>
      <c r="B211" s="2">
        <v>46265</v>
      </c>
      <c r="C211" t="s">
        <v>105</v>
      </c>
      <c r="D211" t="s">
        <v>33</v>
      </c>
      <c r="E211" t="s">
        <v>9</v>
      </c>
      <c r="F211" s="3">
        <v>540</v>
      </c>
      <c r="G211" s="3">
        <v>540</v>
      </c>
      <c r="H211" t="s">
        <v>3</v>
      </c>
      <c r="I211" t="s">
        <v>3</v>
      </c>
      <c r="J211" t="s">
        <v>108</v>
      </c>
      <c r="K211" t="s">
        <v>13</v>
      </c>
      <c r="L211" t="s">
        <v>22</v>
      </c>
      <c r="M211" t="s">
        <v>35</v>
      </c>
      <c r="N211" s="2">
        <v>46265</v>
      </c>
    </row>
    <row r="212" spans="1:14" outlineLevel="2" x14ac:dyDescent="0.25">
      <c r="A212" t="s">
        <v>105</v>
      </c>
      <c r="B212" s="2">
        <v>46265</v>
      </c>
      <c r="C212" t="s">
        <v>105</v>
      </c>
      <c r="D212" t="s">
        <v>1</v>
      </c>
      <c r="E212" t="s">
        <v>9</v>
      </c>
      <c r="F212" s="3">
        <v>540</v>
      </c>
      <c r="G212" s="3">
        <v>540</v>
      </c>
      <c r="H212" t="s">
        <v>3</v>
      </c>
      <c r="I212" t="s">
        <v>3</v>
      </c>
      <c r="J212" t="s">
        <v>45</v>
      </c>
      <c r="K212" t="s">
        <v>13</v>
      </c>
      <c r="L212" t="s">
        <v>22</v>
      </c>
      <c r="M212" t="s">
        <v>7</v>
      </c>
      <c r="N212" s="2">
        <v>46265</v>
      </c>
    </row>
    <row r="213" spans="1:14" outlineLevel="1" x14ac:dyDescent="0.25">
      <c r="A213" s="4" t="s">
        <v>105</v>
      </c>
      <c r="B213" s="5"/>
      <c r="C213" s="4" t="s">
        <v>9</v>
      </c>
      <c r="D213" s="4" t="s">
        <v>9</v>
      </c>
      <c r="E213" s="4" t="s">
        <v>9</v>
      </c>
      <c r="F213" s="6">
        <v>23490</v>
      </c>
      <c r="G213" s="6">
        <v>23490</v>
      </c>
      <c r="H213" s="4" t="s">
        <v>9</v>
      </c>
      <c r="I213" s="4" t="s">
        <v>3</v>
      </c>
      <c r="J213" s="4" t="s">
        <v>9</v>
      </c>
      <c r="K213" s="4" t="s">
        <v>9</v>
      </c>
      <c r="L213" s="4" t="s">
        <v>9</v>
      </c>
      <c r="M213" s="4" t="s">
        <v>9</v>
      </c>
      <c r="N213" s="5"/>
    </row>
    <row r="214" spans="1:14" outlineLevel="2" x14ac:dyDescent="0.25">
      <c r="A214" t="s">
        <v>109</v>
      </c>
      <c r="B214" s="2">
        <v>46112</v>
      </c>
      <c r="C214" t="s">
        <v>109</v>
      </c>
      <c r="D214" t="s">
        <v>1</v>
      </c>
      <c r="E214" t="s">
        <v>9</v>
      </c>
      <c r="F214" s="3">
        <v>12800</v>
      </c>
      <c r="G214" s="3">
        <v>12800</v>
      </c>
      <c r="H214" t="s">
        <v>3</v>
      </c>
      <c r="I214" t="s">
        <v>3</v>
      </c>
      <c r="J214" t="s">
        <v>10</v>
      </c>
      <c r="K214" t="s">
        <v>13</v>
      </c>
      <c r="L214" t="s">
        <v>16</v>
      </c>
      <c r="M214" t="s">
        <v>7</v>
      </c>
      <c r="N214" s="2">
        <v>46112</v>
      </c>
    </row>
    <row r="215" spans="1:14" outlineLevel="2" x14ac:dyDescent="0.25">
      <c r="A215" t="s">
        <v>109</v>
      </c>
      <c r="B215" s="2">
        <v>46142</v>
      </c>
      <c r="C215" t="s">
        <v>109</v>
      </c>
      <c r="D215" t="s">
        <v>1</v>
      </c>
      <c r="E215" t="s">
        <v>9</v>
      </c>
      <c r="F215" s="3">
        <v>9215</v>
      </c>
      <c r="G215" s="3">
        <v>9215</v>
      </c>
      <c r="H215" t="s">
        <v>3</v>
      </c>
      <c r="I215" t="s">
        <v>3</v>
      </c>
      <c r="J215" t="s">
        <v>10</v>
      </c>
      <c r="K215" t="s">
        <v>13</v>
      </c>
      <c r="L215" t="s">
        <v>17</v>
      </c>
      <c r="M215" t="s">
        <v>7</v>
      </c>
      <c r="N215" s="2">
        <v>46142</v>
      </c>
    </row>
    <row r="216" spans="1:14" outlineLevel="2" x14ac:dyDescent="0.25">
      <c r="A216" t="s">
        <v>109</v>
      </c>
      <c r="B216" s="2">
        <v>46160</v>
      </c>
      <c r="C216" t="s">
        <v>109</v>
      </c>
      <c r="D216" t="s">
        <v>1</v>
      </c>
      <c r="E216" t="s">
        <v>110</v>
      </c>
      <c r="F216" s="3">
        <v>12075</v>
      </c>
      <c r="G216" s="3">
        <v>12075</v>
      </c>
      <c r="H216" t="s">
        <v>3</v>
      </c>
      <c r="I216" t="s">
        <v>3</v>
      </c>
      <c r="J216" t="s">
        <v>111</v>
      </c>
      <c r="K216" t="s">
        <v>13</v>
      </c>
      <c r="L216" t="s">
        <v>18</v>
      </c>
      <c r="M216" t="s">
        <v>7</v>
      </c>
      <c r="N216" s="2">
        <v>46160</v>
      </c>
    </row>
    <row r="217" spans="1:14" outlineLevel="2" x14ac:dyDescent="0.25">
      <c r="A217" t="s">
        <v>109</v>
      </c>
      <c r="B217" s="2">
        <v>46173</v>
      </c>
      <c r="C217" t="s">
        <v>109</v>
      </c>
      <c r="D217" t="s">
        <v>1</v>
      </c>
      <c r="E217" t="s">
        <v>9</v>
      </c>
      <c r="F217" s="3">
        <v>9475</v>
      </c>
      <c r="G217" s="3">
        <v>9475</v>
      </c>
      <c r="H217" t="s">
        <v>3</v>
      </c>
      <c r="I217" t="s">
        <v>3</v>
      </c>
      <c r="J217" t="s">
        <v>10</v>
      </c>
      <c r="K217" t="s">
        <v>13</v>
      </c>
      <c r="L217" t="s">
        <v>18</v>
      </c>
      <c r="M217" t="s">
        <v>7</v>
      </c>
      <c r="N217" s="2">
        <v>46173</v>
      </c>
    </row>
    <row r="218" spans="1:14" outlineLevel="2" x14ac:dyDescent="0.25">
      <c r="A218" t="s">
        <v>109</v>
      </c>
      <c r="B218" s="2">
        <v>46196</v>
      </c>
      <c r="C218" t="s">
        <v>109</v>
      </c>
      <c r="D218" t="s">
        <v>1</v>
      </c>
      <c r="E218" t="s">
        <v>110</v>
      </c>
      <c r="F218" s="3">
        <v>1987.5</v>
      </c>
      <c r="G218" s="3">
        <v>1987.5</v>
      </c>
      <c r="H218" t="s">
        <v>3</v>
      </c>
      <c r="I218" t="s">
        <v>3</v>
      </c>
      <c r="J218" t="s">
        <v>111</v>
      </c>
      <c r="K218" t="s">
        <v>13</v>
      </c>
      <c r="L218" t="s">
        <v>19</v>
      </c>
      <c r="M218" t="s">
        <v>7</v>
      </c>
      <c r="N218" s="2">
        <v>46196</v>
      </c>
    </row>
    <row r="219" spans="1:14" outlineLevel="2" x14ac:dyDescent="0.25">
      <c r="A219" t="s">
        <v>109</v>
      </c>
      <c r="B219" s="2">
        <v>46203</v>
      </c>
      <c r="C219" t="s">
        <v>109</v>
      </c>
      <c r="D219" t="s">
        <v>1</v>
      </c>
      <c r="E219" t="s">
        <v>9</v>
      </c>
      <c r="F219" s="3">
        <v>4700</v>
      </c>
      <c r="G219" s="3">
        <v>4700</v>
      </c>
      <c r="H219" t="s">
        <v>3</v>
      </c>
      <c r="I219" t="s">
        <v>3</v>
      </c>
      <c r="J219" t="s">
        <v>10</v>
      </c>
      <c r="K219" t="s">
        <v>13</v>
      </c>
      <c r="L219" t="s">
        <v>19</v>
      </c>
      <c r="M219" t="s">
        <v>7</v>
      </c>
      <c r="N219" s="2">
        <v>46203</v>
      </c>
    </row>
    <row r="220" spans="1:14" outlineLevel="2" x14ac:dyDescent="0.25">
      <c r="A220" t="s">
        <v>109</v>
      </c>
      <c r="B220" s="2">
        <v>46234</v>
      </c>
      <c r="C220" t="s">
        <v>109</v>
      </c>
      <c r="D220" t="s">
        <v>1</v>
      </c>
      <c r="E220" t="s">
        <v>9</v>
      </c>
      <c r="F220" s="3">
        <v>5000</v>
      </c>
      <c r="G220" s="3">
        <v>5000</v>
      </c>
      <c r="H220" t="s">
        <v>3</v>
      </c>
      <c r="I220" t="s">
        <v>3</v>
      </c>
      <c r="J220" t="s">
        <v>10</v>
      </c>
      <c r="K220" t="s">
        <v>13</v>
      </c>
      <c r="L220" t="s">
        <v>21</v>
      </c>
      <c r="M220" t="s">
        <v>7</v>
      </c>
      <c r="N220" s="2">
        <v>46234</v>
      </c>
    </row>
    <row r="221" spans="1:14" outlineLevel="2" x14ac:dyDescent="0.25">
      <c r="A221" t="s">
        <v>109</v>
      </c>
      <c r="B221" s="2">
        <v>46265</v>
      </c>
      <c r="C221" t="s">
        <v>109</v>
      </c>
      <c r="D221" t="s">
        <v>1</v>
      </c>
      <c r="E221" t="s">
        <v>9</v>
      </c>
      <c r="F221" s="3">
        <v>1900</v>
      </c>
      <c r="G221" s="3">
        <v>1900</v>
      </c>
      <c r="H221" t="s">
        <v>3</v>
      </c>
      <c r="I221" t="s">
        <v>3</v>
      </c>
      <c r="J221" t="s">
        <v>10</v>
      </c>
      <c r="K221" t="s">
        <v>13</v>
      </c>
      <c r="L221" t="s">
        <v>22</v>
      </c>
      <c r="M221" t="s">
        <v>7</v>
      </c>
      <c r="N221" s="2">
        <v>46265</v>
      </c>
    </row>
    <row r="222" spans="1:14" outlineLevel="2" x14ac:dyDescent="0.25">
      <c r="A222" t="s">
        <v>109</v>
      </c>
      <c r="B222" s="2">
        <v>46267</v>
      </c>
      <c r="C222" t="s">
        <v>109</v>
      </c>
      <c r="D222" t="s">
        <v>112</v>
      </c>
      <c r="E222" t="s">
        <v>9</v>
      </c>
      <c r="F222" s="3">
        <v>14062.5</v>
      </c>
      <c r="G222" s="3">
        <v>14062.5</v>
      </c>
      <c r="H222" t="s">
        <v>3</v>
      </c>
      <c r="I222" t="s">
        <v>3</v>
      </c>
      <c r="J222" t="s">
        <v>113</v>
      </c>
      <c r="K222" t="s">
        <v>13</v>
      </c>
      <c r="L222" t="s">
        <v>22</v>
      </c>
      <c r="M222" t="s">
        <v>114</v>
      </c>
      <c r="N222" s="2">
        <v>46265</v>
      </c>
    </row>
    <row r="223" spans="1:14" outlineLevel="1" x14ac:dyDescent="0.25">
      <c r="A223" s="4" t="s">
        <v>109</v>
      </c>
      <c r="B223" s="5"/>
      <c r="C223" s="4" t="s">
        <v>9</v>
      </c>
      <c r="D223" s="4" t="s">
        <v>9</v>
      </c>
      <c r="E223" s="4" t="s">
        <v>9</v>
      </c>
      <c r="F223" s="6">
        <v>71215</v>
      </c>
      <c r="G223" s="6">
        <v>71215</v>
      </c>
      <c r="H223" s="4" t="s">
        <v>9</v>
      </c>
      <c r="I223" s="4" t="s">
        <v>3</v>
      </c>
      <c r="J223" s="4" t="s">
        <v>9</v>
      </c>
      <c r="K223" s="4" t="s">
        <v>9</v>
      </c>
      <c r="L223" s="4" t="s">
        <v>9</v>
      </c>
      <c r="M223" s="4" t="s">
        <v>9</v>
      </c>
      <c r="N223" s="5"/>
    </row>
    <row r="224" spans="1:14" outlineLevel="2" x14ac:dyDescent="0.25">
      <c r="A224" t="s">
        <v>115</v>
      </c>
      <c r="B224" s="2">
        <v>46174</v>
      </c>
      <c r="C224" t="s">
        <v>115</v>
      </c>
      <c r="D224" t="s">
        <v>1</v>
      </c>
      <c r="E224" t="s">
        <v>9</v>
      </c>
      <c r="F224" s="3">
        <v>3155</v>
      </c>
      <c r="G224" s="3">
        <v>3155</v>
      </c>
      <c r="H224" t="s">
        <v>3</v>
      </c>
      <c r="I224" t="s">
        <v>3</v>
      </c>
      <c r="J224" t="s">
        <v>116</v>
      </c>
      <c r="K224" t="s">
        <v>13</v>
      </c>
      <c r="L224" t="s">
        <v>19</v>
      </c>
      <c r="M224" t="s">
        <v>7</v>
      </c>
      <c r="N224" s="2">
        <v>46174</v>
      </c>
    </row>
    <row r="225" spans="1:14" outlineLevel="2" x14ac:dyDescent="0.25">
      <c r="A225" t="s">
        <v>115</v>
      </c>
      <c r="B225" s="2">
        <v>46209</v>
      </c>
      <c r="C225" t="s">
        <v>115</v>
      </c>
      <c r="D225" t="s">
        <v>99</v>
      </c>
      <c r="E225" t="s">
        <v>100</v>
      </c>
      <c r="F225" s="3">
        <v>1653.78</v>
      </c>
      <c r="G225" s="3">
        <v>1653.78</v>
      </c>
      <c r="H225" t="s">
        <v>3</v>
      </c>
      <c r="I225" t="s">
        <v>3</v>
      </c>
      <c r="J225" t="s">
        <v>117</v>
      </c>
      <c r="K225" t="s">
        <v>13</v>
      </c>
      <c r="L225" t="s">
        <v>21</v>
      </c>
      <c r="M225" t="s">
        <v>102</v>
      </c>
      <c r="N225" s="2">
        <v>46209</v>
      </c>
    </row>
    <row r="226" spans="1:14" outlineLevel="2" x14ac:dyDescent="0.25">
      <c r="A226" t="s">
        <v>115</v>
      </c>
      <c r="B226" s="2">
        <v>46237</v>
      </c>
      <c r="C226" t="s">
        <v>115</v>
      </c>
      <c r="D226" t="s">
        <v>99</v>
      </c>
      <c r="E226" t="s">
        <v>100</v>
      </c>
      <c r="F226" s="3">
        <v>404.81</v>
      </c>
      <c r="G226" s="3">
        <v>404.81</v>
      </c>
      <c r="H226" t="s">
        <v>3</v>
      </c>
      <c r="I226" t="s">
        <v>3</v>
      </c>
      <c r="J226" t="s">
        <v>117</v>
      </c>
      <c r="K226" t="s">
        <v>13</v>
      </c>
      <c r="L226" t="s">
        <v>22</v>
      </c>
      <c r="M226" t="s">
        <v>102</v>
      </c>
      <c r="N226" s="2">
        <v>46237</v>
      </c>
    </row>
    <row r="227" spans="1:14" outlineLevel="1" x14ac:dyDescent="0.25">
      <c r="A227" s="4" t="s">
        <v>115</v>
      </c>
      <c r="B227" s="5"/>
      <c r="C227" s="4" t="s">
        <v>9</v>
      </c>
      <c r="D227" s="4" t="s">
        <v>9</v>
      </c>
      <c r="E227" s="4" t="s">
        <v>9</v>
      </c>
      <c r="F227" s="6">
        <v>5213.59</v>
      </c>
      <c r="G227" s="6">
        <v>5213.59</v>
      </c>
      <c r="H227" s="4" t="s">
        <v>9</v>
      </c>
      <c r="I227" s="4" t="s">
        <v>3</v>
      </c>
      <c r="J227" s="4" t="s">
        <v>9</v>
      </c>
      <c r="K227" s="4" t="s">
        <v>9</v>
      </c>
      <c r="L227" s="4" t="s">
        <v>9</v>
      </c>
      <c r="M227" s="4" t="s">
        <v>9</v>
      </c>
      <c r="N227" s="5"/>
    </row>
    <row r="228" spans="1:14" outlineLevel="2" x14ac:dyDescent="0.25">
      <c r="A228" t="s">
        <v>118</v>
      </c>
      <c r="B228" s="2">
        <v>46212</v>
      </c>
      <c r="C228" t="s">
        <v>118</v>
      </c>
      <c r="D228" t="s">
        <v>1</v>
      </c>
      <c r="E228" t="s">
        <v>119</v>
      </c>
      <c r="F228" s="3">
        <v>5378.23</v>
      </c>
      <c r="G228" s="3">
        <v>6330.72</v>
      </c>
      <c r="H228" t="s">
        <v>3</v>
      </c>
      <c r="I228" t="s">
        <v>120</v>
      </c>
      <c r="J228" t="s">
        <v>121</v>
      </c>
      <c r="K228" t="s">
        <v>13</v>
      </c>
      <c r="L228" t="s">
        <v>21</v>
      </c>
      <c r="M228" t="s">
        <v>7</v>
      </c>
      <c r="N228" s="2">
        <v>46212</v>
      </c>
    </row>
    <row r="229" spans="1:14" outlineLevel="1" x14ac:dyDescent="0.25">
      <c r="A229" s="4" t="s">
        <v>118</v>
      </c>
      <c r="B229" s="5"/>
      <c r="C229" s="4" t="s">
        <v>9</v>
      </c>
      <c r="D229" s="4" t="s">
        <v>9</v>
      </c>
      <c r="E229" s="4" t="s">
        <v>9</v>
      </c>
      <c r="F229" s="6">
        <v>5378.23</v>
      </c>
      <c r="G229" s="6">
        <v>6330.72</v>
      </c>
      <c r="H229" s="4" t="s">
        <v>9</v>
      </c>
      <c r="I229" s="4" t="s">
        <v>120</v>
      </c>
      <c r="J229" s="4" t="s">
        <v>9</v>
      </c>
      <c r="K229" s="4" t="s">
        <v>9</v>
      </c>
      <c r="L229" s="4" t="s">
        <v>9</v>
      </c>
      <c r="M229" s="4" t="s">
        <v>9</v>
      </c>
      <c r="N229" s="5"/>
    </row>
    <row r="230" spans="1:14" outlineLevel="2" x14ac:dyDescent="0.25">
      <c r="A230" t="s">
        <v>122</v>
      </c>
      <c r="B230" s="2">
        <v>46265</v>
      </c>
      <c r="C230" t="s">
        <v>122</v>
      </c>
      <c r="D230" t="s">
        <v>112</v>
      </c>
      <c r="E230" t="s">
        <v>9</v>
      </c>
      <c r="F230" s="3">
        <v>14062.5</v>
      </c>
      <c r="G230" s="3">
        <v>14062.5</v>
      </c>
      <c r="H230" t="s">
        <v>3</v>
      </c>
      <c r="I230" t="s">
        <v>3</v>
      </c>
      <c r="J230" t="s">
        <v>123</v>
      </c>
      <c r="K230" t="s">
        <v>13</v>
      </c>
      <c r="L230" t="s">
        <v>22</v>
      </c>
      <c r="M230" t="s">
        <v>114</v>
      </c>
      <c r="N230" s="2">
        <v>46265</v>
      </c>
    </row>
    <row r="231" spans="1:14" outlineLevel="1" x14ac:dyDescent="0.25">
      <c r="A231" s="4" t="s">
        <v>122</v>
      </c>
      <c r="B231" s="5"/>
      <c r="C231" s="4" t="s">
        <v>9</v>
      </c>
      <c r="D231" s="4" t="s">
        <v>9</v>
      </c>
      <c r="E231" s="4" t="s">
        <v>9</v>
      </c>
      <c r="F231" s="6">
        <v>14062.5</v>
      </c>
      <c r="G231" s="6">
        <v>14062.5</v>
      </c>
      <c r="H231" s="4" t="s">
        <v>9</v>
      </c>
      <c r="I231" s="4" t="s">
        <v>3</v>
      </c>
      <c r="J231" s="4" t="s">
        <v>9</v>
      </c>
      <c r="K231" s="4" t="s">
        <v>9</v>
      </c>
      <c r="L231" s="4" t="s">
        <v>9</v>
      </c>
      <c r="M231" s="4" t="s">
        <v>9</v>
      </c>
      <c r="N231" s="5"/>
    </row>
    <row r="232" spans="1:14" outlineLevel="2" x14ac:dyDescent="0.25">
      <c r="A232" t="s">
        <v>124</v>
      </c>
      <c r="B232" s="2">
        <v>46059</v>
      </c>
      <c r="C232" t="s">
        <v>124</v>
      </c>
      <c r="D232" t="s">
        <v>1</v>
      </c>
      <c r="E232" t="s">
        <v>125</v>
      </c>
      <c r="F232" s="3">
        <v>590.13</v>
      </c>
      <c r="G232" s="3">
        <v>590.13</v>
      </c>
      <c r="H232" t="s">
        <v>3</v>
      </c>
      <c r="I232" t="s">
        <v>3</v>
      </c>
      <c r="J232" t="s">
        <v>126</v>
      </c>
      <c r="K232" t="s">
        <v>13</v>
      </c>
      <c r="L232" t="s">
        <v>15</v>
      </c>
      <c r="M232" t="s">
        <v>7</v>
      </c>
      <c r="N232" s="2">
        <v>46059</v>
      </c>
    </row>
    <row r="233" spans="1:14" outlineLevel="2" x14ac:dyDescent="0.25">
      <c r="A233" t="s">
        <v>124</v>
      </c>
      <c r="B233" s="2">
        <v>46064</v>
      </c>
      <c r="C233" t="s">
        <v>124</v>
      </c>
      <c r="D233" t="s">
        <v>1</v>
      </c>
      <c r="E233" t="s">
        <v>125</v>
      </c>
      <c r="F233" s="3">
        <v>12822.65</v>
      </c>
      <c r="G233" s="3">
        <v>12822.65</v>
      </c>
      <c r="H233" t="s">
        <v>3</v>
      </c>
      <c r="I233" t="s">
        <v>3</v>
      </c>
      <c r="J233" t="s">
        <v>126</v>
      </c>
      <c r="K233" t="s">
        <v>13</v>
      </c>
      <c r="L233" t="s">
        <v>15</v>
      </c>
      <c r="M233" t="s">
        <v>7</v>
      </c>
      <c r="N233" s="2">
        <v>46064</v>
      </c>
    </row>
    <row r="234" spans="1:14" outlineLevel="2" x14ac:dyDescent="0.25">
      <c r="A234" t="s">
        <v>124</v>
      </c>
      <c r="B234" s="2">
        <v>46090</v>
      </c>
      <c r="C234" t="s">
        <v>124</v>
      </c>
      <c r="D234" t="s">
        <v>1</v>
      </c>
      <c r="E234" t="s">
        <v>125</v>
      </c>
      <c r="F234" s="3">
        <v>11701.27</v>
      </c>
      <c r="G234" s="3">
        <v>11701.27</v>
      </c>
      <c r="H234" t="s">
        <v>3</v>
      </c>
      <c r="I234" t="s">
        <v>3</v>
      </c>
      <c r="J234" t="s">
        <v>126</v>
      </c>
      <c r="K234" t="s">
        <v>13</v>
      </c>
      <c r="L234" t="s">
        <v>16</v>
      </c>
      <c r="M234" t="s">
        <v>7</v>
      </c>
      <c r="N234" s="2">
        <v>46090</v>
      </c>
    </row>
    <row r="235" spans="1:14" outlineLevel="2" x14ac:dyDescent="0.25">
      <c r="A235" t="s">
        <v>124</v>
      </c>
      <c r="B235" s="2">
        <v>46090</v>
      </c>
      <c r="C235" t="s">
        <v>124</v>
      </c>
      <c r="D235" t="s">
        <v>1</v>
      </c>
      <c r="E235" t="s">
        <v>125</v>
      </c>
      <c r="F235" s="3">
        <v>4917.8</v>
      </c>
      <c r="G235" s="3">
        <v>4917.8</v>
      </c>
      <c r="H235" t="s">
        <v>3</v>
      </c>
      <c r="I235" t="s">
        <v>3</v>
      </c>
      <c r="J235" t="s">
        <v>126</v>
      </c>
      <c r="K235" t="s">
        <v>13</v>
      </c>
      <c r="L235" t="s">
        <v>16</v>
      </c>
      <c r="M235" t="s">
        <v>7</v>
      </c>
      <c r="N235" s="2">
        <v>46090</v>
      </c>
    </row>
    <row r="236" spans="1:14" outlineLevel="2" x14ac:dyDescent="0.25">
      <c r="A236" t="s">
        <v>124</v>
      </c>
      <c r="B236" s="2">
        <v>46112</v>
      </c>
      <c r="C236" t="s">
        <v>124</v>
      </c>
      <c r="D236" t="s">
        <v>1</v>
      </c>
      <c r="E236" t="s">
        <v>9</v>
      </c>
      <c r="F236" s="3">
        <v>14700</v>
      </c>
      <c r="G236" s="3">
        <v>14700</v>
      </c>
      <c r="H236" t="s">
        <v>3</v>
      </c>
      <c r="I236" t="s">
        <v>3</v>
      </c>
      <c r="J236" t="s">
        <v>10</v>
      </c>
      <c r="K236" t="s">
        <v>13</v>
      </c>
      <c r="L236" t="s">
        <v>16</v>
      </c>
      <c r="M236" t="s">
        <v>7</v>
      </c>
      <c r="N236" s="2">
        <v>46112</v>
      </c>
    </row>
    <row r="237" spans="1:14" outlineLevel="2" x14ac:dyDescent="0.25">
      <c r="A237" t="s">
        <v>124</v>
      </c>
      <c r="B237" s="2">
        <v>46125</v>
      </c>
      <c r="C237" t="s">
        <v>124</v>
      </c>
      <c r="D237" t="s">
        <v>1</v>
      </c>
      <c r="E237" t="s">
        <v>125</v>
      </c>
      <c r="F237" s="3">
        <v>12773.9</v>
      </c>
      <c r="G237" s="3">
        <v>12773.9</v>
      </c>
      <c r="H237" t="s">
        <v>3</v>
      </c>
      <c r="I237" t="s">
        <v>3</v>
      </c>
      <c r="J237" t="s">
        <v>126</v>
      </c>
      <c r="K237" t="s">
        <v>13</v>
      </c>
      <c r="L237" t="s">
        <v>17</v>
      </c>
      <c r="M237" t="s">
        <v>7</v>
      </c>
      <c r="N237" s="2">
        <v>46125</v>
      </c>
    </row>
    <row r="238" spans="1:14" outlineLevel="2" x14ac:dyDescent="0.25">
      <c r="A238" t="s">
        <v>124</v>
      </c>
      <c r="B238" s="2">
        <v>46125</v>
      </c>
      <c r="C238" t="s">
        <v>124</v>
      </c>
      <c r="D238" t="s">
        <v>1</v>
      </c>
      <c r="E238" t="s">
        <v>125</v>
      </c>
      <c r="F238" s="3">
        <v>295.08</v>
      </c>
      <c r="G238" s="3">
        <v>295.08</v>
      </c>
      <c r="H238" t="s">
        <v>3</v>
      </c>
      <c r="I238" t="s">
        <v>3</v>
      </c>
      <c r="J238" t="s">
        <v>126</v>
      </c>
      <c r="K238" t="s">
        <v>13</v>
      </c>
      <c r="L238" t="s">
        <v>17</v>
      </c>
      <c r="M238" t="s">
        <v>7</v>
      </c>
      <c r="N238" s="2">
        <v>46125</v>
      </c>
    </row>
    <row r="239" spans="1:14" outlineLevel="2" x14ac:dyDescent="0.25">
      <c r="A239" t="s">
        <v>124</v>
      </c>
      <c r="B239" s="2">
        <v>46142</v>
      </c>
      <c r="C239" t="s">
        <v>124</v>
      </c>
      <c r="D239" t="s">
        <v>1</v>
      </c>
      <c r="E239" t="s">
        <v>9</v>
      </c>
      <c r="F239" s="3">
        <v>350</v>
      </c>
      <c r="G239" s="3">
        <v>350</v>
      </c>
      <c r="H239" t="s">
        <v>3</v>
      </c>
      <c r="I239" t="s">
        <v>3</v>
      </c>
      <c r="J239" t="s">
        <v>10</v>
      </c>
      <c r="K239" t="s">
        <v>13</v>
      </c>
      <c r="L239" t="s">
        <v>17</v>
      </c>
      <c r="M239" t="s">
        <v>7</v>
      </c>
      <c r="N239" s="2">
        <v>46142</v>
      </c>
    </row>
    <row r="240" spans="1:14" outlineLevel="2" x14ac:dyDescent="0.25">
      <c r="A240" t="s">
        <v>124</v>
      </c>
      <c r="B240" s="2">
        <v>46147</v>
      </c>
      <c r="C240" t="s">
        <v>124</v>
      </c>
      <c r="D240" t="s">
        <v>1</v>
      </c>
      <c r="E240" t="s">
        <v>125</v>
      </c>
      <c r="F240" s="3">
        <v>2265.2600000000002</v>
      </c>
      <c r="G240" s="3">
        <v>2265.2600000000002</v>
      </c>
      <c r="H240" t="s">
        <v>3</v>
      </c>
      <c r="I240" t="s">
        <v>3</v>
      </c>
      <c r="J240" t="s">
        <v>126</v>
      </c>
      <c r="K240" t="s">
        <v>13</v>
      </c>
      <c r="L240" t="s">
        <v>18</v>
      </c>
      <c r="M240" t="s">
        <v>7</v>
      </c>
      <c r="N240" s="2">
        <v>46147</v>
      </c>
    </row>
    <row r="241" spans="1:14" outlineLevel="2" x14ac:dyDescent="0.25">
      <c r="A241" t="s">
        <v>124</v>
      </c>
      <c r="B241" s="2">
        <v>46149</v>
      </c>
      <c r="C241" t="s">
        <v>124</v>
      </c>
      <c r="D241" t="s">
        <v>1</v>
      </c>
      <c r="E241" t="s">
        <v>125</v>
      </c>
      <c r="F241" s="3">
        <v>8678.4500000000007</v>
      </c>
      <c r="G241" s="3">
        <v>8678.4500000000007</v>
      </c>
      <c r="H241" t="s">
        <v>3</v>
      </c>
      <c r="I241" t="s">
        <v>3</v>
      </c>
      <c r="J241" t="s">
        <v>126</v>
      </c>
      <c r="K241" t="s">
        <v>13</v>
      </c>
      <c r="L241" t="s">
        <v>18</v>
      </c>
      <c r="M241" t="s">
        <v>7</v>
      </c>
      <c r="N241" s="2">
        <v>46149</v>
      </c>
    </row>
    <row r="242" spans="1:14" outlineLevel="2" x14ac:dyDescent="0.25">
      <c r="A242" t="s">
        <v>124</v>
      </c>
      <c r="B242" s="2">
        <v>46178</v>
      </c>
      <c r="C242" t="s">
        <v>124</v>
      </c>
      <c r="D242" t="s">
        <v>1</v>
      </c>
      <c r="E242" t="s">
        <v>125</v>
      </c>
      <c r="F242" s="3">
        <v>9604.7999999999993</v>
      </c>
      <c r="G242" s="3">
        <v>9604.7999999999993</v>
      </c>
      <c r="H242" t="s">
        <v>3</v>
      </c>
      <c r="I242" t="s">
        <v>3</v>
      </c>
      <c r="J242" t="s">
        <v>126</v>
      </c>
      <c r="K242" t="s">
        <v>13</v>
      </c>
      <c r="L242" t="s">
        <v>19</v>
      </c>
      <c r="M242" t="s">
        <v>7</v>
      </c>
      <c r="N242" s="2">
        <v>46178</v>
      </c>
    </row>
    <row r="243" spans="1:14" outlineLevel="2" x14ac:dyDescent="0.25">
      <c r="A243" t="s">
        <v>124</v>
      </c>
      <c r="B243" s="2">
        <v>46203</v>
      </c>
      <c r="C243" t="s">
        <v>124</v>
      </c>
      <c r="D243" t="s">
        <v>1</v>
      </c>
      <c r="E243" t="s">
        <v>9</v>
      </c>
      <c r="F243" s="3">
        <v>600</v>
      </c>
      <c r="G243" s="3">
        <v>600</v>
      </c>
      <c r="H243" t="s">
        <v>3</v>
      </c>
      <c r="I243" t="s">
        <v>3</v>
      </c>
      <c r="J243" t="s">
        <v>10</v>
      </c>
      <c r="K243" t="s">
        <v>13</v>
      </c>
      <c r="L243" t="s">
        <v>19</v>
      </c>
      <c r="M243" t="s">
        <v>7</v>
      </c>
      <c r="N243" s="2">
        <v>46203</v>
      </c>
    </row>
    <row r="244" spans="1:14" outlineLevel="2" x14ac:dyDescent="0.25">
      <c r="A244" t="s">
        <v>124</v>
      </c>
      <c r="B244" s="2">
        <v>46245</v>
      </c>
      <c r="C244" t="s">
        <v>124</v>
      </c>
      <c r="D244" t="s">
        <v>1</v>
      </c>
      <c r="E244" t="s">
        <v>125</v>
      </c>
      <c r="F244" s="3">
        <v>2387.6</v>
      </c>
      <c r="G244" s="3">
        <v>2387.6</v>
      </c>
      <c r="H244" t="s">
        <v>3</v>
      </c>
      <c r="I244" t="s">
        <v>3</v>
      </c>
      <c r="J244" t="s">
        <v>126</v>
      </c>
      <c r="K244" t="s">
        <v>13</v>
      </c>
      <c r="L244" t="s">
        <v>22</v>
      </c>
      <c r="M244" t="s">
        <v>7</v>
      </c>
      <c r="N244" s="2">
        <v>46245</v>
      </c>
    </row>
    <row r="245" spans="1:14" outlineLevel="2" x14ac:dyDescent="0.25">
      <c r="A245" t="s">
        <v>124</v>
      </c>
      <c r="B245" s="2">
        <v>46267</v>
      </c>
      <c r="C245" t="s">
        <v>124</v>
      </c>
      <c r="D245" t="s">
        <v>1</v>
      </c>
      <c r="E245" t="s">
        <v>9</v>
      </c>
      <c r="F245" s="3">
        <v>685.4</v>
      </c>
      <c r="G245" s="3">
        <v>685.4</v>
      </c>
      <c r="H245" t="s">
        <v>3</v>
      </c>
      <c r="I245" t="s">
        <v>3</v>
      </c>
      <c r="J245" t="s">
        <v>127</v>
      </c>
      <c r="K245" t="s">
        <v>13</v>
      </c>
      <c r="L245" t="s">
        <v>22</v>
      </c>
      <c r="M245" t="s">
        <v>7</v>
      </c>
      <c r="N245" s="2">
        <v>46265</v>
      </c>
    </row>
    <row r="246" spans="1:14" outlineLevel="2" x14ac:dyDescent="0.25">
      <c r="A246" t="s">
        <v>124</v>
      </c>
      <c r="B246" s="2">
        <v>46274</v>
      </c>
      <c r="C246" t="s">
        <v>124</v>
      </c>
      <c r="D246" t="s">
        <v>1</v>
      </c>
      <c r="E246" t="s">
        <v>125</v>
      </c>
      <c r="F246" s="3">
        <v>14202.03</v>
      </c>
      <c r="G246" s="3">
        <v>14202.03</v>
      </c>
      <c r="H246" t="s">
        <v>3</v>
      </c>
      <c r="I246" t="s">
        <v>3</v>
      </c>
      <c r="J246" t="s">
        <v>126</v>
      </c>
      <c r="K246" t="s">
        <v>13</v>
      </c>
      <c r="L246" t="s">
        <v>6</v>
      </c>
      <c r="M246" t="s">
        <v>7</v>
      </c>
      <c r="N246" s="2">
        <v>46274</v>
      </c>
    </row>
    <row r="247" spans="1:14" outlineLevel="2" x14ac:dyDescent="0.25">
      <c r="A247" t="s">
        <v>124</v>
      </c>
      <c r="B247" s="2">
        <v>46274</v>
      </c>
      <c r="C247" t="s">
        <v>124</v>
      </c>
      <c r="D247" t="s">
        <v>1</v>
      </c>
      <c r="E247" t="s">
        <v>125</v>
      </c>
      <c r="F247" s="3">
        <v>3479.02</v>
      </c>
      <c r="G247" s="3">
        <v>3479.02</v>
      </c>
      <c r="H247" t="s">
        <v>3</v>
      </c>
      <c r="I247" t="s">
        <v>3</v>
      </c>
      <c r="J247" t="s">
        <v>126</v>
      </c>
      <c r="K247" t="s">
        <v>13</v>
      </c>
      <c r="L247" t="s">
        <v>6</v>
      </c>
      <c r="M247" t="s">
        <v>7</v>
      </c>
      <c r="N247" s="2">
        <v>46274</v>
      </c>
    </row>
    <row r="248" spans="1:14" outlineLevel="2" x14ac:dyDescent="0.25">
      <c r="A248" t="s">
        <v>124</v>
      </c>
      <c r="B248" s="2">
        <v>46274</v>
      </c>
      <c r="C248" t="s">
        <v>124</v>
      </c>
      <c r="D248" t="s">
        <v>1</v>
      </c>
      <c r="E248" t="s">
        <v>125</v>
      </c>
      <c r="F248" s="3">
        <v>762.54</v>
      </c>
      <c r="G248" s="3">
        <v>762.54</v>
      </c>
      <c r="H248" t="s">
        <v>3</v>
      </c>
      <c r="I248" t="s">
        <v>3</v>
      </c>
      <c r="J248" t="s">
        <v>126</v>
      </c>
      <c r="K248" t="s">
        <v>13</v>
      </c>
      <c r="L248" t="s">
        <v>6</v>
      </c>
      <c r="M248" t="s">
        <v>7</v>
      </c>
      <c r="N248" s="2">
        <v>46274</v>
      </c>
    </row>
    <row r="249" spans="1:14" outlineLevel="1" x14ac:dyDescent="0.25">
      <c r="A249" s="4" t="s">
        <v>124</v>
      </c>
      <c r="B249" s="5"/>
      <c r="C249" s="4" t="s">
        <v>9</v>
      </c>
      <c r="D249" s="4" t="s">
        <v>9</v>
      </c>
      <c r="E249" s="4" t="s">
        <v>9</v>
      </c>
      <c r="F249" s="6">
        <v>100815.93</v>
      </c>
      <c r="G249" s="6">
        <v>100815.93</v>
      </c>
      <c r="H249" s="4" t="s">
        <v>9</v>
      </c>
      <c r="I249" s="4" t="s">
        <v>3</v>
      </c>
      <c r="J249" s="4" t="s">
        <v>9</v>
      </c>
      <c r="K249" s="4" t="s">
        <v>9</v>
      </c>
      <c r="L249" s="4" t="s">
        <v>9</v>
      </c>
      <c r="M249" s="4" t="s">
        <v>9</v>
      </c>
      <c r="N249" s="5"/>
    </row>
    <row r="250" spans="1:14" outlineLevel="2" x14ac:dyDescent="0.25">
      <c r="A250" t="s">
        <v>128</v>
      </c>
      <c r="B250" s="2">
        <v>46081</v>
      </c>
      <c r="C250" t="s">
        <v>128</v>
      </c>
      <c r="D250" t="s">
        <v>1</v>
      </c>
      <c r="E250" t="s">
        <v>9</v>
      </c>
      <c r="F250" s="3">
        <v>15900</v>
      </c>
      <c r="G250" s="3">
        <v>15900</v>
      </c>
      <c r="H250" t="s">
        <v>3</v>
      </c>
      <c r="I250" t="s">
        <v>3</v>
      </c>
      <c r="J250" t="s">
        <v>10</v>
      </c>
      <c r="K250" t="s">
        <v>13</v>
      </c>
      <c r="L250" t="s">
        <v>15</v>
      </c>
      <c r="M250" t="s">
        <v>7</v>
      </c>
      <c r="N250" s="2">
        <v>46081</v>
      </c>
    </row>
    <row r="251" spans="1:14" outlineLevel="2" x14ac:dyDescent="0.25">
      <c r="A251" t="s">
        <v>128</v>
      </c>
      <c r="B251" s="2">
        <v>46107</v>
      </c>
      <c r="C251" t="s">
        <v>128</v>
      </c>
      <c r="D251" t="s">
        <v>1</v>
      </c>
      <c r="E251" t="s">
        <v>129</v>
      </c>
      <c r="F251" s="3">
        <v>2047.98</v>
      </c>
      <c r="G251" s="3">
        <v>2047.98</v>
      </c>
      <c r="H251" t="s">
        <v>3</v>
      </c>
      <c r="I251" t="s">
        <v>3</v>
      </c>
      <c r="J251" t="s">
        <v>130</v>
      </c>
      <c r="K251" t="s">
        <v>13</v>
      </c>
      <c r="L251" t="s">
        <v>16</v>
      </c>
      <c r="M251" t="s">
        <v>7</v>
      </c>
      <c r="N251" s="2">
        <v>46107</v>
      </c>
    </row>
    <row r="252" spans="1:14" outlineLevel="2" x14ac:dyDescent="0.25">
      <c r="A252" t="s">
        <v>128</v>
      </c>
      <c r="B252" s="2">
        <v>46112</v>
      </c>
      <c r="C252" t="s">
        <v>128</v>
      </c>
      <c r="D252" t="s">
        <v>1</v>
      </c>
      <c r="E252" t="s">
        <v>9</v>
      </c>
      <c r="F252" s="3">
        <v>3200</v>
      </c>
      <c r="G252" s="3">
        <v>3200</v>
      </c>
      <c r="H252" t="s">
        <v>3</v>
      </c>
      <c r="I252" t="s">
        <v>3</v>
      </c>
      <c r="J252" t="s">
        <v>10</v>
      </c>
      <c r="K252" t="s">
        <v>13</v>
      </c>
      <c r="L252" t="s">
        <v>16</v>
      </c>
      <c r="M252" t="s">
        <v>7</v>
      </c>
      <c r="N252" s="2">
        <v>46112</v>
      </c>
    </row>
    <row r="253" spans="1:14" outlineLevel="2" x14ac:dyDescent="0.25">
      <c r="A253" t="s">
        <v>128</v>
      </c>
      <c r="B253" s="2">
        <v>46133</v>
      </c>
      <c r="C253" t="s">
        <v>128</v>
      </c>
      <c r="D253" t="s">
        <v>1</v>
      </c>
      <c r="E253" t="s">
        <v>129</v>
      </c>
      <c r="F253" s="3">
        <v>767.99</v>
      </c>
      <c r="G253" s="3">
        <v>767.99</v>
      </c>
      <c r="H253" t="s">
        <v>3</v>
      </c>
      <c r="I253" t="s">
        <v>3</v>
      </c>
      <c r="J253" t="s">
        <v>130</v>
      </c>
      <c r="K253" t="s">
        <v>13</v>
      </c>
      <c r="L253" t="s">
        <v>17</v>
      </c>
      <c r="M253" t="s">
        <v>7</v>
      </c>
      <c r="N253" s="2">
        <v>46133</v>
      </c>
    </row>
    <row r="254" spans="1:14" outlineLevel="2" x14ac:dyDescent="0.25">
      <c r="A254" t="s">
        <v>128</v>
      </c>
      <c r="B254" s="2">
        <v>46142</v>
      </c>
      <c r="C254" t="s">
        <v>128</v>
      </c>
      <c r="D254" t="s">
        <v>1</v>
      </c>
      <c r="E254" t="s">
        <v>9</v>
      </c>
      <c r="F254" s="3">
        <v>6600</v>
      </c>
      <c r="G254" s="3">
        <v>6600</v>
      </c>
      <c r="H254" t="s">
        <v>3</v>
      </c>
      <c r="I254" t="s">
        <v>3</v>
      </c>
      <c r="J254" t="s">
        <v>10</v>
      </c>
      <c r="K254" t="s">
        <v>13</v>
      </c>
      <c r="L254" t="s">
        <v>17</v>
      </c>
      <c r="M254" t="s">
        <v>7</v>
      </c>
      <c r="N254" s="2">
        <v>46142</v>
      </c>
    </row>
    <row r="255" spans="1:14" outlineLevel="2" x14ac:dyDescent="0.25">
      <c r="A255" t="s">
        <v>128</v>
      </c>
      <c r="B255" s="2">
        <v>46161</v>
      </c>
      <c r="C255" t="s">
        <v>128</v>
      </c>
      <c r="D255" t="s">
        <v>1</v>
      </c>
      <c r="E255" t="s">
        <v>129</v>
      </c>
      <c r="F255" s="3">
        <v>767.99</v>
      </c>
      <c r="G255" s="3">
        <v>767.99</v>
      </c>
      <c r="H255" t="s">
        <v>3</v>
      </c>
      <c r="I255" t="s">
        <v>3</v>
      </c>
      <c r="J255" t="s">
        <v>130</v>
      </c>
      <c r="K255" t="s">
        <v>13</v>
      </c>
      <c r="L255" t="s">
        <v>18</v>
      </c>
      <c r="M255" t="s">
        <v>7</v>
      </c>
      <c r="N255" s="2">
        <v>46161</v>
      </c>
    </row>
    <row r="256" spans="1:14" outlineLevel="2" x14ac:dyDescent="0.25">
      <c r="A256" t="s">
        <v>128</v>
      </c>
      <c r="B256" s="2">
        <v>46173</v>
      </c>
      <c r="C256" t="s">
        <v>128</v>
      </c>
      <c r="D256" t="s">
        <v>1</v>
      </c>
      <c r="E256" t="s">
        <v>9</v>
      </c>
      <c r="F256" s="3">
        <v>1400</v>
      </c>
      <c r="G256" s="3">
        <v>1400</v>
      </c>
      <c r="H256" t="s">
        <v>3</v>
      </c>
      <c r="I256" t="s">
        <v>3</v>
      </c>
      <c r="J256" t="s">
        <v>10</v>
      </c>
      <c r="K256" t="s">
        <v>13</v>
      </c>
      <c r="L256" t="s">
        <v>18</v>
      </c>
      <c r="M256" t="s">
        <v>7</v>
      </c>
      <c r="N256" s="2">
        <v>46173</v>
      </c>
    </row>
    <row r="257" spans="1:14" outlineLevel="2" x14ac:dyDescent="0.25">
      <c r="A257" t="s">
        <v>128</v>
      </c>
      <c r="B257" s="2">
        <v>46203</v>
      </c>
      <c r="C257" t="s">
        <v>128</v>
      </c>
      <c r="D257" t="s">
        <v>1</v>
      </c>
      <c r="E257" t="s">
        <v>9</v>
      </c>
      <c r="F257" s="3">
        <v>4881.46</v>
      </c>
      <c r="G257" s="3">
        <v>4881.46</v>
      </c>
      <c r="H257" t="s">
        <v>3</v>
      </c>
      <c r="I257" t="s">
        <v>3</v>
      </c>
      <c r="J257" t="s">
        <v>10</v>
      </c>
      <c r="K257" t="s">
        <v>13</v>
      </c>
      <c r="L257" t="s">
        <v>19</v>
      </c>
      <c r="M257" t="s">
        <v>7</v>
      </c>
      <c r="N257" s="2">
        <v>46203</v>
      </c>
    </row>
    <row r="258" spans="1:14" outlineLevel="2" x14ac:dyDescent="0.25">
      <c r="A258" t="s">
        <v>128</v>
      </c>
      <c r="B258" s="2">
        <v>46234</v>
      </c>
      <c r="C258" t="s">
        <v>128</v>
      </c>
      <c r="D258" t="s">
        <v>1</v>
      </c>
      <c r="E258" t="s">
        <v>9</v>
      </c>
      <c r="F258" s="3">
        <v>2318.54</v>
      </c>
      <c r="G258" s="3">
        <v>2318.54</v>
      </c>
      <c r="H258" t="s">
        <v>3</v>
      </c>
      <c r="I258" t="s">
        <v>3</v>
      </c>
      <c r="J258" t="s">
        <v>10</v>
      </c>
      <c r="K258" t="s">
        <v>13</v>
      </c>
      <c r="L258" t="s">
        <v>21</v>
      </c>
      <c r="M258" t="s">
        <v>7</v>
      </c>
      <c r="N258" s="2">
        <v>46234</v>
      </c>
    </row>
    <row r="259" spans="1:14" outlineLevel="2" x14ac:dyDescent="0.25">
      <c r="A259" t="s">
        <v>128</v>
      </c>
      <c r="B259" s="2">
        <v>46265</v>
      </c>
      <c r="C259" t="s">
        <v>128</v>
      </c>
      <c r="D259" t="s">
        <v>1</v>
      </c>
      <c r="E259" t="s">
        <v>9</v>
      </c>
      <c r="F259" s="3">
        <v>3700</v>
      </c>
      <c r="G259" s="3">
        <v>3700</v>
      </c>
      <c r="H259" t="s">
        <v>3</v>
      </c>
      <c r="I259" t="s">
        <v>3</v>
      </c>
      <c r="J259" t="s">
        <v>10</v>
      </c>
      <c r="K259" t="s">
        <v>13</v>
      </c>
      <c r="L259" t="s">
        <v>22</v>
      </c>
      <c r="M259" t="s">
        <v>7</v>
      </c>
      <c r="N259" s="2">
        <v>46265</v>
      </c>
    </row>
    <row r="260" spans="1:14" outlineLevel="1" x14ac:dyDescent="0.25">
      <c r="A260" s="4" t="s">
        <v>128</v>
      </c>
      <c r="B260" s="5"/>
      <c r="C260" s="4" t="s">
        <v>9</v>
      </c>
      <c r="D260" s="4" t="s">
        <v>9</v>
      </c>
      <c r="E260" s="4" t="s">
        <v>9</v>
      </c>
      <c r="F260" s="6">
        <v>41583.96</v>
      </c>
      <c r="G260" s="6">
        <v>41583.96</v>
      </c>
      <c r="H260" s="4" t="s">
        <v>9</v>
      </c>
      <c r="I260" s="4" t="s">
        <v>3</v>
      </c>
      <c r="J260" s="4" t="s">
        <v>9</v>
      </c>
      <c r="K260" s="4" t="s">
        <v>9</v>
      </c>
      <c r="L260" s="4" t="s">
        <v>9</v>
      </c>
      <c r="M260" s="4" t="s">
        <v>9</v>
      </c>
      <c r="N260" s="5"/>
    </row>
    <row r="261" spans="1:14" outlineLevel="2" x14ac:dyDescent="0.25">
      <c r="A261" t="s">
        <v>131</v>
      </c>
      <c r="B261" s="2">
        <v>46069</v>
      </c>
      <c r="C261" t="s">
        <v>131</v>
      </c>
      <c r="D261" t="s">
        <v>1</v>
      </c>
      <c r="E261" t="s">
        <v>132</v>
      </c>
      <c r="F261" s="3">
        <v>11100</v>
      </c>
      <c r="G261" s="3">
        <v>11100</v>
      </c>
      <c r="H261" t="s">
        <v>3</v>
      </c>
      <c r="I261" t="s">
        <v>3</v>
      </c>
      <c r="J261" t="s">
        <v>133</v>
      </c>
      <c r="K261" t="s">
        <v>13</v>
      </c>
      <c r="L261" t="s">
        <v>15</v>
      </c>
      <c r="M261" t="s">
        <v>7</v>
      </c>
      <c r="N261" s="2">
        <v>46069</v>
      </c>
    </row>
    <row r="262" spans="1:14" outlineLevel="2" x14ac:dyDescent="0.25">
      <c r="A262" t="s">
        <v>131</v>
      </c>
      <c r="B262" s="2">
        <v>46105</v>
      </c>
      <c r="C262" t="s">
        <v>131</v>
      </c>
      <c r="D262" t="s">
        <v>1</v>
      </c>
      <c r="E262" t="s">
        <v>132</v>
      </c>
      <c r="F262" s="3">
        <v>11925</v>
      </c>
      <c r="G262" s="3">
        <v>11925</v>
      </c>
      <c r="H262" t="s">
        <v>3</v>
      </c>
      <c r="I262" t="s">
        <v>3</v>
      </c>
      <c r="J262" t="s">
        <v>133</v>
      </c>
      <c r="K262" t="s">
        <v>13</v>
      </c>
      <c r="L262" t="s">
        <v>16</v>
      </c>
      <c r="M262" t="s">
        <v>7</v>
      </c>
      <c r="N262" s="2">
        <v>46105</v>
      </c>
    </row>
    <row r="263" spans="1:14" outlineLevel="2" x14ac:dyDescent="0.25">
      <c r="A263" t="s">
        <v>131</v>
      </c>
      <c r="B263" s="2">
        <v>46128</v>
      </c>
      <c r="C263" t="s">
        <v>131</v>
      </c>
      <c r="D263" t="s">
        <v>1</v>
      </c>
      <c r="E263" t="s">
        <v>132</v>
      </c>
      <c r="F263" s="3">
        <v>12000</v>
      </c>
      <c r="G263" s="3">
        <v>12000</v>
      </c>
      <c r="H263" t="s">
        <v>3</v>
      </c>
      <c r="I263" t="s">
        <v>3</v>
      </c>
      <c r="J263" t="s">
        <v>133</v>
      </c>
      <c r="K263" t="s">
        <v>13</v>
      </c>
      <c r="L263" t="s">
        <v>17</v>
      </c>
      <c r="M263" t="s">
        <v>7</v>
      </c>
      <c r="N263" s="2">
        <v>46128</v>
      </c>
    </row>
    <row r="264" spans="1:14" outlineLevel="2" x14ac:dyDescent="0.25">
      <c r="A264" t="s">
        <v>131</v>
      </c>
      <c r="B264" s="2">
        <v>46154</v>
      </c>
      <c r="C264" t="s">
        <v>131</v>
      </c>
      <c r="D264" t="s">
        <v>1</v>
      </c>
      <c r="E264" t="s">
        <v>132</v>
      </c>
      <c r="F264" s="3">
        <v>9000</v>
      </c>
      <c r="G264" s="3">
        <v>9000</v>
      </c>
      <c r="H264" t="s">
        <v>3</v>
      </c>
      <c r="I264" t="s">
        <v>3</v>
      </c>
      <c r="J264" t="s">
        <v>133</v>
      </c>
      <c r="K264" t="s">
        <v>13</v>
      </c>
      <c r="L264" t="s">
        <v>18</v>
      </c>
      <c r="M264" t="s">
        <v>7</v>
      </c>
      <c r="N264" s="2">
        <v>46154</v>
      </c>
    </row>
    <row r="265" spans="1:14" outlineLevel="2" x14ac:dyDescent="0.25">
      <c r="A265" t="s">
        <v>131</v>
      </c>
      <c r="B265" s="2">
        <v>46188</v>
      </c>
      <c r="C265" t="s">
        <v>131</v>
      </c>
      <c r="D265" t="s">
        <v>1</v>
      </c>
      <c r="E265" t="s">
        <v>132</v>
      </c>
      <c r="F265" s="3">
        <v>5975</v>
      </c>
      <c r="G265" s="3">
        <v>5975</v>
      </c>
      <c r="H265" t="s">
        <v>3</v>
      </c>
      <c r="I265" t="s">
        <v>3</v>
      </c>
      <c r="J265" t="s">
        <v>133</v>
      </c>
      <c r="K265" t="s">
        <v>13</v>
      </c>
      <c r="L265" t="s">
        <v>19</v>
      </c>
      <c r="M265" t="s">
        <v>7</v>
      </c>
      <c r="N265" s="2">
        <v>46188</v>
      </c>
    </row>
    <row r="266" spans="1:14" outlineLevel="1" x14ac:dyDescent="0.25">
      <c r="A266" s="4" t="s">
        <v>131</v>
      </c>
      <c r="B266" s="5"/>
      <c r="C266" s="4" t="s">
        <v>9</v>
      </c>
      <c r="D266" s="4" t="s">
        <v>9</v>
      </c>
      <c r="E266" s="4" t="s">
        <v>9</v>
      </c>
      <c r="F266" s="6">
        <v>50000</v>
      </c>
      <c r="G266" s="6">
        <v>50000</v>
      </c>
      <c r="H266" s="4" t="s">
        <v>9</v>
      </c>
      <c r="I266" s="4" t="s">
        <v>3</v>
      </c>
      <c r="J266" s="4" t="s">
        <v>9</v>
      </c>
      <c r="K266" s="4" t="s">
        <v>9</v>
      </c>
      <c r="L266" s="4" t="s">
        <v>9</v>
      </c>
      <c r="M266" s="4" t="s">
        <v>9</v>
      </c>
      <c r="N266" s="5"/>
    </row>
    <row r="267" spans="1:14" outlineLevel="2" x14ac:dyDescent="0.25">
      <c r="A267" t="s">
        <v>134</v>
      </c>
      <c r="B267" s="2">
        <v>46085</v>
      </c>
      <c r="C267" t="s">
        <v>134</v>
      </c>
      <c r="D267" t="s">
        <v>1</v>
      </c>
      <c r="E267" t="s">
        <v>135</v>
      </c>
      <c r="F267" s="3">
        <v>15000</v>
      </c>
      <c r="G267" s="3">
        <v>15000</v>
      </c>
      <c r="H267" t="s">
        <v>3</v>
      </c>
      <c r="I267" t="s">
        <v>3</v>
      </c>
      <c r="J267" t="s">
        <v>136</v>
      </c>
      <c r="K267" t="s">
        <v>13</v>
      </c>
      <c r="L267" t="s">
        <v>16</v>
      </c>
      <c r="M267" t="s">
        <v>7</v>
      </c>
      <c r="N267" s="2">
        <v>46085</v>
      </c>
    </row>
    <row r="268" spans="1:14" outlineLevel="2" x14ac:dyDescent="0.25">
      <c r="A268" t="s">
        <v>134</v>
      </c>
      <c r="B268" s="2">
        <v>46085</v>
      </c>
      <c r="C268" t="s">
        <v>134</v>
      </c>
      <c r="D268" t="s">
        <v>1</v>
      </c>
      <c r="E268" t="s">
        <v>135</v>
      </c>
      <c r="F268" s="3">
        <v>17500</v>
      </c>
      <c r="G268" s="3">
        <v>17500</v>
      </c>
      <c r="H268" t="s">
        <v>3</v>
      </c>
      <c r="I268" t="s">
        <v>3</v>
      </c>
      <c r="J268" t="s">
        <v>137</v>
      </c>
      <c r="K268" t="s">
        <v>13</v>
      </c>
      <c r="L268" t="s">
        <v>16</v>
      </c>
      <c r="M268" t="s">
        <v>7</v>
      </c>
      <c r="N268" s="2">
        <v>46085</v>
      </c>
    </row>
    <row r="269" spans="1:14" outlineLevel="1" x14ac:dyDescent="0.25">
      <c r="A269" s="4" t="s">
        <v>134</v>
      </c>
      <c r="B269" s="5"/>
      <c r="C269" s="4" t="s">
        <v>9</v>
      </c>
      <c r="D269" s="4" t="s">
        <v>9</v>
      </c>
      <c r="E269" s="4" t="s">
        <v>9</v>
      </c>
      <c r="F269" s="6">
        <v>32500</v>
      </c>
      <c r="G269" s="6">
        <v>32500</v>
      </c>
      <c r="H269" s="4" t="s">
        <v>9</v>
      </c>
      <c r="I269" s="4" t="s">
        <v>3</v>
      </c>
      <c r="J269" s="4" t="s">
        <v>9</v>
      </c>
      <c r="K269" s="4" t="s">
        <v>9</v>
      </c>
      <c r="L269" s="4" t="s">
        <v>9</v>
      </c>
      <c r="M269" s="4" t="s">
        <v>9</v>
      </c>
      <c r="N269" s="5"/>
    </row>
    <row r="270" spans="1:14" outlineLevel="2" x14ac:dyDescent="0.25">
      <c r="A270" t="s">
        <v>138</v>
      </c>
      <c r="B270" s="2">
        <v>46081</v>
      </c>
      <c r="C270" t="s">
        <v>138</v>
      </c>
      <c r="D270" t="s">
        <v>1</v>
      </c>
      <c r="E270" t="s">
        <v>9</v>
      </c>
      <c r="F270" s="3">
        <v>60392</v>
      </c>
      <c r="G270" s="3">
        <v>60392</v>
      </c>
      <c r="H270" t="s">
        <v>3</v>
      </c>
      <c r="I270" t="s">
        <v>3</v>
      </c>
      <c r="J270" t="s">
        <v>10</v>
      </c>
      <c r="K270" t="s">
        <v>13</v>
      </c>
      <c r="L270" t="s">
        <v>15</v>
      </c>
      <c r="M270" t="s">
        <v>7</v>
      </c>
      <c r="N270" s="2">
        <v>46081</v>
      </c>
    </row>
    <row r="271" spans="1:14" outlineLevel="2" x14ac:dyDescent="0.25">
      <c r="A271" t="s">
        <v>138</v>
      </c>
      <c r="B271" s="2">
        <v>46112</v>
      </c>
      <c r="C271" t="s">
        <v>138</v>
      </c>
      <c r="D271" t="s">
        <v>1</v>
      </c>
      <c r="E271" t="s">
        <v>9</v>
      </c>
      <c r="F271" s="3">
        <v>85820</v>
      </c>
      <c r="G271" s="3">
        <v>85820</v>
      </c>
      <c r="H271" t="s">
        <v>3</v>
      </c>
      <c r="I271" t="s">
        <v>3</v>
      </c>
      <c r="J271" t="s">
        <v>10</v>
      </c>
      <c r="K271" t="s">
        <v>13</v>
      </c>
      <c r="L271" t="s">
        <v>16</v>
      </c>
      <c r="M271" t="s">
        <v>7</v>
      </c>
      <c r="N271" s="2">
        <v>46112</v>
      </c>
    </row>
    <row r="272" spans="1:14" outlineLevel="2" x14ac:dyDescent="0.25">
      <c r="A272" t="s">
        <v>138</v>
      </c>
      <c r="B272" s="2">
        <v>46142</v>
      </c>
      <c r="C272" t="s">
        <v>138</v>
      </c>
      <c r="D272" t="s">
        <v>1</v>
      </c>
      <c r="E272" t="s">
        <v>9</v>
      </c>
      <c r="F272" s="3">
        <v>45326</v>
      </c>
      <c r="G272" s="3">
        <v>45326</v>
      </c>
      <c r="H272" t="s">
        <v>3</v>
      </c>
      <c r="I272" t="s">
        <v>3</v>
      </c>
      <c r="J272" t="s">
        <v>10</v>
      </c>
      <c r="K272" t="s">
        <v>13</v>
      </c>
      <c r="L272" t="s">
        <v>17</v>
      </c>
      <c r="M272" t="s">
        <v>7</v>
      </c>
      <c r="N272" s="2">
        <v>46142</v>
      </c>
    </row>
    <row r="273" spans="1:14" outlineLevel="1" x14ac:dyDescent="0.25">
      <c r="A273" s="4" t="s">
        <v>138</v>
      </c>
      <c r="B273" s="5"/>
      <c r="C273" s="4" t="s">
        <v>9</v>
      </c>
      <c r="D273" s="4" t="s">
        <v>9</v>
      </c>
      <c r="E273" s="4" t="s">
        <v>9</v>
      </c>
      <c r="F273" s="6">
        <v>191538</v>
      </c>
      <c r="G273" s="6">
        <v>191538</v>
      </c>
      <c r="H273" s="4" t="s">
        <v>9</v>
      </c>
      <c r="I273" s="4" t="s">
        <v>3</v>
      </c>
      <c r="J273" s="4" t="s">
        <v>9</v>
      </c>
      <c r="K273" s="4" t="s">
        <v>9</v>
      </c>
      <c r="L273" s="4" t="s">
        <v>9</v>
      </c>
      <c r="M273" s="4" t="s">
        <v>9</v>
      </c>
      <c r="N273" s="5"/>
    </row>
    <row r="274" spans="1:14" outlineLevel="2" x14ac:dyDescent="0.25">
      <c r="A274" t="s">
        <v>139</v>
      </c>
      <c r="B274" s="2">
        <v>46112</v>
      </c>
      <c r="C274" t="s">
        <v>139</v>
      </c>
      <c r="D274" t="s">
        <v>99</v>
      </c>
      <c r="E274" t="s">
        <v>9</v>
      </c>
      <c r="F274" s="3">
        <v>9225</v>
      </c>
      <c r="G274" s="3">
        <v>9225</v>
      </c>
      <c r="H274" t="s">
        <v>3</v>
      </c>
      <c r="I274" t="s">
        <v>3</v>
      </c>
      <c r="J274" t="s">
        <v>140</v>
      </c>
      <c r="K274" t="s">
        <v>13</v>
      </c>
      <c r="L274" t="s">
        <v>16</v>
      </c>
      <c r="M274" t="s">
        <v>102</v>
      </c>
      <c r="N274" s="2">
        <v>46112</v>
      </c>
    </row>
    <row r="275" spans="1:14" outlineLevel="2" x14ac:dyDescent="0.25">
      <c r="A275" t="s">
        <v>139</v>
      </c>
      <c r="B275" s="2">
        <v>46125</v>
      </c>
      <c r="C275" t="s">
        <v>139</v>
      </c>
      <c r="D275" t="s">
        <v>1</v>
      </c>
      <c r="E275" t="s">
        <v>141</v>
      </c>
      <c r="F275" s="3">
        <v>4500</v>
      </c>
      <c r="G275" s="3">
        <v>4500</v>
      </c>
      <c r="H275" t="s">
        <v>3</v>
      </c>
      <c r="I275" t="s">
        <v>3</v>
      </c>
      <c r="J275" t="s">
        <v>142</v>
      </c>
      <c r="K275" t="s">
        <v>13</v>
      </c>
      <c r="L275" t="s">
        <v>17</v>
      </c>
      <c r="M275" t="s">
        <v>7</v>
      </c>
      <c r="N275" s="2">
        <v>46125</v>
      </c>
    </row>
    <row r="276" spans="1:14" outlineLevel="2" x14ac:dyDescent="0.25">
      <c r="A276" t="s">
        <v>139</v>
      </c>
      <c r="B276" s="2">
        <v>46142</v>
      </c>
      <c r="C276" t="s">
        <v>139</v>
      </c>
      <c r="D276" t="s">
        <v>1</v>
      </c>
      <c r="E276" t="s">
        <v>9</v>
      </c>
      <c r="F276" s="3">
        <v>35803</v>
      </c>
      <c r="G276" s="3">
        <v>35803</v>
      </c>
      <c r="H276" t="s">
        <v>3</v>
      </c>
      <c r="I276" t="s">
        <v>3</v>
      </c>
      <c r="J276" t="s">
        <v>10</v>
      </c>
      <c r="K276" t="s">
        <v>13</v>
      </c>
      <c r="L276" t="s">
        <v>17</v>
      </c>
      <c r="M276" t="s">
        <v>7</v>
      </c>
      <c r="N276" s="2">
        <v>46142</v>
      </c>
    </row>
    <row r="277" spans="1:14" outlineLevel="2" x14ac:dyDescent="0.25">
      <c r="A277" t="s">
        <v>139</v>
      </c>
      <c r="B277" s="2">
        <v>46154</v>
      </c>
      <c r="C277" t="s">
        <v>139</v>
      </c>
      <c r="D277" t="s">
        <v>1</v>
      </c>
      <c r="E277" t="s">
        <v>141</v>
      </c>
      <c r="F277" s="3">
        <v>2700</v>
      </c>
      <c r="G277" s="3">
        <v>2700</v>
      </c>
      <c r="H277" t="s">
        <v>3</v>
      </c>
      <c r="I277" t="s">
        <v>3</v>
      </c>
      <c r="J277" t="s">
        <v>142</v>
      </c>
      <c r="K277" t="s">
        <v>13</v>
      </c>
      <c r="L277" t="s">
        <v>18</v>
      </c>
      <c r="M277" t="s">
        <v>7</v>
      </c>
      <c r="N277" s="2">
        <v>46154</v>
      </c>
    </row>
    <row r="278" spans="1:14" outlineLevel="2" x14ac:dyDescent="0.25">
      <c r="A278" t="s">
        <v>139</v>
      </c>
      <c r="B278" s="2">
        <v>46173</v>
      </c>
      <c r="C278" t="s">
        <v>139</v>
      </c>
      <c r="D278" t="s">
        <v>1</v>
      </c>
      <c r="E278" t="s">
        <v>9</v>
      </c>
      <c r="F278" s="3">
        <v>6197</v>
      </c>
      <c r="G278" s="3">
        <v>6197</v>
      </c>
      <c r="H278" t="s">
        <v>3</v>
      </c>
      <c r="I278" t="s">
        <v>3</v>
      </c>
      <c r="J278" t="s">
        <v>10</v>
      </c>
      <c r="K278" t="s">
        <v>13</v>
      </c>
      <c r="L278" t="s">
        <v>18</v>
      </c>
      <c r="M278" t="s">
        <v>7</v>
      </c>
      <c r="N278" s="2">
        <v>46173</v>
      </c>
    </row>
    <row r="279" spans="1:14" outlineLevel="2" x14ac:dyDescent="0.25">
      <c r="A279" t="s">
        <v>139</v>
      </c>
      <c r="B279" s="2">
        <v>46183</v>
      </c>
      <c r="C279" t="s">
        <v>139</v>
      </c>
      <c r="D279" t="s">
        <v>1</v>
      </c>
      <c r="E279" t="s">
        <v>141</v>
      </c>
      <c r="F279" s="3">
        <v>900</v>
      </c>
      <c r="G279" s="3">
        <v>900</v>
      </c>
      <c r="H279" t="s">
        <v>3</v>
      </c>
      <c r="I279" t="s">
        <v>3</v>
      </c>
      <c r="J279" t="s">
        <v>142</v>
      </c>
      <c r="K279" t="s">
        <v>13</v>
      </c>
      <c r="L279" t="s">
        <v>19</v>
      </c>
      <c r="M279" t="s">
        <v>7</v>
      </c>
      <c r="N279" s="2">
        <v>46183</v>
      </c>
    </row>
    <row r="280" spans="1:14" outlineLevel="2" x14ac:dyDescent="0.25">
      <c r="A280" t="s">
        <v>139</v>
      </c>
      <c r="B280" s="2">
        <v>46203</v>
      </c>
      <c r="C280" t="s">
        <v>139</v>
      </c>
      <c r="D280" t="s">
        <v>1</v>
      </c>
      <c r="E280" t="s">
        <v>9</v>
      </c>
      <c r="F280" s="3">
        <v>4680</v>
      </c>
      <c r="G280" s="3">
        <v>4680</v>
      </c>
      <c r="H280" t="s">
        <v>3</v>
      </c>
      <c r="I280" t="s">
        <v>3</v>
      </c>
      <c r="J280" t="s">
        <v>10</v>
      </c>
      <c r="K280" t="s">
        <v>13</v>
      </c>
      <c r="L280" t="s">
        <v>19</v>
      </c>
      <c r="M280" t="s">
        <v>7</v>
      </c>
      <c r="N280" s="2">
        <v>46203</v>
      </c>
    </row>
    <row r="281" spans="1:14" outlineLevel="2" x14ac:dyDescent="0.25">
      <c r="A281" t="s">
        <v>139</v>
      </c>
      <c r="B281" s="2">
        <v>46234</v>
      </c>
      <c r="C281" t="s">
        <v>139</v>
      </c>
      <c r="D281" t="s">
        <v>1</v>
      </c>
      <c r="E281" t="s">
        <v>9</v>
      </c>
      <c r="F281" s="3">
        <v>6840</v>
      </c>
      <c r="G281" s="3">
        <v>6840</v>
      </c>
      <c r="H281" t="s">
        <v>3</v>
      </c>
      <c r="I281" t="s">
        <v>3</v>
      </c>
      <c r="J281" t="s">
        <v>10</v>
      </c>
      <c r="K281" t="s">
        <v>13</v>
      </c>
      <c r="L281" t="s">
        <v>21</v>
      </c>
      <c r="M281" t="s">
        <v>7</v>
      </c>
      <c r="N281" s="2">
        <v>46234</v>
      </c>
    </row>
    <row r="282" spans="1:14" outlineLevel="2" x14ac:dyDescent="0.25">
      <c r="A282" t="s">
        <v>139</v>
      </c>
      <c r="B282" s="2">
        <v>46265</v>
      </c>
      <c r="C282" t="s">
        <v>139</v>
      </c>
      <c r="D282" t="s">
        <v>1</v>
      </c>
      <c r="E282" t="s">
        <v>9</v>
      </c>
      <c r="F282" s="3">
        <v>5040</v>
      </c>
      <c r="G282" s="3">
        <v>5040</v>
      </c>
      <c r="H282" t="s">
        <v>3</v>
      </c>
      <c r="I282" t="s">
        <v>3</v>
      </c>
      <c r="J282" t="s">
        <v>10</v>
      </c>
      <c r="K282" t="s">
        <v>13</v>
      </c>
      <c r="L282" t="s">
        <v>22</v>
      </c>
      <c r="M282" t="s">
        <v>7</v>
      </c>
      <c r="N282" s="2">
        <v>46265</v>
      </c>
    </row>
    <row r="283" spans="1:14" outlineLevel="1" x14ac:dyDescent="0.25">
      <c r="A283" s="4" t="s">
        <v>139</v>
      </c>
      <c r="B283" s="5"/>
      <c r="C283" s="4" t="s">
        <v>9</v>
      </c>
      <c r="D283" s="4" t="s">
        <v>9</v>
      </c>
      <c r="E283" s="4" t="s">
        <v>9</v>
      </c>
      <c r="F283" s="6">
        <v>75885</v>
      </c>
      <c r="G283" s="6">
        <v>75885</v>
      </c>
      <c r="H283" s="4" t="s">
        <v>9</v>
      </c>
      <c r="I283" s="4" t="s">
        <v>3</v>
      </c>
      <c r="J283" s="4" t="s">
        <v>9</v>
      </c>
      <c r="K283" s="4" t="s">
        <v>9</v>
      </c>
      <c r="L283" s="4" t="s">
        <v>9</v>
      </c>
      <c r="M283" s="4" t="s">
        <v>9</v>
      </c>
      <c r="N283" s="5"/>
    </row>
    <row r="284" spans="1:14" outlineLevel="2" x14ac:dyDescent="0.25">
      <c r="A284" t="s">
        <v>143</v>
      </c>
      <c r="B284" s="2">
        <v>46112</v>
      </c>
      <c r="C284" t="s">
        <v>143</v>
      </c>
      <c r="D284" t="s">
        <v>1</v>
      </c>
      <c r="E284" t="s">
        <v>9</v>
      </c>
      <c r="F284" s="3">
        <v>125592</v>
      </c>
      <c r="G284" s="3">
        <v>125592</v>
      </c>
      <c r="H284" t="s">
        <v>3</v>
      </c>
      <c r="I284" t="s">
        <v>3</v>
      </c>
      <c r="J284" t="s">
        <v>10</v>
      </c>
      <c r="K284" t="s">
        <v>13</v>
      </c>
      <c r="L284" t="s">
        <v>16</v>
      </c>
      <c r="M284" t="s">
        <v>7</v>
      </c>
      <c r="N284" s="2">
        <v>46112</v>
      </c>
    </row>
    <row r="285" spans="1:14" outlineLevel="2" x14ac:dyDescent="0.25">
      <c r="A285" t="s">
        <v>143</v>
      </c>
      <c r="B285" s="2">
        <v>46142</v>
      </c>
      <c r="C285" t="s">
        <v>143</v>
      </c>
      <c r="D285" t="s">
        <v>1</v>
      </c>
      <c r="E285" t="s">
        <v>9</v>
      </c>
      <c r="F285" s="3">
        <v>42045</v>
      </c>
      <c r="G285" s="3">
        <v>42045</v>
      </c>
      <c r="H285" t="s">
        <v>3</v>
      </c>
      <c r="I285" t="s">
        <v>3</v>
      </c>
      <c r="J285" t="s">
        <v>10</v>
      </c>
      <c r="K285" t="s">
        <v>13</v>
      </c>
      <c r="L285" t="s">
        <v>17</v>
      </c>
      <c r="M285" t="s">
        <v>7</v>
      </c>
      <c r="N285" s="2">
        <v>46142</v>
      </c>
    </row>
    <row r="286" spans="1:14" outlineLevel="2" x14ac:dyDescent="0.25">
      <c r="A286" t="s">
        <v>143</v>
      </c>
      <c r="B286" s="2">
        <v>46173</v>
      </c>
      <c r="C286" t="s">
        <v>143</v>
      </c>
      <c r="D286" t="s">
        <v>1</v>
      </c>
      <c r="E286" t="s">
        <v>9</v>
      </c>
      <c r="F286" s="3">
        <v>59520</v>
      </c>
      <c r="G286" s="3">
        <v>59520</v>
      </c>
      <c r="H286" t="s">
        <v>3</v>
      </c>
      <c r="I286" t="s">
        <v>3</v>
      </c>
      <c r="J286" t="s">
        <v>10</v>
      </c>
      <c r="K286" t="s">
        <v>13</v>
      </c>
      <c r="L286" t="s">
        <v>18</v>
      </c>
      <c r="M286" t="s">
        <v>7</v>
      </c>
      <c r="N286" s="2">
        <v>46173</v>
      </c>
    </row>
    <row r="287" spans="1:14" outlineLevel="2" x14ac:dyDescent="0.25">
      <c r="A287" t="s">
        <v>143</v>
      </c>
      <c r="B287" s="2">
        <v>46203</v>
      </c>
      <c r="C287" t="s">
        <v>143</v>
      </c>
      <c r="D287" t="s">
        <v>1</v>
      </c>
      <c r="E287" t="s">
        <v>9</v>
      </c>
      <c r="F287" s="3">
        <v>33430.400000000001</v>
      </c>
      <c r="G287" s="3">
        <v>33430.400000000001</v>
      </c>
      <c r="H287" t="s">
        <v>3</v>
      </c>
      <c r="I287" t="s">
        <v>3</v>
      </c>
      <c r="J287" t="s">
        <v>10</v>
      </c>
      <c r="K287" t="s">
        <v>13</v>
      </c>
      <c r="L287" t="s">
        <v>19</v>
      </c>
      <c r="M287" t="s">
        <v>7</v>
      </c>
      <c r="N287" s="2">
        <v>46203</v>
      </c>
    </row>
    <row r="288" spans="1:14" outlineLevel="2" x14ac:dyDescent="0.25">
      <c r="A288" t="s">
        <v>143</v>
      </c>
      <c r="B288" s="2">
        <v>46234</v>
      </c>
      <c r="C288" t="s">
        <v>143</v>
      </c>
      <c r="D288" t="s">
        <v>1</v>
      </c>
      <c r="E288" t="s">
        <v>9</v>
      </c>
      <c r="F288" s="3">
        <v>57672.6</v>
      </c>
      <c r="G288" s="3">
        <v>57672.6</v>
      </c>
      <c r="H288" t="s">
        <v>3</v>
      </c>
      <c r="I288" t="s">
        <v>3</v>
      </c>
      <c r="J288" t="s">
        <v>10</v>
      </c>
      <c r="K288" t="s">
        <v>13</v>
      </c>
      <c r="L288" t="s">
        <v>21</v>
      </c>
      <c r="M288" t="s">
        <v>7</v>
      </c>
      <c r="N288" s="2">
        <v>46234</v>
      </c>
    </row>
    <row r="289" spans="1:14" outlineLevel="2" x14ac:dyDescent="0.25">
      <c r="A289" t="s">
        <v>143</v>
      </c>
      <c r="B289" s="2">
        <v>46265</v>
      </c>
      <c r="C289" t="s">
        <v>143</v>
      </c>
      <c r="D289" t="s">
        <v>1</v>
      </c>
      <c r="E289" t="s">
        <v>9</v>
      </c>
      <c r="F289" s="3">
        <v>10896</v>
      </c>
      <c r="G289" s="3">
        <v>10896</v>
      </c>
      <c r="H289" t="s">
        <v>3</v>
      </c>
      <c r="I289" t="s">
        <v>3</v>
      </c>
      <c r="J289" t="s">
        <v>10</v>
      </c>
      <c r="K289" t="s">
        <v>13</v>
      </c>
      <c r="L289" t="s">
        <v>22</v>
      </c>
      <c r="M289" t="s">
        <v>7</v>
      </c>
      <c r="N289" s="2">
        <v>46265</v>
      </c>
    </row>
    <row r="290" spans="1:14" outlineLevel="1" x14ac:dyDescent="0.25">
      <c r="A290" s="4" t="s">
        <v>143</v>
      </c>
      <c r="B290" s="5"/>
      <c r="C290" s="4" t="s">
        <v>9</v>
      </c>
      <c r="D290" s="4" t="s">
        <v>9</v>
      </c>
      <c r="E290" s="4" t="s">
        <v>9</v>
      </c>
      <c r="F290" s="6">
        <v>329156</v>
      </c>
      <c r="G290" s="6">
        <v>329156</v>
      </c>
      <c r="H290" s="4" t="s">
        <v>9</v>
      </c>
      <c r="I290" s="4" t="s">
        <v>3</v>
      </c>
      <c r="J290" s="4" t="s">
        <v>9</v>
      </c>
      <c r="K290" s="4" t="s">
        <v>9</v>
      </c>
      <c r="L290" s="4" t="s">
        <v>9</v>
      </c>
      <c r="M290" s="4" t="s">
        <v>9</v>
      </c>
      <c r="N290" s="5"/>
    </row>
    <row r="291" spans="1:14" outlineLevel="2" x14ac:dyDescent="0.25">
      <c r="A291" t="s">
        <v>144</v>
      </c>
      <c r="B291" s="2">
        <v>46173</v>
      </c>
      <c r="C291" t="s">
        <v>144</v>
      </c>
      <c r="D291" t="s">
        <v>1</v>
      </c>
      <c r="E291" t="s">
        <v>9</v>
      </c>
      <c r="F291" s="3">
        <v>11544</v>
      </c>
      <c r="G291" s="3">
        <v>11544</v>
      </c>
      <c r="H291" t="s">
        <v>3</v>
      </c>
      <c r="I291" t="s">
        <v>3</v>
      </c>
      <c r="J291" t="s">
        <v>10</v>
      </c>
      <c r="K291" t="s">
        <v>13</v>
      </c>
      <c r="L291" t="s">
        <v>18</v>
      </c>
      <c r="M291" t="s">
        <v>7</v>
      </c>
      <c r="N291" s="2">
        <v>46173</v>
      </c>
    </row>
    <row r="292" spans="1:14" outlineLevel="2" x14ac:dyDescent="0.25">
      <c r="A292" t="s">
        <v>144</v>
      </c>
      <c r="B292" s="2">
        <v>46203</v>
      </c>
      <c r="C292" t="s">
        <v>144</v>
      </c>
      <c r="D292" t="s">
        <v>1</v>
      </c>
      <c r="E292" t="s">
        <v>9</v>
      </c>
      <c r="F292" s="3">
        <v>19426.23</v>
      </c>
      <c r="G292" s="3">
        <v>19426.23</v>
      </c>
      <c r="H292" t="s">
        <v>3</v>
      </c>
      <c r="I292" t="s">
        <v>3</v>
      </c>
      <c r="J292" t="s">
        <v>10</v>
      </c>
      <c r="K292" t="s">
        <v>13</v>
      </c>
      <c r="L292" t="s">
        <v>19</v>
      </c>
      <c r="M292" t="s">
        <v>7</v>
      </c>
      <c r="N292" s="2">
        <v>46203</v>
      </c>
    </row>
    <row r="293" spans="1:14" outlineLevel="2" x14ac:dyDescent="0.25">
      <c r="A293" t="s">
        <v>144</v>
      </c>
      <c r="B293" s="2">
        <v>46234</v>
      </c>
      <c r="C293" t="s">
        <v>144</v>
      </c>
      <c r="D293" t="s">
        <v>1</v>
      </c>
      <c r="E293" t="s">
        <v>9</v>
      </c>
      <c r="F293" s="3">
        <v>3217.77</v>
      </c>
      <c r="G293" s="3">
        <v>3217.77</v>
      </c>
      <c r="H293" t="s">
        <v>3</v>
      </c>
      <c r="I293" t="s">
        <v>3</v>
      </c>
      <c r="J293" t="s">
        <v>10</v>
      </c>
      <c r="K293" t="s">
        <v>13</v>
      </c>
      <c r="L293" t="s">
        <v>21</v>
      </c>
      <c r="M293" t="s">
        <v>7</v>
      </c>
      <c r="N293" s="2">
        <v>46234</v>
      </c>
    </row>
    <row r="294" spans="1:14" outlineLevel="2" x14ac:dyDescent="0.25">
      <c r="A294" t="s">
        <v>144</v>
      </c>
      <c r="B294" s="2">
        <v>46265</v>
      </c>
      <c r="C294" t="s">
        <v>144</v>
      </c>
      <c r="D294" t="s">
        <v>1</v>
      </c>
      <c r="E294" t="s">
        <v>9</v>
      </c>
      <c r="F294" s="3">
        <v>3927</v>
      </c>
      <c r="G294" s="3">
        <v>3927</v>
      </c>
      <c r="H294" t="s">
        <v>3</v>
      </c>
      <c r="I294" t="s">
        <v>3</v>
      </c>
      <c r="J294" t="s">
        <v>10</v>
      </c>
      <c r="K294" t="s">
        <v>13</v>
      </c>
      <c r="L294" t="s">
        <v>22</v>
      </c>
      <c r="M294" t="s">
        <v>7</v>
      </c>
      <c r="N294" s="2">
        <v>46265</v>
      </c>
    </row>
    <row r="295" spans="1:14" outlineLevel="1" x14ac:dyDescent="0.25">
      <c r="A295" s="4" t="s">
        <v>144</v>
      </c>
      <c r="B295" s="5"/>
      <c r="C295" s="4" t="s">
        <v>9</v>
      </c>
      <c r="D295" s="4" t="s">
        <v>9</v>
      </c>
      <c r="E295" s="4" t="s">
        <v>9</v>
      </c>
      <c r="F295" s="6">
        <v>38115</v>
      </c>
      <c r="G295" s="6">
        <v>38115</v>
      </c>
      <c r="H295" s="4" t="s">
        <v>9</v>
      </c>
      <c r="I295" s="4" t="s">
        <v>3</v>
      </c>
      <c r="J295" s="4" t="s">
        <v>9</v>
      </c>
      <c r="K295" s="4" t="s">
        <v>9</v>
      </c>
      <c r="L295" s="4" t="s">
        <v>9</v>
      </c>
      <c r="M295" s="4" t="s">
        <v>9</v>
      </c>
      <c r="N295" s="5"/>
    </row>
    <row r="296" spans="1:14" outlineLevel="2" x14ac:dyDescent="0.25">
      <c r="A296" t="s">
        <v>145</v>
      </c>
      <c r="B296" s="2">
        <v>46112</v>
      </c>
      <c r="C296" t="s">
        <v>145</v>
      </c>
      <c r="D296" t="s">
        <v>1</v>
      </c>
      <c r="E296" t="s">
        <v>9</v>
      </c>
      <c r="F296" s="3">
        <v>55184</v>
      </c>
      <c r="G296" s="3">
        <v>55184</v>
      </c>
      <c r="H296" t="s">
        <v>3</v>
      </c>
      <c r="I296" t="s">
        <v>3</v>
      </c>
      <c r="J296" t="s">
        <v>10</v>
      </c>
      <c r="K296" t="s">
        <v>13</v>
      </c>
      <c r="L296" t="s">
        <v>16</v>
      </c>
      <c r="M296" t="s">
        <v>7</v>
      </c>
      <c r="N296" s="2">
        <v>46112</v>
      </c>
    </row>
    <row r="297" spans="1:14" outlineLevel="2" x14ac:dyDescent="0.25">
      <c r="A297" t="s">
        <v>145</v>
      </c>
      <c r="B297" s="2">
        <v>46142</v>
      </c>
      <c r="C297" t="s">
        <v>145</v>
      </c>
      <c r="D297" t="s">
        <v>1</v>
      </c>
      <c r="E297" t="s">
        <v>9</v>
      </c>
      <c r="F297" s="3">
        <v>1144</v>
      </c>
      <c r="G297" s="3">
        <v>1144</v>
      </c>
      <c r="H297" t="s">
        <v>3</v>
      </c>
      <c r="I297" t="s">
        <v>3</v>
      </c>
      <c r="J297" t="s">
        <v>10</v>
      </c>
      <c r="K297" t="s">
        <v>13</v>
      </c>
      <c r="L297" t="s">
        <v>17</v>
      </c>
      <c r="M297" t="s">
        <v>7</v>
      </c>
      <c r="N297" s="2">
        <v>46142</v>
      </c>
    </row>
    <row r="298" spans="1:14" outlineLevel="2" x14ac:dyDescent="0.25">
      <c r="A298" t="s">
        <v>145</v>
      </c>
      <c r="B298" s="2">
        <v>46173</v>
      </c>
      <c r="C298" t="s">
        <v>145</v>
      </c>
      <c r="D298" t="s">
        <v>1</v>
      </c>
      <c r="E298" t="s">
        <v>9</v>
      </c>
      <c r="F298" s="3">
        <v>36961.599999999999</v>
      </c>
      <c r="G298" s="3">
        <v>36961.599999999999</v>
      </c>
      <c r="H298" t="s">
        <v>3</v>
      </c>
      <c r="I298" t="s">
        <v>3</v>
      </c>
      <c r="J298" t="s">
        <v>10</v>
      </c>
      <c r="K298" t="s">
        <v>13</v>
      </c>
      <c r="L298" t="s">
        <v>18</v>
      </c>
      <c r="M298" t="s">
        <v>7</v>
      </c>
      <c r="N298" s="2">
        <v>46173</v>
      </c>
    </row>
    <row r="299" spans="1:14" outlineLevel="2" x14ac:dyDescent="0.25">
      <c r="A299" t="s">
        <v>145</v>
      </c>
      <c r="B299" s="2">
        <v>46203</v>
      </c>
      <c r="C299" t="s">
        <v>145</v>
      </c>
      <c r="D299" t="s">
        <v>1</v>
      </c>
      <c r="E299" t="s">
        <v>9</v>
      </c>
      <c r="F299" s="3">
        <v>54778.66</v>
      </c>
      <c r="G299" s="3">
        <v>54778.66</v>
      </c>
      <c r="H299" t="s">
        <v>3</v>
      </c>
      <c r="I299" t="s">
        <v>3</v>
      </c>
      <c r="J299" t="s">
        <v>10</v>
      </c>
      <c r="K299" t="s">
        <v>13</v>
      </c>
      <c r="L299" t="s">
        <v>19</v>
      </c>
      <c r="M299" t="s">
        <v>7</v>
      </c>
      <c r="N299" s="2">
        <v>46203</v>
      </c>
    </row>
    <row r="300" spans="1:14" outlineLevel="2" x14ac:dyDescent="0.25">
      <c r="A300" t="s">
        <v>145</v>
      </c>
      <c r="B300" s="2">
        <v>46234</v>
      </c>
      <c r="C300" t="s">
        <v>145</v>
      </c>
      <c r="D300" t="s">
        <v>1</v>
      </c>
      <c r="E300" t="s">
        <v>9</v>
      </c>
      <c r="F300" s="3">
        <v>19239.34</v>
      </c>
      <c r="G300" s="3">
        <v>19239.34</v>
      </c>
      <c r="H300" t="s">
        <v>3</v>
      </c>
      <c r="I300" t="s">
        <v>3</v>
      </c>
      <c r="J300" t="s">
        <v>10</v>
      </c>
      <c r="K300" t="s">
        <v>13</v>
      </c>
      <c r="L300" t="s">
        <v>21</v>
      </c>
      <c r="M300" t="s">
        <v>7</v>
      </c>
      <c r="N300" s="2">
        <v>46234</v>
      </c>
    </row>
    <row r="301" spans="1:14" outlineLevel="2" x14ac:dyDescent="0.25">
      <c r="A301" t="s">
        <v>145</v>
      </c>
      <c r="B301" s="2">
        <v>46265</v>
      </c>
      <c r="C301" t="s">
        <v>145</v>
      </c>
      <c r="D301" t="s">
        <v>1</v>
      </c>
      <c r="E301" t="s">
        <v>9</v>
      </c>
      <c r="F301" s="3">
        <v>12640</v>
      </c>
      <c r="G301" s="3">
        <v>12640</v>
      </c>
      <c r="H301" t="s">
        <v>3</v>
      </c>
      <c r="I301" t="s">
        <v>3</v>
      </c>
      <c r="J301" t="s">
        <v>10</v>
      </c>
      <c r="K301" t="s">
        <v>13</v>
      </c>
      <c r="L301" t="s">
        <v>22</v>
      </c>
      <c r="M301" t="s">
        <v>7</v>
      </c>
      <c r="N301" s="2">
        <v>46265</v>
      </c>
    </row>
    <row r="302" spans="1:14" outlineLevel="1" x14ac:dyDescent="0.25">
      <c r="A302" s="4" t="s">
        <v>145</v>
      </c>
      <c r="B302" s="5"/>
      <c r="C302" s="4" t="s">
        <v>9</v>
      </c>
      <c r="D302" s="4" t="s">
        <v>9</v>
      </c>
      <c r="E302" s="4" t="s">
        <v>9</v>
      </c>
      <c r="F302" s="6">
        <v>179947.6</v>
      </c>
      <c r="G302" s="6">
        <v>179947.6</v>
      </c>
      <c r="H302" s="4" t="s">
        <v>9</v>
      </c>
      <c r="I302" s="4" t="s">
        <v>3</v>
      </c>
      <c r="J302" s="4" t="s">
        <v>9</v>
      </c>
      <c r="K302" s="4" t="s">
        <v>9</v>
      </c>
      <c r="L302" s="4" t="s">
        <v>9</v>
      </c>
      <c r="M302" s="4" t="s">
        <v>9</v>
      </c>
      <c r="N302" s="5"/>
    </row>
    <row r="303" spans="1:14" outlineLevel="2" x14ac:dyDescent="0.25">
      <c r="A303" t="s">
        <v>146</v>
      </c>
      <c r="B303" s="2">
        <v>46112</v>
      </c>
      <c r="C303" t="s">
        <v>146</v>
      </c>
      <c r="D303" t="s">
        <v>1</v>
      </c>
      <c r="E303" t="s">
        <v>147</v>
      </c>
      <c r="F303" s="3">
        <v>20000</v>
      </c>
      <c r="G303" s="3">
        <v>20000</v>
      </c>
      <c r="H303" t="s">
        <v>3</v>
      </c>
      <c r="I303" t="s">
        <v>3</v>
      </c>
      <c r="J303" t="s">
        <v>148</v>
      </c>
      <c r="K303" t="s">
        <v>13</v>
      </c>
      <c r="L303" t="s">
        <v>16</v>
      </c>
      <c r="M303" t="s">
        <v>7</v>
      </c>
      <c r="N303" s="2">
        <v>46112</v>
      </c>
    </row>
    <row r="304" spans="1:14" outlineLevel="2" x14ac:dyDescent="0.25">
      <c r="A304" t="s">
        <v>146</v>
      </c>
      <c r="B304" s="2">
        <v>46112</v>
      </c>
      <c r="C304" t="s">
        <v>146</v>
      </c>
      <c r="D304" t="s">
        <v>1</v>
      </c>
      <c r="E304" t="s">
        <v>147</v>
      </c>
      <c r="F304" s="3">
        <v>10000</v>
      </c>
      <c r="G304" s="3">
        <v>10000</v>
      </c>
      <c r="H304" t="s">
        <v>3</v>
      </c>
      <c r="I304" t="s">
        <v>3</v>
      </c>
      <c r="J304" t="s">
        <v>148</v>
      </c>
      <c r="K304" t="s">
        <v>13</v>
      </c>
      <c r="L304" t="s">
        <v>16</v>
      </c>
      <c r="M304" t="s">
        <v>7</v>
      </c>
      <c r="N304" s="2">
        <v>46112</v>
      </c>
    </row>
    <row r="305" spans="1:14" outlineLevel="2" x14ac:dyDescent="0.25">
      <c r="A305" t="s">
        <v>146</v>
      </c>
      <c r="B305" s="2">
        <v>46112</v>
      </c>
      <c r="C305" t="s">
        <v>146</v>
      </c>
      <c r="D305" t="s">
        <v>1</v>
      </c>
      <c r="E305" t="s">
        <v>9</v>
      </c>
      <c r="F305" s="3">
        <v>32700</v>
      </c>
      <c r="G305" s="3">
        <v>32700</v>
      </c>
      <c r="H305" t="s">
        <v>3</v>
      </c>
      <c r="I305" t="s">
        <v>3</v>
      </c>
      <c r="J305" t="s">
        <v>10</v>
      </c>
      <c r="K305" t="s">
        <v>13</v>
      </c>
      <c r="L305" t="s">
        <v>16</v>
      </c>
      <c r="M305" t="s">
        <v>7</v>
      </c>
      <c r="N305" s="2">
        <v>46112</v>
      </c>
    </row>
    <row r="306" spans="1:14" outlineLevel="2" x14ac:dyDescent="0.25">
      <c r="A306" t="s">
        <v>146</v>
      </c>
      <c r="B306" s="2">
        <v>46122</v>
      </c>
      <c r="C306" t="s">
        <v>146</v>
      </c>
      <c r="D306" t="s">
        <v>1</v>
      </c>
      <c r="E306" t="s">
        <v>147</v>
      </c>
      <c r="F306" s="3">
        <v>10000</v>
      </c>
      <c r="G306" s="3">
        <v>10000</v>
      </c>
      <c r="H306" t="s">
        <v>3</v>
      </c>
      <c r="I306" t="s">
        <v>3</v>
      </c>
      <c r="J306" t="s">
        <v>148</v>
      </c>
      <c r="K306" t="s">
        <v>13</v>
      </c>
      <c r="L306" t="s">
        <v>17</v>
      </c>
      <c r="M306" t="s">
        <v>7</v>
      </c>
      <c r="N306" s="2">
        <v>46122</v>
      </c>
    </row>
    <row r="307" spans="1:14" outlineLevel="2" x14ac:dyDescent="0.25">
      <c r="A307" t="s">
        <v>146</v>
      </c>
      <c r="B307" s="2">
        <v>46142</v>
      </c>
      <c r="C307" t="s">
        <v>146</v>
      </c>
      <c r="D307" t="s">
        <v>1</v>
      </c>
      <c r="E307" t="s">
        <v>9</v>
      </c>
      <c r="F307" s="3">
        <v>7150</v>
      </c>
      <c r="G307" s="3">
        <v>7150</v>
      </c>
      <c r="H307" t="s">
        <v>3</v>
      </c>
      <c r="I307" t="s">
        <v>3</v>
      </c>
      <c r="J307" t="s">
        <v>10</v>
      </c>
      <c r="K307" t="s">
        <v>13</v>
      </c>
      <c r="L307" t="s">
        <v>17</v>
      </c>
      <c r="M307" t="s">
        <v>7</v>
      </c>
      <c r="N307" s="2">
        <v>46142</v>
      </c>
    </row>
    <row r="308" spans="1:14" outlineLevel="2" x14ac:dyDescent="0.25">
      <c r="A308" t="s">
        <v>146</v>
      </c>
      <c r="B308" s="2">
        <v>46173</v>
      </c>
      <c r="C308" t="s">
        <v>146</v>
      </c>
      <c r="D308" t="s">
        <v>1</v>
      </c>
      <c r="E308" t="s">
        <v>9</v>
      </c>
      <c r="F308" s="3">
        <v>6000</v>
      </c>
      <c r="G308" s="3">
        <v>6000</v>
      </c>
      <c r="H308" t="s">
        <v>3</v>
      </c>
      <c r="I308" t="s">
        <v>3</v>
      </c>
      <c r="J308" t="s">
        <v>10</v>
      </c>
      <c r="K308" t="s">
        <v>13</v>
      </c>
      <c r="L308" t="s">
        <v>18</v>
      </c>
      <c r="M308" t="s">
        <v>7</v>
      </c>
      <c r="N308" s="2">
        <v>46173</v>
      </c>
    </row>
    <row r="309" spans="1:14" outlineLevel="2" x14ac:dyDescent="0.25">
      <c r="A309" t="s">
        <v>146</v>
      </c>
      <c r="B309" s="2">
        <v>46175</v>
      </c>
      <c r="C309" t="s">
        <v>146</v>
      </c>
      <c r="D309" t="s">
        <v>1</v>
      </c>
      <c r="E309" t="s">
        <v>147</v>
      </c>
      <c r="F309" s="3">
        <v>10000</v>
      </c>
      <c r="G309" s="3">
        <v>10000</v>
      </c>
      <c r="H309" t="s">
        <v>3</v>
      </c>
      <c r="I309" t="s">
        <v>3</v>
      </c>
      <c r="J309" t="s">
        <v>148</v>
      </c>
      <c r="K309" t="s">
        <v>13</v>
      </c>
      <c r="L309" t="s">
        <v>19</v>
      </c>
      <c r="M309" t="s">
        <v>7</v>
      </c>
      <c r="N309" s="2">
        <v>46175</v>
      </c>
    </row>
    <row r="310" spans="1:14" outlineLevel="2" x14ac:dyDescent="0.25">
      <c r="A310" t="s">
        <v>146</v>
      </c>
      <c r="B310" s="2">
        <v>46203</v>
      </c>
      <c r="C310" t="s">
        <v>146</v>
      </c>
      <c r="D310" t="s">
        <v>1</v>
      </c>
      <c r="E310" t="s">
        <v>9</v>
      </c>
      <c r="F310" s="3">
        <v>7450.56</v>
      </c>
      <c r="G310" s="3">
        <v>7450.56</v>
      </c>
      <c r="H310" t="s">
        <v>3</v>
      </c>
      <c r="I310" t="s">
        <v>3</v>
      </c>
      <c r="J310" t="s">
        <v>10</v>
      </c>
      <c r="K310" t="s">
        <v>13</v>
      </c>
      <c r="L310" t="s">
        <v>19</v>
      </c>
      <c r="M310" t="s">
        <v>7</v>
      </c>
      <c r="N310" s="2">
        <v>46203</v>
      </c>
    </row>
    <row r="311" spans="1:14" outlineLevel="2" x14ac:dyDescent="0.25">
      <c r="A311" t="s">
        <v>146</v>
      </c>
      <c r="B311" s="2">
        <v>46220</v>
      </c>
      <c r="C311" t="s">
        <v>146</v>
      </c>
      <c r="D311" t="s">
        <v>1</v>
      </c>
      <c r="E311" t="s">
        <v>147</v>
      </c>
      <c r="F311" s="3">
        <v>6250</v>
      </c>
      <c r="G311" s="3">
        <v>6250</v>
      </c>
      <c r="H311" t="s">
        <v>3</v>
      </c>
      <c r="I311" t="s">
        <v>3</v>
      </c>
      <c r="J311" t="s">
        <v>148</v>
      </c>
      <c r="K311" t="s">
        <v>13</v>
      </c>
      <c r="L311" t="s">
        <v>21</v>
      </c>
      <c r="M311" t="s">
        <v>7</v>
      </c>
      <c r="N311" s="2">
        <v>46220</v>
      </c>
    </row>
    <row r="312" spans="1:14" outlineLevel="2" x14ac:dyDescent="0.25">
      <c r="A312" t="s">
        <v>146</v>
      </c>
      <c r="B312" s="2">
        <v>46220</v>
      </c>
      <c r="C312" t="s">
        <v>146</v>
      </c>
      <c r="D312" t="s">
        <v>1</v>
      </c>
      <c r="E312" t="s">
        <v>147</v>
      </c>
      <c r="F312" s="3">
        <v>6250</v>
      </c>
      <c r="G312" s="3">
        <v>6250</v>
      </c>
      <c r="H312" t="s">
        <v>3</v>
      </c>
      <c r="I312" t="s">
        <v>3</v>
      </c>
      <c r="J312" t="s">
        <v>148</v>
      </c>
      <c r="K312" t="s">
        <v>13</v>
      </c>
      <c r="L312" t="s">
        <v>21</v>
      </c>
      <c r="M312" t="s">
        <v>7</v>
      </c>
      <c r="N312" s="2">
        <v>46220</v>
      </c>
    </row>
    <row r="313" spans="1:14" outlineLevel="2" x14ac:dyDescent="0.25">
      <c r="A313" t="s">
        <v>146</v>
      </c>
      <c r="B313" s="2">
        <v>46227</v>
      </c>
      <c r="C313" t="s">
        <v>146</v>
      </c>
      <c r="D313" t="s">
        <v>1</v>
      </c>
      <c r="E313" t="s">
        <v>147</v>
      </c>
      <c r="F313" s="3">
        <v>28141.3</v>
      </c>
      <c r="G313" s="3">
        <v>28141.3</v>
      </c>
      <c r="H313" t="s">
        <v>3</v>
      </c>
      <c r="I313" t="s">
        <v>3</v>
      </c>
      <c r="J313" t="s">
        <v>148</v>
      </c>
      <c r="K313" t="s">
        <v>13</v>
      </c>
      <c r="L313" t="s">
        <v>21</v>
      </c>
      <c r="M313" t="s">
        <v>7</v>
      </c>
      <c r="N313" s="2">
        <v>46227</v>
      </c>
    </row>
    <row r="314" spans="1:14" outlineLevel="2" x14ac:dyDescent="0.25">
      <c r="A314" t="s">
        <v>146</v>
      </c>
      <c r="B314" s="2">
        <v>46248</v>
      </c>
      <c r="C314" t="s">
        <v>146</v>
      </c>
      <c r="D314" t="s">
        <v>1</v>
      </c>
      <c r="E314" t="s">
        <v>147</v>
      </c>
      <c r="F314" s="3">
        <v>6250</v>
      </c>
      <c r="G314" s="3">
        <v>6250</v>
      </c>
      <c r="H314" t="s">
        <v>3</v>
      </c>
      <c r="I314" t="s">
        <v>3</v>
      </c>
      <c r="J314" t="s">
        <v>148</v>
      </c>
      <c r="K314" t="s">
        <v>13</v>
      </c>
      <c r="L314" t="s">
        <v>22</v>
      </c>
      <c r="M314" t="s">
        <v>7</v>
      </c>
      <c r="N314" s="2">
        <v>46248</v>
      </c>
    </row>
    <row r="315" spans="1:14" outlineLevel="1" x14ac:dyDescent="0.25">
      <c r="A315" s="4" t="s">
        <v>146</v>
      </c>
      <c r="B315" s="5"/>
      <c r="C315" s="4" t="s">
        <v>9</v>
      </c>
      <c r="D315" s="4" t="s">
        <v>9</v>
      </c>
      <c r="E315" s="4" t="s">
        <v>9</v>
      </c>
      <c r="F315" s="6">
        <v>150191.85999999999</v>
      </c>
      <c r="G315" s="6">
        <v>150191.85999999999</v>
      </c>
      <c r="H315" s="4" t="s">
        <v>9</v>
      </c>
      <c r="I315" s="4" t="s">
        <v>3</v>
      </c>
      <c r="J315" s="4" t="s">
        <v>9</v>
      </c>
      <c r="K315" s="4" t="s">
        <v>9</v>
      </c>
      <c r="L315" s="4" t="s">
        <v>9</v>
      </c>
      <c r="M315" s="4" t="s">
        <v>9</v>
      </c>
      <c r="N315" s="5"/>
    </row>
    <row r="316" spans="1:14" outlineLevel="2" x14ac:dyDescent="0.25">
      <c r="A316" t="s">
        <v>149</v>
      </c>
      <c r="B316" s="2">
        <v>46112</v>
      </c>
      <c r="C316" t="s">
        <v>149</v>
      </c>
      <c r="D316" t="s">
        <v>1</v>
      </c>
      <c r="E316" t="s">
        <v>9</v>
      </c>
      <c r="F316" s="3">
        <v>8100</v>
      </c>
      <c r="G316" s="3">
        <v>8100</v>
      </c>
      <c r="H316" t="s">
        <v>3</v>
      </c>
      <c r="I316" t="s">
        <v>3</v>
      </c>
      <c r="J316" t="s">
        <v>10</v>
      </c>
      <c r="K316" t="s">
        <v>13</v>
      </c>
      <c r="L316" t="s">
        <v>16</v>
      </c>
      <c r="M316" t="s">
        <v>7</v>
      </c>
      <c r="N316" s="2">
        <v>46112</v>
      </c>
    </row>
    <row r="317" spans="1:14" outlineLevel="2" x14ac:dyDescent="0.25">
      <c r="A317" t="s">
        <v>149</v>
      </c>
      <c r="B317" s="2">
        <v>46112</v>
      </c>
      <c r="C317" t="s">
        <v>149</v>
      </c>
      <c r="D317" t="s">
        <v>99</v>
      </c>
      <c r="E317" t="s">
        <v>9</v>
      </c>
      <c r="F317" s="3">
        <v>25366.75</v>
      </c>
      <c r="G317" s="3">
        <v>25366.75</v>
      </c>
      <c r="H317" t="s">
        <v>3</v>
      </c>
      <c r="I317" t="s">
        <v>3</v>
      </c>
      <c r="J317" t="s">
        <v>150</v>
      </c>
      <c r="K317" t="s">
        <v>13</v>
      </c>
      <c r="L317" t="s">
        <v>16</v>
      </c>
      <c r="M317" t="s">
        <v>102</v>
      </c>
      <c r="N317" s="2">
        <v>46112</v>
      </c>
    </row>
    <row r="318" spans="1:14" outlineLevel="2" x14ac:dyDescent="0.25">
      <c r="A318" t="s">
        <v>149</v>
      </c>
      <c r="B318" s="2">
        <v>46142</v>
      </c>
      <c r="C318" t="s">
        <v>149</v>
      </c>
      <c r="D318" t="s">
        <v>99</v>
      </c>
      <c r="E318" t="s">
        <v>9</v>
      </c>
      <c r="F318" s="3">
        <v>4875</v>
      </c>
      <c r="G318" s="3">
        <v>4875</v>
      </c>
      <c r="H318" t="s">
        <v>3</v>
      </c>
      <c r="I318" t="s">
        <v>3</v>
      </c>
      <c r="J318" t="s">
        <v>151</v>
      </c>
      <c r="K318" t="s">
        <v>13</v>
      </c>
      <c r="L318" t="s">
        <v>17</v>
      </c>
      <c r="M318" t="s">
        <v>102</v>
      </c>
      <c r="N318" s="2">
        <v>46142</v>
      </c>
    </row>
    <row r="319" spans="1:14" outlineLevel="2" x14ac:dyDescent="0.25">
      <c r="A319" t="s">
        <v>149</v>
      </c>
      <c r="B319" s="2">
        <v>46133</v>
      </c>
      <c r="C319" t="s">
        <v>149</v>
      </c>
      <c r="D319" t="s">
        <v>1</v>
      </c>
      <c r="E319" t="s">
        <v>152</v>
      </c>
      <c r="F319" s="3">
        <v>8331.25</v>
      </c>
      <c r="G319" s="3">
        <v>8331.25</v>
      </c>
      <c r="H319" t="s">
        <v>3</v>
      </c>
      <c r="I319" t="s">
        <v>3</v>
      </c>
      <c r="J319" t="s">
        <v>153</v>
      </c>
      <c r="K319" t="s">
        <v>13</v>
      </c>
      <c r="L319" t="s">
        <v>17</v>
      </c>
      <c r="M319" t="s">
        <v>7</v>
      </c>
      <c r="N319" s="2">
        <v>46133</v>
      </c>
    </row>
    <row r="320" spans="1:14" outlineLevel="2" x14ac:dyDescent="0.25">
      <c r="A320" t="s">
        <v>149</v>
      </c>
      <c r="B320" s="2">
        <v>46142</v>
      </c>
      <c r="C320" t="s">
        <v>149</v>
      </c>
      <c r="D320" t="s">
        <v>1</v>
      </c>
      <c r="E320" t="s">
        <v>9</v>
      </c>
      <c r="F320" s="3">
        <v>4900</v>
      </c>
      <c r="G320" s="3">
        <v>4900</v>
      </c>
      <c r="H320" t="s">
        <v>3</v>
      </c>
      <c r="I320" t="s">
        <v>3</v>
      </c>
      <c r="J320" t="s">
        <v>10</v>
      </c>
      <c r="K320" t="s">
        <v>13</v>
      </c>
      <c r="L320" t="s">
        <v>17</v>
      </c>
      <c r="M320" t="s">
        <v>7</v>
      </c>
      <c r="N320" s="2">
        <v>46142</v>
      </c>
    </row>
    <row r="321" spans="1:14" outlineLevel="2" x14ac:dyDescent="0.25">
      <c r="A321" t="s">
        <v>149</v>
      </c>
      <c r="B321" s="2">
        <v>46154</v>
      </c>
      <c r="C321" t="s">
        <v>149</v>
      </c>
      <c r="D321" t="s">
        <v>1</v>
      </c>
      <c r="E321" t="s">
        <v>152</v>
      </c>
      <c r="F321" s="3">
        <v>193.75</v>
      </c>
      <c r="G321" s="3">
        <v>193.75</v>
      </c>
      <c r="H321" t="s">
        <v>3</v>
      </c>
      <c r="I321" t="s">
        <v>3</v>
      </c>
      <c r="J321" t="s">
        <v>153</v>
      </c>
      <c r="K321" t="s">
        <v>13</v>
      </c>
      <c r="L321" t="s">
        <v>18</v>
      </c>
      <c r="M321" t="s">
        <v>7</v>
      </c>
      <c r="N321" s="2">
        <v>46154</v>
      </c>
    </row>
    <row r="322" spans="1:14" outlineLevel="2" x14ac:dyDescent="0.25">
      <c r="A322" t="s">
        <v>149</v>
      </c>
      <c r="B322" s="2">
        <v>46173</v>
      </c>
      <c r="C322" t="s">
        <v>149</v>
      </c>
      <c r="D322" t="s">
        <v>1</v>
      </c>
      <c r="E322" t="s">
        <v>9</v>
      </c>
      <c r="F322" s="3">
        <v>2400</v>
      </c>
      <c r="G322" s="3">
        <v>2400</v>
      </c>
      <c r="H322" t="s">
        <v>3</v>
      </c>
      <c r="I322" t="s">
        <v>3</v>
      </c>
      <c r="J322" t="s">
        <v>10</v>
      </c>
      <c r="K322" t="s">
        <v>13</v>
      </c>
      <c r="L322" t="s">
        <v>18</v>
      </c>
      <c r="M322" t="s">
        <v>7</v>
      </c>
      <c r="N322" s="2">
        <v>46173</v>
      </c>
    </row>
    <row r="323" spans="1:14" outlineLevel="2" x14ac:dyDescent="0.25">
      <c r="A323" t="s">
        <v>149</v>
      </c>
      <c r="B323" s="2">
        <v>46188</v>
      </c>
      <c r="C323" t="s">
        <v>149</v>
      </c>
      <c r="D323" t="s">
        <v>1</v>
      </c>
      <c r="E323" t="s">
        <v>132</v>
      </c>
      <c r="F323" s="3">
        <v>4225</v>
      </c>
      <c r="G323" s="3">
        <v>4225</v>
      </c>
      <c r="H323" t="s">
        <v>3</v>
      </c>
      <c r="I323" t="s">
        <v>3</v>
      </c>
      <c r="J323" t="s">
        <v>133</v>
      </c>
      <c r="K323" t="s">
        <v>13</v>
      </c>
      <c r="L323" t="s">
        <v>19</v>
      </c>
      <c r="M323" t="s">
        <v>7</v>
      </c>
      <c r="N323" s="2">
        <v>46188</v>
      </c>
    </row>
    <row r="324" spans="1:14" outlineLevel="2" x14ac:dyDescent="0.25">
      <c r="A324" t="s">
        <v>149</v>
      </c>
      <c r="B324" s="2">
        <v>46216</v>
      </c>
      <c r="C324" t="s">
        <v>149</v>
      </c>
      <c r="D324" t="s">
        <v>1</v>
      </c>
      <c r="E324" t="s">
        <v>154</v>
      </c>
      <c r="F324" s="3">
        <v>5400</v>
      </c>
      <c r="G324" s="3">
        <v>5400</v>
      </c>
      <c r="H324" t="s">
        <v>3</v>
      </c>
      <c r="I324" t="s">
        <v>3</v>
      </c>
      <c r="J324" t="s">
        <v>155</v>
      </c>
      <c r="K324" t="s">
        <v>13</v>
      </c>
      <c r="L324" t="s">
        <v>21</v>
      </c>
      <c r="M324" t="s">
        <v>7</v>
      </c>
      <c r="N324" s="2">
        <v>46216</v>
      </c>
    </row>
    <row r="325" spans="1:14" outlineLevel="2" x14ac:dyDescent="0.25">
      <c r="A325" t="s">
        <v>149</v>
      </c>
      <c r="B325" s="2">
        <v>46234</v>
      </c>
      <c r="C325" t="s">
        <v>149</v>
      </c>
      <c r="D325" t="s">
        <v>1</v>
      </c>
      <c r="E325" t="s">
        <v>9</v>
      </c>
      <c r="F325" s="3">
        <v>7500</v>
      </c>
      <c r="G325" s="3">
        <v>7500</v>
      </c>
      <c r="H325" t="s">
        <v>3</v>
      </c>
      <c r="I325" t="s">
        <v>3</v>
      </c>
      <c r="J325" t="s">
        <v>10</v>
      </c>
      <c r="K325" t="s">
        <v>13</v>
      </c>
      <c r="L325" t="s">
        <v>21</v>
      </c>
      <c r="M325" t="s">
        <v>7</v>
      </c>
      <c r="N325" s="2">
        <v>46234</v>
      </c>
    </row>
    <row r="326" spans="1:14" outlineLevel="2" x14ac:dyDescent="0.25">
      <c r="A326" t="s">
        <v>149</v>
      </c>
      <c r="B326" s="2">
        <v>46265</v>
      </c>
      <c r="C326" t="s">
        <v>149</v>
      </c>
      <c r="D326" t="s">
        <v>1</v>
      </c>
      <c r="E326" t="s">
        <v>9</v>
      </c>
      <c r="F326" s="3">
        <v>6555</v>
      </c>
      <c r="G326" s="3">
        <v>6555</v>
      </c>
      <c r="H326" t="s">
        <v>3</v>
      </c>
      <c r="I326" t="s">
        <v>3</v>
      </c>
      <c r="J326" t="s">
        <v>10</v>
      </c>
      <c r="K326" t="s">
        <v>13</v>
      </c>
      <c r="L326" t="s">
        <v>22</v>
      </c>
      <c r="M326" t="s">
        <v>7</v>
      </c>
      <c r="N326" s="2">
        <v>46265</v>
      </c>
    </row>
    <row r="327" spans="1:14" outlineLevel="2" x14ac:dyDescent="0.25">
      <c r="A327" t="s">
        <v>149</v>
      </c>
      <c r="B327" s="2">
        <v>46267</v>
      </c>
      <c r="C327" t="s">
        <v>149</v>
      </c>
      <c r="D327" t="s">
        <v>112</v>
      </c>
      <c r="E327" t="s">
        <v>9</v>
      </c>
      <c r="F327" s="3">
        <v>1800</v>
      </c>
      <c r="G327" s="3">
        <v>1800</v>
      </c>
      <c r="H327" t="s">
        <v>3</v>
      </c>
      <c r="I327" t="s">
        <v>3</v>
      </c>
      <c r="J327" t="s">
        <v>156</v>
      </c>
      <c r="K327" t="s">
        <v>13</v>
      </c>
      <c r="L327" t="s">
        <v>22</v>
      </c>
      <c r="M327" t="s">
        <v>114</v>
      </c>
      <c r="N327" s="2">
        <v>46265</v>
      </c>
    </row>
    <row r="328" spans="1:14" outlineLevel="2" x14ac:dyDescent="0.25">
      <c r="A328" t="s">
        <v>149</v>
      </c>
      <c r="B328" s="2">
        <v>46268</v>
      </c>
      <c r="C328" t="s">
        <v>149</v>
      </c>
      <c r="D328" t="s">
        <v>1</v>
      </c>
      <c r="E328" t="s">
        <v>154</v>
      </c>
      <c r="F328" s="3">
        <v>12600</v>
      </c>
      <c r="G328" s="3">
        <v>12600</v>
      </c>
      <c r="H328" t="s">
        <v>3</v>
      </c>
      <c r="I328" t="s">
        <v>3</v>
      </c>
      <c r="J328" t="s">
        <v>155</v>
      </c>
      <c r="K328" t="s">
        <v>13</v>
      </c>
      <c r="L328" t="s">
        <v>6</v>
      </c>
      <c r="M328" t="s">
        <v>7</v>
      </c>
      <c r="N328" s="2">
        <v>46268</v>
      </c>
    </row>
    <row r="329" spans="1:14" outlineLevel="1" x14ac:dyDescent="0.25">
      <c r="A329" s="4" t="s">
        <v>149</v>
      </c>
      <c r="B329" s="5"/>
      <c r="C329" s="4" t="s">
        <v>9</v>
      </c>
      <c r="D329" s="4" t="s">
        <v>9</v>
      </c>
      <c r="E329" s="4" t="s">
        <v>9</v>
      </c>
      <c r="F329" s="6">
        <v>92246.75</v>
      </c>
      <c r="G329" s="6">
        <v>92246.75</v>
      </c>
      <c r="H329" s="4" t="s">
        <v>9</v>
      </c>
      <c r="I329" s="4" t="s">
        <v>3</v>
      </c>
      <c r="J329" s="4" t="s">
        <v>9</v>
      </c>
      <c r="K329" s="4" t="s">
        <v>9</v>
      </c>
      <c r="L329" s="4" t="s">
        <v>9</v>
      </c>
      <c r="M329" s="4" t="s">
        <v>9</v>
      </c>
      <c r="N329" s="5"/>
    </row>
    <row r="330" spans="1:14" outlineLevel="2" x14ac:dyDescent="0.25">
      <c r="A330" t="s">
        <v>157</v>
      </c>
      <c r="B330" s="2">
        <v>46112</v>
      </c>
      <c r="C330" t="s">
        <v>157</v>
      </c>
      <c r="D330" t="s">
        <v>1</v>
      </c>
      <c r="E330" t="s">
        <v>9</v>
      </c>
      <c r="F330" s="3">
        <v>7300</v>
      </c>
      <c r="G330" s="3">
        <v>7300</v>
      </c>
      <c r="H330" t="s">
        <v>3</v>
      </c>
      <c r="I330" t="s">
        <v>3</v>
      </c>
      <c r="J330" t="s">
        <v>10</v>
      </c>
      <c r="K330" t="s">
        <v>13</v>
      </c>
      <c r="L330" t="s">
        <v>16</v>
      </c>
      <c r="M330" t="s">
        <v>7</v>
      </c>
      <c r="N330" s="2">
        <v>46112</v>
      </c>
    </row>
    <row r="331" spans="1:14" outlineLevel="2" x14ac:dyDescent="0.25">
      <c r="A331" t="s">
        <v>157</v>
      </c>
      <c r="B331" s="2">
        <v>46142</v>
      </c>
      <c r="C331" t="s">
        <v>157</v>
      </c>
      <c r="D331" t="s">
        <v>1</v>
      </c>
      <c r="E331" t="s">
        <v>9</v>
      </c>
      <c r="F331" s="3">
        <v>48900</v>
      </c>
      <c r="G331" s="3">
        <v>48900</v>
      </c>
      <c r="H331" t="s">
        <v>3</v>
      </c>
      <c r="I331" t="s">
        <v>3</v>
      </c>
      <c r="J331" t="s">
        <v>10</v>
      </c>
      <c r="K331" t="s">
        <v>13</v>
      </c>
      <c r="L331" t="s">
        <v>17</v>
      </c>
      <c r="M331" t="s">
        <v>7</v>
      </c>
      <c r="N331" s="2">
        <v>46142</v>
      </c>
    </row>
    <row r="332" spans="1:14" outlineLevel="2" x14ac:dyDescent="0.25">
      <c r="A332" t="s">
        <v>157</v>
      </c>
      <c r="B332" s="2">
        <v>46173</v>
      </c>
      <c r="C332" t="s">
        <v>157</v>
      </c>
      <c r="D332" t="s">
        <v>1</v>
      </c>
      <c r="E332" t="s">
        <v>9</v>
      </c>
      <c r="F332" s="3">
        <v>11650</v>
      </c>
      <c r="G332" s="3">
        <v>11650</v>
      </c>
      <c r="H332" t="s">
        <v>3</v>
      </c>
      <c r="I332" t="s">
        <v>3</v>
      </c>
      <c r="J332" t="s">
        <v>10</v>
      </c>
      <c r="K332" t="s">
        <v>13</v>
      </c>
      <c r="L332" t="s">
        <v>18</v>
      </c>
      <c r="M332" t="s">
        <v>7</v>
      </c>
      <c r="N332" s="2">
        <v>46173</v>
      </c>
    </row>
    <row r="333" spans="1:14" outlineLevel="2" x14ac:dyDescent="0.25">
      <c r="A333" t="s">
        <v>157</v>
      </c>
      <c r="B333" s="2">
        <v>46203</v>
      </c>
      <c r="C333" t="s">
        <v>157</v>
      </c>
      <c r="D333" t="s">
        <v>1</v>
      </c>
      <c r="E333" t="s">
        <v>9</v>
      </c>
      <c r="F333" s="3">
        <v>26632.85</v>
      </c>
      <c r="G333" s="3">
        <v>26632.85</v>
      </c>
      <c r="H333" t="s">
        <v>3</v>
      </c>
      <c r="I333" t="s">
        <v>3</v>
      </c>
      <c r="J333" t="s">
        <v>10</v>
      </c>
      <c r="K333" t="s">
        <v>13</v>
      </c>
      <c r="L333" t="s">
        <v>19</v>
      </c>
      <c r="M333" t="s">
        <v>7</v>
      </c>
      <c r="N333" s="2">
        <v>46203</v>
      </c>
    </row>
    <row r="334" spans="1:14" outlineLevel="2" x14ac:dyDescent="0.25">
      <c r="A334" t="s">
        <v>157</v>
      </c>
      <c r="B334" s="2">
        <v>46234</v>
      </c>
      <c r="C334" t="s">
        <v>157</v>
      </c>
      <c r="D334" t="s">
        <v>1</v>
      </c>
      <c r="E334" t="s">
        <v>9</v>
      </c>
      <c r="F334" s="3">
        <v>30572.15</v>
      </c>
      <c r="G334" s="3">
        <v>30572.15</v>
      </c>
      <c r="H334" t="s">
        <v>3</v>
      </c>
      <c r="I334" t="s">
        <v>3</v>
      </c>
      <c r="J334" t="s">
        <v>10</v>
      </c>
      <c r="K334" t="s">
        <v>13</v>
      </c>
      <c r="L334" t="s">
        <v>21</v>
      </c>
      <c r="M334" t="s">
        <v>7</v>
      </c>
      <c r="N334" s="2">
        <v>46234</v>
      </c>
    </row>
    <row r="335" spans="1:14" outlineLevel="2" x14ac:dyDescent="0.25">
      <c r="A335" t="s">
        <v>157</v>
      </c>
      <c r="B335" s="2">
        <v>46265</v>
      </c>
      <c r="C335" t="s">
        <v>157</v>
      </c>
      <c r="D335" t="s">
        <v>1</v>
      </c>
      <c r="E335" t="s">
        <v>9</v>
      </c>
      <c r="F335" s="3">
        <v>10800</v>
      </c>
      <c r="G335" s="3">
        <v>10800</v>
      </c>
      <c r="H335" t="s">
        <v>3</v>
      </c>
      <c r="I335" t="s">
        <v>3</v>
      </c>
      <c r="J335" t="s">
        <v>10</v>
      </c>
      <c r="K335" t="s">
        <v>13</v>
      </c>
      <c r="L335" t="s">
        <v>22</v>
      </c>
      <c r="M335" t="s">
        <v>7</v>
      </c>
      <c r="N335" s="2">
        <v>46265</v>
      </c>
    </row>
    <row r="336" spans="1:14" outlineLevel="1" x14ac:dyDescent="0.25">
      <c r="A336" s="4" t="s">
        <v>157</v>
      </c>
      <c r="B336" s="5"/>
      <c r="C336" s="4" t="s">
        <v>9</v>
      </c>
      <c r="D336" s="4" t="s">
        <v>9</v>
      </c>
      <c r="E336" s="4" t="s">
        <v>9</v>
      </c>
      <c r="F336" s="6">
        <v>135855</v>
      </c>
      <c r="G336" s="6">
        <v>135855</v>
      </c>
      <c r="H336" s="4" t="s">
        <v>9</v>
      </c>
      <c r="I336" s="4" t="s">
        <v>3</v>
      </c>
      <c r="J336" s="4" t="s">
        <v>9</v>
      </c>
      <c r="K336" s="4" t="s">
        <v>9</v>
      </c>
      <c r="L336" s="4" t="s">
        <v>9</v>
      </c>
      <c r="M336" s="4" t="s">
        <v>9</v>
      </c>
      <c r="N336" s="5"/>
    </row>
    <row r="337" spans="1:14" outlineLevel="2" x14ac:dyDescent="0.25">
      <c r="A337" t="s">
        <v>158</v>
      </c>
      <c r="B337" s="2">
        <v>46142</v>
      </c>
      <c r="C337" t="s">
        <v>158</v>
      </c>
      <c r="D337" t="s">
        <v>1</v>
      </c>
      <c r="E337" t="s">
        <v>9</v>
      </c>
      <c r="F337" s="3">
        <v>4815</v>
      </c>
      <c r="G337" s="3">
        <v>4815</v>
      </c>
      <c r="H337" t="s">
        <v>3</v>
      </c>
      <c r="I337" t="s">
        <v>3</v>
      </c>
      <c r="J337" t="s">
        <v>10</v>
      </c>
      <c r="K337" t="s">
        <v>13</v>
      </c>
      <c r="L337" t="s">
        <v>17</v>
      </c>
      <c r="M337" t="s">
        <v>7</v>
      </c>
      <c r="N337" s="2">
        <v>46142</v>
      </c>
    </row>
    <row r="338" spans="1:14" outlineLevel="2" x14ac:dyDescent="0.25">
      <c r="A338" t="s">
        <v>158</v>
      </c>
      <c r="B338" s="2">
        <v>46203</v>
      </c>
      <c r="C338" t="s">
        <v>158</v>
      </c>
      <c r="D338" t="s">
        <v>1</v>
      </c>
      <c r="E338" t="s">
        <v>9</v>
      </c>
      <c r="F338" s="3">
        <v>17274.599999999999</v>
      </c>
      <c r="G338" s="3">
        <v>17274.599999999999</v>
      </c>
      <c r="H338" t="s">
        <v>3</v>
      </c>
      <c r="I338" t="s">
        <v>3</v>
      </c>
      <c r="J338" t="s">
        <v>10</v>
      </c>
      <c r="K338" t="s">
        <v>13</v>
      </c>
      <c r="L338" t="s">
        <v>19</v>
      </c>
      <c r="M338" t="s">
        <v>7</v>
      </c>
      <c r="N338" s="2">
        <v>46203</v>
      </c>
    </row>
    <row r="339" spans="1:14" outlineLevel="2" x14ac:dyDescent="0.25">
      <c r="A339" t="s">
        <v>158</v>
      </c>
      <c r="B339" s="2">
        <v>46234</v>
      </c>
      <c r="C339" t="s">
        <v>158</v>
      </c>
      <c r="D339" t="s">
        <v>1</v>
      </c>
      <c r="E339" t="s">
        <v>9</v>
      </c>
      <c r="F339" s="3">
        <v>17615.400000000001</v>
      </c>
      <c r="G339" s="3">
        <v>17615.400000000001</v>
      </c>
      <c r="H339" t="s">
        <v>3</v>
      </c>
      <c r="I339" t="s">
        <v>3</v>
      </c>
      <c r="J339" t="s">
        <v>10</v>
      </c>
      <c r="K339" t="s">
        <v>13</v>
      </c>
      <c r="L339" t="s">
        <v>21</v>
      </c>
      <c r="M339" t="s">
        <v>7</v>
      </c>
      <c r="N339" s="2">
        <v>46234</v>
      </c>
    </row>
    <row r="340" spans="1:14" outlineLevel="2" x14ac:dyDescent="0.25">
      <c r="A340" t="s">
        <v>158</v>
      </c>
      <c r="B340" s="2">
        <v>46265</v>
      </c>
      <c r="C340" t="s">
        <v>158</v>
      </c>
      <c r="D340" t="s">
        <v>1</v>
      </c>
      <c r="E340" t="s">
        <v>9</v>
      </c>
      <c r="F340" s="3">
        <v>3000</v>
      </c>
      <c r="G340" s="3">
        <v>3000</v>
      </c>
      <c r="H340" t="s">
        <v>3</v>
      </c>
      <c r="I340" t="s">
        <v>3</v>
      </c>
      <c r="J340" t="s">
        <v>10</v>
      </c>
      <c r="K340" t="s">
        <v>13</v>
      </c>
      <c r="L340" t="s">
        <v>22</v>
      </c>
      <c r="M340" t="s">
        <v>7</v>
      </c>
      <c r="N340" s="2">
        <v>46265</v>
      </c>
    </row>
    <row r="341" spans="1:14" outlineLevel="1" x14ac:dyDescent="0.25">
      <c r="A341" s="4" t="s">
        <v>158</v>
      </c>
      <c r="B341" s="5"/>
      <c r="C341" s="4" t="s">
        <v>9</v>
      </c>
      <c r="D341" s="4" t="s">
        <v>9</v>
      </c>
      <c r="E341" s="4" t="s">
        <v>9</v>
      </c>
      <c r="F341" s="6">
        <v>42705</v>
      </c>
      <c r="G341" s="6">
        <v>42705</v>
      </c>
      <c r="H341" s="4" t="s">
        <v>9</v>
      </c>
      <c r="I341" s="4" t="s">
        <v>3</v>
      </c>
      <c r="J341" s="4" t="s">
        <v>9</v>
      </c>
      <c r="K341" s="4" t="s">
        <v>9</v>
      </c>
      <c r="L341" s="4" t="s">
        <v>9</v>
      </c>
      <c r="M341" s="4" t="s">
        <v>9</v>
      </c>
      <c r="N341" s="5"/>
    </row>
    <row r="342" spans="1:14" outlineLevel="2" x14ac:dyDescent="0.25">
      <c r="A342" t="s">
        <v>159</v>
      </c>
      <c r="B342" s="2">
        <v>46177</v>
      </c>
      <c r="C342" t="s">
        <v>159</v>
      </c>
      <c r="D342" t="s">
        <v>1</v>
      </c>
      <c r="E342" t="s">
        <v>160</v>
      </c>
      <c r="F342" s="3">
        <v>12601</v>
      </c>
      <c r="G342" s="3">
        <v>12601</v>
      </c>
      <c r="H342" t="s">
        <v>3</v>
      </c>
      <c r="I342" t="s">
        <v>3</v>
      </c>
      <c r="J342" t="s">
        <v>161</v>
      </c>
      <c r="K342" t="s">
        <v>13</v>
      </c>
      <c r="L342" t="s">
        <v>19</v>
      </c>
      <c r="M342" t="s">
        <v>7</v>
      </c>
      <c r="N342" s="2">
        <v>46177</v>
      </c>
    </row>
    <row r="343" spans="1:14" outlineLevel="2" x14ac:dyDescent="0.25">
      <c r="A343" t="s">
        <v>159</v>
      </c>
      <c r="B343" s="2">
        <v>46206</v>
      </c>
      <c r="C343" t="s">
        <v>159</v>
      </c>
      <c r="D343" t="s">
        <v>1</v>
      </c>
      <c r="E343" t="s">
        <v>160</v>
      </c>
      <c r="F343" s="3">
        <v>12601</v>
      </c>
      <c r="G343" s="3">
        <v>12601</v>
      </c>
      <c r="H343" t="s">
        <v>3</v>
      </c>
      <c r="I343" t="s">
        <v>3</v>
      </c>
      <c r="J343" t="s">
        <v>161</v>
      </c>
      <c r="K343" t="s">
        <v>13</v>
      </c>
      <c r="L343" t="s">
        <v>21</v>
      </c>
      <c r="M343" t="s">
        <v>7</v>
      </c>
      <c r="N343" s="2">
        <v>46206</v>
      </c>
    </row>
    <row r="344" spans="1:14" outlineLevel="2" x14ac:dyDescent="0.25">
      <c r="A344" t="s">
        <v>159</v>
      </c>
      <c r="B344" s="2">
        <v>46275</v>
      </c>
      <c r="C344" t="s">
        <v>159</v>
      </c>
      <c r="D344" t="s">
        <v>1</v>
      </c>
      <c r="E344" t="s">
        <v>160</v>
      </c>
      <c r="F344" s="3">
        <v>12601</v>
      </c>
      <c r="G344" s="3">
        <v>12601</v>
      </c>
      <c r="H344" t="s">
        <v>3</v>
      </c>
      <c r="I344" t="s">
        <v>3</v>
      </c>
      <c r="J344" t="s">
        <v>161</v>
      </c>
      <c r="K344" t="s">
        <v>13</v>
      </c>
      <c r="L344" t="s">
        <v>6</v>
      </c>
      <c r="M344" t="s">
        <v>7</v>
      </c>
      <c r="N344" s="2">
        <v>46275</v>
      </c>
    </row>
    <row r="345" spans="1:14" outlineLevel="1" x14ac:dyDescent="0.25">
      <c r="A345" s="4" t="s">
        <v>159</v>
      </c>
      <c r="B345" s="5"/>
      <c r="C345" s="4" t="s">
        <v>9</v>
      </c>
      <c r="D345" s="4" t="s">
        <v>9</v>
      </c>
      <c r="E345" s="4" t="s">
        <v>9</v>
      </c>
      <c r="F345" s="6">
        <v>37803</v>
      </c>
      <c r="G345" s="6">
        <v>37803</v>
      </c>
      <c r="H345" s="4" t="s">
        <v>9</v>
      </c>
      <c r="I345" s="4" t="s">
        <v>3</v>
      </c>
      <c r="J345" s="4" t="s">
        <v>9</v>
      </c>
      <c r="K345" s="4" t="s">
        <v>9</v>
      </c>
      <c r="L345" s="4" t="s">
        <v>9</v>
      </c>
      <c r="M345" s="4" t="s">
        <v>9</v>
      </c>
      <c r="N345" s="5"/>
    </row>
    <row r="346" spans="1:14" outlineLevel="2" x14ac:dyDescent="0.25">
      <c r="A346" t="s">
        <v>162</v>
      </c>
      <c r="B346" s="2">
        <v>46177</v>
      </c>
      <c r="C346" t="s">
        <v>162</v>
      </c>
      <c r="D346" t="s">
        <v>1</v>
      </c>
      <c r="E346" t="s">
        <v>163</v>
      </c>
      <c r="F346" s="3">
        <v>9376.33</v>
      </c>
      <c r="G346" s="3">
        <v>9376.33</v>
      </c>
      <c r="H346" t="s">
        <v>3</v>
      </c>
      <c r="I346" t="s">
        <v>3</v>
      </c>
      <c r="J346" t="s">
        <v>164</v>
      </c>
      <c r="K346" t="s">
        <v>13</v>
      </c>
      <c r="L346" t="s">
        <v>19</v>
      </c>
      <c r="M346" t="s">
        <v>7</v>
      </c>
      <c r="N346" s="2">
        <v>46177</v>
      </c>
    </row>
    <row r="347" spans="1:14" outlineLevel="2" x14ac:dyDescent="0.25">
      <c r="A347" t="s">
        <v>162</v>
      </c>
      <c r="B347" s="2">
        <v>46206</v>
      </c>
      <c r="C347" t="s">
        <v>162</v>
      </c>
      <c r="D347" t="s">
        <v>1</v>
      </c>
      <c r="E347" t="s">
        <v>163</v>
      </c>
      <c r="F347" s="3">
        <v>9376.33</v>
      </c>
      <c r="G347" s="3">
        <v>9376.33</v>
      </c>
      <c r="H347" t="s">
        <v>3</v>
      </c>
      <c r="I347" t="s">
        <v>3</v>
      </c>
      <c r="J347" t="s">
        <v>164</v>
      </c>
      <c r="K347" t="s">
        <v>13</v>
      </c>
      <c r="L347" t="s">
        <v>21</v>
      </c>
      <c r="M347" t="s">
        <v>7</v>
      </c>
      <c r="N347" s="2">
        <v>46206</v>
      </c>
    </row>
    <row r="348" spans="1:14" outlineLevel="1" x14ac:dyDescent="0.25">
      <c r="A348" s="4" t="s">
        <v>162</v>
      </c>
      <c r="B348" s="5"/>
      <c r="C348" s="4" t="s">
        <v>9</v>
      </c>
      <c r="D348" s="4" t="s">
        <v>9</v>
      </c>
      <c r="E348" s="4" t="s">
        <v>9</v>
      </c>
      <c r="F348" s="6">
        <v>18752.66</v>
      </c>
      <c r="G348" s="6">
        <v>18752.66</v>
      </c>
      <c r="H348" s="4" t="s">
        <v>9</v>
      </c>
      <c r="I348" s="4" t="s">
        <v>3</v>
      </c>
      <c r="J348" s="4" t="s">
        <v>9</v>
      </c>
      <c r="K348" s="4" t="s">
        <v>9</v>
      </c>
      <c r="L348" s="4" t="s">
        <v>9</v>
      </c>
      <c r="M348" s="4" t="s">
        <v>9</v>
      </c>
      <c r="N348" s="5"/>
    </row>
    <row r="349" spans="1:14" outlineLevel="2" x14ac:dyDescent="0.25">
      <c r="A349" t="s">
        <v>165</v>
      </c>
      <c r="B349" s="2">
        <v>46132</v>
      </c>
      <c r="C349" t="s">
        <v>165</v>
      </c>
      <c r="D349" t="s">
        <v>99</v>
      </c>
      <c r="E349" t="s">
        <v>166</v>
      </c>
      <c r="F349" s="3">
        <v>31837.5</v>
      </c>
      <c r="G349" s="3">
        <v>31837.5</v>
      </c>
      <c r="H349" t="s">
        <v>3</v>
      </c>
      <c r="I349" t="s">
        <v>3</v>
      </c>
      <c r="J349" t="s">
        <v>167</v>
      </c>
      <c r="K349" t="s">
        <v>13</v>
      </c>
      <c r="L349" t="s">
        <v>17</v>
      </c>
      <c r="M349" t="s">
        <v>102</v>
      </c>
      <c r="N349" s="2">
        <v>46132</v>
      </c>
    </row>
    <row r="350" spans="1:14" outlineLevel="2" x14ac:dyDescent="0.25">
      <c r="A350" t="s">
        <v>165</v>
      </c>
      <c r="B350" s="2">
        <v>46142</v>
      </c>
      <c r="C350" t="s">
        <v>165</v>
      </c>
      <c r="D350" t="s">
        <v>1</v>
      </c>
      <c r="E350" t="s">
        <v>9</v>
      </c>
      <c r="F350" s="3">
        <v>263786</v>
      </c>
      <c r="G350" s="3">
        <v>263786</v>
      </c>
      <c r="H350" t="s">
        <v>3</v>
      </c>
      <c r="I350" t="s">
        <v>3</v>
      </c>
      <c r="J350" t="s">
        <v>10</v>
      </c>
      <c r="K350" t="s">
        <v>13</v>
      </c>
      <c r="L350" t="s">
        <v>17</v>
      </c>
      <c r="M350" t="s">
        <v>7</v>
      </c>
      <c r="N350" s="2">
        <v>46142</v>
      </c>
    </row>
    <row r="351" spans="1:14" outlineLevel="2" x14ac:dyDescent="0.25">
      <c r="A351" t="s">
        <v>165</v>
      </c>
      <c r="B351" s="2">
        <v>46142</v>
      </c>
      <c r="C351" t="s">
        <v>165</v>
      </c>
      <c r="D351" t="s">
        <v>99</v>
      </c>
      <c r="E351" t="s">
        <v>9</v>
      </c>
      <c r="F351" s="3">
        <v>35625</v>
      </c>
      <c r="G351" s="3">
        <v>35625</v>
      </c>
      <c r="H351" t="s">
        <v>3</v>
      </c>
      <c r="I351" t="s">
        <v>3</v>
      </c>
      <c r="J351" t="s">
        <v>123</v>
      </c>
      <c r="K351" t="s">
        <v>13</v>
      </c>
      <c r="L351" t="s">
        <v>17</v>
      </c>
      <c r="M351" t="s">
        <v>102</v>
      </c>
      <c r="N351" s="2">
        <v>46142</v>
      </c>
    </row>
    <row r="352" spans="1:14" outlineLevel="2" x14ac:dyDescent="0.25">
      <c r="A352" t="s">
        <v>165</v>
      </c>
      <c r="B352" s="2">
        <v>46171</v>
      </c>
      <c r="C352" t="s">
        <v>165</v>
      </c>
      <c r="D352" t="s">
        <v>99</v>
      </c>
      <c r="E352" t="s">
        <v>166</v>
      </c>
      <c r="F352" s="3">
        <v>17062.5</v>
      </c>
      <c r="G352" s="3">
        <v>17062.5</v>
      </c>
      <c r="H352" t="s">
        <v>3</v>
      </c>
      <c r="I352" t="s">
        <v>3</v>
      </c>
      <c r="J352" t="s">
        <v>167</v>
      </c>
      <c r="K352" t="s">
        <v>13</v>
      </c>
      <c r="L352" t="s">
        <v>18</v>
      </c>
      <c r="M352" t="s">
        <v>102</v>
      </c>
      <c r="N352" s="2">
        <v>46171</v>
      </c>
    </row>
    <row r="353" spans="1:14" outlineLevel="2" x14ac:dyDescent="0.25">
      <c r="A353" t="s">
        <v>165</v>
      </c>
      <c r="B353" s="2">
        <v>46173</v>
      </c>
      <c r="C353" t="s">
        <v>165</v>
      </c>
      <c r="D353" t="s">
        <v>1</v>
      </c>
      <c r="E353" t="s">
        <v>9</v>
      </c>
      <c r="F353" s="3">
        <v>68830</v>
      </c>
      <c r="G353" s="3">
        <v>68830</v>
      </c>
      <c r="H353" t="s">
        <v>3</v>
      </c>
      <c r="I353" t="s">
        <v>3</v>
      </c>
      <c r="J353" t="s">
        <v>10</v>
      </c>
      <c r="K353" t="s">
        <v>13</v>
      </c>
      <c r="L353" t="s">
        <v>18</v>
      </c>
      <c r="M353" t="s">
        <v>7</v>
      </c>
      <c r="N353" s="2">
        <v>46173</v>
      </c>
    </row>
    <row r="354" spans="1:14" outlineLevel="2" x14ac:dyDescent="0.25">
      <c r="A354" t="s">
        <v>165</v>
      </c>
      <c r="B354" s="2">
        <v>46196</v>
      </c>
      <c r="C354" t="s">
        <v>165</v>
      </c>
      <c r="D354" t="s">
        <v>99</v>
      </c>
      <c r="E354" t="s">
        <v>166</v>
      </c>
      <c r="F354" s="3">
        <v>15525</v>
      </c>
      <c r="G354" s="3">
        <v>15525</v>
      </c>
      <c r="H354" t="s">
        <v>3</v>
      </c>
      <c r="I354" t="s">
        <v>3</v>
      </c>
      <c r="J354" t="s">
        <v>167</v>
      </c>
      <c r="K354" t="s">
        <v>13</v>
      </c>
      <c r="L354" t="s">
        <v>19</v>
      </c>
      <c r="M354" t="s">
        <v>102</v>
      </c>
      <c r="N354" s="2">
        <v>46196</v>
      </c>
    </row>
    <row r="355" spans="1:14" outlineLevel="2" x14ac:dyDescent="0.25">
      <c r="A355" t="s">
        <v>165</v>
      </c>
      <c r="B355" s="2">
        <v>46203</v>
      </c>
      <c r="C355" t="s">
        <v>165</v>
      </c>
      <c r="D355" t="s">
        <v>1</v>
      </c>
      <c r="E355" t="s">
        <v>9</v>
      </c>
      <c r="F355" s="3">
        <v>33004.49</v>
      </c>
      <c r="G355" s="3">
        <v>33004.49</v>
      </c>
      <c r="H355" t="s">
        <v>3</v>
      </c>
      <c r="I355" t="s">
        <v>3</v>
      </c>
      <c r="J355" t="s">
        <v>10</v>
      </c>
      <c r="K355" t="s">
        <v>13</v>
      </c>
      <c r="L355" t="s">
        <v>19</v>
      </c>
      <c r="M355" t="s">
        <v>7</v>
      </c>
      <c r="N355" s="2">
        <v>46203</v>
      </c>
    </row>
    <row r="356" spans="1:14" outlineLevel="2" x14ac:dyDescent="0.25">
      <c r="A356" t="s">
        <v>165</v>
      </c>
      <c r="B356" s="2">
        <v>46213</v>
      </c>
      <c r="C356" t="s">
        <v>165</v>
      </c>
      <c r="D356" t="s">
        <v>99</v>
      </c>
      <c r="E356" t="s">
        <v>166</v>
      </c>
      <c r="F356" s="3">
        <v>21600</v>
      </c>
      <c r="G356" s="3">
        <v>21600</v>
      </c>
      <c r="H356" t="s">
        <v>3</v>
      </c>
      <c r="I356" t="s">
        <v>3</v>
      </c>
      <c r="J356" t="s">
        <v>167</v>
      </c>
      <c r="K356" t="s">
        <v>13</v>
      </c>
      <c r="L356" t="s">
        <v>21</v>
      </c>
      <c r="M356" t="s">
        <v>102</v>
      </c>
      <c r="N356" s="2">
        <v>46213</v>
      </c>
    </row>
    <row r="357" spans="1:14" outlineLevel="2" x14ac:dyDescent="0.25">
      <c r="A357" t="s">
        <v>165</v>
      </c>
      <c r="B357" s="2">
        <v>46234</v>
      </c>
      <c r="C357" t="s">
        <v>165</v>
      </c>
      <c r="D357" t="s">
        <v>1</v>
      </c>
      <c r="E357" t="s">
        <v>9</v>
      </c>
      <c r="F357" s="3">
        <v>33025.51</v>
      </c>
      <c r="G357" s="3">
        <v>33025.51</v>
      </c>
      <c r="H357" t="s">
        <v>3</v>
      </c>
      <c r="I357" t="s">
        <v>3</v>
      </c>
      <c r="J357" t="s">
        <v>10</v>
      </c>
      <c r="K357" t="s">
        <v>13</v>
      </c>
      <c r="L357" t="s">
        <v>21</v>
      </c>
      <c r="M357" t="s">
        <v>7</v>
      </c>
      <c r="N357" s="2">
        <v>46234</v>
      </c>
    </row>
    <row r="358" spans="1:14" outlineLevel="2" x14ac:dyDescent="0.25">
      <c r="A358" t="s">
        <v>165</v>
      </c>
      <c r="B358" s="2">
        <v>46255</v>
      </c>
      <c r="C358" t="s">
        <v>165</v>
      </c>
      <c r="D358" t="s">
        <v>99</v>
      </c>
      <c r="E358" t="s">
        <v>166</v>
      </c>
      <c r="F358" s="3">
        <v>12075</v>
      </c>
      <c r="G358" s="3">
        <v>12075</v>
      </c>
      <c r="H358" t="s">
        <v>3</v>
      </c>
      <c r="I358" t="s">
        <v>3</v>
      </c>
      <c r="J358" t="s">
        <v>167</v>
      </c>
      <c r="K358" t="s">
        <v>13</v>
      </c>
      <c r="L358" t="s">
        <v>22</v>
      </c>
      <c r="M358" t="s">
        <v>102</v>
      </c>
      <c r="N358" s="2">
        <v>46255</v>
      </c>
    </row>
    <row r="359" spans="1:14" outlineLevel="2" x14ac:dyDescent="0.25">
      <c r="A359" t="s">
        <v>165</v>
      </c>
      <c r="B359" s="2">
        <v>46265</v>
      </c>
      <c r="C359" t="s">
        <v>165</v>
      </c>
      <c r="D359" t="s">
        <v>1</v>
      </c>
      <c r="E359" t="s">
        <v>9</v>
      </c>
      <c r="F359" s="3">
        <v>18040</v>
      </c>
      <c r="G359" s="3">
        <v>18040</v>
      </c>
      <c r="H359" t="s">
        <v>3</v>
      </c>
      <c r="I359" t="s">
        <v>3</v>
      </c>
      <c r="J359" t="s">
        <v>10</v>
      </c>
      <c r="K359" t="s">
        <v>13</v>
      </c>
      <c r="L359" t="s">
        <v>22</v>
      </c>
      <c r="M359" t="s">
        <v>7</v>
      </c>
      <c r="N359" s="2">
        <v>46265</v>
      </c>
    </row>
    <row r="360" spans="1:14" outlineLevel="1" x14ac:dyDescent="0.25">
      <c r="A360" s="4" t="s">
        <v>165</v>
      </c>
      <c r="B360" s="5"/>
      <c r="C360" s="4" t="s">
        <v>9</v>
      </c>
      <c r="D360" s="4" t="s">
        <v>9</v>
      </c>
      <c r="E360" s="4" t="s">
        <v>9</v>
      </c>
      <c r="F360" s="6">
        <v>550411</v>
      </c>
      <c r="G360" s="6">
        <v>550411</v>
      </c>
      <c r="H360" s="4" t="s">
        <v>9</v>
      </c>
      <c r="I360" s="4" t="s">
        <v>3</v>
      </c>
      <c r="J360" s="4" t="s">
        <v>9</v>
      </c>
      <c r="K360" s="4" t="s">
        <v>9</v>
      </c>
      <c r="L360" s="4" t="s">
        <v>9</v>
      </c>
      <c r="M360" s="4" t="s">
        <v>9</v>
      </c>
      <c r="N360" s="5"/>
    </row>
    <row r="361" spans="1:14" outlineLevel="2" x14ac:dyDescent="0.25">
      <c r="A361" t="s">
        <v>168</v>
      </c>
      <c r="B361" s="2">
        <v>46203</v>
      </c>
      <c r="C361" t="s">
        <v>168</v>
      </c>
      <c r="D361" t="s">
        <v>99</v>
      </c>
      <c r="E361" t="s">
        <v>9</v>
      </c>
      <c r="F361" s="3">
        <v>57440</v>
      </c>
      <c r="G361" s="3">
        <v>57440</v>
      </c>
      <c r="H361" t="s">
        <v>3</v>
      </c>
      <c r="I361" t="s">
        <v>3</v>
      </c>
      <c r="J361" t="s">
        <v>169</v>
      </c>
      <c r="K361" t="s">
        <v>13</v>
      </c>
      <c r="L361" t="s">
        <v>19</v>
      </c>
      <c r="M361" t="s">
        <v>102</v>
      </c>
      <c r="N361" s="2">
        <v>46203</v>
      </c>
    </row>
    <row r="362" spans="1:14" outlineLevel="2" x14ac:dyDescent="0.25">
      <c r="A362" t="s">
        <v>168</v>
      </c>
      <c r="B362" s="2">
        <v>46203</v>
      </c>
      <c r="C362" t="s">
        <v>168</v>
      </c>
      <c r="D362" t="s">
        <v>99</v>
      </c>
      <c r="E362" t="s">
        <v>9</v>
      </c>
      <c r="F362" s="3">
        <v>5000</v>
      </c>
      <c r="G362" s="3">
        <v>5000</v>
      </c>
      <c r="H362" t="s">
        <v>3</v>
      </c>
      <c r="I362" t="s">
        <v>3</v>
      </c>
      <c r="J362" t="s">
        <v>169</v>
      </c>
      <c r="K362" t="s">
        <v>13</v>
      </c>
      <c r="L362" t="s">
        <v>19</v>
      </c>
      <c r="M362" t="s">
        <v>102</v>
      </c>
      <c r="N362" s="2">
        <v>46203</v>
      </c>
    </row>
    <row r="363" spans="1:14" outlineLevel="2" x14ac:dyDescent="0.25">
      <c r="A363" t="s">
        <v>168</v>
      </c>
      <c r="B363" s="2">
        <v>46234</v>
      </c>
      <c r="C363" t="s">
        <v>168</v>
      </c>
      <c r="D363" t="s">
        <v>99</v>
      </c>
      <c r="E363" t="s">
        <v>9</v>
      </c>
      <c r="F363" s="3">
        <v>64450</v>
      </c>
      <c r="G363" s="3">
        <v>64450</v>
      </c>
      <c r="H363" t="s">
        <v>3</v>
      </c>
      <c r="I363" t="s">
        <v>3</v>
      </c>
      <c r="J363" t="s">
        <v>170</v>
      </c>
      <c r="K363" t="s">
        <v>13</v>
      </c>
      <c r="L363" t="s">
        <v>21</v>
      </c>
      <c r="M363" t="s">
        <v>102</v>
      </c>
      <c r="N363" s="2">
        <v>46234</v>
      </c>
    </row>
    <row r="364" spans="1:14" outlineLevel="2" x14ac:dyDescent="0.25">
      <c r="A364" t="s">
        <v>168</v>
      </c>
      <c r="B364" s="2">
        <v>46265</v>
      </c>
      <c r="C364" t="s">
        <v>168</v>
      </c>
      <c r="D364" t="s">
        <v>99</v>
      </c>
      <c r="E364" t="s">
        <v>9</v>
      </c>
      <c r="F364" s="3">
        <v>35610</v>
      </c>
      <c r="G364" s="3">
        <v>35610</v>
      </c>
      <c r="H364" t="s">
        <v>3</v>
      </c>
      <c r="I364" t="s">
        <v>3</v>
      </c>
      <c r="J364" t="s">
        <v>171</v>
      </c>
      <c r="K364" t="s">
        <v>13</v>
      </c>
      <c r="L364" t="s">
        <v>22</v>
      </c>
      <c r="M364" t="s">
        <v>102</v>
      </c>
      <c r="N364" s="2">
        <v>46265</v>
      </c>
    </row>
    <row r="365" spans="1:14" outlineLevel="1" x14ac:dyDescent="0.25">
      <c r="A365" s="4" t="s">
        <v>168</v>
      </c>
      <c r="B365" s="5"/>
      <c r="C365" s="4" t="s">
        <v>9</v>
      </c>
      <c r="D365" s="4" t="s">
        <v>9</v>
      </c>
      <c r="E365" s="4" t="s">
        <v>9</v>
      </c>
      <c r="F365" s="6">
        <v>162500</v>
      </c>
      <c r="G365" s="6">
        <v>162500</v>
      </c>
      <c r="H365" s="4" t="s">
        <v>9</v>
      </c>
      <c r="I365" s="4" t="s">
        <v>3</v>
      </c>
      <c r="J365" s="4" t="s">
        <v>9</v>
      </c>
      <c r="K365" s="4" t="s">
        <v>9</v>
      </c>
      <c r="L365" s="4" t="s">
        <v>9</v>
      </c>
      <c r="M365" s="4" t="s">
        <v>9</v>
      </c>
      <c r="N365" s="5"/>
    </row>
    <row r="366" spans="1:14" outlineLevel="2" x14ac:dyDescent="0.25">
      <c r="A366" t="s">
        <v>172</v>
      </c>
      <c r="B366" s="2">
        <v>46203</v>
      </c>
      <c r="C366" t="s">
        <v>172</v>
      </c>
      <c r="D366" t="s">
        <v>1</v>
      </c>
      <c r="E366" t="s">
        <v>9</v>
      </c>
      <c r="F366" s="3">
        <v>4441.84</v>
      </c>
      <c r="G366" s="3">
        <v>4441.84</v>
      </c>
      <c r="H366" t="s">
        <v>3</v>
      </c>
      <c r="I366" t="s">
        <v>3</v>
      </c>
      <c r="J366" t="s">
        <v>10</v>
      </c>
      <c r="K366" t="s">
        <v>13</v>
      </c>
      <c r="L366" t="s">
        <v>19</v>
      </c>
      <c r="M366" t="s">
        <v>7</v>
      </c>
      <c r="N366" s="2">
        <v>46203</v>
      </c>
    </row>
    <row r="367" spans="1:14" outlineLevel="2" x14ac:dyDescent="0.25">
      <c r="A367" t="s">
        <v>172</v>
      </c>
      <c r="B367" s="2">
        <v>46234</v>
      </c>
      <c r="C367" t="s">
        <v>172</v>
      </c>
      <c r="D367" t="s">
        <v>1</v>
      </c>
      <c r="E367" t="s">
        <v>9</v>
      </c>
      <c r="F367" s="3">
        <v>22016.16</v>
      </c>
      <c r="G367" s="3">
        <v>22016.16</v>
      </c>
      <c r="H367" t="s">
        <v>3</v>
      </c>
      <c r="I367" t="s">
        <v>3</v>
      </c>
      <c r="J367" t="s">
        <v>10</v>
      </c>
      <c r="K367" t="s">
        <v>13</v>
      </c>
      <c r="L367" t="s">
        <v>21</v>
      </c>
      <c r="M367" t="s">
        <v>7</v>
      </c>
      <c r="N367" s="2">
        <v>46234</v>
      </c>
    </row>
    <row r="368" spans="1:14" outlineLevel="2" x14ac:dyDescent="0.25">
      <c r="A368" t="s">
        <v>172</v>
      </c>
      <c r="B368" s="2">
        <v>46265</v>
      </c>
      <c r="C368" t="s">
        <v>172</v>
      </c>
      <c r="D368" t="s">
        <v>1</v>
      </c>
      <c r="E368" t="s">
        <v>9</v>
      </c>
      <c r="F368" s="3">
        <v>20892</v>
      </c>
      <c r="G368" s="3">
        <v>20892</v>
      </c>
      <c r="H368" t="s">
        <v>3</v>
      </c>
      <c r="I368" t="s">
        <v>3</v>
      </c>
      <c r="J368" t="s">
        <v>10</v>
      </c>
      <c r="K368" t="s">
        <v>13</v>
      </c>
      <c r="L368" t="s">
        <v>22</v>
      </c>
      <c r="M368" t="s">
        <v>7</v>
      </c>
      <c r="N368" s="2">
        <v>46265</v>
      </c>
    </row>
    <row r="369" spans="1:14" outlineLevel="2" x14ac:dyDescent="0.25">
      <c r="A369" t="s">
        <v>172</v>
      </c>
      <c r="B369" s="2">
        <v>46273</v>
      </c>
      <c r="C369" t="s">
        <v>172</v>
      </c>
      <c r="D369" t="s">
        <v>1</v>
      </c>
      <c r="E369" t="s">
        <v>173</v>
      </c>
      <c r="F369" s="3">
        <v>976.1</v>
      </c>
      <c r="G369" s="3">
        <v>851.26</v>
      </c>
      <c r="H369" t="s">
        <v>3</v>
      </c>
      <c r="I369" t="s">
        <v>174</v>
      </c>
      <c r="J369" t="s">
        <v>175</v>
      </c>
      <c r="K369" t="s">
        <v>13</v>
      </c>
      <c r="L369" t="s">
        <v>6</v>
      </c>
      <c r="M369" t="s">
        <v>7</v>
      </c>
      <c r="N369" s="2">
        <v>46273</v>
      </c>
    </row>
    <row r="370" spans="1:14" outlineLevel="1" x14ac:dyDescent="0.25">
      <c r="A370" s="4" t="s">
        <v>172</v>
      </c>
      <c r="B370" s="5"/>
      <c r="C370" s="4" t="s">
        <v>9</v>
      </c>
      <c r="D370" s="4" t="s">
        <v>9</v>
      </c>
      <c r="E370" s="4" t="s">
        <v>9</v>
      </c>
      <c r="F370" s="6">
        <v>48326.1</v>
      </c>
      <c r="G370" s="6">
        <v>47350</v>
      </c>
      <c r="H370" s="4" t="s">
        <v>9</v>
      </c>
      <c r="I370" s="4" t="s">
        <v>3</v>
      </c>
      <c r="J370" s="4" t="s">
        <v>9</v>
      </c>
      <c r="K370" s="4" t="s">
        <v>9</v>
      </c>
      <c r="L370" s="4" t="s">
        <v>9</v>
      </c>
      <c r="M370" s="4" t="s">
        <v>9</v>
      </c>
      <c r="N370" s="5"/>
    </row>
    <row r="371" spans="1:14" outlineLevel="1" x14ac:dyDescent="0.25">
      <c r="A371" s="4" t="s">
        <v>9</v>
      </c>
      <c r="B371" s="5"/>
      <c r="C371" s="4" t="s">
        <v>9</v>
      </c>
      <c r="D371" s="4" t="s">
        <v>9</v>
      </c>
      <c r="E371" s="4" t="s">
        <v>9</v>
      </c>
      <c r="F371" s="7"/>
      <c r="G371" s="6">
        <v>851.26</v>
      </c>
      <c r="H371" s="4" t="s">
        <v>9</v>
      </c>
      <c r="I371" s="4" t="s">
        <v>174</v>
      </c>
      <c r="J371" s="4" t="s">
        <v>9</v>
      </c>
      <c r="K371" s="4" t="s">
        <v>9</v>
      </c>
      <c r="L371" s="4" t="s">
        <v>9</v>
      </c>
      <c r="M371" s="4" t="s">
        <v>9</v>
      </c>
      <c r="N371" s="5"/>
    </row>
    <row r="372" spans="1:14" outlineLevel="2" x14ac:dyDescent="0.25">
      <c r="A372" t="s">
        <v>176</v>
      </c>
      <c r="B372" s="2">
        <v>46203</v>
      </c>
      <c r="C372" t="s">
        <v>176</v>
      </c>
      <c r="D372" t="s">
        <v>99</v>
      </c>
      <c r="E372" t="s">
        <v>9</v>
      </c>
      <c r="F372" s="3">
        <v>230000</v>
      </c>
      <c r="G372" s="3">
        <v>230000</v>
      </c>
      <c r="H372" t="s">
        <v>3</v>
      </c>
      <c r="I372" t="s">
        <v>3</v>
      </c>
      <c r="J372" t="s">
        <v>169</v>
      </c>
      <c r="K372" t="s">
        <v>13</v>
      </c>
      <c r="L372" t="s">
        <v>19</v>
      </c>
      <c r="M372" t="s">
        <v>102</v>
      </c>
      <c r="N372" s="2">
        <v>46203</v>
      </c>
    </row>
    <row r="373" spans="1:14" outlineLevel="2" x14ac:dyDescent="0.25">
      <c r="A373" t="s">
        <v>176</v>
      </c>
      <c r="B373" s="2">
        <v>46203</v>
      </c>
      <c r="C373" t="s">
        <v>176</v>
      </c>
      <c r="D373" t="s">
        <v>99</v>
      </c>
      <c r="E373" t="s">
        <v>9</v>
      </c>
      <c r="F373" s="3">
        <v>130000</v>
      </c>
      <c r="G373" s="3">
        <v>130000</v>
      </c>
      <c r="H373" t="s">
        <v>3</v>
      </c>
      <c r="I373" t="s">
        <v>3</v>
      </c>
      <c r="J373" t="s">
        <v>169</v>
      </c>
      <c r="K373" t="s">
        <v>13</v>
      </c>
      <c r="L373" t="s">
        <v>19</v>
      </c>
      <c r="M373" t="s">
        <v>102</v>
      </c>
      <c r="N373" s="2">
        <v>46203</v>
      </c>
    </row>
    <row r="374" spans="1:14" outlineLevel="1" x14ac:dyDescent="0.25">
      <c r="A374" s="4" t="s">
        <v>176</v>
      </c>
      <c r="B374" s="5"/>
      <c r="C374" s="4" t="s">
        <v>9</v>
      </c>
      <c r="D374" s="4" t="s">
        <v>9</v>
      </c>
      <c r="E374" s="4" t="s">
        <v>9</v>
      </c>
      <c r="F374" s="6">
        <v>360000</v>
      </c>
      <c r="G374" s="6">
        <v>360000</v>
      </c>
      <c r="H374" s="4" t="s">
        <v>9</v>
      </c>
      <c r="I374" s="4" t="s">
        <v>3</v>
      </c>
      <c r="J374" s="4" t="s">
        <v>9</v>
      </c>
      <c r="K374" s="4" t="s">
        <v>9</v>
      </c>
      <c r="L374" s="4" t="s">
        <v>9</v>
      </c>
      <c r="M374" s="4" t="s">
        <v>9</v>
      </c>
      <c r="N374" s="5"/>
    </row>
    <row r="375" spans="1:14" outlineLevel="2" x14ac:dyDescent="0.25">
      <c r="A375" t="s">
        <v>177</v>
      </c>
      <c r="B375" s="2">
        <v>46203</v>
      </c>
      <c r="C375" t="s">
        <v>177</v>
      </c>
      <c r="D375" t="s">
        <v>99</v>
      </c>
      <c r="E375" t="s">
        <v>9</v>
      </c>
      <c r="F375" s="3">
        <v>25000</v>
      </c>
      <c r="G375" s="3">
        <v>25000</v>
      </c>
      <c r="H375" t="s">
        <v>3</v>
      </c>
      <c r="I375" t="s">
        <v>3</v>
      </c>
      <c r="J375" t="s">
        <v>169</v>
      </c>
      <c r="K375" t="s">
        <v>13</v>
      </c>
      <c r="L375" t="s">
        <v>19</v>
      </c>
      <c r="M375" t="s">
        <v>102</v>
      </c>
      <c r="N375" s="2">
        <v>46203</v>
      </c>
    </row>
    <row r="376" spans="1:14" outlineLevel="2" x14ac:dyDescent="0.25">
      <c r="A376" t="s">
        <v>177</v>
      </c>
      <c r="B376" s="2">
        <v>46203</v>
      </c>
      <c r="C376" t="s">
        <v>177</v>
      </c>
      <c r="D376" t="s">
        <v>99</v>
      </c>
      <c r="E376" t="s">
        <v>9</v>
      </c>
      <c r="F376" s="3">
        <v>67620</v>
      </c>
      <c r="G376" s="3">
        <v>67620</v>
      </c>
      <c r="H376" t="s">
        <v>3</v>
      </c>
      <c r="I376" t="s">
        <v>3</v>
      </c>
      <c r="J376" t="s">
        <v>169</v>
      </c>
      <c r="K376" t="s">
        <v>13</v>
      </c>
      <c r="L376" t="s">
        <v>19</v>
      </c>
      <c r="M376" t="s">
        <v>102</v>
      </c>
      <c r="N376" s="2">
        <v>46203</v>
      </c>
    </row>
    <row r="377" spans="1:14" outlineLevel="2" x14ac:dyDescent="0.25">
      <c r="A377" t="s">
        <v>177</v>
      </c>
      <c r="B377" s="2">
        <v>46234</v>
      </c>
      <c r="C377" t="s">
        <v>177</v>
      </c>
      <c r="D377" t="s">
        <v>99</v>
      </c>
      <c r="E377" t="s">
        <v>9</v>
      </c>
      <c r="F377" s="3">
        <v>5037</v>
      </c>
      <c r="G377" s="3">
        <v>5037</v>
      </c>
      <c r="H377" t="s">
        <v>3</v>
      </c>
      <c r="I377" t="s">
        <v>3</v>
      </c>
      <c r="J377" t="s">
        <v>178</v>
      </c>
      <c r="K377" t="s">
        <v>13</v>
      </c>
      <c r="L377" t="s">
        <v>21</v>
      </c>
      <c r="M377" t="s">
        <v>102</v>
      </c>
      <c r="N377" s="2">
        <v>46234</v>
      </c>
    </row>
    <row r="378" spans="1:14" outlineLevel="2" x14ac:dyDescent="0.25">
      <c r="A378" t="s">
        <v>177</v>
      </c>
      <c r="B378" s="2">
        <v>46265</v>
      </c>
      <c r="C378" t="s">
        <v>177</v>
      </c>
      <c r="D378" t="s">
        <v>99</v>
      </c>
      <c r="E378" t="s">
        <v>9</v>
      </c>
      <c r="F378" s="3">
        <v>17486</v>
      </c>
      <c r="G378" s="3">
        <v>17486</v>
      </c>
      <c r="H378" t="s">
        <v>3</v>
      </c>
      <c r="I378" t="s">
        <v>3</v>
      </c>
      <c r="J378" t="s">
        <v>171</v>
      </c>
      <c r="K378" t="s">
        <v>13</v>
      </c>
      <c r="L378" t="s">
        <v>22</v>
      </c>
      <c r="M378" t="s">
        <v>102</v>
      </c>
      <c r="N378" s="2">
        <v>46265</v>
      </c>
    </row>
    <row r="379" spans="1:14" outlineLevel="1" x14ac:dyDescent="0.25">
      <c r="A379" s="4" t="s">
        <v>177</v>
      </c>
      <c r="B379" s="5"/>
      <c r="C379" s="4" t="s">
        <v>9</v>
      </c>
      <c r="D379" s="4" t="s">
        <v>9</v>
      </c>
      <c r="E379" s="4" t="s">
        <v>9</v>
      </c>
      <c r="F379" s="6">
        <v>115143</v>
      </c>
      <c r="G379" s="6">
        <v>115143</v>
      </c>
      <c r="H379" s="4" t="s">
        <v>9</v>
      </c>
      <c r="I379" s="4" t="s">
        <v>3</v>
      </c>
      <c r="J379" s="4" t="s">
        <v>9</v>
      </c>
      <c r="K379" s="4" t="s">
        <v>9</v>
      </c>
      <c r="L379" s="4" t="s">
        <v>9</v>
      </c>
      <c r="M379" s="4" t="s">
        <v>9</v>
      </c>
      <c r="N379" s="5"/>
    </row>
    <row r="380" spans="1:14" outlineLevel="2" x14ac:dyDescent="0.25">
      <c r="A380" t="s">
        <v>179</v>
      </c>
      <c r="B380" s="2">
        <v>46203</v>
      </c>
      <c r="C380" t="s">
        <v>179</v>
      </c>
      <c r="D380" t="s">
        <v>1</v>
      </c>
      <c r="E380" t="s">
        <v>9</v>
      </c>
      <c r="F380" s="3">
        <v>100000</v>
      </c>
      <c r="G380" s="3">
        <v>100000</v>
      </c>
      <c r="H380" t="s">
        <v>3</v>
      </c>
      <c r="I380" t="s">
        <v>3</v>
      </c>
      <c r="J380" t="s">
        <v>10</v>
      </c>
      <c r="K380" t="s">
        <v>13</v>
      </c>
      <c r="L380" t="s">
        <v>19</v>
      </c>
      <c r="M380" t="s">
        <v>7</v>
      </c>
      <c r="N380" s="2">
        <v>46203</v>
      </c>
    </row>
    <row r="381" spans="1:14" outlineLevel="1" x14ac:dyDescent="0.25">
      <c r="A381" s="4" t="s">
        <v>179</v>
      </c>
      <c r="B381" s="5"/>
      <c r="C381" s="4" t="s">
        <v>9</v>
      </c>
      <c r="D381" s="4" t="s">
        <v>9</v>
      </c>
      <c r="E381" s="4" t="s">
        <v>9</v>
      </c>
      <c r="F381" s="6">
        <v>100000</v>
      </c>
      <c r="G381" s="6">
        <v>100000</v>
      </c>
      <c r="H381" s="4" t="s">
        <v>9</v>
      </c>
      <c r="I381" s="4" t="s">
        <v>3</v>
      </c>
      <c r="J381" s="4" t="s">
        <v>9</v>
      </c>
      <c r="K381" s="4" t="s">
        <v>9</v>
      </c>
      <c r="L381" s="4" t="s">
        <v>9</v>
      </c>
      <c r="M381" s="4" t="s">
        <v>9</v>
      </c>
      <c r="N381" s="5"/>
    </row>
    <row r="382" spans="1:14" outlineLevel="2" x14ac:dyDescent="0.25">
      <c r="A382" t="s">
        <v>180</v>
      </c>
      <c r="B382" s="2">
        <v>46203</v>
      </c>
      <c r="C382" t="s">
        <v>180</v>
      </c>
      <c r="D382" t="s">
        <v>1</v>
      </c>
      <c r="E382" t="s">
        <v>9</v>
      </c>
      <c r="F382" s="3">
        <v>5775.28</v>
      </c>
      <c r="G382" s="3">
        <v>5775.28</v>
      </c>
      <c r="H382" t="s">
        <v>3</v>
      </c>
      <c r="I382" t="s">
        <v>3</v>
      </c>
      <c r="J382" t="s">
        <v>10</v>
      </c>
      <c r="K382" t="s">
        <v>13</v>
      </c>
      <c r="L382" t="s">
        <v>19</v>
      </c>
      <c r="M382" t="s">
        <v>7</v>
      </c>
      <c r="N382" s="2">
        <v>46203</v>
      </c>
    </row>
    <row r="383" spans="1:14" outlineLevel="2" x14ac:dyDescent="0.25">
      <c r="A383" t="s">
        <v>180</v>
      </c>
      <c r="B383" s="2">
        <v>46234</v>
      </c>
      <c r="C383" t="s">
        <v>180</v>
      </c>
      <c r="D383" t="s">
        <v>1</v>
      </c>
      <c r="E383" t="s">
        <v>9</v>
      </c>
      <c r="F383" s="3">
        <v>5324.72</v>
      </c>
      <c r="G383" s="3">
        <v>5324.72</v>
      </c>
      <c r="H383" t="s">
        <v>3</v>
      </c>
      <c r="I383" t="s">
        <v>3</v>
      </c>
      <c r="J383" t="s">
        <v>10</v>
      </c>
      <c r="K383" t="s">
        <v>13</v>
      </c>
      <c r="L383" t="s">
        <v>21</v>
      </c>
      <c r="M383" t="s">
        <v>7</v>
      </c>
      <c r="N383" s="2">
        <v>46234</v>
      </c>
    </row>
    <row r="384" spans="1:14" outlineLevel="2" x14ac:dyDescent="0.25">
      <c r="A384" t="s">
        <v>180</v>
      </c>
      <c r="B384" s="2">
        <v>46248</v>
      </c>
      <c r="C384" t="s">
        <v>180</v>
      </c>
      <c r="D384" t="s">
        <v>1</v>
      </c>
      <c r="E384" t="s">
        <v>181</v>
      </c>
      <c r="F384" s="3">
        <v>84000</v>
      </c>
      <c r="G384" s="3">
        <v>84000</v>
      </c>
      <c r="H384" t="s">
        <v>3</v>
      </c>
      <c r="I384" t="s">
        <v>3</v>
      </c>
      <c r="J384" t="s">
        <v>182</v>
      </c>
      <c r="K384" t="s">
        <v>13</v>
      </c>
      <c r="L384" t="s">
        <v>22</v>
      </c>
      <c r="M384" t="s">
        <v>7</v>
      </c>
      <c r="N384" s="2">
        <v>46248</v>
      </c>
    </row>
    <row r="385" spans="1:14" outlineLevel="2" x14ac:dyDescent="0.25">
      <c r="A385" t="s">
        <v>180</v>
      </c>
      <c r="B385" s="2">
        <v>46265</v>
      </c>
      <c r="C385" t="s">
        <v>180</v>
      </c>
      <c r="D385" t="s">
        <v>1</v>
      </c>
      <c r="E385" t="s">
        <v>9</v>
      </c>
      <c r="F385" s="3">
        <v>1400</v>
      </c>
      <c r="G385" s="3">
        <v>1400</v>
      </c>
      <c r="H385" t="s">
        <v>3</v>
      </c>
      <c r="I385" t="s">
        <v>3</v>
      </c>
      <c r="J385" t="s">
        <v>10</v>
      </c>
      <c r="K385" t="s">
        <v>13</v>
      </c>
      <c r="L385" t="s">
        <v>22</v>
      </c>
      <c r="M385" t="s">
        <v>7</v>
      </c>
      <c r="N385" s="2">
        <v>46265</v>
      </c>
    </row>
    <row r="386" spans="1:14" outlineLevel="1" x14ac:dyDescent="0.25">
      <c r="A386" s="4" t="s">
        <v>180</v>
      </c>
      <c r="B386" s="5"/>
      <c r="C386" s="4" t="s">
        <v>9</v>
      </c>
      <c r="D386" s="4" t="s">
        <v>9</v>
      </c>
      <c r="E386" s="4" t="s">
        <v>9</v>
      </c>
      <c r="F386" s="6">
        <v>96500</v>
      </c>
      <c r="G386" s="6">
        <v>96500</v>
      </c>
      <c r="H386" s="4" t="s">
        <v>9</v>
      </c>
      <c r="I386" s="4" t="s">
        <v>3</v>
      </c>
      <c r="J386" s="4" t="s">
        <v>9</v>
      </c>
      <c r="K386" s="4" t="s">
        <v>9</v>
      </c>
      <c r="L386" s="4" t="s">
        <v>9</v>
      </c>
      <c r="M386" s="4" t="s">
        <v>9</v>
      </c>
      <c r="N386" s="5"/>
    </row>
    <row r="387" spans="1:14" outlineLevel="2" x14ac:dyDescent="0.25">
      <c r="A387" t="s">
        <v>183</v>
      </c>
      <c r="B387" s="2">
        <v>46203</v>
      </c>
      <c r="C387" t="s">
        <v>183</v>
      </c>
      <c r="D387" t="s">
        <v>1</v>
      </c>
      <c r="E387" t="s">
        <v>9</v>
      </c>
      <c r="F387" s="3">
        <v>187.64</v>
      </c>
      <c r="G387" s="3">
        <v>187.64</v>
      </c>
      <c r="H387" t="s">
        <v>3</v>
      </c>
      <c r="I387" t="s">
        <v>3</v>
      </c>
      <c r="J387" t="s">
        <v>10</v>
      </c>
      <c r="K387" t="s">
        <v>13</v>
      </c>
      <c r="L387" t="s">
        <v>19</v>
      </c>
      <c r="M387" t="s">
        <v>7</v>
      </c>
      <c r="N387" s="2">
        <v>46203</v>
      </c>
    </row>
    <row r="388" spans="1:14" outlineLevel="2" x14ac:dyDescent="0.25">
      <c r="A388" t="s">
        <v>183</v>
      </c>
      <c r="B388" s="2">
        <v>46203</v>
      </c>
      <c r="C388" t="s">
        <v>183</v>
      </c>
      <c r="D388" t="s">
        <v>99</v>
      </c>
      <c r="E388" t="s">
        <v>9</v>
      </c>
      <c r="F388" s="3">
        <v>63000</v>
      </c>
      <c r="G388" s="3">
        <v>63000</v>
      </c>
      <c r="H388" t="s">
        <v>3</v>
      </c>
      <c r="I388" t="s">
        <v>3</v>
      </c>
      <c r="J388" t="s">
        <v>184</v>
      </c>
      <c r="K388" t="s">
        <v>13</v>
      </c>
      <c r="L388" t="s">
        <v>19</v>
      </c>
      <c r="M388" t="s">
        <v>102</v>
      </c>
      <c r="N388" s="2">
        <v>46203</v>
      </c>
    </row>
    <row r="389" spans="1:14" outlineLevel="2" x14ac:dyDescent="0.25">
      <c r="A389" t="s">
        <v>183</v>
      </c>
      <c r="B389" s="2">
        <v>46203</v>
      </c>
      <c r="C389" t="s">
        <v>183</v>
      </c>
      <c r="D389" t="s">
        <v>99</v>
      </c>
      <c r="E389" t="s">
        <v>9</v>
      </c>
      <c r="F389" s="3">
        <v>28000</v>
      </c>
      <c r="G389" s="3">
        <v>28000</v>
      </c>
      <c r="H389" t="s">
        <v>3</v>
      </c>
      <c r="I389" t="s">
        <v>3</v>
      </c>
      <c r="J389" t="s">
        <v>185</v>
      </c>
      <c r="K389" t="s">
        <v>13</v>
      </c>
      <c r="L389" t="s">
        <v>19</v>
      </c>
      <c r="M389" t="s">
        <v>102</v>
      </c>
      <c r="N389" s="2">
        <v>46203</v>
      </c>
    </row>
    <row r="390" spans="1:14" outlineLevel="2" x14ac:dyDescent="0.25">
      <c r="A390" t="s">
        <v>183</v>
      </c>
      <c r="B390" s="2">
        <v>46203</v>
      </c>
      <c r="C390" t="s">
        <v>183</v>
      </c>
      <c r="D390" t="s">
        <v>99</v>
      </c>
      <c r="E390" t="s">
        <v>9</v>
      </c>
      <c r="F390" s="3">
        <v>10000</v>
      </c>
      <c r="G390" s="3">
        <v>10000</v>
      </c>
      <c r="H390" t="s">
        <v>3</v>
      </c>
      <c r="I390" t="s">
        <v>3</v>
      </c>
      <c r="J390" t="s">
        <v>185</v>
      </c>
      <c r="K390" t="s">
        <v>13</v>
      </c>
      <c r="L390" t="s">
        <v>19</v>
      </c>
      <c r="M390" t="s">
        <v>102</v>
      </c>
      <c r="N390" s="2">
        <v>46203</v>
      </c>
    </row>
    <row r="391" spans="1:14" outlineLevel="2" x14ac:dyDescent="0.25">
      <c r="A391" t="s">
        <v>183</v>
      </c>
      <c r="B391" s="2">
        <v>46203</v>
      </c>
      <c r="C391" t="s">
        <v>183</v>
      </c>
      <c r="D391" t="s">
        <v>99</v>
      </c>
      <c r="E391" t="s">
        <v>9</v>
      </c>
      <c r="F391" s="3">
        <v>10000</v>
      </c>
      <c r="G391" s="3">
        <v>10000</v>
      </c>
      <c r="H391" t="s">
        <v>3</v>
      </c>
      <c r="I391" t="s">
        <v>3</v>
      </c>
      <c r="J391" t="s">
        <v>185</v>
      </c>
      <c r="K391" t="s">
        <v>13</v>
      </c>
      <c r="L391" t="s">
        <v>19</v>
      </c>
      <c r="M391" t="s">
        <v>102</v>
      </c>
      <c r="N391" s="2">
        <v>46203</v>
      </c>
    </row>
    <row r="392" spans="1:14" outlineLevel="2" x14ac:dyDescent="0.25">
      <c r="A392" t="s">
        <v>183</v>
      </c>
      <c r="B392" s="2">
        <v>46203</v>
      </c>
      <c r="C392" t="s">
        <v>183</v>
      </c>
      <c r="D392" t="s">
        <v>99</v>
      </c>
      <c r="E392" t="s">
        <v>9</v>
      </c>
      <c r="F392" s="3">
        <v>10000</v>
      </c>
      <c r="G392" s="3">
        <v>10000</v>
      </c>
      <c r="H392" t="s">
        <v>3</v>
      </c>
      <c r="I392" t="s">
        <v>3</v>
      </c>
      <c r="J392" t="s">
        <v>184</v>
      </c>
      <c r="K392" t="s">
        <v>13</v>
      </c>
      <c r="L392" t="s">
        <v>19</v>
      </c>
      <c r="M392" t="s">
        <v>102</v>
      </c>
      <c r="N392" s="2">
        <v>46203</v>
      </c>
    </row>
    <row r="393" spans="1:14" outlineLevel="2" x14ac:dyDescent="0.25">
      <c r="A393" t="s">
        <v>183</v>
      </c>
      <c r="B393" s="2">
        <v>46203</v>
      </c>
      <c r="C393" t="s">
        <v>183</v>
      </c>
      <c r="D393" t="s">
        <v>99</v>
      </c>
      <c r="E393" t="s">
        <v>9</v>
      </c>
      <c r="F393" s="3">
        <v>412274</v>
      </c>
      <c r="G393" s="3">
        <v>412274</v>
      </c>
      <c r="H393" t="s">
        <v>3</v>
      </c>
      <c r="I393" t="s">
        <v>3</v>
      </c>
      <c r="J393" t="s">
        <v>184</v>
      </c>
      <c r="K393" t="s">
        <v>13</v>
      </c>
      <c r="L393" t="s">
        <v>19</v>
      </c>
      <c r="M393" t="s">
        <v>102</v>
      </c>
      <c r="N393" s="2">
        <v>46203</v>
      </c>
    </row>
    <row r="394" spans="1:14" outlineLevel="2" x14ac:dyDescent="0.25">
      <c r="A394" t="s">
        <v>183</v>
      </c>
      <c r="B394" s="2">
        <v>46203</v>
      </c>
      <c r="C394" t="s">
        <v>183</v>
      </c>
      <c r="D394" t="s">
        <v>99</v>
      </c>
      <c r="E394" t="s">
        <v>9</v>
      </c>
      <c r="F394" s="3">
        <v>72790</v>
      </c>
      <c r="G394" s="3">
        <v>72790</v>
      </c>
      <c r="H394" t="s">
        <v>3</v>
      </c>
      <c r="I394" t="s">
        <v>3</v>
      </c>
      <c r="J394" t="s">
        <v>185</v>
      </c>
      <c r="K394" t="s">
        <v>13</v>
      </c>
      <c r="L394" t="s">
        <v>19</v>
      </c>
      <c r="M394" t="s">
        <v>102</v>
      </c>
      <c r="N394" s="2">
        <v>46203</v>
      </c>
    </row>
    <row r="395" spans="1:14" outlineLevel="2" x14ac:dyDescent="0.25">
      <c r="A395" t="s">
        <v>183</v>
      </c>
      <c r="B395" s="2">
        <v>46234</v>
      </c>
      <c r="C395" t="s">
        <v>183</v>
      </c>
      <c r="D395" t="s">
        <v>1</v>
      </c>
      <c r="E395" t="s">
        <v>9</v>
      </c>
      <c r="F395" s="3">
        <v>1513</v>
      </c>
      <c r="G395" s="3">
        <v>1513</v>
      </c>
      <c r="H395" t="s">
        <v>3</v>
      </c>
      <c r="I395" t="s">
        <v>3</v>
      </c>
      <c r="J395" t="s">
        <v>10</v>
      </c>
      <c r="K395" t="s">
        <v>13</v>
      </c>
      <c r="L395" t="s">
        <v>21</v>
      </c>
      <c r="M395" t="s">
        <v>7</v>
      </c>
      <c r="N395" s="2">
        <v>46234</v>
      </c>
    </row>
    <row r="396" spans="1:14" outlineLevel="2" x14ac:dyDescent="0.25">
      <c r="A396" t="s">
        <v>183</v>
      </c>
      <c r="B396" s="2">
        <v>46267</v>
      </c>
      <c r="C396" t="s">
        <v>183</v>
      </c>
      <c r="D396" t="s">
        <v>112</v>
      </c>
      <c r="E396" t="s">
        <v>9</v>
      </c>
      <c r="F396" s="3">
        <v>1700</v>
      </c>
      <c r="G396" s="3">
        <v>1700</v>
      </c>
      <c r="H396" t="s">
        <v>3</v>
      </c>
      <c r="I396" t="s">
        <v>3</v>
      </c>
      <c r="J396" t="s">
        <v>186</v>
      </c>
      <c r="K396" t="s">
        <v>13</v>
      </c>
      <c r="L396" t="s">
        <v>22</v>
      </c>
      <c r="M396" t="s">
        <v>114</v>
      </c>
      <c r="N396" s="2">
        <v>46265</v>
      </c>
    </row>
    <row r="397" spans="1:14" outlineLevel="1" x14ac:dyDescent="0.25">
      <c r="A397" s="4" t="s">
        <v>183</v>
      </c>
      <c r="B397" s="5"/>
      <c r="C397" s="4" t="s">
        <v>9</v>
      </c>
      <c r="D397" s="4" t="s">
        <v>9</v>
      </c>
      <c r="E397" s="4" t="s">
        <v>9</v>
      </c>
      <c r="F397" s="6">
        <v>609464.64</v>
      </c>
      <c r="G397" s="6">
        <v>609464.64</v>
      </c>
      <c r="H397" s="4" t="s">
        <v>9</v>
      </c>
      <c r="I397" s="4" t="s">
        <v>3</v>
      </c>
      <c r="J397" s="4" t="s">
        <v>9</v>
      </c>
      <c r="K397" s="4" t="s">
        <v>9</v>
      </c>
      <c r="L397" s="4" t="s">
        <v>9</v>
      </c>
      <c r="M397" s="4" t="s">
        <v>9</v>
      </c>
      <c r="N397" s="5"/>
    </row>
    <row r="398" spans="1:14" outlineLevel="2" x14ac:dyDescent="0.25">
      <c r="A398" t="s">
        <v>187</v>
      </c>
      <c r="B398" s="2">
        <v>46234</v>
      </c>
      <c r="C398" t="s">
        <v>187</v>
      </c>
      <c r="D398" t="s">
        <v>1</v>
      </c>
      <c r="E398" t="s">
        <v>9</v>
      </c>
      <c r="F398" s="3">
        <v>14805</v>
      </c>
      <c r="G398" s="3">
        <v>14805</v>
      </c>
      <c r="H398" t="s">
        <v>3</v>
      </c>
      <c r="I398" t="s">
        <v>3</v>
      </c>
      <c r="J398" t="s">
        <v>10</v>
      </c>
      <c r="K398" t="s">
        <v>13</v>
      </c>
      <c r="L398" t="s">
        <v>21</v>
      </c>
      <c r="M398" t="s">
        <v>7</v>
      </c>
      <c r="N398" s="2">
        <v>46234</v>
      </c>
    </row>
    <row r="399" spans="1:14" outlineLevel="2" x14ac:dyDescent="0.25">
      <c r="A399" t="s">
        <v>187</v>
      </c>
      <c r="B399" s="2">
        <v>46265</v>
      </c>
      <c r="C399" t="s">
        <v>187</v>
      </c>
      <c r="D399" t="s">
        <v>1</v>
      </c>
      <c r="E399" t="s">
        <v>9</v>
      </c>
      <c r="F399" s="3">
        <v>3360</v>
      </c>
      <c r="G399" s="3">
        <v>3360</v>
      </c>
      <c r="H399" t="s">
        <v>3</v>
      </c>
      <c r="I399" t="s">
        <v>3</v>
      </c>
      <c r="J399" t="s">
        <v>10</v>
      </c>
      <c r="K399" t="s">
        <v>13</v>
      </c>
      <c r="L399" t="s">
        <v>22</v>
      </c>
      <c r="M399" t="s">
        <v>7</v>
      </c>
      <c r="N399" s="2">
        <v>46265</v>
      </c>
    </row>
    <row r="400" spans="1:14" outlineLevel="1" x14ac:dyDescent="0.25">
      <c r="A400" s="4" t="s">
        <v>187</v>
      </c>
      <c r="B400" s="5"/>
      <c r="C400" s="4" t="s">
        <v>9</v>
      </c>
      <c r="D400" s="4" t="s">
        <v>9</v>
      </c>
      <c r="E400" s="4" t="s">
        <v>9</v>
      </c>
      <c r="F400" s="6">
        <v>18165</v>
      </c>
      <c r="G400" s="6">
        <v>18165</v>
      </c>
      <c r="H400" s="4" t="s">
        <v>9</v>
      </c>
      <c r="I400" s="4" t="s">
        <v>3</v>
      </c>
      <c r="J400" s="4" t="s">
        <v>9</v>
      </c>
      <c r="K400" s="4" t="s">
        <v>9</v>
      </c>
      <c r="L400" s="4" t="s">
        <v>9</v>
      </c>
      <c r="M400" s="4" t="s">
        <v>9</v>
      </c>
      <c r="N400" s="5"/>
    </row>
    <row r="401" spans="1:14" outlineLevel="2" x14ac:dyDescent="0.25">
      <c r="A401" t="s">
        <v>188</v>
      </c>
      <c r="B401" s="2">
        <v>46203</v>
      </c>
      <c r="C401" t="s">
        <v>188</v>
      </c>
      <c r="D401" t="s">
        <v>1</v>
      </c>
      <c r="E401" t="s">
        <v>9</v>
      </c>
      <c r="F401" s="3">
        <v>17331</v>
      </c>
      <c r="G401" s="3">
        <v>17331</v>
      </c>
      <c r="H401" t="s">
        <v>3</v>
      </c>
      <c r="I401" t="s">
        <v>3</v>
      </c>
      <c r="J401" t="s">
        <v>10</v>
      </c>
      <c r="K401" t="s">
        <v>13</v>
      </c>
      <c r="L401" t="s">
        <v>19</v>
      </c>
      <c r="M401" t="s">
        <v>7</v>
      </c>
      <c r="N401" s="2">
        <v>46203</v>
      </c>
    </row>
    <row r="402" spans="1:14" outlineLevel="2" x14ac:dyDescent="0.25">
      <c r="A402" t="s">
        <v>188</v>
      </c>
      <c r="B402" s="2">
        <v>46234</v>
      </c>
      <c r="C402" t="s">
        <v>188</v>
      </c>
      <c r="D402" t="s">
        <v>1</v>
      </c>
      <c r="E402" t="s">
        <v>9</v>
      </c>
      <c r="F402" s="3">
        <v>13219</v>
      </c>
      <c r="G402" s="3">
        <v>13219</v>
      </c>
      <c r="H402" t="s">
        <v>3</v>
      </c>
      <c r="I402" t="s">
        <v>3</v>
      </c>
      <c r="J402" t="s">
        <v>10</v>
      </c>
      <c r="K402" t="s">
        <v>13</v>
      </c>
      <c r="L402" t="s">
        <v>21</v>
      </c>
      <c r="M402" t="s">
        <v>7</v>
      </c>
      <c r="N402" s="2">
        <v>46234</v>
      </c>
    </row>
    <row r="403" spans="1:14" outlineLevel="2" x14ac:dyDescent="0.25">
      <c r="A403" t="s">
        <v>188</v>
      </c>
      <c r="B403" s="2">
        <v>46265</v>
      </c>
      <c r="C403" t="s">
        <v>188</v>
      </c>
      <c r="D403" t="s">
        <v>1</v>
      </c>
      <c r="E403" t="s">
        <v>9</v>
      </c>
      <c r="F403" s="3">
        <v>5850</v>
      </c>
      <c r="G403" s="3">
        <v>5850</v>
      </c>
      <c r="H403" t="s">
        <v>3</v>
      </c>
      <c r="I403" t="s">
        <v>3</v>
      </c>
      <c r="J403" t="s">
        <v>10</v>
      </c>
      <c r="K403" t="s">
        <v>13</v>
      </c>
      <c r="L403" t="s">
        <v>22</v>
      </c>
      <c r="M403" t="s">
        <v>7</v>
      </c>
      <c r="N403" s="2">
        <v>46265</v>
      </c>
    </row>
    <row r="404" spans="1:14" outlineLevel="1" x14ac:dyDescent="0.25">
      <c r="A404" s="4" t="s">
        <v>188</v>
      </c>
      <c r="B404" s="5"/>
      <c r="C404" s="4" t="s">
        <v>9</v>
      </c>
      <c r="D404" s="4" t="s">
        <v>9</v>
      </c>
      <c r="E404" s="4" t="s">
        <v>9</v>
      </c>
      <c r="F404" s="6">
        <v>36400</v>
      </c>
      <c r="G404" s="6">
        <v>36400</v>
      </c>
      <c r="H404" s="4" t="s">
        <v>9</v>
      </c>
      <c r="I404" s="4" t="s">
        <v>3</v>
      </c>
      <c r="J404" s="4" t="s">
        <v>9</v>
      </c>
      <c r="K404" s="4" t="s">
        <v>9</v>
      </c>
      <c r="L404" s="4" t="s">
        <v>9</v>
      </c>
      <c r="M404" s="4" t="s">
        <v>9</v>
      </c>
      <c r="N404" s="5"/>
    </row>
    <row r="405" spans="1:14" outlineLevel="2" x14ac:dyDescent="0.25">
      <c r="A405" t="s">
        <v>189</v>
      </c>
      <c r="B405" s="2">
        <v>46234</v>
      </c>
      <c r="C405" t="s">
        <v>189</v>
      </c>
      <c r="D405" t="s">
        <v>1</v>
      </c>
      <c r="E405" t="s">
        <v>9</v>
      </c>
      <c r="F405" s="3">
        <v>2300</v>
      </c>
      <c r="G405" s="3">
        <v>2300</v>
      </c>
      <c r="H405" t="s">
        <v>3</v>
      </c>
      <c r="I405" t="s">
        <v>3</v>
      </c>
      <c r="J405" t="s">
        <v>10</v>
      </c>
      <c r="K405" t="s">
        <v>13</v>
      </c>
      <c r="L405" t="s">
        <v>21</v>
      </c>
      <c r="M405" t="s">
        <v>7</v>
      </c>
      <c r="N405" s="2">
        <v>46234</v>
      </c>
    </row>
    <row r="406" spans="1:14" outlineLevel="1" x14ac:dyDescent="0.25">
      <c r="A406" s="4" t="s">
        <v>189</v>
      </c>
      <c r="B406" s="5"/>
      <c r="C406" s="4" t="s">
        <v>9</v>
      </c>
      <c r="D406" s="4" t="s">
        <v>9</v>
      </c>
      <c r="E406" s="4" t="s">
        <v>9</v>
      </c>
      <c r="F406" s="6">
        <v>2300</v>
      </c>
      <c r="G406" s="6">
        <v>2300</v>
      </c>
      <c r="H406" s="4" t="s">
        <v>9</v>
      </c>
      <c r="I406" s="4" t="s">
        <v>3</v>
      </c>
      <c r="J406" s="4" t="s">
        <v>9</v>
      </c>
      <c r="K406" s="4" t="s">
        <v>9</v>
      </c>
      <c r="L406" s="4" t="s">
        <v>9</v>
      </c>
      <c r="M406" s="4" t="s">
        <v>9</v>
      </c>
      <c r="N406" s="5"/>
    </row>
    <row r="407" spans="1:14" outlineLevel="2" x14ac:dyDescent="0.25">
      <c r="A407" t="s">
        <v>190</v>
      </c>
      <c r="B407" s="2">
        <v>46260</v>
      </c>
      <c r="C407" t="s">
        <v>190</v>
      </c>
      <c r="D407" t="s">
        <v>1</v>
      </c>
      <c r="E407" t="s">
        <v>191</v>
      </c>
      <c r="F407" s="3">
        <v>4950</v>
      </c>
      <c r="G407" s="3">
        <v>4950</v>
      </c>
      <c r="H407" t="s">
        <v>3</v>
      </c>
      <c r="I407" t="s">
        <v>3</v>
      </c>
      <c r="J407" t="s">
        <v>192</v>
      </c>
      <c r="K407" t="s">
        <v>13</v>
      </c>
      <c r="L407" t="s">
        <v>22</v>
      </c>
      <c r="M407" t="s">
        <v>7</v>
      </c>
      <c r="N407" s="2">
        <v>46260</v>
      </c>
    </row>
    <row r="408" spans="1:14" outlineLevel="2" x14ac:dyDescent="0.25">
      <c r="A408" t="s">
        <v>190</v>
      </c>
      <c r="B408" s="2">
        <v>46260</v>
      </c>
      <c r="C408" t="s">
        <v>190</v>
      </c>
      <c r="D408" t="s">
        <v>1</v>
      </c>
      <c r="E408" t="s">
        <v>191</v>
      </c>
      <c r="F408" s="3">
        <v>644</v>
      </c>
      <c r="G408" s="3">
        <v>644</v>
      </c>
      <c r="H408" t="s">
        <v>3</v>
      </c>
      <c r="I408" t="s">
        <v>3</v>
      </c>
      <c r="J408" t="s">
        <v>193</v>
      </c>
      <c r="K408" t="s">
        <v>13</v>
      </c>
      <c r="L408" t="s">
        <v>22</v>
      </c>
      <c r="M408" t="s">
        <v>7</v>
      </c>
      <c r="N408" s="2">
        <v>46260</v>
      </c>
    </row>
    <row r="409" spans="1:14" outlineLevel="2" x14ac:dyDescent="0.25">
      <c r="A409" t="s">
        <v>190</v>
      </c>
      <c r="B409" s="2">
        <v>46267</v>
      </c>
      <c r="C409" t="s">
        <v>190</v>
      </c>
      <c r="D409" t="s">
        <v>1</v>
      </c>
      <c r="E409" t="s">
        <v>191</v>
      </c>
      <c r="F409" s="3">
        <v>862.5</v>
      </c>
      <c r="G409" s="3">
        <v>862.5</v>
      </c>
      <c r="H409" t="s">
        <v>3</v>
      </c>
      <c r="I409" t="s">
        <v>3</v>
      </c>
      <c r="J409" t="s">
        <v>193</v>
      </c>
      <c r="K409" t="s">
        <v>13</v>
      </c>
      <c r="L409" t="s">
        <v>6</v>
      </c>
      <c r="M409" t="s">
        <v>7</v>
      </c>
      <c r="N409" s="2">
        <v>46267</v>
      </c>
    </row>
    <row r="410" spans="1:14" outlineLevel="2" x14ac:dyDescent="0.25">
      <c r="A410" t="s">
        <v>190</v>
      </c>
      <c r="B410" s="2">
        <v>46267</v>
      </c>
      <c r="C410" t="s">
        <v>190</v>
      </c>
      <c r="D410" t="s">
        <v>1</v>
      </c>
      <c r="E410" t="s">
        <v>191</v>
      </c>
      <c r="F410" s="3">
        <v>7012.5</v>
      </c>
      <c r="G410" s="3">
        <v>7012.5</v>
      </c>
      <c r="H410" t="s">
        <v>3</v>
      </c>
      <c r="I410" t="s">
        <v>3</v>
      </c>
      <c r="J410" t="s">
        <v>192</v>
      </c>
      <c r="K410" t="s">
        <v>13</v>
      </c>
      <c r="L410" t="s">
        <v>6</v>
      </c>
      <c r="M410" t="s">
        <v>7</v>
      </c>
      <c r="N410" s="2">
        <v>46267</v>
      </c>
    </row>
    <row r="411" spans="1:14" outlineLevel="1" x14ac:dyDescent="0.25">
      <c r="A411" s="4" t="s">
        <v>190</v>
      </c>
      <c r="B411" s="5"/>
      <c r="C411" s="4" t="s">
        <v>9</v>
      </c>
      <c r="D411" s="4" t="s">
        <v>9</v>
      </c>
      <c r="E411" s="4" t="s">
        <v>9</v>
      </c>
      <c r="F411" s="6">
        <v>13469</v>
      </c>
      <c r="G411" s="6">
        <v>13469</v>
      </c>
      <c r="H411" s="4" t="s">
        <v>9</v>
      </c>
      <c r="I411" s="4" t="s">
        <v>3</v>
      </c>
      <c r="J411" s="4" t="s">
        <v>9</v>
      </c>
      <c r="K411" s="4" t="s">
        <v>9</v>
      </c>
      <c r="L411" s="4" t="s">
        <v>9</v>
      </c>
      <c r="M411" s="4" t="s">
        <v>9</v>
      </c>
      <c r="N411" s="5"/>
    </row>
    <row r="412" spans="1:14" outlineLevel="2" x14ac:dyDescent="0.25">
      <c r="A412" t="s">
        <v>194</v>
      </c>
      <c r="B412" s="2">
        <v>46234</v>
      </c>
      <c r="C412" t="s">
        <v>194</v>
      </c>
      <c r="D412" t="s">
        <v>1</v>
      </c>
      <c r="E412" t="s">
        <v>9</v>
      </c>
      <c r="F412" s="3">
        <v>25250</v>
      </c>
      <c r="G412" s="3">
        <v>25250</v>
      </c>
      <c r="H412" t="s">
        <v>3</v>
      </c>
      <c r="I412" t="s">
        <v>3</v>
      </c>
      <c r="J412" t="s">
        <v>10</v>
      </c>
      <c r="K412" t="s">
        <v>13</v>
      </c>
      <c r="L412" t="s">
        <v>21</v>
      </c>
      <c r="M412" t="s">
        <v>7</v>
      </c>
      <c r="N412" s="2">
        <v>46234</v>
      </c>
    </row>
    <row r="413" spans="1:14" outlineLevel="2" x14ac:dyDescent="0.25">
      <c r="A413" t="s">
        <v>194</v>
      </c>
      <c r="B413" s="2">
        <v>46265</v>
      </c>
      <c r="C413" t="s">
        <v>194</v>
      </c>
      <c r="D413" t="s">
        <v>1</v>
      </c>
      <c r="E413" t="s">
        <v>9</v>
      </c>
      <c r="F413" s="3">
        <v>19700</v>
      </c>
      <c r="G413" s="3">
        <v>19700</v>
      </c>
      <c r="H413" t="s">
        <v>3</v>
      </c>
      <c r="I413" t="s">
        <v>3</v>
      </c>
      <c r="J413" t="s">
        <v>10</v>
      </c>
      <c r="K413" t="s">
        <v>13</v>
      </c>
      <c r="L413" t="s">
        <v>22</v>
      </c>
      <c r="M413" t="s">
        <v>7</v>
      </c>
      <c r="N413" s="2">
        <v>46265</v>
      </c>
    </row>
    <row r="414" spans="1:14" outlineLevel="1" x14ac:dyDescent="0.25">
      <c r="A414" s="4" t="s">
        <v>194</v>
      </c>
      <c r="B414" s="5"/>
      <c r="C414" s="4" t="s">
        <v>9</v>
      </c>
      <c r="D414" s="4" t="s">
        <v>9</v>
      </c>
      <c r="E414" s="4" t="s">
        <v>9</v>
      </c>
      <c r="F414" s="6">
        <v>44950</v>
      </c>
      <c r="G414" s="6">
        <v>44950</v>
      </c>
      <c r="H414" s="4" t="s">
        <v>9</v>
      </c>
      <c r="I414" s="4" t="s">
        <v>3</v>
      </c>
      <c r="J414" s="4" t="s">
        <v>9</v>
      </c>
      <c r="K414" s="4" t="s">
        <v>9</v>
      </c>
      <c r="L414" s="4" t="s">
        <v>9</v>
      </c>
      <c r="M414" s="4" t="s">
        <v>9</v>
      </c>
      <c r="N414" s="5"/>
    </row>
    <row r="415" spans="1:14" outlineLevel="2" x14ac:dyDescent="0.25">
      <c r="A415" t="s">
        <v>195</v>
      </c>
      <c r="B415" s="2">
        <v>46234</v>
      </c>
      <c r="C415" t="s">
        <v>195</v>
      </c>
      <c r="D415" t="s">
        <v>99</v>
      </c>
      <c r="E415" t="s">
        <v>9</v>
      </c>
      <c r="F415" s="3">
        <v>75772</v>
      </c>
      <c r="G415" s="3">
        <v>75772</v>
      </c>
      <c r="H415" t="s">
        <v>3</v>
      </c>
      <c r="I415" t="s">
        <v>3</v>
      </c>
      <c r="J415" t="s">
        <v>196</v>
      </c>
      <c r="K415" t="s">
        <v>13</v>
      </c>
      <c r="L415" t="s">
        <v>21</v>
      </c>
      <c r="M415" t="s">
        <v>102</v>
      </c>
      <c r="N415" s="2">
        <v>46234</v>
      </c>
    </row>
    <row r="416" spans="1:14" outlineLevel="2" x14ac:dyDescent="0.25">
      <c r="A416" t="s">
        <v>195</v>
      </c>
      <c r="B416" s="2">
        <v>46265</v>
      </c>
      <c r="C416" t="s">
        <v>195</v>
      </c>
      <c r="D416" t="s">
        <v>99</v>
      </c>
      <c r="E416" t="s">
        <v>9</v>
      </c>
      <c r="F416" s="3">
        <v>46347</v>
      </c>
      <c r="G416" s="3">
        <v>46347</v>
      </c>
      <c r="H416" t="s">
        <v>3</v>
      </c>
      <c r="I416" t="s">
        <v>3</v>
      </c>
      <c r="J416" t="s">
        <v>171</v>
      </c>
      <c r="K416" t="s">
        <v>13</v>
      </c>
      <c r="L416" t="s">
        <v>22</v>
      </c>
      <c r="M416" t="s">
        <v>102</v>
      </c>
      <c r="N416" s="2">
        <v>46265</v>
      </c>
    </row>
    <row r="417" spans="1:14" outlineLevel="1" x14ac:dyDescent="0.25">
      <c r="A417" s="4" t="s">
        <v>195</v>
      </c>
      <c r="B417" s="5"/>
      <c r="C417" s="4" t="s">
        <v>9</v>
      </c>
      <c r="D417" s="4" t="s">
        <v>9</v>
      </c>
      <c r="E417" s="4" t="s">
        <v>9</v>
      </c>
      <c r="F417" s="6">
        <v>122119</v>
      </c>
      <c r="G417" s="6">
        <v>122119</v>
      </c>
      <c r="H417" s="4" t="s">
        <v>9</v>
      </c>
      <c r="I417" s="4" t="s">
        <v>3</v>
      </c>
      <c r="J417" s="4" t="s">
        <v>9</v>
      </c>
      <c r="K417" s="4" t="s">
        <v>9</v>
      </c>
      <c r="L417" s="4" t="s">
        <v>9</v>
      </c>
      <c r="M417" s="4" t="s">
        <v>9</v>
      </c>
      <c r="N417" s="5"/>
    </row>
    <row r="418" spans="1:14" outlineLevel="2" x14ac:dyDescent="0.25">
      <c r="A418" t="s">
        <v>197</v>
      </c>
      <c r="B418" s="2">
        <v>46234</v>
      </c>
      <c r="C418" t="s">
        <v>197</v>
      </c>
      <c r="D418" t="s">
        <v>99</v>
      </c>
      <c r="E418" t="s">
        <v>9</v>
      </c>
      <c r="F418" s="3">
        <v>47811</v>
      </c>
      <c r="G418" s="3">
        <v>47811</v>
      </c>
      <c r="H418" t="s">
        <v>3</v>
      </c>
      <c r="I418" t="s">
        <v>3</v>
      </c>
      <c r="J418" t="s">
        <v>198</v>
      </c>
      <c r="K418" t="s">
        <v>13</v>
      </c>
      <c r="L418" t="s">
        <v>21</v>
      </c>
      <c r="M418" t="s">
        <v>102</v>
      </c>
      <c r="N418" s="2">
        <v>46234</v>
      </c>
    </row>
    <row r="419" spans="1:14" outlineLevel="2" x14ac:dyDescent="0.25">
      <c r="A419" t="s">
        <v>197</v>
      </c>
      <c r="B419" s="2">
        <v>46265</v>
      </c>
      <c r="C419" t="s">
        <v>197</v>
      </c>
      <c r="D419" t="s">
        <v>99</v>
      </c>
      <c r="E419" t="s">
        <v>9</v>
      </c>
      <c r="F419" s="3">
        <v>11181</v>
      </c>
      <c r="G419" s="3">
        <v>11181</v>
      </c>
      <c r="H419" t="s">
        <v>3</v>
      </c>
      <c r="I419" t="s">
        <v>3</v>
      </c>
      <c r="J419" t="s">
        <v>171</v>
      </c>
      <c r="K419" t="s">
        <v>13</v>
      </c>
      <c r="L419" t="s">
        <v>22</v>
      </c>
      <c r="M419" t="s">
        <v>102</v>
      </c>
      <c r="N419" s="2">
        <v>46265</v>
      </c>
    </row>
    <row r="420" spans="1:14" outlineLevel="1" x14ac:dyDescent="0.25">
      <c r="A420" s="4" t="s">
        <v>197</v>
      </c>
      <c r="B420" s="5"/>
      <c r="C420" s="4" t="s">
        <v>9</v>
      </c>
      <c r="D420" s="4" t="s">
        <v>9</v>
      </c>
      <c r="E420" s="4" t="s">
        <v>9</v>
      </c>
      <c r="F420" s="6">
        <v>58992</v>
      </c>
      <c r="G420" s="6">
        <v>58992</v>
      </c>
      <c r="H420" s="4" t="s">
        <v>9</v>
      </c>
      <c r="I420" s="4" t="s">
        <v>3</v>
      </c>
      <c r="J420" s="4" t="s">
        <v>9</v>
      </c>
      <c r="K420" s="4" t="s">
        <v>9</v>
      </c>
      <c r="L420" s="4" t="s">
        <v>9</v>
      </c>
      <c r="M420" s="4" t="s">
        <v>9</v>
      </c>
      <c r="N420" s="5"/>
    </row>
    <row r="421" spans="1:14" outlineLevel="2" x14ac:dyDescent="0.25">
      <c r="A421" t="s">
        <v>199</v>
      </c>
      <c r="B421" s="2">
        <v>46265</v>
      </c>
      <c r="C421" t="s">
        <v>199</v>
      </c>
      <c r="D421" t="s">
        <v>1</v>
      </c>
      <c r="E421" t="s">
        <v>9</v>
      </c>
      <c r="F421" s="3">
        <v>2700</v>
      </c>
      <c r="G421" s="3">
        <v>2700</v>
      </c>
      <c r="H421" t="s">
        <v>3</v>
      </c>
      <c r="I421" t="s">
        <v>3</v>
      </c>
      <c r="J421" t="s">
        <v>10</v>
      </c>
      <c r="K421" t="s">
        <v>13</v>
      </c>
      <c r="L421" t="s">
        <v>22</v>
      </c>
      <c r="M421" t="s">
        <v>7</v>
      </c>
      <c r="N421" s="2">
        <v>46265</v>
      </c>
    </row>
    <row r="422" spans="1:14" outlineLevel="1" x14ac:dyDescent="0.25">
      <c r="A422" s="4" t="s">
        <v>199</v>
      </c>
      <c r="B422" s="5"/>
      <c r="C422" s="4" t="s">
        <v>9</v>
      </c>
      <c r="D422" s="4" t="s">
        <v>9</v>
      </c>
      <c r="E422" s="4" t="s">
        <v>9</v>
      </c>
      <c r="F422" s="6">
        <v>2700</v>
      </c>
      <c r="G422" s="6">
        <v>2700</v>
      </c>
      <c r="H422" s="4" t="s">
        <v>9</v>
      </c>
      <c r="I422" s="4" t="s">
        <v>3</v>
      </c>
      <c r="J422" s="4" t="s">
        <v>9</v>
      </c>
      <c r="K422" s="4" t="s">
        <v>9</v>
      </c>
      <c r="L422" s="4" t="s">
        <v>9</v>
      </c>
      <c r="M422" s="4" t="s">
        <v>9</v>
      </c>
      <c r="N422" s="5"/>
    </row>
    <row r="423" spans="1:14" outlineLevel="2" x14ac:dyDescent="0.25">
      <c r="A423" t="s">
        <v>200</v>
      </c>
      <c r="B423" s="2">
        <v>46142</v>
      </c>
      <c r="C423" t="s">
        <v>200</v>
      </c>
      <c r="D423" t="s">
        <v>1</v>
      </c>
      <c r="E423" t="s">
        <v>9</v>
      </c>
      <c r="F423" s="3">
        <v>41702.5</v>
      </c>
      <c r="G423" s="3">
        <v>41702.5</v>
      </c>
      <c r="H423" t="s">
        <v>3</v>
      </c>
      <c r="I423" t="s">
        <v>3</v>
      </c>
      <c r="J423" t="s">
        <v>10</v>
      </c>
      <c r="K423" t="s">
        <v>13</v>
      </c>
      <c r="L423" t="s">
        <v>17</v>
      </c>
      <c r="M423" t="s">
        <v>7</v>
      </c>
      <c r="N423" s="2">
        <v>46142</v>
      </c>
    </row>
    <row r="424" spans="1:14" outlineLevel="2" x14ac:dyDescent="0.25">
      <c r="A424" t="s">
        <v>200</v>
      </c>
      <c r="B424" s="2">
        <v>46173</v>
      </c>
      <c r="C424" t="s">
        <v>200</v>
      </c>
      <c r="D424" t="s">
        <v>1</v>
      </c>
      <c r="E424" t="s">
        <v>9</v>
      </c>
      <c r="F424" s="3">
        <v>5287.5</v>
      </c>
      <c r="G424" s="3">
        <v>5287.5</v>
      </c>
      <c r="H424" t="s">
        <v>3</v>
      </c>
      <c r="I424" t="s">
        <v>3</v>
      </c>
      <c r="J424" t="s">
        <v>10</v>
      </c>
      <c r="K424" t="s">
        <v>13</v>
      </c>
      <c r="L424" t="s">
        <v>18</v>
      </c>
      <c r="M424" t="s">
        <v>7</v>
      </c>
      <c r="N424" s="2">
        <v>46173</v>
      </c>
    </row>
    <row r="425" spans="1:14" outlineLevel="2" x14ac:dyDescent="0.25">
      <c r="A425" t="s">
        <v>200</v>
      </c>
      <c r="B425" s="2">
        <v>46203</v>
      </c>
      <c r="C425" t="s">
        <v>200</v>
      </c>
      <c r="D425" t="s">
        <v>1</v>
      </c>
      <c r="E425" t="s">
        <v>9</v>
      </c>
      <c r="F425" s="3">
        <v>2391.06</v>
      </c>
      <c r="G425" s="3">
        <v>2391.06</v>
      </c>
      <c r="H425" t="s">
        <v>3</v>
      </c>
      <c r="I425" t="s">
        <v>3</v>
      </c>
      <c r="J425" t="s">
        <v>10</v>
      </c>
      <c r="K425" t="s">
        <v>13</v>
      </c>
      <c r="L425" t="s">
        <v>19</v>
      </c>
      <c r="M425" t="s">
        <v>7</v>
      </c>
      <c r="N425" s="2">
        <v>46203</v>
      </c>
    </row>
    <row r="426" spans="1:14" outlineLevel="2" x14ac:dyDescent="0.25">
      <c r="A426" t="s">
        <v>200</v>
      </c>
      <c r="B426" s="2">
        <v>46234</v>
      </c>
      <c r="C426" t="s">
        <v>200</v>
      </c>
      <c r="D426" t="s">
        <v>1</v>
      </c>
      <c r="E426" t="s">
        <v>9</v>
      </c>
      <c r="F426" s="3">
        <v>10591.44</v>
      </c>
      <c r="G426" s="3">
        <v>10591.44</v>
      </c>
      <c r="H426" t="s">
        <v>3</v>
      </c>
      <c r="I426" t="s">
        <v>3</v>
      </c>
      <c r="J426" t="s">
        <v>10</v>
      </c>
      <c r="K426" t="s">
        <v>13</v>
      </c>
      <c r="L426" t="s">
        <v>21</v>
      </c>
      <c r="M426" t="s">
        <v>7</v>
      </c>
      <c r="N426" s="2">
        <v>46234</v>
      </c>
    </row>
    <row r="427" spans="1:14" outlineLevel="1" x14ac:dyDescent="0.25">
      <c r="A427" s="4" t="s">
        <v>200</v>
      </c>
      <c r="B427" s="5"/>
      <c r="C427" s="4" t="s">
        <v>9</v>
      </c>
      <c r="D427" s="4" t="s">
        <v>9</v>
      </c>
      <c r="E427" s="4" t="s">
        <v>9</v>
      </c>
      <c r="F427" s="6">
        <v>59972.5</v>
      </c>
      <c r="G427" s="6">
        <v>59972.5</v>
      </c>
      <c r="H427" s="4" t="s">
        <v>9</v>
      </c>
      <c r="I427" s="4" t="s">
        <v>3</v>
      </c>
      <c r="J427" s="4" t="s">
        <v>9</v>
      </c>
      <c r="K427" s="4" t="s">
        <v>9</v>
      </c>
      <c r="L427" s="4" t="s">
        <v>9</v>
      </c>
      <c r="M427" s="4" t="s">
        <v>9</v>
      </c>
      <c r="N427" s="5"/>
    </row>
    <row r="428" spans="1:14" outlineLevel="2" x14ac:dyDescent="0.25">
      <c r="A428" t="s">
        <v>201</v>
      </c>
      <c r="B428" s="2">
        <v>46132</v>
      </c>
      <c r="C428" t="s">
        <v>201</v>
      </c>
      <c r="D428" t="s">
        <v>202</v>
      </c>
      <c r="E428" t="s">
        <v>203</v>
      </c>
      <c r="F428" s="3">
        <v>1565.28</v>
      </c>
      <c r="G428" s="3">
        <v>1565.28</v>
      </c>
      <c r="H428" t="s">
        <v>3</v>
      </c>
      <c r="I428" t="s">
        <v>3</v>
      </c>
      <c r="J428" t="s">
        <v>9</v>
      </c>
      <c r="K428" t="s">
        <v>13</v>
      </c>
      <c r="L428" t="s">
        <v>17</v>
      </c>
      <c r="M428" t="s">
        <v>204</v>
      </c>
      <c r="N428" s="2">
        <v>46139</v>
      </c>
    </row>
    <row r="429" spans="1:14" outlineLevel="2" x14ac:dyDescent="0.25">
      <c r="A429" t="s">
        <v>201</v>
      </c>
      <c r="B429" s="2">
        <v>46132</v>
      </c>
      <c r="C429" t="s">
        <v>201</v>
      </c>
      <c r="D429" t="s">
        <v>205</v>
      </c>
      <c r="E429" t="s">
        <v>9</v>
      </c>
      <c r="F429" s="3">
        <v>1565.28</v>
      </c>
      <c r="G429" s="3">
        <v>1565.28</v>
      </c>
      <c r="H429" t="s">
        <v>3</v>
      </c>
      <c r="I429" t="s">
        <v>3</v>
      </c>
      <c r="J429" t="s">
        <v>9</v>
      </c>
      <c r="K429" t="s">
        <v>13</v>
      </c>
      <c r="L429" t="s">
        <v>17</v>
      </c>
      <c r="M429" t="s">
        <v>206</v>
      </c>
      <c r="N429" s="2">
        <v>46139</v>
      </c>
    </row>
    <row r="430" spans="1:14" outlineLevel="1" x14ac:dyDescent="0.25">
      <c r="A430" s="4" t="s">
        <v>201</v>
      </c>
      <c r="B430" s="5"/>
      <c r="C430" s="4" t="s">
        <v>9</v>
      </c>
      <c r="D430" s="4" t="s">
        <v>9</v>
      </c>
      <c r="E430" s="4" t="s">
        <v>9</v>
      </c>
      <c r="F430" s="6">
        <v>3130.56</v>
      </c>
      <c r="G430" s="6">
        <v>3130.56</v>
      </c>
      <c r="H430" s="4" t="s">
        <v>9</v>
      </c>
      <c r="I430" s="4" t="s">
        <v>3</v>
      </c>
      <c r="J430" s="4" t="s">
        <v>9</v>
      </c>
      <c r="K430" s="4" t="s">
        <v>9</v>
      </c>
      <c r="L430" s="4" t="s">
        <v>9</v>
      </c>
      <c r="M430" s="4" t="s">
        <v>9</v>
      </c>
      <c r="N430" s="5"/>
    </row>
    <row r="431" spans="1:14" x14ac:dyDescent="0.25">
      <c r="A431" s="8" t="s">
        <v>9</v>
      </c>
      <c r="B431" s="9"/>
      <c r="C431" s="8" t="s">
        <v>9</v>
      </c>
      <c r="D431" s="8" t="s">
        <v>9</v>
      </c>
      <c r="E431" s="8" t="s">
        <v>9</v>
      </c>
      <c r="F431" s="10">
        <v>8009804.96</v>
      </c>
      <c r="G431" s="10">
        <v>8003450.6299999999</v>
      </c>
      <c r="H431" s="8" t="s">
        <v>9</v>
      </c>
      <c r="I431" s="8" t="s">
        <v>3</v>
      </c>
      <c r="J431" s="8" t="s">
        <v>9</v>
      </c>
      <c r="K431" s="8" t="s">
        <v>9</v>
      </c>
      <c r="L431" s="8" t="s">
        <v>9</v>
      </c>
      <c r="M431" s="8" t="s">
        <v>9</v>
      </c>
      <c r="N431" s="9"/>
    </row>
    <row r="432" spans="1:14" x14ac:dyDescent="0.25">
      <c r="A432" s="8" t="s">
        <v>9</v>
      </c>
      <c r="B432" s="9"/>
      <c r="C432" s="8" t="s">
        <v>9</v>
      </c>
      <c r="D432" s="8" t="s">
        <v>9</v>
      </c>
      <c r="E432" s="8" t="s">
        <v>9</v>
      </c>
      <c r="F432" s="11"/>
      <c r="G432" s="10">
        <v>851.26</v>
      </c>
      <c r="H432" s="8" t="s">
        <v>9</v>
      </c>
      <c r="I432" s="8" t="s">
        <v>174</v>
      </c>
      <c r="J432" s="8" t="s">
        <v>9</v>
      </c>
      <c r="K432" s="8" t="s">
        <v>9</v>
      </c>
      <c r="L432" s="8" t="s">
        <v>9</v>
      </c>
      <c r="M432" s="8" t="s">
        <v>9</v>
      </c>
      <c r="N432" s="9"/>
    </row>
    <row r="433" spans="1:14" x14ac:dyDescent="0.25">
      <c r="A433" s="8" t="s">
        <v>9</v>
      </c>
      <c r="B433" s="9"/>
      <c r="C433" s="8" t="s">
        <v>9</v>
      </c>
      <c r="D433" s="8" t="s">
        <v>9</v>
      </c>
      <c r="E433" s="8" t="s">
        <v>9</v>
      </c>
      <c r="F433" s="11"/>
      <c r="G433" s="10">
        <v>6330.72</v>
      </c>
      <c r="H433" s="8" t="s">
        <v>9</v>
      </c>
      <c r="I433" s="8" t="s">
        <v>120</v>
      </c>
      <c r="J433" s="8" t="s">
        <v>9</v>
      </c>
      <c r="K433" s="8" t="s">
        <v>9</v>
      </c>
      <c r="L433" s="8" t="s">
        <v>9</v>
      </c>
      <c r="M433" s="8" t="s">
        <v>9</v>
      </c>
      <c r="N433" s="9"/>
    </row>
  </sheetData>
  <phoneticPr fontId="0" type="noConversion"/>
  <pageMargins left="0.75" right="0.75" top="1" bottom="1" header="0.5" footer="0.5"/>
  <headerFooter alignWithMargins="0">
    <oddFooter xml:space="preserve">&amp;C_x000D_&amp;1#&amp;"Aptos"&amp;11&amp;K000000 Classification: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6102-FFC8-4636-856A-DBC4C552AB7B}">
  <dimension ref="A1:N7490"/>
  <sheetViews>
    <sheetView workbookViewId="0">
      <selection activeCell="F14" sqref="F14"/>
    </sheetView>
  </sheetViews>
  <sheetFormatPr defaultRowHeight="12.5" x14ac:dyDescent="0.25"/>
  <cols>
    <col min="1" max="1" width="13.81640625" bestFit="1" customWidth="1"/>
    <col min="2" max="2" width="13.26953125" bestFit="1" customWidth="1"/>
    <col min="3" max="3" width="13.81640625" bestFit="1" customWidth="1"/>
    <col min="4" max="4" width="11.54296875" bestFit="1" customWidth="1"/>
    <col min="5" max="5" width="18.26953125" bestFit="1" customWidth="1"/>
    <col min="6" max="6" width="15.36328125" bestFit="1" customWidth="1"/>
    <col min="7" max="7" width="13" bestFit="1" customWidth="1"/>
    <col min="8" max="8" width="7.7265625" bestFit="1" customWidth="1"/>
    <col min="9" max="9" width="8.1796875" bestFit="1" customWidth="1"/>
    <col min="10" max="10" width="55.26953125" bestFit="1" customWidth="1"/>
    <col min="11" max="11" width="5.453125" bestFit="1" customWidth="1"/>
    <col min="12" max="12" width="10.7265625" bestFit="1" customWidth="1"/>
    <col min="13" max="13" width="34.36328125" bestFit="1" customWidth="1"/>
    <col min="14" max="14" width="11.08984375" bestFit="1" customWidth="1"/>
  </cols>
  <sheetData>
    <row r="1" spans="1:14" ht="37.5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2" t="s">
        <v>214</v>
      </c>
      <c r="I1" s="12" t="s">
        <v>215</v>
      </c>
      <c r="J1" s="1" t="s">
        <v>216</v>
      </c>
      <c r="K1" s="12" t="s">
        <v>217</v>
      </c>
      <c r="L1" s="1" t="s">
        <v>218</v>
      </c>
      <c r="M1" s="1" t="s">
        <v>219</v>
      </c>
      <c r="N1" s="1" t="s">
        <v>220</v>
      </c>
    </row>
    <row r="2" spans="1:14" x14ac:dyDescent="0.25">
      <c r="A2" t="s">
        <v>221</v>
      </c>
      <c r="B2" s="2">
        <v>45447</v>
      </c>
      <c r="C2" t="s">
        <v>221</v>
      </c>
      <c r="D2" t="s">
        <v>33</v>
      </c>
      <c r="E2" t="s">
        <v>9</v>
      </c>
      <c r="F2" s="3">
        <v>30000</v>
      </c>
      <c r="G2" s="3">
        <v>30000</v>
      </c>
      <c r="H2" t="s">
        <v>3</v>
      </c>
      <c r="I2" t="s">
        <v>3</v>
      </c>
      <c r="J2" t="s">
        <v>9</v>
      </c>
      <c r="K2" t="s">
        <v>9</v>
      </c>
      <c r="L2" t="s">
        <v>18</v>
      </c>
      <c r="M2" t="s">
        <v>35</v>
      </c>
      <c r="N2" s="2">
        <v>45443</v>
      </c>
    </row>
    <row r="3" spans="1:14" x14ac:dyDescent="0.25">
      <c r="A3" t="s">
        <v>221</v>
      </c>
      <c r="B3" s="2">
        <v>45432</v>
      </c>
      <c r="C3" t="s">
        <v>221</v>
      </c>
      <c r="D3" t="s">
        <v>33</v>
      </c>
      <c r="E3" t="s">
        <v>9</v>
      </c>
      <c r="F3" s="3">
        <v>-30000</v>
      </c>
      <c r="G3" s="3">
        <v>-30000</v>
      </c>
      <c r="H3" t="s">
        <v>3</v>
      </c>
      <c r="I3" t="s">
        <v>3</v>
      </c>
      <c r="J3" t="s">
        <v>9</v>
      </c>
      <c r="K3" t="s">
        <v>222</v>
      </c>
      <c r="L3" t="s">
        <v>18</v>
      </c>
      <c r="M3" t="s">
        <v>35</v>
      </c>
      <c r="N3" s="2">
        <v>45432</v>
      </c>
    </row>
    <row r="4" spans="1:14" x14ac:dyDescent="0.25">
      <c r="A4" s="4" t="s">
        <v>223</v>
      </c>
      <c r="B4" s="5"/>
      <c r="C4" s="4" t="s">
        <v>9</v>
      </c>
      <c r="D4" s="4" t="s">
        <v>9</v>
      </c>
      <c r="E4" s="4" t="s">
        <v>9</v>
      </c>
      <c r="F4" s="6">
        <v>0</v>
      </c>
      <c r="G4" s="6">
        <v>0</v>
      </c>
      <c r="H4" s="4" t="s">
        <v>9</v>
      </c>
      <c r="I4" s="4" t="s">
        <v>3</v>
      </c>
      <c r="J4" s="4" t="s">
        <v>9</v>
      </c>
      <c r="K4" s="4" t="s">
        <v>9</v>
      </c>
      <c r="L4" s="4" t="s">
        <v>9</v>
      </c>
      <c r="M4" s="4" t="s">
        <v>9</v>
      </c>
      <c r="N4" s="5"/>
    </row>
    <row r="5" spans="1:14" x14ac:dyDescent="0.25">
      <c r="A5" t="s">
        <v>221</v>
      </c>
      <c r="B5" s="2">
        <v>45475</v>
      </c>
      <c r="C5" t="s">
        <v>221</v>
      </c>
      <c r="D5" t="s">
        <v>33</v>
      </c>
      <c r="E5" t="s">
        <v>9</v>
      </c>
      <c r="F5" s="3">
        <v>30000</v>
      </c>
      <c r="G5" s="3">
        <v>30000</v>
      </c>
      <c r="H5" t="s">
        <v>3</v>
      </c>
      <c r="I5" t="s">
        <v>3</v>
      </c>
      <c r="J5" t="s">
        <v>9</v>
      </c>
      <c r="K5" t="s">
        <v>9</v>
      </c>
      <c r="L5" t="s">
        <v>19</v>
      </c>
      <c r="M5" t="s">
        <v>35</v>
      </c>
      <c r="N5" s="2">
        <v>45473</v>
      </c>
    </row>
    <row r="6" spans="1:14" x14ac:dyDescent="0.25">
      <c r="A6" t="s">
        <v>221</v>
      </c>
      <c r="B6" s="2">
        <v>45462</v>
      </c>
      <c r="C6" t="s">
        <v>221</v>
      </c>
      <c r="D6" t="s">
        <v>33</v>
      </c>
      <c r="E6" t="s">
        <v>9</v>
      </c>
      <c r="F6" s="3">
        <v>-8000</v>
      </c>
      <c r="G6" s="3">
        <v>-8000</v>
      </c>
      <c r="H6" t="s">
        <v>3</v>
      </c>
      <c r="I6" t="s">
        <v>3</v>
      </c>
      <c r="J6" t="s">
        <v>9</v>
      </c>
      <c r="K6" t="s">
        <v>222</v>
      </c>
      <c r="L6" t="s">
        <v>19</v>
      </c>
      <c r="M6" t="s">
        <v>35</v>
      </c>
      <c r="N6" s="2">
        <v>45462</v>
      </c>
    </row>
    <row r="7" spans="1:14" x14ac:dyDescent="0.25">
      <c r="A7" t="s">
        <v>221</v>
      </c>
      <c r="B7" s="2">
        <v>45462</v>
      </c>
      <c r="C7" t="s">
        <v>221</v>
      </c>
      <c r="D7" t="s">
        <v>33</v>
      </c>
      <c r="E7" t="s">
        <v>9</v>
      </c>
      <c r="F7" s="3">
        <v>-22000</v>
      </c>
      <c r="G7" s="3">
        <v>-22000</v>
      </c>
      <c r="H7" t="s">
        <v>3</v>
      </c>
      <c r="I7" t="s">
        <v>3</v>
      </c>
      <c r="J7" t="s">
        <v>9</v>
      </c>
      <c r="K7" t="s">
        <v>222</v>
      </c>
      <c r="L7" t="s">
        <v>19</v>
      </c>
      <c r="M7" t="s">
        <v>35</v>
      </c>
      <c r="N7" s="2">
        <v>45462</v>
      </c>
    </row>
    <row r="8" spans="1:14" x14ac:dyDescent="0.25">
      <c r="A8" s="4" t="s">
        <v>224</v>
      </c>
      <c r="B8" s="5"/>
      <c r="C8" s="4" t="s">
        <v>9</v>
      </c>
      <c r="D8" s="4" t="s">
        <v>9</v>
      </c>
      <c r="E8" s="4" t="s">
        <v>9</v>
      </c>
      <c r="F8" s="6">
        <v>0</v>
      </c>
      <c r="G8" s="6">
        <v>0</v>
      </c>
      <c r="H8" s="4" t="s">
        <v>9</v>
      </c>
      <c r="I8" s="4" t="s">
        <v>3</v>
      </c>
      <c r="J8" s="4" t="s">
        <v>9</v>
      </c>
      <c r="K8" s="4" t="s">
        <v>9</v>
      </c>
      <c r="L8" s="4" t="s">
        <v>9</v>
      </c>
      <c r="M8" s="4" t="s">
        <v>9</v>
      </c>
      <c r="N8" s="5"/>
    </row>
    <row r="9" spans="1:14" x14ac:dyDescent="0.25">
      <c r="A9" t="s">
        <v>221</v>
      </c>
      <c r="B9" s="2">
        <v>45264</v>
      </c>
      <c r="C9" t="s">
        <v>221</v>
      </c>
      <c r="D9" t="s">
        <v>33</v>
      </c>
      <c r="E9" t="s">
        <v>9</v>
      </c>
      <c r="F9" s="3">
        <v>17000</v>
      </c>
      <c r="G9" s="3">
        <v>17000</v>
      </c>
      <c r="H9" t="s">
        <v>3</v>
      </c>
      <c r="I9" t="s">
        <v>3</v>
      </c>
      <c r="J9" t="s">
        <v>9</v>
      </c>
      <c r="K9" t="s">
        <v>9</v>
      </c>
      <c r="L9" t="s">
        <v>11</v>
      </c>
      <c r="M9" t="s">
        <v>35</v>
      </c>
      <c r="N9" s="2">
        <v>45260</v>
      </c>
    </row>
    <row r="10" spans="1:14" x14ac:dyDescent="0.25">
      <c r="A10" t="s">
        <v>221</v>
      </c>
      <c r="B10" s="2">
        <v>45247</v>
      </c>
      <c r="C10" t="s">
        <v>221</v>
      </c>
      <c r="D10" t="s">
        <v>33</v>
      </c>
      <c r="E10" s="13"/>
      <c r="F10" s="3">
        <v>-17000</v>
      </c>
      <c r="G10" s="3">
        <v>-17000</v>
      </c>
      <c r="H10" t="s">
        <v>3</v>
      </c>
      <c r="I10" t="s">
        <v>3</v>
      </c>
      <c r="J10" t="s">
        <v>9</v>
      </c>
      <c r="K10" t="s">
        <v>225</v>
      </c>
      <c r="L10" t="s">
        <v>11</v>
      </c>
      <c r="M10" t="s">
        <v>35</v>
      </c>
      <c r="N10" s="2">
        <v>45247</v>
      </c>
    </row>
    <row r="11" spans="1:14" x14ac:dyDescent="0.25">
      <c r="A11" s="4" t="s">
        <v>226</v>
      </c>
      <c r="B11" s="5"/>
      <c r="C11" s="4" t="s">
        <v>9</v>
      </c>
      <c r="D11" s="4" t="s">
        <v>9</v>
      </c>
      <c r="E11" s="4" t="s">
        <v>9</v>
      </c>
      <c r="F11" s="6">
        <v>0</v>
      </c>
      <c r="G11" s="6">
        <v>0</v>
      </c>
      <c r="H11" s="4" t="s">
        <v>9</v>
      </c>
      <c r="I11" s="4" t="s">
        <v>3</v>
      </c>
      <c r="J11" s="4" t="s">
        <v>9</v>
      </c>
      <c r="K11" s="4" t="s">
        <v>9</v>
      </c>
      <c r="L11" s="4" t="s">
        <v>9</v>
      </c>
      <c r="M11" s="4" t="s">
        <v>9</v>
      </c>
      <c r="N11" s="5"/>
    </row>
    <row r="12" spans="1:14" x14ac:dyDescent="0.25">
      <c r="A12" t="s">
        <v>221</v>
      </c>
      <c r="B12" s="2">
        <v>44930</v>
      </c>
      <c r="C12" t="s">
        <v>221</v>
      </c>
      <c r="D12" t="s">
        <v>33</v>
      </c>
      <c r="E12" t="s">
        <v>9</v>
      </c>
      <c r="F12" s="3">
        <v>68000</v>
      </c>
      <c r="G12" s="3">
        <v>68000</v>
      </c>
      <c r="H12" t="s">
        <v>3</v>
      </c>
      <c r="I12" t="s">
        <v>3</v>
      </c>
      <c r="J12" t="s">
        <v>9</v>
      </c>
      <c r="K12" t="s">
        <v>9</v>
      </c>
      <c r="L12" t="s">
        <v>12</v>
      </c>
      <c r="M12" t="s">
        <v>35</v>
      </c>
      <c r="N12" s="2">
        <v>44926</v>
      </c>
    </row>
    <row r="13" spans="1:14" x14ac:dyDescent="0.25">
      <c r="A13" t="s">
        <v>221</v>
      </c>
      <c r="B13" s="2">
        <v>45295</v>
      </c>
      <c r="C13" t="s">
        <v>221</v>
      </c>
      <c r="D13" t="s">
        <v>33</v>
      </c>
      <c r="E13" t="s">
        <v>9</v>
      </c>
      <c r="F13" s="3">
        <v>34000</v>
      </c>
      <c r="G13" s="3">
        <v>34000</v>
      </c>
      <c r="H13" t="s">
        <v>3</v>
      </c>
      <c r="I13" t="s">
        <v>3</v>
      </c>
      <c r="J13" t="s">
        <v>9</v>
      </c>
      <c r="K13" t="s">
        <v>9</v>
      </c>
      <c r="L13" t="s">
        <v>12</v>
      </c>
      <c r="M13" t="s">
        <v>35</v>
      </c>
      <c r="N13" s="2">
        <v>45291</v>
      </c>
    </row>
    <row r="14" spans="1:14" x14ac:dyDescent="0.25">
      <c r="A14" t="s">
        <v>221</v>
      </c>
      <c r="B14" s="2">
        <v>44914</v>
      </c>
      <c r="C14" t="s">
        <v>221</v>
      </c>
      <c r="D14" t="s">
        <v>33</v>
      </c>
      <c r="E14" t="s">
        <v>9</v>
      </c>
      <c r="F14" s="3">
        <v>-17000</v>
      </c>
      <c r="G14" s="3">
        <v>-17000</v>
      </c>
      <c r="H14" t="s">
        <v>3</v>
      </c>
      <c r="I14" t="s">
        <v>3</v>
      </c>
      <c r="J14" t="s">
        <v>9</v>
      </c>
      <c r="K14" t="s">
        <v>227</v>
      </c>
      <c r="L14" t="s">
        <v>12</v>
      </c>
      <c r="M14" t="s">
        <v>35</v>
      </c>
      <c r="N14" s="2">
        <v>44914</v>
      </c>
    </row>
    <row r="15" spans="1:14" x14ac:dyDescent="0.25">
      <c r="A15" t="s">
        <v>221</v>
      </c>
      <c r="B15" s="2">
        <v>44914</v>
      </c>
      <c r="C15" t="s">
        <v>221</v>
      </c>
      <c r="D15" t="s">
        <v>33</v>
      </c>
      <c r="E15" t="s">
        <v>9</v>
      </c>
      <c r="F15" s="3">
        <v>-17000</v>
      </c>
      <c r="G15" s="3">
        <v>-17000</v>
      </c>
      <c r="H15" t="s">
        <v>3</v>
      </c>
      <c r="I15" t="s">
        <v>3</v>
      </c>
      <c r="J15" t="s">
        <v>9</v>
      </c>
      <c r="K15" t="s">
        <v>227</v>
      </c>
      <c r="L15" t="s">
        <v>12</v>
      </c>
      <c r="M15" t="s">
        <v>35</v>
      </c>
      <c r="N15" s="2">
        <v>44914</v>
      </c>
    </row>
    <row r="16" spans="1:14" x14ac:dyDescent="0.25">
      <c r="A16" t="s">
        <v>221</v>
      </c>
      <c r="B16" s="2">
        <v>44915</v>
      </c>
      <c r="C16" t="s">
        <v>221</v>
      </c>
      <c r="D16" t="s">
        <v>33</v>
      </c>
      <c r="E16" t="s">
        <v>9</v>
      </c>
      <c r="F16" s="3">
        <v>-17000</v>
      </c>
      <c r="G16" s="3">
        <v>-17000</v>
      </c>
      <c r="H16" t="s">
        <v>3</v>
      </c>
      <c r="I16" t="s">
        <v>3</v>
      </c>
      <c r="J16" t="s">
        <v>9</v>
      </c>
      <c r="K16" t="s">
        <v>227</v>
      </c>
      <c r="L16" t="s">
        <v>12</v>
      </c>
      <c r="M16" t="s">
        <v>35</v>
      </c>
      <c r="N16" s="2">
        <v>44915</v>
      </c>
    </row>
    <row r="17" spans="1:14" x14ac:dyDescent="0.25">
      <c r="A17" t="s">
        <v>221</v>
      </c>
      <c r="B17" s="2">
        <v>44915</v>
      </c>
      <c r="C17" t="s">
        <v>221</v>
      </c>
      <c r="D17" t="s">
        <v>33</v>
      </c>
      <c r="E17" t="s">
        <v>9</v>
      </c>
      <c r="F17" s="3">
        <v>-17000</v>
      </c>
      <c r="G17" s="3">
        <v>-17000</v>
      </c>
      <c r="H17" t="s">
        <v>3</v>
      </c>
      <c r="I17" t="s">
        <v>3</v>
      </c>
      <c r="J17" t="s">
        <v>9</v>
      </c>
      <c r="K17" t="s">
        <v>227</v>
      </c>
      <c r="L17" t="s">
        <v>12</v>
      </c>
      <c r="M17" t="s">
        <v>35</v>
      </c>
      <c r="N17" s="2">
        <v>44915</v>
      </c>
    </row>
    <row r="18" spans="1:14" x14ac:dyDescent="0.25">
      <c r="A18" t="s">
        <v>221</v>
      </c>
      <c r="B18" s="2">
        <v>45271</v>
      </c>
      <c r="C18" t="s">
        <v>221</v>
      </c>
      <c r="D18" t="s">
        <v>33</v>
      </c>
      <c r="E18" t="s">
        <v>9</v>
      </c>
      <c r="F18" s="3">
        <v>-17000</v>
      </c>
      <c r="G18" s="3">
        <v>-17000</v>
      </c>
      <c r="H18" t="s">
        <v>3</v>
      </c>
      <c r="I18" t="s">
        <v>3</v>
      </c>
      <c r="J18" t="s">
        <v>9</v>
      </c>
      <c r="K18" t="s">
        <v>225</v>
      </c>
      <c r="L18" t="s">
        <v>12</v>
      </c>
      <c r="M18" t="s">
        <v>35</v>
      </c>
      <c r="N18" s="2">
        <v>45271</v>
      </c>
    </row>
    <row r="19" spans="1:14" x14ac:dyDescent="0.25">
      <c r="A19" t="s">
        <v>221</v>
      </c>
      <c r="B19" s="2">
        <v>45271</v>
      </c>
      <c r="C19" t="s">
        <v>221</v>
      </c>
      <c r="D19" t="s">
        <v>33</v>
      </c>
      <c r="E19" t="s">
        <v>9</v>
      </c>
      <c r="F19" s="3">
        <v>-17000</v>
      </c>
      <c r="G19" s="3">
        <v>-17000</v>
      </c>
      <c r="H19" t="s">
        <v>3</v>
      </c>
      <c r="I19" t="s">
        <v>3</v>
      </c>
      <c r="J19" t="s">
        <v>9</v>
      </c>
      <c r="K19" t="s">
        <v>225</v>
      </c>
      <c r="L19" t="s">
        <v>12</v>
      </c>
      <c r="M19" t="s">
        <v>35</v>
      </c>
      <c r="N19" s="2">
        <v>45271</v>
      </c>
    </row>
    <row r="20" spans="1:14" x14ac:dyDescent="0.25">
      <c r="A20" s="4" t="s">
        <v>228</v>
      </c>
      <c r="B20" s="5"/>
      <c r="C20" s="4" t="s">
        <v>9</v>
      </c>
      <c r="D20" s="4" t="s">
        <v>9</v>
      </c>
      <c r="E20" s="4" t="s">
        <v>9</v>
      </c>
      <c r="F20" s="6">
        <v>0</v>
      </c>
      <c r="G20" s="6">
        <v>0</v>
      </c>
      <c r="H20" s="4" t="s">
        <v>9</v>
      </c>
      <c r="I20" s="4" t="s">
        <v>3</v>
      </c>
      <c r="J20" s="4" t="s">
        <v>9</v>
      </c>
      <c r="K20" s="4" t="s">
        <v>9</v>
      </c>
      <c r="L20" s="4" t="s">
        <v>9</v>
      </c>
      <c r="M20" s="4" t="s">
        <v>9</v>
      </c>
      <c r="N20" s="5"/>
    </row>
    <row r="21" spans="1:14" x14ac:dyDescent="0.25">
      <c r="A21" s="4" t="s">
        <v>221</v>
      </c>
      <c r="B21" s="5"/>
      <c r="C21" s="4" t="s">
        <v>9</v>
      </c>
      <c r="D21" s="4" t="s">
        <v>9</v>
      </c>
      <c r="E21" s="4" t="s">
        <v>9</v>
      </c>
      <c r="F21" s="6">
        <v>0</v>
      </c>
      <c r="G21" s="6">
        <v>0</v>
      </c>
      <c r="H21" s="4" t="s">
        <v>9</v>
      </c>
      <c r="I21" s="4" t="s">
        <v>3</v>
      </c>
      <c r="J21" s="4" t="s">
        <v>9</v>
      </c>
      <c r="K21" s="4" t="s">
        <v>9</v>
      </c>
      <c r="L21" s="4" t="s">
        <v>9</v>
      </c>
      <c r="M21" s="4" t="s">
        <v>9</v>
      </c>
      <c r="N21" s="5"/>
    </row>
    <row r="22" spans="1:14" x14ac:dyDescent="0.25">
      <c r="A22" t="s">
        <v>229</v>
      </c>
      <c r="B22" s="2">
        <v>44596</v>
      </c>
      <c r="C22" t="s">
        <v>229</v>
      </c>
      <c r="D22" t="s">
        <v>112</v>
      </c>
      <c r="E22" t="s">
        <v>9</v>
      </c>
      <c r="F22" s="3">
        <v>-1500</v>
      </c>
      <c r="G22" s="3">
        <v>-1500</v>
      </c>
      <c r="H22" t="s">
        <v>3</v>
      </c>
      <c r="I22" t="s">
        <v>3</v>
      </c>
      <c r="J22" t="s">
        <v>9</v>
      </c>
      <c r="K22" t="s">
        <v>9</v>
      </c>
      <c r="L22" t="s">
        <v>14</v>
      </c>
      <c r="M22" t="s">
        <v>114</v>
      </c>
      <c r="N22" s="2">
        <v>44592</v>
      </c>
    </row>
    <row r="23" spans="1:14" x14ac:dyDescent="0.25">
      <c r="A23" t="s">
        <v>229</v>
      </c>
      <c r="B23" s="2">
        <v>44960</v>
      </c>
      <c r="C23" t="s">
        <v>229</v>
      </c>
      <c r="D23" t="s">
        <v>112</v>
      </c>
      <c r="E23" t="s">
        <v>9</v>
      </c>
      <c r="F23" s="3">
        <v>-2900</v>
      </c>
      <c r="G23" s="3">
        <v>-2900</v>
      </c>
      <c r="H23" t="s">
        <v>3</v>
      </c>
      <c r="I23" t="s">
        <v>3</v>
      </c>
      <c r="J23" t="s">
        <v>9</v>
      </c>
      <c r="K23" t="s">
        <v>9</v>
      </c>
      <c r="L23" t="s">
        <v>14</v>
      </c>
      <c r="M23" t="s">
        <v>114</v>
      </c>
      <c r="N23" s="2">
        <v>44957</v>
      </c>
    </row>
    <row r="24" spans="1:14" x14ac:dyDescent="0.25">
      <c r="A24" t="s">
        <v>229</v>
      </c>
      <c r="B24" s="2">
        <v>45324</v>
      </c>
      <c r="C24" t="s">
        <v>229</v>
      </c>
      <c r="D24" t="s">
        <v>112</v>
      </c>
      <c r="E24" t="s">
        <v>9</v>
      </c>
      <c r="F24" s="3">
        <v>-200</v>
      </c>
      <c r="G24" s="3">
        <v>-200</v>
      </c>
      <c r="H24" t="s">
        <v>3</v>
      </c>
      <c r="I24" t="s">
        <v>3</v>
      </c>
      <c r="J24" t="s">
        <v>9</v>
      </c>
      <c r="K24" t="s">
        <v>9</v>
      </c>
      <c r="L24" t="s">
        <v>14</v>
      </c>
      <c r="M24" t="s">
        <v>114</v>
      </c>
      <c r="N24" s="2">
        <v>45322</v>
      </c>
    </row>
    <row r="25" spans="1:14" x14ac:dyDescent="0.25">
      <c r="A25" t="s">
        <v>229</v>
      </c>
      <c r="B25" s="2">
        <v>44561</v>
      </c>
      <c r="C25" t="s">
        <v>229</v>
      </c>
      <c r="D25" t="s">
        <v>112</v>
      </c>
      <c r="E25" t="s">
        <v>9</v>
      </c>
      <c r="F25" s="3">
        <v>-400</v>
      </c>
      <c r="G25" s="3">
        <v>-400</v>
      </c>
      <c r="H25" t="s">
        <v>3</v>
      </c>
      <c r="I25" t="s">
        <v>3</v>
      </c>
      <c r="J25" t="s">
        <v>230</v>
      </c>
      <c r="K25" t="s">
        <v>227</v>
      </c>
      <c r="L25" t="s">
        <v>14</v>
      </c>
      <c r="M25" t="s">
        <v>114</v>
      </c>
      <c r="N25" s="2">
        <v>44562</v>
      </c>
    </row>
    <row r="26" spans="1:14" x14ac:dyDescent="0.25">
      <c r="A26" t="s">
        <v>229</v>
      </c>
      <c r="B26" s="2">
        <v>44592</v>
      </c>
      <c r="C26" t="s">
        <v>229</v>
      </c>
      <c r="D26" t="s">
        <v>112</v>
      </c>
      <c r="E26" t="s">
        <v>9</v>
      </c>
      <c r="F26" s="3">
        <v>1900</v>
      </c>
      <c r="G26" s="3">
        <v>1900</v>
      </c>
      <c r="H26" t="s">
        <v>3</v>
      </c>
      <c r="I26" t="s">
        <v>3</v>
      </c>
      <c r="J26" t="s">
        <v>231</v>
      </c>
      <c r="K26" t="s">
        <v>227</v>
      </c>
      <c r="L26" t="s">
        <v>14</v>
      </c>
      <c r="M26" t="s">
        <v>114</v>
      </c>
      <c r="N26" s="2">
        <v>44592</v>
      </c>
    </row>
    <row r="27" spans="1:14" x14ac:dyDescent="0.25">
      <c r="A27" t="s">
        <v>229</v>
      </c>
      <c r="B27" s="2">
        <v>44957</v>
      </c>
      <c r="C27" t="s">
        <v>229</v>
      </c>
      <c r="D27" t="s">
        <v>112</v>
      </c>
      <c r="E27" t="s">
        <v>9</v>
      </c>
      <c r="F27" s="3">
        <v>2900</v>
      </c>
      <c r="G27" s="3">
        <v>2900</v>
      </c>
      <c r="H27" t="s">
        <v>3</v>
      </c>
      <c r="I27" t="s">
        <v>3</v>
      </c>
      <c r="J27" t="s">
        <v>232</v>
      </c>
      <c r="K27" t="s">
        <v>225</v>
      </c>
      <c r="L27" t="s">
        <v>14</v>
      </c>
      <c r="M27" t="s">
        <v>114</v>
      </c>
      <c r="N27" s="2">
        <v>44957</v>
      </c>
    </row>
    <row r="28" spans="1:14" x14ac:dyDescent="0.25">
      <c r="A28" t="s">
        <v>229</v>
      </c>
      <c r="B28" s="2">
        <v>45322</v>
      </c>
      <c r="C28" t="s">
        <v>229</v>
      </c>
      <c r="D28" t="s">
        <v>112</v>
      </c>
      <c r="E28" t="s">
        <v>9</v>
      </c>
      <c r="F28" s="3">
        <v>200</v>
      </c>
      <c r="G28" s="3">
        <v>200</v>
      </c>
      <c r="H28" t="s">
        <v>3</v>
      </c>
      <c r="I28" t="s">
        <v>3</v>
      </c>
      <c r="J28" t="s">
        <v>233</v>
      </c>
      <c r="K28" t="s">
        <v>222</v>
      </c>
      <c r="L28" t="s">
        <v>14</v>
      </c>
      <c r="M28" t="s">
        <v>114</v>
      </c>
      <c r="N28" s="2">
        <v>45322</v>
      </c>
    </row>
    <row r="29" spans="1:14" x14ac:dyDescent="0.25">
      <c r="A29" s="4" t="s">
        <v>234</v>
      </c>
      <c r="B29" s="5"/>
      <c r="C29" s="4" t="s">
        <v>9</v>
      </c>
      <c r="D29" s="4" t="s">
        <v>9</v>
      </c>
      <c r="E29" s="4" t="s">
        <v>9</v>
      </c>
      <c r="F29" s="6">
        <v>0</v>
      </c>
      <c r="G29" s="6">
        <v>0</v>
      </c>
      <c r="H29" s="4" t="s">
        <v>9</v>
      </c>
      <c r="I29" s="4" t="s">
        <v>3</v>
      </c>
      <c r="J29" s="4" t="s">
        <v>9</v>
      </c>
      <c r="K29" s="4" t="s">
        <v>9</v>
      </c>
      <c r="L29" s="4" t="s">
        <v>9</v>
      </c>
      <c r="M29" s="4" t="s">
        <v>9</v>
      </c>
      <c r="N29" s="5"/>
    </row>
    <row r="30" spans="1:14" x14ac:dyDescent="0.25">
      <c r="A30" t="s">
        <v>229</v>
      </c>
      <c r="B30" s="2">
        <v>44623</v>
      </c>
      <c r="C30" t="s">
        <v>229</v>
      </c>
      <c r="D30" t="s">
        <v>112</v>
      </c>
      <c r="E30" t="s">
        <v>9</v>
      </c>
      <c r="F30" s="3">
        <v>-3800</v>
      </c>
      <c r="G30" s="3">
        <v>-3800</v>
      </c>
      <c r="H30" t="s">
        <v>3</v>
      </c>
      <c r="I30" t="s">
        <v>3</v>
      </c>
      <c r="J30" t="s">
        <v>9</v>
      </c>
      <c r="K30" t="s">
        <v>9</v>
      </c>
      <c r="L30" t="s">
        <v>15</v>
      </c>
      <c r="M30" t="s">
        <v>114</v>
      </c>
      <c r="N30" s="2">
        <v>44620</v>
      </c>
    </row>
    <row r="31" spans="1:14" x14ac:dyDescent="0.25">
      <c r="A31" t="s">
        <v>229</v>
      </c>
      <c r="B31" s="2">
        <v>44988</v>
      </c>
      <c r="C31" t="s">
        <v>229</v>
      </c>
      <c r="D31" t="s">
        <v>112</v>
      </c>
      <c r="E31" t="s">
        <v>9</v>
      </c>
      <c r="F31" s="3">
        <v>-1600</v>
      </c>
      <c r="G31" s="3">
        <v>-1600</v>
      </c>
      <c r="H31" t="s">
        <v>3</v>
      </c>
      <c r="I31" t="s">
        <v>3</v>
      </c>
      <c r="J31" t="s">
        <v>9</v>
      </c>
      <c r="K31" t="s">
        <v>9</v>
      </c>
      <c r="L31" t="s">
        <v>15</v>
      </c>
      <c r="M31" t="s">
        <v>114</v>
      </c>
      <c r="N31" s="2">
        <v>44985</v>
      </c>
    </row>
    <row r="32" spans="1:14" x14ac:dyDescent="0.25">
      <c r="A32" t="s">
        <v>229</v>
      </c>
      <c r="B32" s="2">
        <v>45356</v>
      </c>
      <c r="C32" t="s">
        <v>229</v>
      </c>
      <c r="D32" t="s">
        <v>112</v>
      </c>
      <c r="E32" t="s">
        <v>9</v>
      </c>
      <c r="F32" s="3">
        <v>-9500</v>
      </c>
      <c r="G32" s="3">
        <v>-9500</v>
      </c>
      <c r="H32" t="s">
        <v>3</v>
      </c>
      <c r="I32" t="s">
        <v>3</v>
      </c>
      <c r="J32" t="s">
        <v>9</v>
      </c>
      <c r="K32" t="s">
        <v>9</v>
      </c>
      <c r="L32" t="s">
        <v>15</v>
      </c>
      <c r="M32" t="s">
        <v>114</v>
      </c>
      <c r="N32" s="2">
        <v>45351</v>
      </c>
    </row>
    <row r="33" spans="1:14" x14ac:dyDescent="0.25">
      <c r="A33" t="s">
        <v>229</v>
      </c>
      <c r="B33" s="2">
        <v>44592</v>
      </c>
      <c r="C33" t="s">
        <v>229</v>
      </c>
      <c r="D33" t="s">
        <v>112</v>
      </c>
      <c r="E33" t="s">
        <v>9</v>
      </c>
      <c r="F33" s="3">
        <v>-1900</v>
      </c>
      <c r="G33" s="3">
        <v>-1900</v>
      </c>
      <c r="H33" t="s">
        <v>3</v>
      </c>
      <c r="I33" t="s">
        <v>3</v>
      </c>
      <c r="J33" t="s">
        <v>231</v>
      </c>
      <c r="K33" t="s">
        <v>227</v>
      </c>
      <c r="L33" t="s">
        <v>15</v>
      </c>
      <c r="M33" t="s">
        <v>114</v>
      </c>
      <c r="N33" s="2">
        <v>44593</v>
      </c>
    </row>
    <row r="34" spans="1:14" x14ac:dyDescent="0.25">
      <c r="A34" t="s">
        <v>229</v>
      </c>
      <c r="B34" s="2">
        <v>44620</v>
      </c>
      <c r="C34" t="s">
        <v>229</v>
      </c>
      <c r="D34" t="s">
        <v>112</v>
      </c>
      <c r="E34" t="s">
        <v>9</v>
      </c>
      <c r="F34" s="3">
        <v>5100</v>
      </c>
      <c r="G34" s="3">
        <v>5100</v>
      </c>
      <c r="H34" t="s">
        <v>3</v>
      </c>
      <c r="I34" t="s">
        <v>3</v>
      </c>
      <c r="J34" t="s">
        <v>235</v>
      </c>
      <c r="K34" t="s">
        <v>227</v>
      </c>
      <c r="L34" t="s">
        <v>15</v>
      </c>
      <c r="M34" t="s">
        <v>114</v>
      </c>
      <c r="N34" s="2">
        <v>44620</v>
      </c>
    </row>
    <row r="35" spans="1:14" x14ac:dyDescent="0.25">
      <c r="A35" t="s">
        <v>229</v>
      </c>
      <c r="B35" s="2">
        <v>44620</v>
      </c>
      <c r="C35" t="s">
        <v>229</v>
      </c>
      <c r="D35" t="s">
        <v>112</v>
      </c>
      <c r="E35" t="s">
        <v>9</v>
      </c>
      <c r="F35" s="3">
        <v>600</v>
      </c>
      <c r="G35" s="3">
        <v>600</v>
      </c>
      <c r="H35" t="s">
        <v>3</v>
      </c>
      <c r="I35" t="s">
        <v>3</v>
      </c>
      <c r="J35" t="s">
        <v>236</v>
      </c>
      <c r="K35" t="s">
        <v>227</v>
      </c>
      <c r="L35" t="s">
        <v>15</v>
      </c>
      <c r="M35" t="s">
        <v>114</v>
      </c>
      <c r="N35" s="2">
        <v>44620</v>
      </c>
    </row>
    <row r="36" spans="1:14" x14ac:dyDescent="0.25">
      <c r="A36" t="s">
        <v>229</v>
      </c>
      <c r="B36" s="2">
        <v>44957</v>
      </c>
      <c r="C36" t="s">
        <v>229</v>
      </c>
      <c r="D36" t="s">
        <v>112</v>
      </c>
      <c r="E36" t="s">
        <v>9</v>
      </c>
      <c r="F36" s="3">
        <v>-2900</v>
      </c>
      <c r="G36" s="3">
        <v>-2900</v>
      </c>
      <c r="H36" t="s">
        <v>3</v>
      </c>
      <c r="I36" t="s">
        <v>3</v>
      </c>
      <c r="J36" t="s">
        <v>232</v>
      </c>
      <c r="K36" t="s">
        <v>225</v>
      </c>
      <c r="L36" t="s">
        <v>15</v>
      </c>
      <c r="M36" t="s">
        <v>114</v>
      </c>
      <c r="N36" s="2">
        <v>44958</v>
      </c>
    </row>
    <row r="37" spans="1:14" x14ac:dyDescent="0.25">
      <c r="A37" t="s">
        <v>229</v>
      </c>
      <c r="B37" s="2">
        <v>44985</v>
      </c>
      <c r="C37" t="s">
        <v>229</v>
      </c>
      <c r="D37" t="s">
        <v>112</v>
      </c>
      <c r="E37" t="s">
        <v>9</v>
      </c>
      <c r="F37" s="3">
        <v>4500</v>
      </c>
      <c r="G37" s="3">
        <v>4500</v>
      </c>
      <c r="H37" t="s">
        <v>3</v>
      </c>
      <c r="I37" t="s">
        <v>3</v>
      </c>
      <c r="J37" t="s">
        <v>237</v>
      </c>
      <c r="K37" t="s">
        <v>225</v>
      </c>
      <c r="L37" t="s">
        <v>15</v>
      </c>
      <c r="M37" t="s">
        <v>114</v>
      </c>
      <c r="N37" s="2">
        <v>44985</v>
      </c>
    </row>
    <row r="38" spans="1:14" x14ac:dyDescent="0.25">
      <c r="A38" t="s">
        <v>229</v>
      </c>
      <c r="B38" s="2">
        <v>45322</v>
      </c>
      <c r="C38" t="s">
        <v>229</v>
      </c>
      <c r="D38" t="s">
        <v>112</v>
      </c>
      <c r="E38" t="s">
        <v>9</v>
      </c>
      <c r="F38" s="3">
        <v>-200</v>
      </c>
      <c r="G38" s="3">
        <v>-200</v>
      </c>
      <c r="H38" t="s">
        <v>3</v>
      </c>
      <c r="I38" t="s">
        <v>3</v>
      </c>
      <c r="J38" t="s">
        <v>233</v>
      </c>
      <c r="K38" t="s">
        <v>222</v>
      </c>
      <c r="L38" t="s">
        <v>15</v>
      </c>
      <c r="M38" t="s">
        <v>114</v>
      </c>
      <c r="N38" s="2">
        <v>45323</v>
      </c>
    </row>
    <row r="39" spans="1:14" x14ac:dyDescent="0.25">
      <c r="A39" t="s">
        <v>229</v>
      </c>
      <c r="B39" s="2">
        <v>45351</v>
      </c>
      <c r="C39" t="s">
        <v>229</v>
      </c>
      <c r="D39" t="s">
        <v>112</v>
      </c>
      <c r="E39" t="s">
        <v>9</v>
      </c>
      <c r="F39" s="3">
        <v>9700</v>
      </c>
      <c r="G39" s="3">
        <v>9700</v>
      </c>
      <c r="H39" t="s">
        <v>3</v>
      </c>
      <c r="I39" t="s">
        <v>3</v>
      </c>
      <c r="J39" t="s">
        <v>238</v>
      </c>
      <c r="K39" t="s">
        <v>222</v>
      </c>
      <c r="L39" t="s">
        <v>15</v>
      </c>
      <c r="M39" t="s">
        <v>114</v>
      </c>
      <c r="N39" s="2">
        <v>45351</v>
      </c>
    </row>
    <row r="40" spans="1:14" x14ac:dyDescent="0.25">
      <c r="A40" s="4" t="s">
        <v>239</v>
      </c>
      <c r="B40" s="5"/>
      <c r="C40" s="4" t="s">
        <v>9</v>
      </c>
      <c r="D40" s="4" t="s">
        <v>9</v>
      </c>
      <c r="E40" s="4" t="s">
        <v>9</v>
      </c>
      <c r="F40" s="6">
        <v>0</v>
      </c>
      <c r="G40" s="6">
        <v>0</v>
      </c>
      <c r="H40" s="4" t="s">
        <v>9</v>
      </c>
      <c r="I40" s="4" t="s">
        <v>3</v>
      </c>
      <c r="J40" s="4" t="s">
        <v>9</v>
      </c>
      <c r="K40" s="4" t="s">
        <v>9</v>
      </c>
      <c r="L40" s="4" t="s">
        <v>9</v>
      </c>
      <c r="M40" s="4" t="s">
        <v>9</v>
      </c>
      <c r="N40" s="5"/>
    </row>
    <row r="41" spans="1:14" x14ac:dyDescent="0.25">
      <c r="A41" t="s">
        <v>229</v>
      </c>
      <c r="B41" s="2">
        <v>44656</v>
      </c>
      <c r="C41" t="s">
        <v>229</v>
      </c>
      <c r="D41" t="s">
        <v>112</v>
      </c>
      <c r="E41" t="s">
        <v>9</v>
      </c>
      <c r="F41" s="3">
        <v>-6300</v>
      </c>
      <c r="G41" s="3">
        <v>-6300</v>
      </c>
      <c r="H41" t="s">
        <v>3</v>
      </c>
      <c r="I41" t="s">
        <v>3</v>
      </c>
      <c r="J41" t="s">
        <v>9</v>
      </c>
      <c r="K41" t="s">
        <v>9</v>
      </c>
      <c r="L41" t="s">
        <v>16</v>
      </c>
      <c r="M41" t="s">
        <v>114</v>
      </c>
      <c r="N41" s="2">
        <v>44651</v>
      </c>
    </row>
    <row r="42" spans="1:14" x14ac:dyDescent="0.25">
      <c r="A42" t="s">
        <v>229</v>
      </c>
      <c r="B42" s="2">
        <v>45020</v>
      </c>
      <c r="C42" t="s">
        <v>229</v>
      </c>
      <c r="D42" t="s">
        <v>112</v>
      </c>
      <c r="E42" t="s">
        <v>9</v>
      </c>
      <c r="F42" s="3">
        <v>-1300</v>
      </c>
      <c r="G42" s="3">
        <v>-1300</v>
      </c>
      <c r="H42" t="s">
        <v>3</v>
      </c>
      <c r="I42" t="s">
        <v>3</v>
      </c>
      <c r="J42" t="s">
        <v>9</v>
      </c>
      <c r="K42" t="s">
        <v>9</v>
      </c>
      <c r="L42" t="s">
        <v>16</v>
      </c>
      <c r="M42" t="s">
        <v>114</v>
      </c>
      <c r="N42" s="2">
        <v>45016</v>
      </c>
    </row>
    <row r="43" spans="1:14" x14ac:dyDescent="0.25">
      <c r="A43" t="s">
        <v>229</v>
      </c>
      <c r="B43" s="2">
        <v>45379</v>
      </c>
      <c r="C43" t="s">
        <v>229</v>
      </c>
      <c r="D43" t="s">
        <v>112</v>
      </c>
      <c r="E43" t="s">
        <v>9</v>
      </c>
      <c r="F43" s="3">
        <v>9700</v>
      </c>
      <c r="G43" s="3">
        <v>9700</v>
      </c>
      <c r="H43" t="s">
        <v>3</v>
      </c>
      <c r="I43" t="s">
        <v>3</v>
      </c>
      <c r="J43" t="s">
        <v>9</v>
      </c>
      <c r="K43" t="s">
        <v>9</v>
      </c>
      <c r="L43" t="s">
        <v>16</v>
      </c>
      <c r="M43" t="s">
        <v>114</v>
      </c>
      <c r="N43" s="2">
        <v>45382</v>
      </c>
    </row>
    <row r="44" spans="1:14" x14ac:dyDescent="0.25">
      <c r="A44" t="s">
        <v>229</v>
      </c>
      <c r="B44" s="2">
        <v>45386</v>
      </c>
      <c r="C44" t="s">
        <v>229</v>
      </c>
      <c r="D44" t="s">
        <v>112</v>
      </c>
      <c r="E44" t="s">
        <v>9</v>
      </c>
      <c r="F44" s="3">
        <v>-26100</v>
      </c>
      <c r="G44" s="3">
        <v>-26100</v>
      </c>
      <c r="H44" t="s">
        <v>3</v>
      </c>
      <c r="I44" t="s">
        <v>3</v>
      </c>
      <c r="J44" t="s">
        <v>9</v>
      </c>
      <c r="K44" t="s">
        <v>9</v>
      </c>
      <c r="L44" t="s">
        <v>16</v>
      </c>
      <c r="M44" t="s">
        <v>114</v>
      </c>
      <c r="N44" s="2">
        <v>45382</v>
      </c>
    </row>
    <row r="45" spans="1:14" x14ac:dyDescent="0.25">
      <c r="A45" t="s">
        <v>229</v>
      </c>
      <c r="B45" s="2">
        <v>44620</v>
      </c>
      <c r="C45" t="s">
        <v>229</v>
      </c>
      <c r="D45" t="s">
        <v>112</v>
      </c>
      <c r="E45" t="s">
        <v>9</v>
      </c>
      <c r="F45" s="3">
        <v>-5100</v>
      </c>
      <c r="G45" s="3">
        <v>-5100</v>
      </c>
      <c r="H45" t="s">
        <v>3</v>
      </c>
      <c r="I45" t="s">
        <v>3</v>
      </c>
      <c r="J45" t="s">
        <v>235</v>
      </c>
      <c r="K45" t="s">
        <v>227</v>
      </c>
      <c r="L45" t="s">
        <v>16</v>
      </c>
      <c r="M45" t="s">
        <v>114</v>
      </c>
      <c r="N45" s="2">
        <v>44621</v>
      </c>
    </row>
    <row r="46" spans="1:14" x14ac:dyDescent="0.25">
      <c r="A46" t="s">
        <v>229</v>
      </c>
      <c r="B46" s="2">
        <v>44620</v>
      </c>
      <c r="C46" t="s">
        <v>229</v>
      </c>
      <c r="D46" t="s">
        <v>112</v>
      </c>
      <c r="E46" t="s">
        <v>9</v>
      </c>
      <c r="F46" s="3">
        <v>-600</v>
      </c>
      <c r="G46" s="3">
        <v>-600</v>
      </c>
      <c r="H46" t="s">
        <v>3</v>
      </c>
      <c r="I46" t="s">
        <v>3</v>
      </c>
      <c r="J46" t="s">
        <v>236</v>
      </c>
      <c r="K46" t="s">
        <v>227</v>
      </c>
      <c r="L46" t="s">
        <v>16</v>
      </c>
      <c r="M46" t="s">
        <v>114</v>
      </c>
      <c r="N46" s="2">
        <v>44621</v>
      </c>
    </row>
    <row r="47" spans="1:14" x14ac:dyDescent="0.25">
      <c r="A47" t="s">
        <v>229</v>
      </c>
      <c r="B47" s="2">
        <v>44651</v>
      </c>
      <c r="C47" t="s">
        <v>229</v>
      </c>
      <c r="D47" t="s">
        <v>112</v>
      </c>
      <c r="E47" t="s">
        <v>9</v>
      </c>
      <c r="F47" s="3">
        <v>11100</v>
      </c>
      <c r="G47" s="3">
        <v>11100</v>
      </c>
      <c r="H47" t="s">
        <v>3</v>
      </c>
      <c r="I47" t="s">
        <v>3</v>
      </c>
      <c r="J47" t="s">
        <v>240</v>
      </c>
      <c r="K47" t="s">
        <v>227</v>
      </c>
      <c r="L47" t="s">
        <v>16</v>
      </c>
      <c r="M47" t="s">
        <v>114</v>
      </c>
      <c r="N47" s="2">
        <v>44651</v>
      </c>
    </row>
    <row r="48" spans="1:14" x14ac:dyDescent="0.25">
      <c r="A48" t="s">
        <v>229</v>
      </c>
      <c r="B48" s="2">
        <v>44651</v>
      </c>
      <c r="C48" t="s">
        <v>229</v>
      </c>
      <c r="D48" t="s">
        <v>112</v>
      </c>
      <c r="E48" t="s">
        <v>9</v>
      </c>
      <c r="F48" s="3">
        <v>900</v>
      </c>
      <c r="G48" s="3">
        <v>900</v>
      </c>
      <c r="H48" t="s">
        <v>3</v>
      </c>
      <c r="I48" t="s">
        <v>3</v>
      </c>
      <c r="J48" t="s">
        <v>241</v>
      </c>
      <c r="K48" t="s">
        <v>227</v>
      </c>
      <c r="L48" t="s">
        <v>16</v>
      </c>
      <c r="M48" t="s">
        <v>114</v>
      </c>
      <c r="N48" s="2">
        <v>44651</v>
      </c>
    </row>
    <row r="49" spans="1:14" x14ac:dyDescent="0.25">
      <c r="A49" t="s">
        <v>229</v>
      </c>
      <c r="B49" s="2">
        <v>44985</v>
      </c>
      <c r="C49" t="s">
        <v>229</v>
      </c>
      <c r="D49" t="s">
        <v>112</v>
      </c>
      <c r="E49" t="s">
        <v>9</v>
      </c>
      <c r="F49" s="3">
        <v>-4500</v>
      </c>
      <c r="G49" s="3">
        <v>-4500</v>
      </c>
      <c r="H49" t="s">
        <v>3</v>
      </c>
      <c r="I49" t="s">
        <v>3</v>
      </c>
      <c r="J49" t="s">
        <v>237</v>
      </c>
      <c r="K49" t="s">
        <v>225</v>
      </c>
      <c r="L49" t="s">
        <v>16</v>
      </c>
      <c r="M49" t="s">
        <v>114</v>
      </c>
      <c r="N49" s="2">
        <v>44986</v>
      </c>
    </row>
    <row r="50" spans="1:14" x14ac:dyDescent="0.25">
      <c r="A50" t="s">
        <v>229</v>
      </c>
      <c r="B50" s="2">
        <v>45016</v>
      </c>
      <c r="C50" t="s">
        <v>229</v>
      </c>
      <c r="D50" t="s">
        <v>112</v>
      </c>
      <c r="E50" t="s">
        <v>9</v>
      </c>
      <c r="F50" s="3">
        <v>5800</v>
      </c>
      <c r="G50" s="3">
        <v>5800</v>
      </c>
      <c r="H50" t="s">
        <v>3</v>
      </c>
      <c r="I50" t="s">
        <v>3</v>
      </c>
      <c r="J50" t="s">
        <v>242</v>
      </c>
      <c r="K50" t="s">
        <v>225</v>
      </c>
      <c r="L50" t="s">
        <v>16</v>
      </c>
      <c r="M50" t="s">
        <v>114</v>
      </c>
      <c r="N50" s="2">
        <v>45016</v>
      </c>
    </row>
    <row r="51" spans="1:14" x14ac:dyDescent="0.25">
      <c r="A51" t="s">
        <v>229</v>
      </c>
      <c r="B51" s="2">
        <v>45351</v>
      </c>
      <c r="C51" t="s">
        <v>229</v>
      </c>
      <c r="D51" t="s">
        <v>112</v>
      </c>
      <c r="E51" t="s">
        <v>9</v>
      </c>
      <c r="F51" s="3">
        <v>-9700</v>
      </c>
      <c r="G51" s="3">
        <v>-9700</v>
      </c>
      <c r="H51" t="s">
        <v>3</v>
      </c>
      <c r="I51" t="s">
        <v>3</v>
      </c>
      <c r="J51" t="s">
        <v>238</v>
      </c>
      <c r="K51" t="s">
        <v>222</v>
      </c>
      <c r="L51" t="s">
        <v>16</v>
      </c>
      <c r="M51" t="s">
        <v>114</v>
      </c>
      <c r="N51" s="2">
        <v>45352</v>
      </c>
    </row>
    <row r="52" spans="1:14" x14ac:dyDescent="0.25">
      <c r="A52" t="s">
        <v>229</v>
      </c>
      <c r="B52" s="2">
        <v>45382</v>
      </c>
      <c r="C52" t="s">
        <v>229</v>
      </c>
      <c r="D52" t="s">
        <v>112</v>
      </c>
      <c r="E52" t="s">
        <v>9</v>
      </c>
      <c r="F52" s="3">
        <v>26100</v>
      </c>
      <c r="G52" s="3">
        <v>26100</v>
      </c>
      <c r="H52" t="s">
        <v>3</v>
      </c>
      <c r="I52" t="s">
        <v>3</v>
      </c>
      <c r="J52" t="s">
        <v>243</v>
      </c>
      <c r="K52" t="s">
        <v>222</v>
      </c>
      <c r="L52" t="s">
        <v>16</v>
      </c>
      <c r="M52" t="s">
        <v>114</v>
      </c>
      <c r="N52" s="2">
        <v>45382</v>
      </c>
    </row>
    <row r="53" spans="1:14" x14ac:dyDescent="0.25">
      <c r="A53" s="4" t="s">
        <v>244</v>
      </c>
      <c r="B53" s="5"/>
      <c r="C53" s="4" t="s">
        <v>9</v>
      </c>
      <c r="D53" s="4" t="s">
        <v>9</v>
      </c>
      <c r="E53" s="4" t="s">
        <v>9</v>
      </c>
      <c r="F53" s="6">
        <v>0</v>
      </c>
      <c r="G53" s="6">
        <v>0</v>
      </c>
      <c r="H53" s="4" t="s">
        <v>9</v>
      </c>
      <c r="I53" s="4" t="s">
        <v>3</v>
      </c>
      <c r="J53" s="4" t="s">
        <v>9</v>
      </c>
      <c r="K53" s="4" t="s">
        <v>9</v>
      </c>
      <c r="L53" s="4" t="s">
        <v>9</v>
      </c>
      <c r="M53" s="4" t="s">
        <v>9</v>
      </c>
      <c r="N53" s="5"/>
    </row>
    <row r="54" spans="1:14" x14ac:dyDescent="0.25">
      <c r="A54" t="s">
        <v>229</v>
      </c>
      <c r="B54" s="2">
        <v>44685</v>
      </c>
      <c r="C54" t="s">
        <v>229</v>
      </c>
      <c r="D54" t="s">
        <v>112</v>
      </c>
      <c r="E54" t="s">
        <v>9</v>
      </c>
      <c r="F54" s="3">
        <v>-4000</v>
      </c>
      <c r="G54" s="3">
        <v>-4000</v>
      </c>
      <c r="H54" t="s">
        <v>3</v>
      </c>
      <c r="I54" t="s">
        <v>3</v>
      </c>
      <c r="J54" t="s">
        <v>9</v>
      </c>
      <c r="K54" t="s">
        <v>9</v>
      </c>
      <c r="L54" t="s">
        <v>17</v>
      </c>
      <c r="M54" t="s">
        <v>114</v>
      </c>
      <c r="N54" s="2">
        <v>44681</v>
      </c>
    </row>
    <row r="55" spans="1:14" x14ac:dyDescent="0.25">
      <c r="A55" t="s">
        <v>229</v>
      </c>
      <c r="B55" s="2">
        <v>45415</v>
      </c>
      <c r="C55" t="s">
        <v>229</v>
      </c>
      <c r="D55" t="s">
        <v>112</v>
      </c>
      <c r="E55" t="s">
        <v>9</v>
      </c>
      <c r="F55" s="3">
        <v>-10400</v>
      </c>
      <c r="G55" s="3">
        <v>-10400</v>
      </c>
      <c r="H55" t="s">
        <v>3</v>
      </c>
      <c r="I55" t="s">
        <v>3</v>
      </c>
      <c r="J55" t="s">
        <v>9</v>
      </c>
      <c r="K55" t="s">
        <v>9</v>
      </c>
      <c r="L55" t="s">
        <v>17</v>
      </c>
      <c r="M55" t="s">
        <v>114</v>
      </c>
      <c r="N55" s="2">
        <v>45412</v>
      </c>
    </row>
    <row r="56" spans="1:14" x14ac:dyDescent="0.25">
      <c r="A56" t="s">
        <v>229</v>
      </c>
      <c r="B56" s="2">
        <v>44651</v>
      </c>
      <c r="C56" t="s">
        <v>229</v>
      </c>
      <c r="D56" t="s">
        <v>112</v>
      </c>
      <c r="E56" t="s">
        <v>9</v>
      </c>
      <c r="F56" s="3">
        <v>-11100</v>
      </c>
      <c r="G56" s="3">
        <v>-11100</v>
      </c>
      <c r="H56" t="s">
        <v>3</v>
      </c>
      <c r="I56" t="s">
        <v>3</v>
      </c>
      <c r="J56" t="s">
        <v>240</v>
      </c>
      <c r="K56" t="s">
        <v>227</v>
      </c>
      <c r="L56" t="s">
        <v>17</v>
      </c>
      <c r="M56" t="s">
        <v>114</v>
      </c>
      <c r="N56" s="2">
        <v>44652</v>
      </c>
    </row>
    <row r="57" spans="1:14" x14ac:dyDescent="0.25">
      <c r="A57" t="s">
        <v>229</v>
      </c>
      <c r="B57" s="2">
        <v>44651</v>
      </c>
      <c r="C57" t="s">
        <v>229</v>
      </c>
      <c r="D57" t="s">
        <v>112</v>
      </c>
      <c r="E57" t="s">
        <v>9</v>
      </c>
      <c r="F57" s="3">
        <v>-900</v>
      </c>
      <c r="G57" s="3">
        <v>-900</v>
      </c>
      <c r="H57" t="s">
        <v>3</v>
      </c>
      <c r="I57" t="s">
        <v>3</v>
      </c>
      <c r="J57" t="s">
        <v>241</v>
      </c>
      <c r="K57" t="s">
        <v>227</v>
      </c>
      <c r="L57" t="s">
        <v>17</v>
      </c>
      <c r="M57" t="s">
        <v>114</v>
      </c>
      <c r="N57" s="2">
        <v>44652</v>
      </c>
    </row>
    <row r="58" spans="1:14" x14ac:dyDescent="0.25">
      <c r="A58" t="s">
        <v>229</v>
      </c>
      <c r="B58" s="2">
        <v>44681</v>
      </c>
      <c r="C58" t="s">
        <v>229</v>
      </c>
      <c r="D58" t="s">
        <v>112</v>
      </c>
      <c r="E58" t="s">
        <v>9</v>
      </c>
      <c r="F58" s="3">
        <v>14600</v>
      </c>
      <c r="G58" s="3">
        <v>14600</v>
      </c>
      <c r="H58" t="s">
        <v>3</v>
      </c>
      <c r="I58" t="s">
        <v>3</v>
      </c>
      <c r="J58" t="s">
        <v>245</v>
      </c>
      <c r="K58" t="s">
        <v>227</v>
      </c>
      <c r="L58" t="s">
        <v>17</v>
      </c>
      <c r="M58" t="s">
        <v>114</v>
      </c>
      <c r="N58" s="2">
        <v>44681</v>
      </c>
    </row>
    <row r="59" spans="1:14" x14ac:dyDescent="0.25">
      <c r="A59" t="s">
        <v>229</v>
      </c>
      <c r="B59" s="2">
        <v>44681</v>
      </c>
      <c r="C59" t="s">
        <v>229</v>
      </c>
      <c r="D59" t="s">
        <v>112</v>
      </c>
      <c r="E59" t="s">
        <v>9</v>
      </c>
      <c r="F59" s="3">
        <v>1400</v>
      </c>
      <c r="G59" s="3">
        <v>1400</v>
      </c>
      <c r="H59" t="s">
        <v>3</v>
      </c>
      <c r="I59" t="s">
        <v>3</v>
      </c>
      <c r="J59" t="s">
        <v>246</v>
      </c>
      <c r="K59" t="s">
        <v>227</v>
      </c>
      <c r="L59" t="s">
        <v>17</v>
      </c>
      <c r="M59" t="s">
        <v>114</v>
      </c>
      <c r="N59" s="2">
        <v>44681</v>
      </c>
    </row>
    <row r="60" spans="1:14" x14ac:dyDescent="0.25">
      <c r="A60" t="s">
        <v>229</v>
      </c>
      <c r="B60" s="2">
        <v>45016</v>
      </c>
      <c r="C60" t="s">
        <v>229</v>
      </c>
      <c r="D60" t="s">
        <v>112</v>
      </c>
      <c r="E60" t="s">
        <v>9</v>
      </c>
      <c r="F60" s="3">
        <v>-5800</v>
      </c>
      <c r="G60" s="3">
        <v>-5800</v>
      </c>
      <c r="H60" t="s">
        <v>3</v>
      </c>
      <c r="I60" t="s">
        <v>3</v>
      </c>
      <c r="J60" t="s">
        <v>242</v>
      </c>
      <c r="K60" t="s">
        <v>225</v>
      </c>
      <c r="L60" t="s">
        <v>17</v>
      </c>
      <c r="M60" t="s">
        <v>114</v>
      </c>
      <c r="N60" s="2">
        <v>45017</v>
      </c>
    </row>
    <row r="61" spans="1:14" x14ac:dyDescent="0.25">
      <c r="A61" t="s">
        <v>229</v>
      </c>
      <c r="B61" s="2">
        <v>45046</v>
      </c>
      <c r="C61" t="s">
        <v>229</v>
      </c>
      <c r="D61" t="s">
        <v>112</v>
      </c>
      <c r="E61" t="s">
        <v>9</v>
      </c>
      <c r="F61" s="3">
        <v>5800</v>
      </c>
      <c r="G61" s="3">
        <v>5800</v>
      </c>
      <c r="H61" t="s">
        <v>3</v>
      </c>
      <c r="I61" t="s">
        <v>3</v>
      </c>
      <c r="J61" t="s">
        <v>247</v>
      </c>
      <c r="K61" t="s">
        <v>225</v>
      </c>
      <c r="L61" t="s">
        <v>17</v>
      </c>
      <c r="M61" t="s">
        <v>114</v>
      </c>
      <c r="N61" s="2">
        <v>45046</v>
      </c>
    </row>
    <row r="62" spans="1:14" x14ac:dyDescent="0.25">
      <c r="A62" t="s">
        <v>229</v>
      </c>
      <c r="B62" s="2">
        <v>45382</v>
      </c>
      <c r="C62" t="s">
        <v>229</v>
      </c>
      <c r="D62" t="s">
        <v>112</v>
      </c>
      <c r="E62" t="s">
        <v>9</v>
      </c>
      <c r="F62" s="3">
        <v>-26100</v>
      </c>
      <c r="G62" s="3">
        <v>-26100</v>
      </c>
      <c r="H62" t="s">
        <v>3</v>
      </c>
      <c r="I62" t="s">
        <v>3</v>
      </c>
      <c r="J62" t="s">
        <v>243</v>
      </c>
      <c r="K62" t="s">
        <v>222</v>
      </c>
      <c r="L62" t="s">
        <v>17</v>
      </c>
      <c r="M62" t="s">
        <v>114</v>
      </c>
      <c r="N62" s="2">
        <v>45383</v>
      </c>
    </row>
    <row r="63" spans="1:14" x14ac:dyDescent="0.25">
      <c r="A63" t="s">
        <v>229</v>
      </c>
      <c r="B63" s="2">
        <v>45412</v>
      </c>
      <c r="C63" t="s">
        <v>229</v>
      </c>
      <c r="D63" t="s">
        <v>112</v>
      </c>
      <c r="E63" t="s">
        <v>9</v>
      </c>
      <c r="F63" s="3">
        <v>36500</v>
      </c>
      <c r="G63" s="3">
        <v>36500</v>
      </c>
      <c r="H63" t="s">
        <v>3</v>
      </c>
      <c r="I63" t="s">
        <v>3</v>
      </c>
      <c r="J63" t="s">
        <v>248</v>
      </c>
      <c r="K63" t="s">
        <v>222</v>
      </c>
      <c r="L63" t="s">
        <v>17</v>
      </c>
      <c r="M63" t="s">
        <v>114</v>
      </c>
      <c r="N63" s="2">
        <v>45412</v>
      </c>
    </row>
    <row r="64" spans="1:14" x14ac:dyDescent="0.25">
      <c r="A64" s="4" t="s">
        <v>249</v>
      </c>
      <c r="B64" s="5"/>
      <c r="C64" s="4" t="s">
        <v>9</v>
      </c>
      <c r="D64" s="4" t="s">
        <v>9</v>
      </c>
      <c r="E64" s="4" t="s">
        <v>9</v>
      </c>
      <c r="F64" s="6">
        <v>0</v>
      </c>
      <c r="G64" s="6">
        <v>0</v>
      </c>
      <c r="H64" s="4" t="s">
        <v>9</v>
      </c>
      <c r="I64" s="4" t="s">
        <v>3</v>
      </c>
      <c r="J64" s="4" t="s">
        <v>9</v>
      </c>
      <c r="K64" s="4" t="s">
        <v>9</v>
      </c>
      <c r="L64" s="4" t="s">
        <v>9</v>
      </c>
      <c r="M64" s="4" t="s">
        <v>9</v>
      </c>
      <c r="N64" s="5"/>
    </row>
    <row r="65" spans="1:14" x14ac:dyDescent="0.25">
      <c r="A65" t="s">
        <v>229</v>
      </c>
      <c r="B65" s="2">
        <v>44715</v>
      </c>
      <c r="C65" t="s">
        <v>229</v>
      </c>
      <c r="D65" t="s">
        <v>112</v>
      </c>
      <c r="E65" t="s">
        <v>9</v>
      </c>
      <c r="F65" s="3">
        <v>-1800</v>
      </c>
      <c r="G65" s="3">
        <v>-1800</v>
      </c>
      <c r="H65" t="s">
        <v>3</v>
      </c>
      <c r="I65" t="s">
        <v>3</v>
      </c>
      <c r="J65" t="s">
        <v>9</v>
      </c>
      <c r="K65" t="s">
        <v>9</v>
      </c>
      <c r="L65" t="s">
        <v>18</v>
      </c>
      <c r="M65" t="s">
        <v>114</v>
      </c>
      <c r="N65" s="2">
        <v>44712</v>
      </c>
    </row>
    <row r="66" spans="1:14" x14ac:dyDescent="0.25">
      <c r="A66" t="s">
        <v>229</v>
      </c>
      <c r="B66" s="2">
        <v>45082</v>
      </c>
      <c r="C66" t="s">
        <v>229</v>
      </c>
      <c r="D66" t="s">
        <v>112</v>
      </c>
      <c r="E66" t="s">
        <v>9</v>
      </c>
      <c r="F66" s="3">
        <v>-4200</v>
      </c>
      <c r="G66" s="3">
        <v>-4200</v>
      </c>
      <c r="H66" t="s">
        <v>3</v>
      </c>
      <c r="I66" t="s">
        <v>3</v>
      </c>
      <c r="J66" t="s">
        <v>9</v>
      </c>
      <c r="K66" t="s">
        <v>9</v>
      </c>
      <c r="L66" t="s">
        <v>18</v>
      </c>
      <c r="M66" t="s">
        <v>114</v>
      </c>
      <c r="N66" s="2">
        <v>45077</v>
      </c>
    </row>
    <row r="67" spans="1:14" x14ac:dyDescent="0.25">
      <c r="A67" t="s">
        <v>229</v>
      </c>
      <c r="B67" s="2">
        <v>45447</v>
      </c>
      <c r="C67" t="s">
        <v>229</v>
      </c>
      <c r="D67" t="s">
        <v>112</v>
      </c>
      <c r="E67" t="s">
        <v>9</v>
      </c>
      <c r="F67" s="3">
        <v>-3400</v>
      </c>
      <c r="G67" s="3">
        <v>-3400</v>
      </c>
      <c r="H67" t="s">
        <v>3</v>
      </c>
      <c r="I67" t="s">
        <v>3</v>
      </c>
      <c r="J67" t="s">
        <v>9</v>
      </c>
      <c r="K67" t="s">
        <v>9</v>
      </c>
      <c r="L67" t="s">
        <v>18</v>
      </c>
      <c r="M67" t="s">
        <v>114</v>
      </c>
      <c r="N67" s="2">
        <v>45443</v>
      </c>
    </row>
    <row r="68" spans="1:14" x14ac:dyDescent="0.25">
      <c r="A68" t="s">
        <v>229</v>
      </c>
      <c r="B68" s="2">
        <v>44681</v>
      </c>
      <c r="C68" t="s">
        <v>229</v>
      </c>
      <c r="D68" t="s">
        <v>112</v>
      </c>
      <c r="E68" t="s">
        <v>9</v>
      </c>
      <c r="F68" s="3">
        <v>-14600</v>
      </c>
      <c r="G68" s="3">
        <v>-14600</v>
      </c>
      <c r="H68" t="s">
        <v>3</v>
      </c>
      <c r="I68" t="s">
        <v>3</v>
      </c>
      <c r="J68" t="s">
        <v>245</v>
      </c>
      <c r="K68" t="s">
        <v>227</v>
      </c>
      <c r="L68" t="s">
        <v>18</v>
      </c>
      <c r="M68" t="s">
        <v>114</v>
      </c>
      <c r="N68" s="2">
        <v>44682</v>
      </c>
    </row>
    <row r="69" spans="1:14" x14ac:dyDescent="0.25">
      <c r="A69" t="s">
        <v>229</v>
      </c>
      <c r="B69" s="2">
        <v>44681</v>
      </c>
      <c r="C69" t="s">
        <v>229</v>
      </c>
      <c r="D69" t="s">
        <v>112</v>
      </c>
      <c r="E69" t="s">
        <v>9</v>
      </c>
      <c r="F69" s="3">
        <v>-1400</v>
      </c>
      <c r="G69" s="3">
        <v>-1400</v>
      </c>
      <c r="H69" t="s">
        <v>3</v>
      </c>
      <c r="I69" t="s">
        <v>3</v>
      </c>
      <c r="J69" t="s">
        <v>246</v>
      </c>
      <c r="K69" t="s">
        <v>227</v>
      </c>
      <c r="L69" t="s">
        <v>18</v>
      </c>
      <c r="M69" t="s">
        <v>114</v>
      </c>
      <c r="N69" s="2">
        <v>44682</v>
      </c>
    </row>
    <row r="70" spans="1:14" x14ac:dyDescent="0.25">
      <c r="A70" t="s">
        <v>229</v>
      </c>
      <c r="B70" s="2">
        <v>44712</v>
      </c>
      <c r="C70" t="s">
        <v>229</v>
      </c>
      <c r="D70" t="s">
        <v>112</v>
      </c>
      <c r="E70" t="s">
        <v>9</v>
      </c>
      <c r="F70" s="3">
        <v>16400</v>
      </c>
      <c r="G70" s="3">
        <v>16400</v>
      </c>
      <c r="H70" t="s">
        <v>3</v>
      </c>
      <c r="I70" t="s">
        <v>3</v>
      </c>
      <c r="J70" t="s">
        <v>250</v>
      </c>
      <c r="K70" t="s">
        <v>227</v>
      </c>
      <c r="L70" t="s">
        <v>18</v>
      </c>
      <c r="M70" t="s">
        <v>114</v>
      </c>
      <c r="N70" s="2">
        <v>44712</v>
      </c>
    </row>
    <row r="71" spans="1:14" x14ac:dyDescent="0.25">
      <c r="A71" t="s">
        <v>229</v>
      </c>
      <c r="B71" s="2">
        <v>44712</v>
      </c>
      <c r="C71" t="s">
        <v>229</v>
      </c>
      <c r="D71" t="s">
        <v>112</v>
      </c>
      <c r="E71" t="s">
        <v>9</v>
      </c>
      <c r="F71" s="3">
        <v>1400</v>
      </c>
      <c r="G71" s="3">
        <v>1400</v>
      </c>
      <c r="H71" t="s">
        <v>3</v>
      </c>
      <c r="I71" t="s">
        <v>3</v>
      </c>
      <c r="J71" t="s">
        <v>251</v>
      </c>
      <c r="K71" t="s">
        <v>227</v>
      </c>
      <c r="L71" t="s">
        <v>18</v>
      </c>
      <c r="M71" t="s">
        <v>114</v>
      </c>
      <c r="N71" s="2">
        <v>44712</v>
      </c>
    </row>
    <row r="72" spans="1:14" x14ac:dyDescent="0.25">
      <c r="A72" t="s">
        <v>229</v>
      </c>
      <c r="B72" s="2">
        <v>45046</v>
      </c>
      <c r="C72" t="s">
        <v>229</v>
      </c>
      <c r="D72" t="s">
        <v>112</v>
      </c>
      <c r="E72" t="s">
        <v>9</v>
      </c>
      <c r="F72" s="3">
        <v>-5800</v>
      </c>
      <c r="G72" s="3">
        <v>-5800</v>
      </c>
      <c r="H72" t="s">
        <v>3</v>
      </c>
      <c r="I72" t="s">
        <v>3</v>
      </c>
      <c r="J72" t="s">
        <v>247</v>
      </c>
      <c r="K72" t="s">
        <v>225</v>
      </c>
      <c r="L72" t="s">
        <v>18</v>
      </c>
      <c r="M72" t="s">
        <v>114</v>
      </c>
      <c r="N72" s="2">
        <v>45047</v>
      </c>
    </row>
    <row r="73" spans="1:14" x14ac:dyDescent="0.25">
      <c r="A73" t="s">
        <v>229</v>
      </c>
      <c r="B73" s="2">
        <v>45077</v>
      </c>
      <c r="C73" t="s">
        <v>229</v>
      </c>
      <c r="D73" t="s">
        <v>112</v>
      </c>
      <c r="E73" t="s">
        <v>9</v>
      </c>
      <c r="F73" s="3">
        <v>10000</v>
      </c>
      <c r="G73" s="3">
        <v>10000</v>
      </c>
      <c r="H73" t="s">
        <v>3</v>
      </c>
      <c r="I73" t="s">
        <v>3</v>
      </c>
      <c r="J73" t="s">
        <v>252</v>
      </c>
      <c r="K73" t="s">
        <v>225</v>
      </c>
      <c r="L73" t="s">
        <v>18</v>
      </c>
      <c r="M73" t="s">
        <v>114</v>
      </c>
      <c r="N73" s="2">
        <v>45077</v>
      </c>
    </row>
    <row r="74" spans="1:14" x14ac:dyDescent="0.25">
      <c r="A74" t="s">
        <v>229</v>
      </c>
      <c r="B74" s="2">
        <v>45412</v>
      </c>
      <c r="C74" t="s">
        <v>229</v>
      </c>
      <c r="D74" t="s">
        <v>112</v>
      </c>
      <c r="E74" t="s">
        <v>9</v>
      </c>
      <c r="F74" s="3">
        <v>-36500</v>
      </c>
      <c r="G74" s="3">
        <v>-36500</v>
      </c>
      <c r="H74" t="s">
        <v>3</v>
      </c>
      <c r="I74" t="s">
        <v>3</v>
      </c>
      <c r="J74" t="s">
        <v>248</v>
      </c>
      <c r="K74" t="s">
        <v>222</v>
      </c>
      <c r="L74" t="s">
        <v>18</v>
      </c>
      <c r="M74" t="s">
        <v>114</v>
      </c>
      <c r="N74" s="2">
        <v>45413</v>
      </c>
    </row>
    <row r="75" spans="1:14" x14ac:dyDescent="0.25">
      <c r="A75" t="s">
        <v>229</v>
      </c>
      <c r="B75" s="2">
        <v>45443</v>
      </c>
      <c r="C75" t="s">
        <v>229</v>
      </c>
      <c r="D75" t="s">
        <v>112</v>
      </c>
      <c r="E75" t="s">
        <v>9</v>
      </c>
      <c r="F75" s="3">
        <v>39900</v>
      </c>
      <c r="G75" s="3">
        <v>39900</v>
      </c>
      <c r="H75" t="s">
        <v>3</v>
      </c>
      <c r="I75" t="s">
        <v>3</v>
      </c>
      <c r="J75" t="s">
        <v>253</v>
      </c>
      <c r="K75" t="s">
        <v>222</v>
      </c>
      <c r="L75" t="s">
        <v>18</v>
      </c>
      <c r="M75" t="s">
        <v>114</v>
      </c>
      <c r="N75" s="2">
        <v>45443</v>
      </c>
    </row>
    <row r="76" spans="1:14" x14ac:dyDescent="0.25">
      <c r="A76" s="4" t="s">
        <v>223</v>
      </c>
      <c r="B76" s="5"/>
      <c r="C76" s="4" t="s">
        <v>9</v>
      </c>
      <c r="D76" s="4" t="s">
        <v>9</v>
      </c>
      <c r="E76" s="4" t="s">
        <v>9</v>
      </c>
      <c r="F76" s="6">
        <v>0</v>
      </c>
      <c r="G76" s="6">
        <v>0</v>
      </c>
      <c r="H76" s="4" t="s">
        <v>9</v>
      </c>
      <c r="I76" s="4" t="s">
        <v>3</v>
      </c>
      <c r="J76" s="4" t="s">
        <v>9</v>
      </c>
      <c r="K76" s="4" t="s">
        <v>9</v>
      </c>
      <c r="L76" s="4" t="s">
        <v>9</v>
      </c>
      <c r="M76" s="4" t="s">
        <v>9</v>
      </c>
      <c r="N76" s="5"/>
    </row>
    <row r="77" spans="1:14" x14ac:dyDescent="0.25">
      <c r="A77" t="s">
        <v>229</v>
      </c>
      <c r="B77" s="2">
        <v>44747</v>
      </c>
      <c r="C77" t="s">
        <v>229</v>
      </c>
      <c r="D77" t="s">
        <v>112</v>
      </c>
      <c r="E77" t="s">
        <v>9</v>
      </c>
      <c r="F77" s="3">
        <v>-2600</v>
      </c>
      <c r="G77" s="3">
        <v>-2600</v>
      </c>
      <c r="H77" t="s">
        <v>3</v>
      </c>
      <c r="I77" t="s">
        <v>3</v>
      </c>
      <c r="J77" t="s">
        <v>9</v>
      </c>
      <c r="K77" t="s">
        <v>9</v>
      </c>
      <c r="L77" t="s">
        <v>19</v>
      </c>
      <c r="M77" t="s">
        <v>114</v>
      </c>
      <c r="N77" s="2">
        <v>44742</v>
      </c>
    </row>
    <row r="78" spans="1:14" x14ac:dyDescent="0.25">
      <c r="A78" t="s">
        <v>229</v>
      </c>
      <c r="B78" s="2">
        <v>45111</v>
      </c>
      <c r="C78" t="s">
        <v>229</v>
      </c>
      <c r="D78" t="s">
        <v>112</v>
      </c>
      <c r="E78" t="s">
        <v>9</v>
      </c>
      <c r="F78" s="3">
        <v>-600</v>
      </c>
      <c r="G78" s="3">
        <v>-600</v>
      </c>
      <c r="H78" t="s">
        <v>3</v>
      </c>
      <c r="I78" t="s">
        <v>3</v>
      </c>
      <c r="J78" t="s">
        <v>9</v>
      </c>
      <c r="K78" t="s">
        <v>9</v>
      </c>
      <c r="L78" t="s">
        <v>19</v>
      </c>
      <c r="M78" t="s">
        <v>114</v>
      </c>
      <c r="N78" s="2">
        <v>45107</v>
      </c>
    </row>
    <row r="79" spans="1:14" x14ac:dyDescent="0.25">
      <c r="A79" t="s">
        <v>229</v>
      </c>
      <c r="B79" s="2">
        <v>44712</v>
      </c>
      <c r="C79" t="s">
        <v>229</v>
      </c>
      <c r="D79" t="s">
        <v>112</v>
      </c>
      <c r="E79" t="s">
        <v>9</v>
      </c>
      <c r="F79" s="3">
        <v>-16400</v>
      </c>
      <c r="G79" s="3">
        <v>-16400</v>
      </c>
      <c r="H79" t="s">
        <v>3</v>
      </c>
      <c r="I79" t="s">
        <v>3</v>
      </c>
      <c r="J79" t="s">
        <v>250</v>
      </c>
      <c r="K79" t="s">
        <v>227</v>
      </c>
      <c r="L79" t="s">
        <v>19</v>
      </c>
      <c r="M79" t="s">
        <v>114</v>
      </c>
      <c r="N79" s="2">
        <v>44713</v>
      </c>
    </row>
    <row r="80" spans="1:14" x14ac:dyDescent="0.25">
      <c r="A80" t="s">
        <v>229</v>
      </c>
      <c r="B80" s="2">
        <v>44712</v>
      </c>
      <c r="C80" t="s">
        <v>229</v>
      </c>
      <c r="D80" t="s">
        <v>112</v>
      </c>
      <c r="E80" t="s">
        <v>9</v>
      </c>
      <c r="F80" s="3">
        <v>-1400</v>
      </c>
      <c r="G80" s="3">
        <v>-1400</v>
      </c>
      <c r="H80" t="s">
        <v>3</v>
      </c>
      <c r="I80" t="s">
        <v>3</v>
      </c>
      <c r="J80" t="s">
        <v>251</v>
      </c>
      <c r="K80" t="s">
        <v>227</v>
      </c>
      <c r="L80" t="s">
        <v>19</v>
      </c>
      <c r="M80" t="s">
        <v>114</v>
      </c>
      <c r="N80" s="2">
        <v>44713</v>
      </c>
    </row>
    <row r="81" spans="1:14" x14ac:dyDescent="0.25">
      <c r="A81" t="s">
        <v>229</v>
      </c>
      <c r="B81" s="2">
        <v>44742</v>
      </c>
      <c r="C81" t="s">
        <v>229</v>
      </c>
      <c r="D81" t="s">
        <v>112</v>
      </c>
      <c r="E81" t="s">
        <v>9</v>
      </c>
      <c r="F81" s="3">
        <v>18700</v>
      </c>
      <c r="G81" s="3">
        <v>18700</v>
      </c>
      <c r="H81" t="s">
        <v>3</v>
      </c>
      <c r="I81" t="s">
        <v>3</v>
      </c>
      <c r="J81" t="s">
        <v>254</v>
      </c>
      <c r="K81" t="s">
        <v>227</v>
      </c>
      <c r="L81" t="s">
        <v>19</v>
      </c>
      <c r="M81" t="s">
        <v>114</v>
      </c>
      <c r="N81" s="2">
        <v>44742</v>
      </c>
    </row>
    <row r="82" spans="1:14" x14ac:dyDescent="0.25">
      <c r="A82" t="s">
        <v>229</v>
      </c>
      <c r="B82" s="2">
        <v>44742</v>
      </c>
      <c r="C82" t="s">
        <v>229</v>
      </c>
      <c r="D82" t="s">
        <v>112</v>
      </c>
      <c r="E82" t="s">
        <v>9</v>
      </c>
      <c r="F82" s="3">
        <v>1700</v>
      </c>
      <c r="G82" s="3">
        <v>1700</v>
      </c>
      <c r="H82" t="s">
        <v>3</v>
      </c>
      <c r="I82" t="s">
        <v>3</v>
      </c>
      <c r="J82" t="s">
        <v>255</v>
      </c>
      <c r="K82" t="s">
        <v>227</v>
      </c>
      <c r="L82" t="s">
        <v>19</v>
      </c>
      <c r="M82" t="s">
        <v>114</v>
      </c>
      <c r="N82" s="2">
        <v>44742</v>
      </c>
    </row>
    <row r="83" spans="1:14" x14ac:dyDescent="0.25">
      <c r="A83" t="s">
        <v>229</v>
      </c>
      <c r="B83" s="2">
        <v>45077</v>
      </c>
      <c r="C83" t="s">
        <v>229</v>
      </c>
      <c r="D83" t="s">
        <v>112</v>
      </c>
      <c r="E83" t="s">
        <v>9</v>
      </c>
      <c r="F83" s="3">
        <v>-10000</v>
      </c>
      <c r="G83" s="3">
        <v>-10000</v>
      </c>
      <c r="H83" t="s">
        <v>3</v>
      </c>
      <c r="I83" t="s">
        <v>3</v>
      </c>
      <c r="J83" t="s">
        <v>252</v>
      </c>
      <c r="K83" t="s">
        <v>225</v>
      </c>
      <c r="L83" t="s">
        <v>19</v>
      </c>
      <c r="M83" t="s">
        <v>114</v>
      </c>
      <c r="N83" s="2">
        <v>45078</v>
      </c>
    </row>
    <row r="84" spans="1:14" x14ac:dyDescent="0.25">
      <c r="A84" t="s">
        <v>229</v>
      </c>
      <c r="B84" s="2">
        <v>45107</v>
      </c>
      <c r="C84" t="s">
        <v>229</v>
      </c>
      <c r="D84" t="s">
        <v>112</v>
      </c>
      <c r="E84" t="s">
        <v>9</v>
      </c>
      <c r="F84" s="3">
        <v>10600</v>
      </c>
      <c r="G84" s="3">
        <v>10600</v>
      </c>
      <c r="H84" t="s">
        <v>3</v>
      </c>
      <c r="I84" t="s">
        <v>3</v>
      </c>
      <c r="J84" t="s">
        <v>256</v>
      </c>
      <c r="K84" t="s">
        <v>225</v>
      </c>
      <c r="L84" t="s">
        <v>19</v>
      </c>
      <c r="M84" t="s">
        <v>114</v>
      </c>
      <c r="N84" s="2">
        <v>45107</v>
      </c>
    </row>
    <row r="85" spans="1:14" x14ac:dyDescent="0.25">
      <c r="A85" t="s">
        <v>229</v>
      </c>
      <c r="B85" s="2">
        <v>45443</v>
      </c>
      <c r="C85" t="s">
        <v>229</v>
      </c>
      <c r="D85" t="s">
        <v>112</v>
      </c>
      <c r="E85" t="s">
        <v>9</v>
      </c>
      <c r="F85" s="3">
        <v>-39900</v>
      </c>
      <c r="G85" s="3">
        <v>-39900</v>
      </c>
      <c r="H85" t="s">
        <v>3</v>
      </c>
      <c r="I85" t="s">
        <v>3</v>
      </c>
      <c r="J85" t="s">
        <v>253</v>
      </c>
      <c r="K85" t="s">
        <v>222</v>
      </c>
      <c r="L85" t="s">
        <v>19</v>
      </c>
      <c r="M85" t="s">
        <v>114</v>
      </c>
      <c r="N85" s="2">
        <v>45444</v>
      </c>
    </row>
    <row r="86" spans="1:14" x14ac:dyDescent="0.25">
      <c r="A86" t="s">
        <v>229</v>
      </c>
      <c r="B86" s="2">
        <v>45473</v>
      </c>
      <c r="C86" t="s">
        <v>229</v>
      </c>
      <c r="D86" t="s">
        <v>112</v>
      </c>
      <c r="E86" t="s">
        <v>9</v>
      </c>
      <c r="F86" s="3">
        <v>39900</v>
      </c>
      <c r="G86" s="3">
        <v>39900</v>
      </c>
      <c r="H86" t="s">
        <v>3</v>
      </c>
      <c r="I86" t="s">
        <v>3</v>
      </c>
      <c r="J86" t="s">
        <v>257</v>
      </c>
      <c r="K86" t="s">
        <v>222</v>
      </c>
      <c r="L86" t="s">
        <v>19</v>
      </c>
      <c r="M86" t="s">
        <v>114</v>
      </c>
      <c r="N86" s="2">
        <v>45473</v>
      </c>
    </row>
    <row r="87" spans="1:14" x14ac:dyDescent="0.25">
      <c r="A87" s="4" t="s">
        <v>224</v>
      </c>
      <c r="B87" s="5"/>
      <c r="C87" s="4" t="s">
        <v>9</v>
      </c>
      <c r="D87" s="4" t="s">
        <v>9</v>
      </c>
      <c r="E87" s="4" t="s">
        <v>9</v>
      </c>
      <c r="F87" s="6">
        <v>0</v>
      </c>
      <c r="G87" s="6">
        <v>0</v>
      </c>
      <c r="H87" s="4" t="s">
        <v>9</v>
      </c>
      <c r="I87" s="4" t="s">
        <v>3</v>
      </c>
      <c r="J87" s="4" t="s">
        <v>9</v>
      </c>
      <c r="K87" s="4" t="s">
        <v>9</v>
      </c>
      <c r="L87" s="4" t="s">
        <v>9</v>
      </c>
      <c r="M87" s="4" t="s">
        <v>9</v>
      </c>
      <c r="N87" s="5"/>
    </row>
    <row r="88" spans="1:14" x14ac:dyDescent="0.25">
      <c r="A88" t="s">
        <v>229</v>
      </c>
      <c r="B88" s="2">
        <v>44775</v>
      </c>
      <c r="C88" t="s">
        <v>229</v>
      </c>
      <c r="D88" t="s">
        <v>112</v>
      </c>
      <c r="E88" t="s">
        <v>9</v>
      </c>
      <c r="F88" s="3">
        <v>-15900</v>
      </c>
      <c r="G88" s="3">
        <v>-15900</v>
      </c>
      <c r="H88" t="s">
        <v>3</v>
      </c>
      <c r="I88" t="s">
        <v>3</v>
      </c>
      <c r="J88" t="s">
        <v>9</v>
      </c>
      <c r="K88" t="s">
        <v>9</v>
      </c>
      <c r="L88" t="s">
        <v>21</v>
      </c>
      <c r="M88" t="s">
        <v>114</v>
      </c>
      <c r="N88" s="2">
        <v>44773</v>
      </c>
    </row>
    <row r="89" spans="1:14" x14ac:dyDescent="0.25">
      <c r="A89" t="s">
        <v>229</v>
      </c>
      <c r="B89" s="2">
        <v>45140</v>
      </c>
      <c r="C89" t="s">
        <v>229</v>
      </c>
      <c r="D89" t="s">
        <v>112</v>
      </c>
      <c r="E89" t="s">
        <v>9</v>
      </c>
      <c r="F89" s="3">
        <v>-1600</v>
      </c>
      <c r="G89" s="3">
        <v>-1600</v>
      </c>
      <c r="H89" t="s">
        <v>3</v>
      </c>
      <c r="I89" t="s">
        <v>3</v>
      </c>
      <c r="J89" t="s">
        <v>9</v>
      </c>
      <c r="K89" t="s">
        <v>9</v>
      </c>
      <c r="L89" t="s">
        <v>21</v>
      </c>
      <c r="M89" t="s">
        <v>114</v>
      </c>
      <c r="N89" s="2">
        <v>45138</v>
      </c>
    </row>
    <row r="90" spans="1:14" x14ac:dyDescent="0.25">
      <c r="A90" t="s">
        <v>229</v>
      </c>
      <c r="B90" s="2">
        <v>45509</v>
      </c>
      <c r="C90" t="s">
        <v>229</v>
      </c>
      <c r="D90" t="s">
        <v>112</v>
      </c>
      <c r="E90" t="s">
        <v>9</v>
      </c>
      <c r="F90" s="3">
        <v>-4800</v>
      </c>
      <c r="G90" s="3">
        <v>-4800</v>
      </c>
      <c r="H90" t="s">
        <v>3</v>
      </c>
      <c r="I90" t="s">
        <v>3</v>
      </c>
      <c r="J90" t="s">
        <v>9</v>
      </c>
      <c r="K90" t="s">
        <v>9</v>
      </c>
      <c r="L90" t="s">
        <v>21</v>
      </c>
      <c r="M90" t="s">
        <v>114</v>
      </c>
      <c r="N90" s="2">
        <v>45504</v>
      </c>
    </row>
    <row r="91" spans="1:14" x14ac:dyDescent="0.25">
      <c r="A91" t="s">
        <v>229</v>
      </c>
      <c r="B91" s="2">
        <v>44742</v>
      </c>
      <c r="C91" t="s">
        <v>229</v>
      </c>
      <c r="D91" t="s">
        <v>112</v>
      </c>
      <c r="E91" t="s">
        <v>9</v>
      </c>
      <c r="F91" s="3">
        <v>-18700</v>
      </c>
      <c r="G91" s="3">
        <v>-18700</v>
      </c>
      <c r="H91" t="s">
        <v>3</v>
      </c>
      <c r="I91" t="s">
        <v>3</v>
      </c>
      <c r="J91" t="s">
        <v>254</v>
      </c>
      <c r="K91" t="s">
        <v>227</v>
      </c>
      <c r="L91" t="s">
        <v>21</v>
      </c>
      <c r="M91" t="s">
        <v>114</v>
      </c>
      <c r="N91" s="2">
        <v>44743</v>
      </c>
    </row>
    <row r="92" spans="1:14" x14ac:dyDescent="0.25">
      <c r="A92" t="s">
        <v>229</v>
      </c>
      <c r="B92" s="2">
        <v>44742</v>
      </c>
      <c r="C92" t="s">
        <v>229</v>
      </c>
      <c r="D92" t="s">
        <v>112</v>
      </c>
      <c r="E92" t="s">
        <v>9</v>
      </c>
      <c r="F92" s="3">
        <v>-1700</v>
      </c>
      <c r="G92" s="3">
        <v>-1700</v>
      </c>
      <c r="H92" t="s">
        <v>3</v>
      </c>
      <c r="I92" t="s">
        <v>3</v>
      </c>
      <c r="J92" t="s">
        <v>255</v>
      </c>
      <c r="K92" t="s">
        <v>227</v>
      </c>
      <c r="L92" t="s">
        <v>21</v>
      </c>
      <c r="M92" t="s">
        <v>114</v>
      </c>
      <c r="N92" s="2">
        <v>44743</v>
      </c>
    </row>
    <row r="93" spans="1:14" x14ac:dyDescent="0.25">
      <c r="A93" t="s">
        <v>229</v>
      </c>
      <c r="B93" s="2">
        <v>44773</v>
      </c>
      <c r="C93" t="s">
        <v>229</v>
      </c>
      <c r="D93" t="s">
        <v>112</v>
      </c>
      <c r="E93" t="s">
        <v>9</v>
      </c>
      <c r="F93" s="3">
        <v>34600</v>
      </c>
      <c r="G93" s="3">
        <v>34600</v>
      </c>
      <c r="H93" t="s">
        <v>3</v>
      </c>
      <c r="I93" t="s">
        <v>3</v>
      </c>
      <c r="J93" t="s">
        <v>258</v>
      </c>
      <c r="K93" t="s">
        <v>227</v>
      </c>
      <c r="L93" t="s">
        <v>21</v>
      </c>
      <c r="M93" t="s">
        <v>114</v>
      </c>
      <c r="N93" s="2">
        <v>44773</v>
      </c>
    </row>
    <row r="94" spans="1:14" x14ac:dyDescent="0.25">
      <c r="A94" t="s">
        <v>229</v>
      </c>
      <c r="B94" s="2">
        <v>44773</v>
      </c>
      <c r="C94" t="s">
        <v>229</v>
      </c>
      <c r="D94" t="s">
        <v>112</v>
      </c>
      <c r="E94" t="s">
        <v>9</v>
      </c>
      <c r="F94" s="3">
        <v>1700</v>
      </c>
      <c r="G94" s="3">
        <v>1700</v>
      </c>
      <c r="H94" t="s">
        <v>3</v>
      </c>
      <c r="I94" t="s">
        <v>3</v>
      </c>
      <c r="J94" t="s">
        <v>259</v>
      </c>
      <c r="K94" t="s">
        <v>227</v>
      </c>
      <c r="L94" t="s">
        <v>21</v>
      </c>
      <c r="M94" t="s">
        <v>114</v>
      </c>
      <c r="N94" s="2">
        <v>44773</v>
      </c>
    </row>
    <row r="95" spans="1:14" x14ac:dyDescent="0.25">
      <c r="A95" t="s">
        <v>229</v>
      </c>
      <c r="B95" s="2">
        <v>45107</v>
      </c>
      <c r="C95" t="s">
        <v>229</v>
      </c>
      <c r="D95" t="s">
        <v>112</v>
      </c>
      <c r="E95" t="s">
        <v>9</v>
      </c>
      <c r="F95" s="3">
        <v>-10600</v>
      </c>
      <c r="G95" s="3">
        <v>-10600</v>
      </c>
      <c r="H95" t="s">
        <v>3</v>
      </c>
      <c r="I95" t="s">
        <v>3</v>
      </c>
      <c r="J95" t="s">
        <v>256</v>
      </c>
      <c r="K95" t="s">
        <v>225</v>
      </c>
      <c r="L95" t="s">
        <v>21</v>
      </c>
      <c r="M95" t="s">
        <v>114</v>
      </c>
      <c r="N95" s="2">
        <v>45108</v>
      </c>
    </row>
    <row r="96" spans="1:14" x14ac:dyDescent="0.25">
      <c r="A96" t="s">
        <v>229</v>
      </c>
      <c r="B96" s="2">
        <v>45138</v>
      </c>
      <c r="C96" t="s">
        <v>229</v>
      </c>
      <c r="D96" t="s">
        <v>112</v>
      </c>
      <c r="E96" t="s">
        <v>9</v>
      </c>
      <c r="F96" s="3">
        <v>12200</v>
      </c>
      <c r="G96" s="3">
        <v>12200</v>
      </c>
      <c r="H96" t="s">
        <v>3</v>
      </c>
      <c r="I96" t="s">
        <v>3</v>
      </c>
      <c r="J96" t="s">
        <v>260</v>
      </c>
      <c r="K96" t="s">
        <v>225</v>
      </c>
      <c r="L96" t="s">
        <v>21</v>
      </c>
      <c r="M96" t="s">
        <v>114</v>
      </c>
      <c r="N96" s="2">
        <v>45138</v>
      </c>
    </row>
    <row r="97" spans="1:14" x14ac:dyDescent="0.25">
      <c r="A97" t="s">
        <v>229</v>
      </c>
      <c r="B97" s="2">
        <v>45473</v>
      </c>
      <c r="C97" t="s">
        <v>229</v>
      </c>
      <c r="D97" t="s">
        <v>112</v>
      </c>
      <c r="E97" t="s">
        <v>9</v>
      </c>
      <c r="F97" s="3">
        <v>-39900</v>
      </c>
      <c r="G97" s="3">
        <v>-39900</v>
      </c>
      <c r="H97" t="s">
        <v>3</v>
      </c>
      <c r="I97" t="s">
        <v>3</v>
      </c>
      <c r="J97" t="s">
        <v>257</v>
      </c>
      <c r="K97" t="s">
        <v>222</v>
      </c>
      <c r="L97" t="s">
        <v>21</v>
      </c>
      <c r="M97" t="s">
        <v>114</v>
      </c>
      <c r="N97" s="2">
        <v>45474</v>
      </c>
    </row>
    <row r="98" spans="1:14" x14ac:dyDescent="0.25">
      <c r="A98" t="s">
        <v>229</v>
      </c>
      <c r="B98" s="2">
        <v>45504</v>
      </c>
      <c r="C98" t="s">
        <v>229</v>
      </c>
      <c r="D98" t="s">
        <v>112</v>
      </c>
      <c r="E98" t="s">
        <v>9</v>
      </c>
      <c r="F98" s="3">
        <v>44700</v>
      </c>
      <c r="G98" s="3">
        <v>44700</v>
      </c>
      <c r="H98" t="s">
        <v>3</v>
      </c>
      <c r="I98" t="s">
        <v>3</v>
      </c>
      <c r="J98" t="s">
        <v>261</v>
      </c>
      <c r="K98" t="s">
        <v>222</v>
      </c>
      <c r="L98" t="s">
        <v>21</v>
      </c>
      <c r="M98" t="s">
        <v>114</v>
      </c>
      <c r="N98" s="2">
        <v>45504</v>
      </c>
    </row>
    <row r="99" spans="1:14" x14ac:dyDescent="0.25">
      <c r="A99" s="4" t="s">
        <v>262</v>
      </c>
      <c r="B99" s="5"/>
      <c r="C99" s="4" t="s">
        <v>9</v>
      </c>
      <c r="D99" s="4" t="s">
        <v>9</v>
      </c>
      <c r="E99" s="4" t="s">
        <v>9</v>
      </c>
      <c r="F99" s="6">
        <v>0</v>
      </c>
      <c r="G99" s="6">
        <v>0</v>
      </c>
      <c r="H99" s="4" t="s">
        <v>9</v>
      </c>
      <c r="I99" s="4" t="s">
        <v>3</v>
      </c>
      <c r="J99" s="4" t="s">
        <v>9</v>
      </c>
      <c r="K99" s="4" t="s">
        <v>9</v>
      </c>
      <c r="L99" s="4" t="s">
        <v>9</v>
      </c>
      <c r="M99" s="4" t="s">
        <v>9</v>
      </c>
      <c r="N99" s="5"/>
    </row>
    <row r="100" spans="1:14" x14ac:dyDescent="0.25">
      <c r="A100" t="s">
        <v>229</v>
      </c>
      <c r="B100" s="2">
        <v>44806</v>
      </c>
      <c r="C100" t="s">
        <v>229</v>
      </c>
      <c r="D100" t="s">
        <v>112</v>
      </c>
      <c r="E100" t="s">
        <v>9</v>
      </c>
      <c r="F100" s="3">
        <v>-3500</v>
      </c>
      <c r="G100" s="3">
        <v>-3500</v>
      </c>
      <c r="H100" t="s">
        <v>3</v>
      </c>
      <c r="I100" t="s">
        <v>3</v>
      </c>
      <c r="J100" t="s">
        <v>9</v>
      </c>
      <c r="K100" t="s">
        <v>9</v>
      </c>
      <c r="L100" t="s">
        <v>22</v>
      </c>
      <c r="M100" t="s">
        <v>114</v>
      </c>
      <c r="N100" s="2">
        <v>44804</v>
      </c>
    </row>
    <row r="101" spans="1:14" x14ac:dyDescent="0.25">
      <c r="A101" t="s">
        <v>229</v>
      </c>
      <c r="B101" s="2">
        <v>45539</v>
      </c>
      <c r="C101" t="s">
        <v>229</v>
      </c>
      <c r="D101" t="s">
        <v>112</v>
      </c>
      <c r="E101" t="s">
        <v>9</v>
      </c>
      <c r="F101" s="3">
        <v>-200</v>
      </c>
      <c r="G101" s="3">
        <v>-200</v>
      </c>
      <c r="H101" t="s">
        <v>3</v>
      </c>
      <c r="I101" t="s">
        <v>3</v>
      </c>
      <c r="J101" t="s">
        <v>9</v>
      </c>
      <c r="K101" t="s">
        <v>9</v>
      </c>
      <c r="L101" t="s">
        <v>22</v>
      </c>
      <c r="M101" t="s">
        <v>114</v>
      </c>
      <c r="N101" s="2">
        <v>45535</v>
      </c>
    </row>
    <row r="102" spans="1:14" x14ac:dyDescent="0.25">
      <c r="A102" t="s">
        <v>229</v>
      </c>
      <c r="B102" s="2">
        <v>44773</v>
      </c>
      <c r="C102" t="s">
        <v>229</v>
      </c>
      <c r="D102" t="s">
        <v>112</v>
      </c>
      <c r="E102" t="s">
        <v>9</v>
      </c>
      <c r="F102" s="3">
        <v>-34600</v>
      </c>
      <c r="G102" s="3">
        <v>-34600</v>
      </c>
      <c r="H102" t="s">
        <v>3</v>
      </c>
      <c r="I102" t="s">
        <v>3</v>
      </c>
      <c r="J102" t="s">
        <v>258</v>
      </c>
      <c r="K102" t="s">
        <v>227</v>
      </c>
      <c r="L102" t="s">
        <v>22</v>
      </c>
      <c r="M102" t="s">
        <v>114</v>
      </c>
      <c r="N102" s="2">
        <v>44774</v>
      </c>
    </row>
    <row r="103" spans="1:14" x14ac:dyDescent="0.25">
      <c r="A103" t="s">
        <v>229</v>
      </c>
      <c r="B103" s="2">
        <v>44773</v>
      </c>
      <c r="C103" t="s">
        <v>229</v>
      </c>
      <c r="D103" t="s">
        <v>112</v>
      </c>
      <c r="E103" t="s">
        <v>9</v>
      </c>
      <c r="F103" s="3">
        <v>-1700</v>
      </c>
      <c r="G103" s="3">
        <v>-1700</v>
      </c>
      <c r="H103" t="s">
        <v>3</v>
      </c>
      <c r="I103" t="s">
        <v>3</v>
      </c>
      <c r="J103" t="s">
        <v>259</v>
      </c>
      <c r="K103" t="s">
        <v>227</v>
      </c>
      <c r="L103" t="s">
        <v>22</v>
      </c>
      <c r="M103" t="s">
        <v>114</v>
      </c>
      <c r="N103" s="2">
        <v>44774</v>
      </c>
    </row>
    <row r="104" spans="1:14" x14ac:dyDescent="0.25">
      <c r="A104" t="s">
        <v>229</v>
      </c>
      <c r="B104" s="2">
        <v>44804</v>
      </c>
      <c r="C104" t="s">
        <v>229</v>
      </c>
      <c r="D104" t="s">
        <v>112</v>
      </c>
      <c r="E104" t="s">
        <v>9</v>
      </c>
      <c r="F104" s="3">
        <v>38100</v>
      </c>
      <c r="G104" s="3">
        <v>38100</v>
      </c>
      <c r="H104" t="s">
        <v>3</v>
      </c>
      <c r="I104" t="s">
        <v>3</v>
      </c>
      <c r="J104" t="s">
        <v>263</v>
      </c>
      <c r="K104" t="s">
        <v>227</v>
      </c>
      <c r="L104" t="s">
        <v>22</v>
      </c>
      <c r="M104" t="s">
        <v>114</v>
      </c>
      <c r="N104" s="2">
        <v>44804</v>
      </c>
    </row>
    <row r="105" spans="1:14" x14ac:dyDescent="0.25">
      <c r="A105" t="s">
        <v>229</v>
      </c>
      <c r="B105" s="2">
        <v>44804</v>
      </c>
      <c r="C105" t="s">
        <v>229</v>
      </c>
      <c r="D105" t="s">
        <v>112</v>
      </c>
      <c r="E105" t="s">
        <v>9</v>
      </c>
      <c r="F105" s="3">
        <v>1700</v>
      </c>
      <c r="G105" s="3">
        <v>1700</v>
      </c>
      <c r="H105" t="s">
        <v>3</v>
      </c>
      <c r="I105" t="s">
        <v>3</v>
      </c>
      <c r="J105" t="s">
        <v>264</v>
      </c>
      <c r="K105" t="s">
        <v>227</v>
      </c>
      <c r="L105" t="s">
        <v>22</v>
      </c>
      <c r="M105" t="s">
        <v>114</v>
      </c>
      <c r="N105" s="2">
        <v>44804</v>
      </c>
    </row>
    <row r="106" spans="1:14" x14ac:dyDescent="0.25">
      <c r="A106" t="s">
        <v>229</v>
      </c>
      <c r="B106" s="2">
        <v>45138</v>
      </c>
      <c r="C106" t="s">
        <v>229</v>
      </c>
      <c r="D106" t="s">
        <v>112</v>
      </c>
      <c r="E106" t="s">
        <v>9</v>
      </c>
      <c r="F106" s="3">
        <v>-12200</v>
      </c>
      <c r="G106" s="3">
        <v>-12200</v>
      </c>
      <c r="H106" t="s">
        <v>3</v>
      </c>
      <c r="I106" t="s">
        <v>3</v>
      </c>
      <c r="J106" t="s">
        <v>260</v>
      </c>
      <c r="K106" t="s">
        <v>225</v>
      </c>
      <c r="L106" t="s">
        <v>22</v>
      </c>
      <c r="M106" t="s">
        <v>114</v>
      </c>
      <c r="N106" s="2">
        <v>45139</v>
      </c>
    </row>
    <row r="107" spans="1:14" x14ac:dyDescent="0.25">
      <c r="A107" t="s">
        <v>229</v>
      </c>
      <c r="B107" s="2">
        <v>45169</v>
      </c>
      <c r="C107" t="s">
        <v>229</v>
      </c>
      <c r="D107" t="s">
        <v>112</v>
      </c>
      <c r="E107" t="s">
        <v>9</v>
      </c>
      <c r="F107" s="3">
        <v>12200</v>
      </c>
      <c r="G107" s="3">
        <v>12200</v>
      </c>
      <c r="H107" t="s">
        <v>3</v>
      </c>
      <c r="I107" t="s">
        <v>3</v>
      </c>
      <c r="J107" t="s">
        <v>265</v>
      </c>
      <c r="K107" t="s">
        <v>225</v>
      </c>
      <c r="L107" t="s">
        <v>22</v>
      </c>
      <c r="M107" t="s">
        <v>114</v>
      </c>
      <c r="N107" s="2">
        <v>45169</v>
      </c>
    </row>
    <row r="108" spans="1:14" x14ac:dyDescent="0.25">
      <c r="A108" t="s">
        <v>229</v>
      </c>
      <c r="B108" s="2">
        <v>45504</v>
      </c>
      <c r="C108" t="s">
        <v>229</v>
      </c>
      <c r="D108" t="s">
        <v>112</v>
      </c>
      <c r="E108" t="s">
        <v>9</v>
      </c>
      <c r="F108" s="3">
        <v>-44700</v>
      </c>
      <c r="G108" s="3">
        <v>-44700</v>
      </c>
      <c r="H108" t="s">
        <v>3</v>
      </c>
      <c r="I108" t="s">
        <v>3</v>
      </c>
      <c r="J108" t="s">
        <v>261</v>
      </c>
      <c r="K108" t="s">
        <v>222</v>
      </c>
      <c r="L108" t="s">
        <v>22</v>
      </c>
      <c r="M108" t="s">
        <v>114</v>
      </c>
      <c r="N108" s="2">
        <v>45505</v>
      </c>
    </row>
    <row r="109" spans="1:14" x14ac:dyDescent="0.25">
      <c r="A109" t="s">
        <v>229</v>
      </c>
      <c r="B109" s="2">
        <v>45535</v>
      </c>
      <c r="C109" t="s">
        <v>229</v>
      </c>
      <c r="D109" t="s">
        <v>112</v>
      </c>
      <c r="E109" t="s">
        <v>9</v>
      </c>
      <c r="F109" s="3">
        <v>44900</v>
      </c>
      <c r="G109" s="3">
        <v>44900</v>
      </c>
      <c r="H109" t="s">
        <v>3</v>
      </c>
      <c r="I109" t="s">
        <v>3</v>
      </c>
      <c r="J109" t="s">
        <v>266</v>
      </c>
      <c r="K109" t="s">
        <v>222</v>
      </c>
      <c r="L109" t="s">
        <v>22</v>
      </c>
      <c r="M109" t="s">
        <v>114</v>
      </c>
      <c r="N109" s="2">
        <v>45535</v>
      </c>
    </row>
    <row r="110" spans="1:14" x14ac:dyDescent="0.25">
      <c r="A110" s="4" t="s">
        <v>267</v>
      </c>
      <c r="B110" s="5"/>
      <c r="C110" s="4" t="s">
        <v>9</v>
      </c>
      <c r="D110" s="4" t="s">
        <v>9</v>
      </c>
      <c r="E110" s="4" t="s">
        <v>9</v>
      </c>
      <c r="F110" s="6">
        <v>0</v>
      </c>
      <c r="G110" s="6">
        <v>0</v>
      </c>
      <c r="H110" s="4" t="s">
        <v>9</v>
      </c>
      <c r="I110" s="4" t="s">
        <v>3</v>
      </c>
      <c r="J110" s="4" t="s">
        <v>9</v>
      </c>
      <c r="K110" s="4" t="s">
        <v>9</v>
      </c>
      <c r="L110" s="4" t="s">
        <v>9</v>
      </c>
      <c r="M110" s="4" t="s">
        <v>9</v>
      </c>
      <c r="N110" s="5"/>
    </row>
    <row r="111" spans="1:14" x14ac:dyDescent="0.25">
      <c r="A111" t="s">
        <v>229</v>
      </c>
      <c r="B111" s="2">
        <v>44838</v>
      </c>
      <c r="C111" t="s">
        <v>229</v>
      </c>
      <c r="D111" t="s">
        <v>112</v>
      </c>
      <c r="E111" t="s">
        <v>9</v>
      </c>
      <c r="F111" s="3">
        <v>-6000</v>
      </c>
      <c r="G111" s="3">
        <v>-6000</v>
      </c>
      <c r="H111" t="s">
        <v>3</v>
      </c>
      <c r="I111" t="s">
        <v>3</v>
      </c>
      <c r="J111" t="s">
        <v>9</v>
      </c>
      <c r="K111" t="s">
        <v>9</v>
      </c>
      <c r="L111" t="s">
        <v>6</v>
      </c>
      <c r="M111" t="s">
        <v>114</v>
      </c>
      <c r="N111" s="2">
        <v>44834</v>
      </c>
    </row>
    <row r="112" spans="1:14" x14ac:dyDescent="0.25">
      <c r="A112" t="s">
        <v>229</v>
      </c>
      <c r="B112" s="2">
        <v>45567</v>
      </c>
      <c r="C112" t="s">
        <v>229</v>
      </c>
      <c r="D112" t="s">
        <v>112</v>
      </c>
      <c r="E112" t="s">
        <v>9</v>
      </c>
      <c r="F112" s="3">
        <v>-100</v>
      </c>
      <c r="G112" s="3">
        <v>-100</v>
      </c>
      <c r="H112" t="s">
        <v>3</v>
      </c>
      <c r="I112" t="s">
        <v>3</v>
      </c>
      <c r="J112" t="s">
        <v>9</v>
      </c>
      <c r="K112" t="s">
        <v>9</v>
      </c>
      <c r="L112" t="s">
        <v>6</v>
      </c>
      <c r="M112" t="s">
        <v>114</v>
      </c>
      <c r="N112" s="2">
        <v>45565</v>
      </c>
    </row>
    <row r="113" spans="1:14" x14ac:dyDescent="0.25">
      <c r="A113" t="s">
        <v>229</v>
      </c>
      <c r="B113" s="2">
        <v>44804</v>
      </c>
      <c r="C113" t="s">
        <v>229</v>
      </c>
      <c r="D113" t="s">
        <v>112</v>
      </c>
      <c r="E113" t="s">
        <v>9</v>
      </c>
      <c r="F113" s="3">
        <v>-38100</v>
      </c>
      <c r="G113" s="3">
        <v>-38100</v>
      </c>
      <c r="H113" t="s">
        <v>3</v>
      </c>
      <c r="I113" t="s">
        <v>3</v>
      </c>
      <c r="J113" t="s">
        <v>263</v>
      </c>
      <c r="K113" t="s">
        <v>227</v>
      </c>
      <c r="L113" t="s">
        <v>6</v>
      </c>
      <c r="M113" t="s">
        <v>114</v>
      </c>
      <c r="N113" s="2">
        <v>44805</v>
      </c>
    </row>
    <row r="114" spans="1:14" x14ac:dyDescent="0.25">
      <c r="A114" t="s">
        <v>229</v>
      </c>
      <c r="B114" s="2">
        <v>44804</v>
      </c>
      <c r="C114" t="s">
        <v>229</v>
      </c>
      <c r="D114" t="s">
        <v>112</v>
      </c>
      <c r="E114" t="s">
        <v>9</v>
      </c>
      <c r="F114" s="3">
        <v>-1700</v>
      </c>
      <c r="G114" s="3">
        <v>-1700</v>
      </c>
      <c r="H114" t="s">
        <v>3</v>
      </c>
      <c r="I114" t="s">
        <v>3</v>
      </c>
      <c r="J114" t="s">
        <v>264</v>
      </c>
      <c r="K114" t="s">
        <v>227</v>
      </c>
      <c r="L114" t="s">
        <v>6</v>
      </c>
      <c r="M114" t="s">
        <v>114</v>
      </c>
      <c r="N114" s="2">
        <v>44805</v>
      </c>
    </row>
    <row r="115" spans="1:14" x14ac:dyDescent="0.25">
      <c r="A115" t="s">
        <v>229</v>
      </c>
      <c r="B115" s="2">
        <v>44834</v>
      </c>
      <c r="C115" t="s">
        <v>229</v>
      </c>
      <c r="D115" t="s">
        <v>112</v>
      </c>
      <c r="E115" t="s">
        <v>9</v>
      </c>
      <c r="F115" s="3">
        <v>43500</v>
      </c>
      <c r="G115" s="3">
        <v>43500</v>
      </c>
      <c r="H115" t="s">
        <v>3</v>
      </c>
      <c r="I115" t="s">
        <v>3</v>
      </c>
      <c r="J115" t="s">
        <v>268</v>
      </c>
      <c r="K115" t="s">
        <v>227</v>
      </c>
      <c r="L115" t="s">
        <v>6</v>
      </c>
      <c r="M115" t="s">
        <v>114</v>
      </c>
      <c r="N115" s="2">
        <v>44834</v>
      </c>
    </row>
    <row r="116" spans="1:14" x14ac:dyDescent="0.25">
      <c r="A116" t="s">
        <v>229</v>
      </c>
      <c r="B116" s="2">
        <v>44834</v>
      </c>
      <c r="C116" t="s">
        <v>229</v>
      </c>
      <c r="D116" t="s">
        <v>112</v>
      </c>
      <c r="E116" t="s">
        <v>9</v>
      </c>
      <c r="F116" s="3">
        <v>2300</v>
      </c>
      <c r="G116" s="3">
        <v>2300</v>
      </c>
      <c r="H116" t="s">
        <v>3</v>
      </c>
      <c r="I116" t="s">
        <v>3</v>
      </c>
      <c r="J116" t="s">
        <v>269</v>
      </c>
      <c r="K116" t="s">
        <v>227</v>
      </c>
      <c r="L116" t="s">
        <v>6</v>
      </c>
      <c r="M116" t="s">
        <v>114</v>
      </c>
      <c r="N116" s="2">
        <v>44834</v>
      </c>
    </row>
    <row r="117" spans="1:14" x14ac:dyDescent="0.25">
      <c r="A117" t="s">
        <v>229</v>
      </c>
      <c r="B117" s="2">
        <v>45169</v>
      </c>
      <c r="C117" t="s">
        <v>229</v>
      </c>
      <c r="D117" t="s">
        <v>112</v>
      </c>
      <c r="E117" t="s">
        <v>9</v>
      </c>
      <c r="F117" s="3">
        <v>-12200</v>
      </c>
      <c r="G117" s="3">
        <v>-12200</v>
      </c>
      <c r="H117" t="s">
        <v>3</v>
      </c>
      <c r="I117" t="s">
        <v>3</v>
      </c>
      <c r="J117" t="s">
        <v>265</v>
      </c>
      <c r="K117" t="s">
        <v>225</v>
      </c>
      <c r="L117" t="s">
        <v>6</v>
      </c>
      <c r="M117" t="s">
        <v>114</v>
      </c>
      <c r="N117" s="2">
        <v>45170</v>
      </c>
    </row>
    <row r="118" spans="1:14" x14ac:dyDescent="0.25">
      <c r="A118" t="s">
        <v>229</v>
      </c>
      <c r="B118" s="2">
        <v>45199</v>
      </c>
      <c r="C118" t="s">
        <v>229</v>
      </c>
      <c r="D118" t="s">
        <v>112</v>
      </c>
      <c r="E118" t="s">
        <v>9</v>
      </c>
      <c r="F118" s="3">
        <v>12200</v>
      </c>
      <c r="G118" s="3">
        <v>12200</v>
      </c>
      <c r="H118" t="s">
        <v>3</v>
      </c>
      <c r="I118" t="s">
        <v>3</v>
      </c>
      <c r="J118" t="s">
        <v>270</v>
      </c>
      <c r="K118" t="s">
        <v>225</v>
      </c>
      <c r="L118" t="s">
        <v>6</v>
      </c>
      <c r="M118" t="s">
        <v>114</v>
      </c>
      <c r="N118" s="2">
        <v>45199</v>
      </c>
    </row>
    <row r="119" spans="1:14" x14ac:dyDescent="0.25">
      <c r="A119" t="s">
        <v>229</v>
      </c>
      <c r="B119" s="2">
        <v>45535</v>
      </c>
      <c r="C119" t="s">
        <v>229</v>
      </c>
      <c r="D119" t="s">
        <v>112</v>
      </c>
      <c r="E119" t="s">
        <v>9</v>
      </c>
      <c r="F119" s="3">
        <v>-44900</v>
      </c>
      <c r="G119" s="3">
        <v>-44900</v>
      </c>
      <c r="H119" t="s">
        <v>3</v>
      </c>
      <c r="I119" t="s">
        <v>3</v>
      </c>
      <c r="J119" t="s">
        <v>266</v>
      </c>
      <c r="K119" t="s">
        <v>222</v>
      </c>
      <c r="L119" t="s">
        <v>6</v>
      </c>
      <c r="M119" t="s">
        <v>114</v>
      </c>
      <c r="N119" s="2">
        <v>45536</v>
      </c>
    </row>
    <row r="120" spans="1:14" x14ac:dyDescent="0.25">
      <c r="A120" t="s">
        <v>229</v>
      </c>
      <c r="B120" s="2">
        <v>45565</v>
      </c>
      <c r="C120" t="s">
        <v>229</v>
      </c>
      <c r="D120" t="s">
        <v>112</v>
      </c>
      <c r="E120" t="s">
        <v>9</v>
      </c>
      <c r="F120" s="3">
        <v>45000</v>
      </c>
      <c r="G120" s="3">
        <v>45000</v>
      </c>
      <c r="H120" t="s">
        <v>3</v>
      </c>
      <c r="I120" t="s">
        <v>3</v>
      </c>
      <c r="J120" t="s">
        <v>271</v>
      </c>
      <c r="K120" t="s">
        <v>222</v>
      </c>
      <c r="L120" t="s">
        <v>6</v>
      </c>
      <c r="M120" t="s">
        <v>114</v>
      </c>
      <c r="N120" s="2">
        <v>45565</v>
      </c>
    </row>
    <row r="121" spans="1:14" x14ac:dyDescent="0.25">
      <c r="A121" s="4" t="s">
        <v>272</v>
      </c>
      <c r="B121" s="5"/>
      <c r="C121" s="4" t="s">
        <v>9</v>
      </c>
      <c r="D121" s="4" t="s">
        <v>9</v>
      </c>
      <c r="E121" s="4" t="s">
        <v>9</v>
      </c>
      <c r="F121" s="6">
        <v>0</v>
      </c>
      <c r="G121" s="6">
        <v>0</v>
      </c>
      <c r="H121" s="4" t="s">
        <v>9</v>
      </c>
      <c r="I121" s="4" t="s">
        <v>3</v>
      </c>
      <c r="J121" s="4" t="s">
        <v>9</v>
      </c>
      <c r="K121" s="4" t="s">
        <v>9</v>
      </c>
      <c r="L121" s="4" t="s">
        <v>9</v>
      </c>
      <c r="M121" s="4" t="s">
        <v>9</v>
      </c>
      <c r="N121" s="5"/>
    </row>
    <row r="122" spans="1:14" x14ac:dyDescent="0.25">
      <c r="A122" t="s">
        <v>229</v>
      </c>
      <c r="B122" s="2">
        <v>44868</v>
      </c>
      <c r="C122" t="s">
        <v>229</v>
      </c>
      <c r="D122" t="s">
        <v>112</v>
      </c>
      <c r="E122" t="s">
        <v>9</v>
      </c>
      <c r="F122" s="3">
        <v>-20150</v>
      </c>
      <c r="G122" s="3">
        <v>-20150</v>
      </c>
      <c r="H122" t="s">
        <v>3</v>
      </c>
      <c r="I122" t="s">
        <v>3</v>
      </c>
      <c r="J122" t="s">
        <v>9</v>
      </c>
      <c r="K122" t="s">
        <v>9</v>
      </c>
      <c r="L122" t="s">
        <v>8</v>
      </c>
      <c r="M122" t="s">
        <v>114</v>
      </c>
      <c r="N122" s="2">
        <v>44865</v>
      </c>
    </row>
    <row r="123" spans="1:14" x14ac:dyDescent="0.25">
      <c r="A123" t="s">
        <v>229</v>
      </c>
      <c r="B123" s="2">
        <v>45601</v>
      </c>
      <c r="C123" t="s">
        <v>229</v>
      </c>
      <c r="D123" t="s">
        <v>112</v>
      </c>
      <c r="E123" t="s">
        <v>9</v>
      </c>
      <c r="F123" s="3">
        <v>-1200</v>
      </c>
      <c r="G123" s="3">
        <v>-1200</v>
      </c>
      <c r="H123" t="s">
        <v>3</v>
      </c>
      <c r="I123" t="s">
        <v>3</v>
      </c>
      <c r="J123" t="s">
        <v>9</v>
      </c>
      <c r="K123" t="s">
        <v>9</v>
      </c>
      <c r="L123" t="s">
        <v>8</v>
      </c>
      <c r="M123" t="s">
        <v>114</v>
      </c>
      <c r="N123" s="2">
        <v>45596</v>
      </c>
    </row>
    <row r="124" spans="1:14" x14ac:dyDescent="0.25">
      <c r="A124" t="s">
        <v>229</v>
      </c>
      <c r="B124" s="2">
        <v>44834</v>
      </c>
      <c r="C124" t="s">
        <v>229</v>
      </c>
      <c r="D124" t="s">
        <v>112</v>
      </c>
      <c r="E124" t="s">
        <v>9</v>
      </c>
      <c r="F124" s="3">
        <v>-43500</v>
      </c>
      <c r="G124" s="3">
        <v>-43500</v>
      </c>
      <c r="H124" t="s">
        <v>3</v>
      </c>
      <c r="I124" t="s">
        <v>3</v>
      </c>
      <c r="J124" t="s">
        <v>268</v>
      </c>
      <c r="K124" t="s">
        <v>227</v>
      </c>
      <c r="L124" t="s">
        <v>8</v>
      </c>
      <c r="M124" t="s">
        <v>114</v>
      </c>
      <c r="N124" s="2">
        <v>44835</v>
      </c>
    </row>
    <row r="125" spans="1:14" x14ac:dyDescent="0.25">
      <c r="A125" t="s">
        <v>229</v>
      </c>
      <c r="B125" s="2">
        <v>44834</v>
      </c>
      <c r="C125" t="s">
        <v>229</v>
      </c>
      <c r="D125" t="s">
        <v>112</v>
      </c>
      <c r="E125" t="s">
        <v>9</v>
      </c>
      <c r="F125" s="3">
        <v>-2300</v>
      </c>
      <c r="G125" s="3">
        <v>-2300</v>
      </c>
      <c r="H125" t="s">
        <v>3</v>
      </c>
      <c r="I125" t="s">
        <v>3</v>
      </c>
      <c r="J125" t="s">
        <v>269</v>
      </c>
      <c r="K125" t="s">
        <v>227</v>
      </c>
      <c r="L125" t="s">
        <v>8</v>
      </c>
      <c r="M125" t="s">
        <v>114</v>
      </c>
      <c r="N125" s="2">
        <v>44835</v>
      </c>
    </row>
    <row r="126" spans="1:14" x14ac:dyDescent="0.25">
      <c r="A126" t="s">
        <v>229</v>
      </c>
      <c r="B126" s="2">
        <v>44865</v>
      </c>
      <c r="C126" t="s">
        <v>229</v>
      </c>
      <c r="D126" t="s">
        <v>112</v>
      </c>
      <c r="E126" t="s">
        <v>9</v>
      </c>
      <c r="F126" s="3">
        <v>62300</v>
      </c>
      <c r="G126" s="3">
        <v>62300</v>
      </c>
      <c r="H126" t="s">
        <v>3</v>
      </c>
      <c r="I126" t="s">
        <v>3</v>
      </c>
      <c r="J126" t="s">
        <v>273</v>
      </c>
      <c r="K126" t="s">
        <v>227</v>
      </c>
      <c r="L126" t="s">
        <v>8</v>
      </c>
      <c r="M126" t="s">
        <v>114</v>
      </c>
      <c r="N126" s="2">
        <v>44865</v>
      </c>
    </row>
    <row r="127" spans="1:14" x14ac:dyDescent="0.25">
      <c r="A127" t="s">
        <v>229</v>
      </c>
      <c r="B127" s="2">
        <v>44865</v>
      </c>
      <c r="C127" t="s">
        <v>229</v>
      </c>
      <c r="D127" t="s">
        <v>112</v>
      </c>
      <c r="E127" t="s">
        <v>9</v>
      </c>
      <c r="F127" s="3">
        <v>250</v>
      </c>
      <c r="G127" s="3">
        <v>250</v>
      </c>
      <c r="H127" t="s">
        <v>3</v>
      </c>
      <c r="I127" t="s">
        <v>3</v>
      </c>
      <c r="J127" t="s">
        <v>274</v>
      </c>
      <c r="K127" t="s">
        <v>227</v>
      </c>
      <c r="L127" t="s">
        <v>8</v>
      </c>
      <c r="M127" t="s">
        <v>114</v>
      </c>
      <c r="N127" s="2">
        <v>44865</v>
      </c>
    </row>
    <row r="128" spans="1:14" x14ac:dyDescent="0.25">
      <c r="A128" t="s">
        <v>229</v>
      </c>
      <c r="B128" s="2">
        <v>44865</v>
      </c>
      <c r="C128" t="s">
        <v>229</v>
      </c>
      <c r="D128" t="s">
        <v>112</v>
      </c>
      <c r="E128" t="s">
        <v>9</v>
      </c>
      <c r="F128" s="3">
        <v>3400</v>
      </c>
      <c r="G128" s="3">
        <v>3400</v>
      </c>
      <c r="H128" t="s">
        <v>3</v>
      </c>
      <c r="I128" t="s">
        <v>3</v>
      </c>
      <c r="J128" t="s">
        <v>275</v>
      </c>
      <c r="K128" t="s">
        <v>227</v>
      </c>
      <c r="L128" t="s">
        <v>8</v>
      </c>
      <c r="M128" t="s">
        <v>114</v>
      </c>
      <c r="N128" s="2">
        <v>44865</v>
      </c>
    </row>
    <row r="129" spans="1:14" x14ac:dyDescent="0.25">
      <c r="A129" t="s">
        <v>229</v>
      </c>
      <c r="B129" s="2">
        <v>45199</v>
      </c>
      <c r="C129" t="s">
        <v>229</v>
      </c>
      <c r="D129" t="s">
        <v>112</v>
      </c>
      <c r="E129" t="s">
        <v>9</v>
      </c>
      <c r="F129" s="3">
        <v>-12200</v>
      </c>
      <c r="G129" s="3">
        <v>-12200</v>
      </c>
      <c r="H129" t="s">
        <v>3</v>
      </c>
      <c r="I129" t="s">
        <v>3</v>
      </c>
      <c r="J129" t="s">
        <v>270</v>
      </c>
      <c r="K129" t="s">
        <v>225</v>
      </c>
      <c r="L129" t="s">
        <v>8</v>
      </c>
      <c r="M129" t="s">
        <v>114</v>
      </c>
      <c r="N129" s="2">
        <v>45200</v>
      </c>
    </row>
    <row r="130" spans="1:14" x14ac:dyDescent="0.25">
      <c r="A130" t="s">
        <v>229</v>
      </c>
      <c r="B130" s="2">
        <v>45230</v>
      </c>
      <c r="C130" t="s">
        <v>229</v>
      </c>
      <c r="D130" t="s">
        <v>112</v>
      </c>
      <c r="E130" t="s">
        <v>9</v>
      </c>
      <c r="F130" s="3">
        <v>12200</v>
      </c>
      <c r="G130" s="3">
        <v>12200</v>
      </c>
      <c r="H130" t="s">
        <v>3</v>
      </c>
      <c r="I130" t="s">
        <v>3</v>
      </c>
      <c r="J130" t="s">
        <v>276</v>
      </c>
      <c r="K130" t="s">
        <v>225</v>
      </c>
      <c r="L130" t="s">
        <v>8</v>
      </c>
      <c r="M130" t="s">
        <v>114</v>
      </c>
      <c r="N130" s="2">
        <v>45230</v>
      </c>
    </row>
    <row r="131" spans="1:14" x14ac:dyDescent="0.25">
      <c r="A131" t="s">
        <v>229</v>
      </c>
      <c r="B131" s="2">
        <v>45565</v>
      </c>
      <c r="C131" t="s">
        <v>229</v>
      </c>
      <c r="D131" t="s">
        <v>112</v>
      </c>
      <c r="E131" t="s">
        <v>9</v>
      </c>
      <c r="F131" s="3">
        <v>-45000</v>
      </c>
      <c r="G131" s="3">
        <v>-45000</v>
      </c>
      <c r="H131" t="s">
        <v>3</v>
      </c>
      <c r="I131" t="s">
        <v>3</v>
      </c>
      <c r="J131" t="s">
        <v>271</v>
      </c>
      <c r="K131" t="s">
        <v>222</v>
      </c>
      <c r="L131" t="s">
        <v>8</v>
      </c>
      <c r="M131" t="s">
        <v>114</v>
      </c>
      <c r="N131" s="2">
        <v>45566</v>
      </c>
    </row>
    <row r="132" spans="1:14" x14ac:dyDescent="0.25">
      <c r="A132" t="s">
        <v>229</v>
      </c>
      <c r="B132" s="2">
        <v>45596</v>
      </c>
      <c r="C132" t="s">
        <v>229</v>
      </c>
      <c r="D132" t="s">
        <v>112</v>
      </c>
      <c r="E132" t="s">
        <v>9</v>
      </c>
      <c r="F132" s="3">
        <v>46200</v>
      </c>
      <c r="G132" s="3">
        <v>46200</v>
      </c>
      <c r="H132" t="s">
        <v>3</v>
      </c>
      <c r="I132" t="s">
        <v>3</v>
      </c>
      <c r="J132" t="s">
        <v>277</v>
      </c>
      <c r="K132" t="s">
        <v>222</v>
      </c>
      <c r="L132" t="s">
        <v>8</v>
      </c>
      <c r="M132" t="s">
        <v>114</v>
      </c>
      <c r="N132" s="2">
        <v>45596</v>
      </c>
    </row>
    <row r="133" spans="1:14" x14ac:dyDescent="0.25">
      <c r="A133" s="4" t="s">
        <v>278</v>
      </c>
      <c r="B133" s="5"/>
      <c r="C133" s="4" t="s">
        <v>9</v>
      </c>
      <c r="D133" s="4" t="s">
        <v>9</v>
      </c>
      <c r="E133" s="4" t="s">
        <v>9</v>
      </c>
      <c r="F133" s="6">
        <v>0</v>
      </c>
      <c r="G133" s="6">
        <v>0</v>
      </c>
      <c r="H133" s="4" t="s">
        <v>9</v>
      </c>
      <c r="I133" s="4" t="s">
        <v>3</v>
      </c>
      <c r="J133" s="4" t="s">
        <v>9</v>
      </c>
      <c r="K133" s="4" t="s">
        <v>9</v>
      </c>
      <c r="L133" s="4" t="s">
        <v>9</v>
      </c>
      <c r="M133" s="4" t="s">
        <v>9</v>
      </c>
      <c r="N133" s="5"/>
    </row>
    <row r="134" spans="1:14" x14ac:dyDescent="0.25">
      <c r="A134" t="s">
        <v>229</v>
      </c>
      <c r="B134" s="2">
        <v>44897</v>
      </c>
      <c r="C134" t="s">
        <v>229</v>
      </c>
      <c r="D134" t="s">
        <v>112</v>
      </c>
      <c r="E134" t="s">
        <v>9</v>
      </c>
      <c r="F134" s="3">
        <v>-8450</v>
      </c>
      <c r="G134" s="3">
        <v>-8450</v>
      </c>
      <c r="H134" t="s">
        <v>3</v>
      </c>
      <c r="I134" t="s">
        <v>3</v>
      </c>
      <c r="J134" t="s">
        <v>9</v>
      </c>
      <c r="K134" t="s">
        <v>9</v>
      </c>
      <c r="L134" t="s">
        <v>11</v>
      </c>
      <c r="M134" t="s">
        <v>114</v>
      </c>
      <c r="N134" s="2">
        <v>44895</v>
      </c>
    </row>
    <row r="135" spans="1:14" x14ac:dyDescent="0.25">
      <c r="A135" t="s">
        <v>229</v>
      </c>
      <c r="B135" s="2">
        <v>45264</v>
      </c>
      <c r="C135" t="s">
        <v>229</v>
      </c>
      <c r="D135" t="s">
        <v>112</v>
      </c>
      <c r="E135" t="s">
        <v>9</v>
      </c>
      <c r="F135" s="3">
        <v>-100</v>
      </c>
      <c r="G135" s="3">
        <v>-100</v>
      </c>
      <c r="H135" t="s">
        <v>3</v>
      </c>
      <c r="I135" t="s">
        <v>3</v>
      </c>
      <c r="J135" t="s">
        <v>9</v>
      </c>
      <c r="K135" t="s">
        <v>9</v>
      </c>
      <c r="L135" t="s">
        <v>11</v>
      </c>
      <c r="M135" t="s">
        <v>114</v>
      </c>
      <c r="N135" s="2">
        <v>45260</v>
      </c>
    </row>
    <row r="136" spans="1:14" x14ac:dyDescent="0.25">
      <c r="A136" t="s">
        <v>229</v>
      </c>
      <c r="B136" s="2">
        <v>44865</v>
      </c>
      <c r="C136" t="s">
        <v>229</v>
      </c>
      <c r="D136" t="s">
        <v>112</v>
      </c>
      <c r="E136" t="s">
        <v>9</v>
      </c>
      <c r="F136" s="3">
        <v>-62300</v>
      </c>
      <c r="G136" s="3">
        <v>-62300</v>
      </c>
      <c r="H136" t="s">
        <v>3</v>
      </c>
      <c r="I136" t="s">
        <v>3</v>
      </c>
      <c r="J136" t="s">
        <v>273</v>
      </c>
      <c r="K136" t="s">
        <v>227</v>
      </c>
      <c r="L136" t="s">
        <v>11</v>
      </c>
      <c r="M136" t="s">
        <v>114</v>
      </c>
      <c r="N136" s="2">
        <v>44866</v>
      </c>
    </row>
    <row r="137" spans="1:14" x14ac:dyDescent="0.25">
      <c r="A137" t="s">
        <v>229</v>
      </c>
      <c r="B137" s="2">
        <v>44865</v>
      </c>
      <c r="C137" t="s">
        <v>229</v>
      </c>
      <c r="D137" t="s">
        <v>112</v>
      </c>
      <c r="E137" t="s">
        <v>9</v>
      </c>
      <c r="F137" s="3">
        <v>-250</v>
      </c>
      <c r="G137" s="3">
        <v>-250</v>
      </c>
      <c r="H137" t="s">
        <v>3</v>
      </c>
      <c r="I137" t="s">
        <v>3</v>
      </c>
      <c r="J137" t="s">
        <v>274</v>
      </c>
      <c r="K137" t="s">
        <v>227</v>
      </c>
      <c r="L137" t="s">
        <v>11</v>
      </c>
      <c r="M137" t="s">
        <v>114</v>
      </c>
      <c r="N137" s="2">
        <v>44866</v>
      </c>
    </row>
    <row r="138" spans="1:14" x14ac:dyDescent="0.25">
      <c r="A138" t="s">
        <v>229</v>
      </c>
      <c r="B138" s="2">
        <v>44865</v>
      </c>
      <c r="C138" t="s">
        <v>229</v>
      </c>
      <c r="D138" t="s">
        <v>112</v>
      </c>
      <c r="E138" t="s">
        <v>9</v>
      </c>
      <c r="F138" s="3">
        <v>-3400</v>
      </c>
      <c r="G138" s="3">
        <v>-3400</v>
      </c>
      <c r="H138" t="s">
        <v>3</v>
      </c>
      <c r="I138" t="s">
        <v>3</v>
      </c>
      <c r="J138" t="s">
        <v>275</v>
      </c>
      <c r="K138" t="s">
        <v>227</v>
      </c>
      <c r="L138" t="s">
        <v>11</v>
      </c>
      <c r="M138" t="s">
        <v>114</v>
      </c>
      <c r="N138" s="2">
        <v>44866</v>
      </c>
    </row>
    <row r="139" spans="1:14" x14ac:dyDescent="0.25">
      <c r="A139" t="s">
        <v>229</v>
      </c>
      <c r="B139" s="2">
        <v>44895</v>
      </c>
      <c r="C139" t="s">
        <v>229</v>
      </c>
      <c r="D139" t="s">
        <v>112</v>
      </c>
      <c r="E139" t="s">
        <v>9</v>
      </c>
      <c r="F139" s="3">
        <v>69900</v>
      </c>
      <c r="G139" s="3">
        <v>69900</v>
      </c>
      <c r="H139" t="s">
        <v>3</v>
      </c>
      <c r="I139" t="s">
        <v>3</v>
      </c>
      <c r="J139" t="s">
        <v>279</v>
      </c>
      <c r="K139" t="s">
        <v>227</v>
      </c>
      <c r="L139" t="s">
        <v>11</v>
      </c>
      <c r="M139" t="s">
        <v>114</v>
      </c>
      <c r="N139" s="2">
        <v>44895</v>
      </c>
    </row>
    <row r="140" spans="1:14" x14ac:dyDescent="0.25">
      <c r="A140" t="s">
        <v>229</v>
      </c>
      <c r="B140" s="2">
        <v>44895</v>
      </c>
      <c r="C140" t="s">
        <v>229</v>
      </c>
      <c r="D140" t="s">
        <v>112</v>
      </c>
      <c r="E140" t="s">
        <v>9</v>
      </c>
      <c r="F140" s="3">
        <v>800</v>
      </c>
      <c r="G140" s="3">
        <v>800</v>
      </c>
      <c r="H140" t="s">
        <v>3</v>
      </c>
      <c r="I140" t="s">
        <v>3</v>
      </c>
      <c r="J140" t="s">
        <v>280</v>
      </c>
      <c r="K140" t="s">
        <v>227</v>
      </c>
      <c r="L140" t="s">
        <v>11</v>
      </c>
      <c r="M140" t="s">
        <v>114</v>
      </c>
      <c r="N140" s="2">
        <v>44895</v>
      </c>
    </row>
    <row r="141" spans="1:14" x14ac:dyDescent="0.25">
      <c r="A141" t="s">
        <v>229</v>
      </c>
      <c r="B141" s="2">
        <v>44895</v>
      </c>
      <c r="C141" t="s">
        <v>229</v>
      </c>
      <c r="D141" t="s">
        <v>112</v>
      </c>
      <c r="E141" t="s">
        <v>9</v>
      </c>
      <c r="F141" s="3">
        <v>3700</v>
      </c>
      <c r="G141" s="3">
        <v>3700</v>
      </c>
      <c r="H141" t="s">
        <v>3</v>
      </c>
      <c r="I141" t="s">
        <v>3</v>
      </c>
      <c r="J141" t="s">
        <v>281</v>
      </c>
      <c r="K141" t="s">
        <v>227</v>
      </c>
      <c r="L141" t="s">
        <v>11</v>
      </c>
      <c r="M141" t="s">
        <v>114</v>
      </c>
      <c r="N141" s="2">
        <v>44895</v>
      </c>
    </row>
    <row r="142" spans="1:14" x14ac:dyDescent="0.25">
      <c r="A142" t="s">
        <v>229</v>
      </c>
      <c r="B142" s="2">
        <v>45230</v>
      </c>
      <c r="C142" t="s">
        <v>229</v>
      </c>
      <c r="D142" t="s">
        <v>112</v>
      </c>
      <c r="E142" t="s">
        <v>9</v>
      </c>
      <c r="F142" s="3">
        <v>-12200</v>
      </c>
      <c r="G142" s="3">
        <v>-12200</v>
      </c>
      <c r="H142" t="s">
        <v>3</v>
      </c>
      <c r="I142" t="s">
        <v>3</v>
      </c>
      <c r="J142" t="s">
        <v>276</v>
      </c>
      <c r="K142" t="s">
        <v>225</v>
      </c>
      <c r="L142" t="s">
        <v>11</v>
      </c>
      <c r="M142" t="s">
        <v>114</v>
      </c>
      <c r="N142" s="2">
        <v>45231</v>
      </c>
    </row>
    <row r="143" spans="1:14" x14ac:dyDescent="0.25">
      <c r="A143" t="s">
        <v>229</v>
      </c>
      <c r="B143" s="2">
        <v>45260</v>
      </c>
      <c r="C143" t="s">
        <v>229</v>
      </c>
      <c r="D143" t="s">
        <v>112</v>
      </c>
      <c r="E143" t="s">
        <v>9</v>
      </c>
      <c r="F143" s="3">
        <v>12300</v>
      </c>
      <c r="G143" s="3">
        <v>12300</v>
      </c>
      <c r="H143" t="s">
        <v>3</v>
      </c>
      <c r="I143" t="s">
        <v>3</v>
      </c>
      <c r="J143" t="s">
        <v>282</v>
      </c>
      <c r="K143" t="s">
        <v>225</v>
      </c>
      <c r="L143" t="s">
        <v>11</v>
      </c>
      <c r="M143" t="s">
        <v>114</v>
      </c>
      <c r="N143" s="2">
        <v>45260</v>
      </c>
    </row>
    <row r="144" spans="1:14" x14ac:dyDescent="0.25">
      <c r="A144" t="s">
        <v>229</v>
      </c>
      <c r="B144" s="2">
        <v>45596</v>
      </c>
      <c r="C144" t="s">
        <v>229</v>
      </c>
      <c r="D144" t="s">
        <v>112</v>
      </c>
      <c r="E144" t="s">
        <v>9</v>
      </c>
      <c r="F144" s="3">
        <v>-46200</v>
      </c>
      <c r="G144" s="3">
        <v>-46200</v>
      </c>
      <c r="H144" t="s">
        <v>3</v>
      </c>
      <c r="I144" t="s">
        <v>3</v>
      </c>
      <c r="J144" t="s">
        <v>277</v>
      </c>
      <c r="K144" t="s">
        <v>222</v>
      </c>
      <c r="L144" t="s">
        <v>11</v>
      </c>
      <c r="M144" t="s">
        <v>114</v>
      </c>
      <c r="N144" s="2">
        <v>45597</v>
      </c>
    </row>
    <row r="145" spans="1:14" x14ac:dyDescent="0.25">
      <c r="A145" t="s">
        <v>229</v>
      </c>
      <c r="B145" s="2">
        <v>45626</v>
      </c>
      <c r="C145" t="s">
        <v>229</v>
      </c>
      <c r="D145" t="s">
        <v>112</v>
      </c>
      <c r="E145" t="s">
        <v>9</v>
      </c>
      <c r="F145" s="3">
        <v>46200</v>
      </c>
      <c r="G145" s="3">
        <v>46200</v>
      </c>
      <c r="H145" t="s">
        <v>3</v>
      </c>
      <c r="I145" t="s">
        <v>3</v>
      </c>
      <c r="J145" t="s">
        <v>283</v>
      </c>
      <c r="K145" t="s">
        <v>222</v>
      </c>
      <c r="L145" t="s">
        <v>11</v>
      </c>
      <c r="M145" t="s">
        <v>114</v>
      </c>
      <c r="N145" s="2">
        <v>45626</v>
      </c>
    </row>
    <row r="146" spans="1:14" x14ac:dyDescent="0.25">
      <c r="A146" s="4" t="s">
        <v>226</v>
      </c>
      <c r="B146" s="5"/>
      <c r="C146" s="4" t="s">
        <v>9</v>
      </c>
      <c r="D146" s="4" t="s">
        <v>9</v>
      </c>
      <c r="E146" s="4" t="s">
        <v>9</v>
      </c>
      <c r="F146" s="6">
        <v>0</v>
      </c>
      <c r="G146" s="6">
        <v>0</v>
      </c>
      <c r="H146" s="4" t="s">
        <v>9</v>
      </c>
      <c r="I146" s="4" t="s">
        <v>3</v>
      </c>
      <c r="J146" s="4" t="s">
        <v>9</v>
      </c>
      <c r="K146" s="4" t="s">
        <v>9</v>
      </c>
      <c r="L146" s="4" t="s">
        <v>9</v>
      </c>
      <c r="M146" s="4" t="s">
        <v>9</v>
      </c>
      <c r="N146" s="5"/>
    </row>
    <row r="147" spans="1:14" x14ac:dyDescent="0.25">
      <c r="A147" t="s">
        <v>229</v>
      </c>
      <c r="B147" s="2">
        <v>44566</v>
      </c>
      <c r="C147" t="s">
        <v>229</v>
      </c>
      <c r="D147" t="s">
        <v>112</v>
      </c>
      <c r="E147" t="s">
        <v>9</v>
      </c>
      <c r="F147" s="3">
        <v>-400</v>
      </c>
      <c r="G147" s="3">
        <v>-400</v>
      </c>
      <c r="H147" t="s">
        <v>3</v>
      </c>
      <c r="I147" t="s">
        <v>3</v>
      </c>
      <c r="J147" t="s">
        <v>9</v>
      </c>
      <c r="K147" t="s">
        <v>9</v>
      </c>
      <c r="L147" t="s">
        <v>12</v>
      </c>
      <c r="M147" t="s">
        <v>114</v>
      </c>
      <c r="N147" s="2">
        <v>44561</v>
      </c>
    </row>
    <row r="148" spans="1:14" x14ac:dyDescent="0.25">
      <c r="A148" t="s">
        <v>229</v>
      </c>
      <c r="B148" s="2">
        <v>44930</v>
      </c>
      <c r="C148" t="s">
        <v>229</v>
      </c>
      <c r="D148" t="s">
        <v>284</v>
      </c>
      <c r="E148" t="s">
        <v>9</v>
      </c>
      <c r="F148" s="3">
        <v>-1734.77</v>
      </c>
      <c r="G148" s="3">
        <v>-1800</v>
      </c>
      <c r="H148" t="s">
        <v>3</v>
      </c>
      <c r="I148" t="s">
        <v>120</v>
      </c>
      <c r="J148" t="s">
        <v>9</v>
      </c>
      <c r="K148" t="s">
        <v>9</v>
      </c>
      <c r="L148" t="s">
        <v>12</v>
      </c>
      <c r="M148" t="s">
        <v>285</v>
      </c>
      <c r="N148" s="2">
        <v>44926</v>
      </c>
    </row>
    <row r="149" spans="1:14" x14ac:dyDescent="0.25">
      <c r="A149" t="s">
        <v>229</v>
      </c>
      <c r="B149" s="2">
        <v>44930</v>
      </c>
      <c r="C149" t="s">
        <v>229</v>
      </c>
      <c r="D149" t="s">
        <v>112</v>
      </c>
      <c r="E149" t="s">
        <v>9</v>
      </c>
      <c r="F149" s="3">
        <v>-23850</v>
      </c>
      <c r="G149" s="3">
        <v>-23850</v>
      </c>
      <c r="H149" t="s">
        <v>3</v>
      </c>
      <c r="I149" t="s">
        <v>3</v>
      </c>
      <c r="J149" t="s">
        <v>9</v>
      </c>
      <c r="K149" t="s">
        <v>9</v>
      </c>
      <c r="L149" t="s">
        <v>12</v>
      </c>
      <c r="M149" t="s">
        <v>114</v>
      </c>
      <c r="N149" s="2">
        <v>44926</v>
      </c>
    </row>
    <row r="150" spans="1:14" x14ac:dyDescent="0.25">
      <c r="A150" t="s">
        <v>229</v>
      </c>
      <c r="B150" s="2">
        <v>45295</v>
      </c>
      <c r="C150" t="s">
        <v>229</v>
      </c>
      <c r="D150" t="s">
        <v>112</v>
      </c>
      <c r="E150" t="s">
        <v>9</v>
      </c>
      <c r="F150" s="3">
        <v>-300</v>
      </c>
      <c r="G150" s="3">
        <v>-300</v>
      </c>
      <c r="H150" t="s">
        <v>3</v>
      </c>
      <c r="I150" t="s">
        <v>3</v>
      </c>
      <c r="J150" t="s">
        <v>9</v>
      </c>
      <c r="K150" t="s">
        <v>9</v>
      </c>
      <c r="L150" t="s">
        <v>12</v>
      </c>
      <c r="M150" t="s">
        <v>114</v>
      </c>
      <c r="N150" s="2">
        <v>45291</v>
      </c>
    </row>
    <row r="151" spans="1:14" x14ac:dyDescent="0.25">
      <c r="A151" t="s">
        <v>229</v>
      </c>
      <c r="B151" s="2">
        <v>44561</v>
      </c>
      <c r="C151" t="s">
        <v>229</v>
      </c>
      <c r="D151" t="s">
        <v>112</v>
      </c>
      <c r="E151" t="s">
        <v>9</v>
      </c>
      <c r="F151" s="3">
        <v>400</v>
      </c>
      <c r="G151" s="3">
        <v>400</v>
      </c>
      <c r="H151" t="s">
        <v>3</v>
      </c>
      <c r="I151" t="s">
        <v>3</v>
      </c>
      <c r="J151" t="s">
        <v>230</v>
      </c>
      <c r="K151" t="s">
        <v>286</v>
      </c>
      <c r="L151" t="s">
        <v>12</v>
      </c>
      <c r="M151" t="s">
        <v>114</v>
      </c>
      <c r="N151" s="2">
        <v>44561</v>
      </c>
    </row>
    <row r="152" spans="1:14" x14ac:dyDescent="0.25">
      <c r="A152" t="s">
        <v>229</v>
      </c>
      <c r="B152" s="2">
        <v>44895</v>
      </c>
      <c r="C152" t="s">
        <v>229</v>
      </c>
      <c r="D152" t="s">
        <v>112</v>
      </c>
      <c r="E152" t="s">
        <v>9</v>
      </c>
      <c r="F152" s="3">
        <v>-69900</v>
      </c>
      <c r="G152" s="3">
        <v>-69900</v>
      </c>
      <c r="H152" t="s">
        <v>3</v>
      </c>
      <c r="I152" t="s">
        <v>3</v>
      </c>
      <c r="J152" t="s">
        <v>279</v>
      </c>
      <c r="K152" t="s">
        <v>227</v>
      </c>
      <c r="L152" t="s">
        <v>12</v>
      </c>
      <c r="M152" t="s">
        <v>114</v>
      </c>
      <c r="N152" s="2">
        <v>44896</v>
      </c>
    </row>
    <row r="153" spans="1:14" x14ac:dyDescent="0.25">
      <c r="A153" t="s">
        <v>229</v>
      </c>
      <c r="B153" s="2">
        <v>44895</v>
      </c>
      <c r="C153" t="s">
        <v>229</v>
      </c>
      <c r="D153" t="s">
        <v>112</v>
      </c>
      <c r="E153" t="s">
        <v>9</v>
      </c>
      <c r="F153" s="3">
        <v>-800</v>
      </c>
      <c r="G153" s="3">
        <v>-800</v>
      </c>
      <c r="H153" t="s">
        <v>3</v>
      </c>
      <c r="I153" t="s">
        <v>3</v>
      </c>
      <c r="J153" t="s">
        <v>280</v>
      </c>
      <c r="K153" t="s">
        <v>227</v>
      </c>
      <c r="L153" t="s">
        <v>12</v>
      </c>
      <c r="M153" t="s">
        <v>114</v>
      </c>
      <c r="N153" s="2">
        <v>44896</v>
      </c>
    </row>
    <row r="154" spans="1:14" x14ac:dyDescent="0.25">
      <c r="A154" t="s">
        <v>229</v>
      </c>
      <c r="B154" s="2">
        <v>44895</v>
      </c>
      <c r="C154" t="s">
        <v>229</v>
      </c>
      <c r="D154" t="s">
        <v>112</v>
      </c>
      <c r="E154" t="s">
        <v>9</v>
      </c>
      <c r="F154" s="3">
        <v>-3700</v>
      </c>
      <c r="G154" s="3">
        <v>-3700</v>
      </c>
      <c r="H154" t="s">
        <v>3</v>
      </c>
      <c r="I154" t="s">
        <v>3</v>
      </c>
      <c r="J154" t="s">
        <v>281</v>
      </c>
      <c r="K154" t="s">
        <v>227</v>
      </c>
      <c r="L154" t="s">
        <v>12</v>
      </c>
      <c r="M154" t="s">
        <v>114</v>
      </c>
      <c r="N154" s="2">
        <v>44896</v>
      </c>
    </row>
    <row r="155" spans="1:14" x14ac:dyDescent="0.25">
      <c r="A155" t="s">
        <v>229</v>
      </c>
      <c r="B155" s="2">
        <v>44782</v>
      </c>
      <c r="C155" t="s">
        <v>229</v>
      </c>
      <c r="D155" t="s">
        <v>284</v>
      </c>
      <c r="E155" t="s">
        <v>9</v>
      </c>
      <c r="F155" s="3">
        <v>1734.77</v>
      </c>
      <c r="G155" s="3">
        <v>1800</v>
      </c>
      <c r="H155" t="s">
        <v>3</v>
      </c>
      <c r="I155" t="s">
        <v>120</v>
      </c>
      <c r="J155" t="s">
        <v>287</v>
      </c>
      <c r="K155" t="s">
        <v>227</v>
      </c>
      <c r="L155" t="s">
        <v>12</v>
      </c>
      <c r="M155" t="s">
        <v>285</v>
      </c>
      <c r="N155" s="2">
        <v>44911</v>
      </c>
    </row>
    <row r="156" spans="1:14" x14ac:dyDescent="0.25">
      <c r="A156" t="s">
        <v>229</v>
      </c>
      <c r="B156" s="2">
        <v>44926</v>
      </c>
      <c r="C156" t="s">
        <v>229</v>
      </c>
      <c r="D156" t="s">
        <v>112</v>
      </c>
      <c r="E156" t="s">
        <v>9</v>
      </c>
      <c r="F156" s="3">
        <v>93700</v>
      </c>
      <c r="G156" s="3">
        <v>93700</v>
      </c>
      <c r="H156" t="s">
        <v>3</v>
      </c>
      <c r="I156" t="s">
        <v>3</v>
      </c>
      <c r="J156" t="s">
        <v>288</v>
      </c>
      <c r="K156" t="s">
        <v>227</v>
      </c>
      <c r="L156" t="s">
        <v>12</v>
      </c>
      <c r="M156" t="s">
        <v>114</v>
      </c>
      <c r="N156" s="2">
        <v>44926</v>
      </c>
    </row>
    <row r="157" spans="1:14" x14ac:dyDescent="0.25">
      <c r="A157" t="s">
        <v>229</v>
      </c>
      <c r="B157" s="2">
        <v>44926</v>
      </c>
      <c r="C157" t="s">
        <v>229</v>
      </c>
      <c r="D157" t="s">
        <v>112</v>
      </c>
      <c r="E157" t="s">
        <v>9</v>
      </c>
      <c r="F157" s="3">
        <v>850</v>
      </c>
      <c r="G157" s="3">
        <v>850</v>
      </c>
      <c r="H157" t="s">
        <v>3</v>
      </c>
      <c r="I157" t="s">
        <v>3</v>
      </c>
      <c r="J157" t="s">
        <v>289</v>
      </c>
      <c r="K157" t="s">
        <v>227</v>
      </c>
      <c r="L157" t="s">
        <v>12</v>
      </c>
      <c r="M157" t="s">
        <v>114</v>
      </c>
      <c r="N157" s="2">
        <v>44926</v>
      </c>
    </row>
    <row r="158" spans="1:14" x14ac:dyDescent="0.25">
      <c r="A158" t="s">
        <v>229</v>
      </c>
      <c r="B158" s="2">
        <v>44926</v>
      </c>
      <c r="C158" t="s">
        <v>229</v>
      </c>
      <c r="D158" t="s">
        <v>112</v>
      </c>
      <c r="E158" t="s">
        <v>9</v>
      </c>
      <c r="F158" s="3">
        <v>3700</v>
      </c>
      <c r="G158" s="3">
        <v>3700</v>
      </c>
      <c r="H158" t="s">
        <v>3</v>
      </c>
      <c r="I158" t="s">
        <v>3</v>
      </c>
      <c r="J158" t="s">
        <v>290</v>
      </c>
      <c r="K158" t="s">
        <v>227</v>
      </c>
      <c r="L158" t="s">
        <v>12</v>
      </c>
      <c r="M158" t="s">
        <v>114</v>
      </c>
      <c r="N158" s="2">
        <v>44926</v>
      </c>
    </row>
    <row r="159" spans="1:14" x14ac:dyDescent="0.25">
      <c r="A159" t="s">
        <v>229</v>
      </c>
      <c r="B159" s="2">
        <v>45260</v>
      </c>
      <c r="C159" t="s">
        <v>229</v>
      </c>
      <c r="D159" t="s">
        <v>112</v>
      </c>
      <c r="E159" t="s">
        <v>9</v>
      </c>
      <c r="F159" s="3">
        <v>-12300</v>
      </c>
      <c r="G159" s="3">
        <v>-12300</v>
      </c>
      <c r="H159" t="s">
        <v>3</v>
      </c>
      <c r="I159" t="s">
        <v>3</v>
      </c>
      <c r="J159" t="s">
        <v>282</v>
      </c>
      <c r="K159" t="s">
        <v>225</v>
      </c>
      <c r="L159" t="s">
        <v>12</v>
      </c>
      <c r="M159" t="s">
        <v>114</v>
      </c>
      <c r="N159" s="2">
        <v>45261</v>
      </c>
    </row>
    <row r="160" spans="1:14" x14ac:dyDescent="0.25">
      <c r="A160" t="s">
        <v>229</v>
      </c>
      <c r="B160" s="2">
        <v>45291</v>
      </c>
      <c r="C160" t="s">
        <v>229</v>
      </c>
      <c r="D160" t="s">
        <v>112</v>
      </c>
      <c r="E160" t="s">
        <v>9</v>
      </c>
      <c r="F160" s="3">
        <v>12600</v>
      </c>
      <c r="G160" s="3">
        <v>12600</v>
      </c>
      <c r="H160" t="s">
        <v>3</v>
      </c>
      <c r="I160" t="s">
        <v>3</v>
      </c>
      <c r="J160" t="s">
        <v>291</v>
      </c>
      <c r="K160" t="s">
        <v>225</v>
      </c>
      <c r="L160" t="s">
        <v>12</v>
      </c>
      <c r="M160" t="s">
        <v>114</v>
      </c>
      <c r="N160" s="2">
        <v>45291</v>
      </c>
    </row>
    <row r="161" spans="1:14" x14ac:dyDescent="0.25">
      <c r="A161" t="s">
        <v>229</v>
      </c>
      <c r="B161" s="2">
        <v>45626</v>
      </c>
      <c r="C161" t="s">
        <v>229</v>
      </c>
      <c r="D161" t="s">
        <v>112</v>
      </c>
      <c r="E161" t="s">
        <v>9</v>
      </c>
      <c r="F161" s="3">
        <v>-46200</v>
      </c>
      <c r="G161" s="3">
        <v>-46200</v>
      </c>
      <c r="H161" t="s">
        <v>3</v>
      </c>
      <c r="I161" t="s">
        <v>3</v>
      </c>
      <c r="J161" t="s">
        <v>283</v>
      </c>
      <c r="K161" t="s">
        <v>222</v>
      </c>
      <c r="L161" t="s">
        <v>12</v>
      </c>
      <c r="M161" t="s">
        <v>114</v>
      </c>
      <c r="N161" s="2">
        <v>45627</v>
      </c>
    </row>
    <row r="162" spans="1:14" x14ac:dyDescent="0.25">
      <c r="A162" t="s">
        <v>229</v>
      </c>
      <c r="B162" s="2">
        <v>45657</v>
      </c>
      <c r="C162" t="s">
        <v>229</v>
      </c>
      <c r="D162" t="s">
        <v>112</v>
      </c>
      <c r="E162" t="s">
        <v>9</v>
      </c>
      <c r="F162" s="3">
        <v>46200</v>
      </c>
      <c r="G162" s="3">
        <v>46200</v>
      </c>
      <c r="H162" t="s">
        <v>3</v>
      </c>
      <c r="I162" t="s">
        <v>3</v>
      </c>
      <c r="J162" t="s">
        <v>292</v>
      </c>
      <c r="K162" t="s">
        <v>222</v>
      </c>
      <c r="L162" t="s">
        <v>12</v>
      </c>
      <c r="M162" t="s">
        <v>114</v>
      </c>
      <c r="N162" s="2">
        <v>45657</v>
      </c>
    </row>
    <row r="163" spans="1:14" x14ac:dyDescent="0.25">
      <c r="A163" s="4" t="s">
        <v>228</v>
      </c>
      <c r="B163" s="5"/>
      <c r="C163" s="4" t="s">
        <v>9</v>
      </c>
      <c r="D163" s="4" t="s">
        <v>9</v>
      </c>
      <c r="E163" s="4" t="s">
        <v>9</v>
      </c>
      <c r="F163" s="6">
        <v>0</v>
      </c>
      <c r="G163" s="6">
        <v>0</v>
      </c>
      <c r="H163" s="4" t="s">
        <v>9</v>
      </c>
      <c r="I163" s="4" t="s">
        <v>3</v>
      </c>
      <c r="J163" s="4" t="s">
        <v>9</v>
      </c>
      <c r="K163" s="4" t="s">
        <v>9</v>
      </c>
      <c r="L163" s="4" t="s">
        <v>9</v>
      </c>
      <c r="M163" s="4" t="s">
        <v>9</v>
      </c>
      <c r="N163" s="5"/>
    </row>
    <row r="164" spans="1:14" x14ac:dyDescent="0.25">
      <c r="A164" s="4" t="s">
        <v>9</v>
      </c>
      <c r="B164" s="5"/>
      <c r="C164" s="4" t="s">
        <v>9</v>
      </c>
      <c r="D164" s="4" t="s">
        <v>9</v>
      </c>
      <c r="E164" s="4" t="s">
        <v>9</v>
      </c>
      <c r="F164" s="7"/>
      <c r="G164" s="6">
        <v>0</v>
      </c>
      <c r="H164" s="4" t="s">
        <v>9</v>
      </c>
      <c r="I164" s="4" t="s">
        <v>120</v>
      </c>
      <c r="J164" s="4" t="s">
        <v>9</v>
      </c>
      <c r="K164" s="4" t="s">
        <v>9</v>
      </c>
      <c r="L164" s="4" t="s">
        <v>9</v>
      </c>
      <c r="M164" s="4" t="s">
        <v>9</v>
      </c>
      <c r="N164" s="5"/>
    </row>
    <row r="165" spans="1:14" x14ac:dyDescent="0.25">
      <c r="A165" s="4" t="s">
        <v>229</v>
      </c>
      <c r="B165" s="5"/>
      <c r="C165" s="4" t="s">
        <v>9</v>
      </c>
      <c r="D165" s="4" t="s">
        <v>9</v>
      </c>
      <c r="E165" s="4" t="s">
        <v>9</v>
      </c>
      <c r="F165" s="6">
        <v>0</v>
      </c>
      <c r="G165" s="6">
        <v>0</v>
      </c>
      <c r="H165" s="4" t="s">
        <v>9</v>
      </c>
      <c r="I165" s="4" t="s">
        <v>3</v>
      </c>
      <c r="J165" s="4" t="s">
        <v>9</v>
      </c>
      <c r="K165" s="4" t="s">
        <v>9</v>
      </c>
      <c r="L165" s="4" t="s">
        <v>9</v>
      </c>
      <c r="M165" s="4" t="s">
        <v>9</v>
      </c>
      <c r="N165" s="5"/>
    </row>
    <row r="166" spans="1:14" x14ac:dyDescent="0.25">
      <c r="A166" s="4" t="s">
        <v>9</v>
      </c>
      <c r="B166" s="5"/>
      <c r="C166" s="4" t="s">
        <v>9</v>
      </c>
      <c r="D166" s="4" t="s">
        <v>9</v>
      </c>
      <c r="E166" s="4" t="s">
        <v>9</v>
      </c>
      <c r="F166" s="7"/>
      <c r="G166" s="6">
        <v>0</v>
      </c>
      <c r="H166" s="4" t="s">
        <v>9</v>
      </c>
      <c r="I166" s="4" t="s">
        <v>120</v>
      </c>
      <c r="J166" s="4" t="s">
        <v>9</v>
      </c>
      <c r="K166" s="4" t="s">
        <v>9</v>
      </c>
      <c r="L166" s="4" t="s">
        <v>9</v>
      </c>
      <c r="M166" s="4" t="s">
        <v>9</v>
      </c>
      <c r="N166" s="5"/>
    </row>
    <row r="167" spans="1:14" x14ac:dyDescent="0.25">
      <c r="A167" t="s">
        <v>293</v>
      </c>
      <c r="B167" s="2">
        <v>45693</v>
      </c>
      <c r="C167" t="s">
        <v>293</v>
      </c>
      <c r="D167" t="s">
        <v>99</v>
      </c>
      <c r="E167" t="s">
        <v>9</v>
      </c>
      <c r="F167" s="3">
        <v>-1027.8</v>
      </c>
      <c r="G167" s="3">
        <v>-1027.8</v>
      </c>
      <c r="H167" t="s">
        <v>3</v>
      </c>
      <c r="I167" t="s">
        <v>3</v>
      </c>
      <c r="J167" t="s">
        <v>9</v>
      </c>
      <c r="K167" t="s">
        <v>9</v>
      </c>
      <c r="L167" t="s">
        <v>14</v>
      </c>
      <c r="M167" t="s">
        <v>102</v>
      </c>
      <c r="N167" s="2">
        <v>45688</v>
      </c>
    </row>
    <row r="168" spans="1:14" x14ac:dyDescent="0.25">
      <c r="A168" t="s">
        <v>293</v>
      </c>
      <c r="B168" s="2">
        <v>45664</v>
      </c>
      <c r="C168" t="s">
        <v>293</v>
      </c>
      <c r="D168" t="s">
        <v>99</v>
      </c>
      <c r="E168" t="s">
        <v>294</v>
      </c>
      <c r="F168" s="3">
        <v>1027.8</v>
      </c>
      <c r="G168" s="3">
        <v>1027.8</v>
      </c>
      <c r="H168" t="s">
        <v>3</v>
      </c>
      <c r="I168" t="s">
        <v>3</v>
      </c>
      <c r="J168" t="s">
        <v>295</v>
      </c>
      <c r="K168" t="s">
        <v>5</v>
      </c>
      <c r="L168" t="s">
        <v>14</v>
      </c>
      <c r="M168" t="s">
        <v>102</v>
      </c>
      <c r="N168" s="2">
        <v>45664</v>
      </c>
    </row>
    <row r="169" spans="1:14" x14ac:dyDescent="0.25">
      <c r="A169" s="4" t="s">
        <v>234</v>
      </c>
      <c r="B169" s="5"/>
      <c r="C169" s="4" t="s">
        <v>9</v>
      </c>
      <c r="D169" s="4" t="s">
        <v>9</v>
      </c>
      <c r="E169" s="4" t="s">
        <v>9</v>
      </c>
      <c r="F169" s="6">
        <v>0</v>
      </c>
      <c r="G169" s="6">
        <v>0</v>
      </c>
      <c r="H169" s="4" t="s">
        <v>9</v>
      </c>
      <c r="I169" s="4" t="s">
        <v>3</v>
      </c>
      <c r="J169" s="4" t="s">
        <v>9</v>
      </c>
      <c r="K169" s="4" t="s">
        <v>9</v>
      </c>
      <c r="L169" s="4" t="s">
        <v>9</v>
      </c>
      <c r="M169" s="4" t="s">
        <v>9</v>
      </c>
      <c r="N169" s="5"/>
    </row>
    <row r="170" spans="1:14" x14ac:dyDescent="0.25">
      <c r="A170" t="s">
        <v>293</v>
      </c>
      <c r="B170" s="2">
        <v>45356</v>
      </c>
      <c r="C170" t="s">
        <v>293</v>
      </c>
      <c r="D170" t="s">
        <v>99</v>
      </c>
      <c r="E170" t="s">
        <v>9</v>
      </c>
      <c r="F170" s="3">
        <v>-2250</v>
      </c>
      <c r="G170" s="3">
        <v>-2250</v>
      </c>
      <c r="H170" t="s">
        <v>3</v>
      </c>
      <c r="I170" t="s">
        <v>3</v>
      </c>
      <c r="J170" t="s">
        <v>9</v>
      </c>
      <c r="K170" t="s">
        <v>9</v>
      </c>
      <c r="L170" t="s">
        <v>15</v>
      </c>
      <c r="M170" t="s">
        <v>102</v>
      </c>
      <c r="N170" s="2">
        <v>45351</v>
      </c>
    </row>
    <row r="171" spans="1:14" x14ac:dyDescent="0.25">
      <c r="A171" t="s">
        <v>293</v>
      </c>
      <c r="B171" s="2">
        <v>45349</v>
      </c>
      <c r="C171" t="s">
        <v>293</v>
      </c>
      <c r="D171" t="s">
        <v>99</v>
      </c>
      <c r="E171" t="s">
        <v>294</v>
      </c>
      <c r="F171" s="3">
        <v>2250</v>
      </c>
      <c r="G171" s="3">
        <v>2250</v>
      </c>
      <c r="H171" t="s">
        <v>3</v>
      </c>
      <c r="I171" t="s">
        <v>3</v>
      </c>
      <c r="J171" t="s">
        <v>295</v>
      </c>
      <c r="K171" t="s">
        <v>222</v>
      </c>
      <c r="L171" t="s">
        <v>15</v>
      </c>
      <c r="M171" t="s">
        <v>102</v>
      </c>
      <c r="N171" s="2">
        <v>45349</v>
      </c>
    </row>
    <row r="172" spans="1:14" x14ac:dyDescent="0.25">
      <c r="A172" s="4" t="s">
        <v>239</v>
      </c>
      <c r="B172" s="5"/>
      <c r="C172" s="4" t="s">
        <v>9</v>
      </c>
      <c r="D172" s="4" t="s">
        <v>9</v>
      </c>
      <c r="E172" s="4" t="s">
        <v>9</v>
      </c>
      <c r="F172" s="6">
        <v>0</v>
      </c>
      <c r="G172" s="6">
        <v>0</v>
      </c>
      <c r="H172" s="4" t="s">
        <v>9</v>
      </c>
      <c r="I172" s="4" t="s">
        <v>3</v>
      </c>
      <c r="J172" s="4" t="s">
        <v>9</v>
      </c>
      <c r="K172" s="4" t="s">
        <v>9</v>
      </c>
      <c r="L172" s="4" t="s">
        <v>9</v>
      </c>
      <c r="M172" s="4" t="s">
        <v>9</v>
      </c>
      <c r="N172" s="5"/>
    </row>
    <row r="173" spans="1:14" x14ac:dyDescent="0.25">
      <c r="A173" t="s">
        <v>293</v>
      </c>
      <c r="B173" s="2">
        <v>45020</v>
      </c>
      <c r="C173" t="s">
        <v>293</v>
      </c>
      <c r="D173" t="s">
        <v>99</v>
      </c>
      <c r="E173" t="s">
        <v>9</v>
      </c>
      <c r="F173" s="3">
        <v>-6245</v>
      </c>
      <c r="G173" s="3">
        <v>-6245</v>
      </c>
      <c r="H173" t="s">
        <v>3</v>
      </c>
      <c r="I173" t="s">
        <v>3</v>
      </c>
      <c r="J173" t="s">
        <v>9</v>
      </c>
      <c r="K173" t="s">
        <v>9</v>
      </c>
      <c r="L173" t="s">
        <v>16</v>
      </c>
      <c r="M173" t="s">
        <v>102</v>
      </c>
      <c r="N173" s="2">
        <v>45016</v>
      </c>
    </row>
    <row r="174" spans="1:14" x14ac:dyDescent="0.25">
      <c r="A174" t="s">
        <v>293</v>
      </c>
      <c r="B174" s="2">
        <v>45379</v>
      </c>
      <c r="C174" t="s">
        <v>293</v>
      </c>
      <c r="D174" t="s">
        <v>99</v>
      </c>
      <c r="E174" t="s">
        <v>9</v>
      </c>
      <c r="F174" s="3">
        <v>-7576.16</v>
      </c>
      <c r="G174" s="3">
        <v>-7576.16</v>
      </c>
      <c r="H174" t="s">
        <v>3</v>
      </c>
      <c r="I174" t="s">
        <v>3</v>
      </c>
      <c r="J174" t="s">
        <v>9</v>
      </c>
      <c r="K174" t="s">
        <v>9</v>
      </c>
      <c r="L174" t="s">
        <v>16</v>
      </c>
      <c r="M174" t="s">
        <v>102</v>
      </c>
      <c r="N174" s="2">
        <v>45382</v>
      </c>
    </row>
    <row r="175" spans="1:14" x14ac:dyDescent="0.25">
      <c r="A175" t="s">
        <v>293</v>
      </c>
      <c r="B175" s="2">
        <v>44993</v>
      </c>
      <c r="C175" t="s">
        <v>293</v>
      </c>
      <c r="D175" t="s">
        <v>99</v>
      </c>
      <c r="E175" t="s">
        <v>294</v>
      </c>
      <c r="F175" s="3">
        <v>9660</v>
      </c>
      <c r="G175" s="3">
        <v>9660</v>
      </c>
      <c r="H175" t="s">
        <v>3</v>
      </c>
      <c r="I175" t="s">
        <v>3</v>
      </c>
      <c r="J175" t="s">
        <v>295</v>
      </c>
      <c r="K175" t="s">
        <v>225</v>
      </c>
      <c r="L175" t="s">
        <v>16</v>
      </c>
      <c r="M175" t="s">
        <v>102</v>
      </c>
      <c r="N175" s="2">
        <v>44993</v>
      </c>
    </row>
    <row r="176" spans="1:14" x14ac:dyDescent="0.25">
      <c r="A176" t="s">
        <v>293</v>
      </c>
      <c r="B176" s="2">
        <v>44993</v>
      </c>
      <c r="C176" t="s">
        <v>293</v>
      </c>
      <c r="D176" t="s">
        <v>99</v>
      </c>
      <c r="E176" t="s">
        <v>294</v>
      </c>
      <c r="F176" s="3">
        <v>13920</v>
      </c>
      <c r="G176" s="3">
        <v>13920</v>
      </c>
      <c r="H176" t="s">
        <v>3</v>
      </c>
      <c r="I176" t="s">
        <v>3</v>
      </c>
      <c r="J176" t="s">
        <v>295</v>
      </c>
      <c r="K176" t="s">
        <v>225</v>
      </c>
      <c r="L176" t="s">
        <v>16</v>
      </c>
      <c r="M176" t="s">
        <v>102</v>
      </c>
      <c r="N176" s="2">
        <v>44993</v>
      </c>
    </row>
    <row r="177" spans="1:14" x14ac:dyDescent="0.25">
      <c r="A177" t="s">
        <v>293</v>
      </c>
      <c r="B177" s="2">
        <v>44993</v>
      </c>
      <c r="C177" t="s">
        <v>293</v>
      </c>
      <c r="D177" t="s">
        <v>99</v>
      </c>
      <c r="E177" t="s">
        <v>294</v>
      </c>
      <c r="F177" s="3">
        <v>24960</v>
      </c>
      <c r="G177" s="3">
        <v>24960</v>
      </c>
      <c r="H177" t="s">
        <v>3</v>
      </c>
      <c r="I177" t="s">
        <v>3</v>
      </c>
      <c r="J177" t="s">
        <v>295</v>
      </c>
      <c r="K177" t="s">
        <v>225</v>
      </c>
      <c r="L177" t="s">
        <v>16</v>
      </c>
      <c r="M177" t="s">
        <v>102</v>
      </c>
      <c r="N177" s="2">
        <v>44993</v>
      </c>
    </row>
    <row r="178" spans="1:14" x14ac:dyDescent="0.25">
      <c r="A178" t="s">
        <v>293</v>
      </c>
      <c r="B178" s="2">
        <v>44993</v>
      </c>
      <c r="C178" t="s">
        <v>293</v>
      </c>
      <c r="D178" t="s">
        <v>99</v>
      </c>
      <c r="E178" t="s">
        <v>294</v>
      </c>
      <c r="F178" s="3">
        <v>12480</v>
      </c>
      <c r="G178" s="3">
        <v>12480</v>
      </c>
      <c r="H178" t="s">
        <v>3</v>
      </c>
      <c r="I178" t="s">
        <v>3</v>
      </c>
      <c r="J178" t="s">
        <v>295</v>
      </c>
      <c r="K178" t="s">
        <v>225</v>
      </c>
      <c r="L178" t="s">
        <v>16</v>
      </c>
      <c r="M178" t="s">
        <v>102</v>
      </c>
      <c r="N178" s="2">
        <v>44993</v>
      </c>
    </row>
    <row r="179" spans="1:14" x14ac:dyDescent="0.25">
      <c r="A179" t="s">
        <v>293</v>
      </c>
      <c r="B179" s="2">
        <v>44993</v>
      </c>
      <c r="C179" t="s">
        <v>293</v>
      </c>
      <c r="D179" t="s">
        <v>99</v>
      </c>
      <c r="E179" t="s">
        <v>294</v>
      </c>
      <c r="F179" s="3">
        <v>5280</v>
      </c>
      <c r="G179" s="3">
        <v>5280</v>
      </c>
      <c r="H179" t="s">
        <v>3</v>
      </c>
      <c r="I179" t="s">
        <v>3</v>
      </c>
      <c r="J179" t="s">
        <v>295</v>
      </c>
      <c r="K179" t="s">
        <v>225</v>
      </c>
      <c r="L179" t="s">
        <v>16</v>
      </c>
      <c r="M179" t="s">
        <v>102</v>
      </c>
      <c r="N179" s="2">
        <v>44993</v>
      </c>
    </row>
    <row r="180" spans="1:14" x14ac:dyDescent="0.25">
      <c r="A180" t="s">
        <v>293</v>
      </c>
      <c r="B180" s="2">
        <v>44993</v>
      </c>
      <c r="C180" t="s">
        <v>293</v>
      </c>
      <c r="D180" t="s">
        <v>99</v>
      </c>
      <c r="E180" t="s">
        <v>294</v>
      </c>
      <c r="F180" s="3">
        <v>5040</v>
      </c>
      <c r="G180" s="3">
        <v>5040</v>
      </c>
      <c r="H180" t="s">
        <v>3</v>
      </c>
      <c r="I180" t="s">
        <v>3</v>
      </c>
      <c r="J180" t="s">
        <v>295</v>
      </c>
      <c r="K180" t="s">
        <v>225</v>
      </c>
      <c r="L180" t="s">
        <v>16</v>
      </c>
      <c r="M180" t="s">
        <v>102</v>
      </c>
      <c r="N180" s="2">
        <v>44993</v>
      </c>
    </row>
    <row r="181" spans="1:14" x14ac:dyDescent="0.25">
      <c r="A181" t="s">
        <v>293</v>
      </c>
      <c r="B181" s="2">
        <v>44993</v>
      </c>
      <c r="C181" t="s">
        <v>293</v>
      </c>
      <c r="D181" t="s">
        <v>99</v>
      </c>
      <c r="E181" t="s">
        <v>294</v>
      </c>
      <c r="F181" s="3">
        <v>4145</v>
      </c>
      <c r="G181" s="3">
        <v>4145</v>
      </c>
      <c r="H181" t="s">
        <v>3</v>
      </c>
      <c r="I181" t="s">
        <v>3</v>
      </c>
      <c r="J181" t="s">
        <v>295</v>
      </c>
      <c r="K181" t="s">
        <v>225</v>
      </c>
      <c r="L181" t="s">
        <v>16</v>
      </c>
      <c r="M181" t="s">
        <v>102</v>
      </c>
      <c r="N181" s="2">
        <v>44993</v>
      </c>
    </row>
    <row r="182" spans="1:14" x14ac:dyDescent="0.25">
      <c r="A182" t="s">
        <v>293</v>
      </c>
      <c r="B182" s="2">
        <v>44993</v>
      </c>
      <c r="C182" t="s">
        <v>293</v>
      </c>
      <c r="D182" t="s">
        <v>99</v>
      </c>
      <c r="E182" t="s">
        <v>294</v>
      </c>
      <c r="F182" s="3">
        <v>2100</v>
      </c>
      <c r="G182" s="3">
        <v>2100</v>
      </c>
      <c r="H182" t="s">
        <v>3</v>
      </c>
      <c r="I182" t="s">
        <v>3</v>
      </c>
      <c r="J182" t="s">
        <v>295</v>
      </c>
      <c r="K182" t="s">
        <v>225</v>
      </c>
      <c r="L182" t="s">
        <v>16</v>
      </c>
      <c r="M182" t="s">
        <v>102</v>
      </c>
      <c r="N182" s="2">
        <v>44993</v>
      </c>
    </row>
    <row r="183" spans="1:14" x14ac:dyDescent="0.25">
      <c r="A183" t="s">
        <v>293</v>
      </c>
      <c r="B183" s="2">
        <v>44993</v>
      </c>
      <c r="C183" t="s">
        <v>293</v>
      </c>
      <c r="D183" t="s">
        <v>99</v>
      </c>
      <c r="E183" t="s">
        <v>294</v>
      </c>
      <c r="F183" s="3">
        <v>-13920</v>
      </c>
      <c r="G183" s="3">
        <v>-13920</v>
      </c>
      <c r="H183" t="s">
        <v>3</v>
      </c>
      <c r="I183" t="s">
        <v>3</v>
      </c>
      <c r="J183" t="s">
        <v>295</v>
      </c>
      <c r="K183" t="s">
        <v>225</v>
      </c>
      <c r="L183" t="s">
        <v>16</v>
      </c>
      <c r="M183" t="s">
        <v>102</v>
      </c>
      <c r="N183" s="2">
        <v>44993</v>
      </c>
    </row>
    <row r="184" spans="1:14" x14ac:dyDescent="0.25">
      <c r="A184" t="s">
        <v>293</v>
      </c>
      <c r="B184" s="2">
        <v>44993</v>
      </c>
      <c r="C184" t="s">
        <v>293</v>
      </c>
      <c r="D184" t="s">
        <v>99</v>
      </c>
      <c r="E184" t="s">
        <v>294</v>
      </c>
      <c r="F184" s="3">
        <v>-24960</v>
      </c>
      <c r="G184" s="3">
        <v>-24960</v>
      </c>
      <c r="H184" t="s">
        <v>3</v>
      </c>
      <c r="I184" t="s">
        <v>3</v>
      </c>
      <c r="J184" t="s">
        <v>295</v>
      </c>
      <c r="K184" t="s">
        <v>225</v>
      </c>
      <c r="L184" t="s">
        <v>16</v>
      </c>
      <c r="M184" t="s">
        <v>102</v>
      </c>
      <c r="N184" s="2">
        <v>44993</v>
      </c>
    </row>
    <row r="185" spans="1:14" x14ac:dyDescent="0.25">
      <c r="A185" t="s">
        <v>293</v>
      </c>
      <c r="B185" s="2">
        <v>44993</v>
      </c>
      <c r="C185" t="s">
        <v>293</v>
      </c>
      <c r="D185" t="s">
        <v>99</v>
      </c>
      <c r="E185" t="s">
        <v>294</v>
      </c>
      <c r="F185" s="3">
        <v>-12480</v>
      </c>
      <c r="G185" s="3">
        <v>-12480</v>
      </c>
      <c r="H185" t="s">
        <v>3</v>
      </c>
      <c r="I185" t="s">
        <v>3</v>
      </c>
      <c r="J185" t="s">
        <v>295</v>
      </c>
      <c r="K185" t="s">
        <v>225</v>
      </c>
      <c r="L185" t="s">
        <v>16</v>
      </c>
      <c r="M185" t="s">
        <v>102</v>
      </c>
      <c r="N185" s="2">
        <v>44993</v>
      </c>
    </row>
    <row r="186" spans="1:14" x14ac:dyDescent="0.25">
      <c r="A186" t="s">
        <v>293</v>
      </c>
      <c r="B186" s="2">
        <v>44993</v>
      </c>
      <c r="C186" t="s">
        <v>293</v>
      </c>
      <c r="D186" t="s">
        <v>99</v>
      </c>
      <c r="E186" t="s">
        <v>294</v>
      </c>
      <c r="F186" s="3">
        <v>-5280</v>
      </c>
      <c r="G186" s="3">
        <v>-5280</v>
      </c>
      <c r="H186" t="s">
        <v>3</v>
      </c>
      <c r="I186" t="s">
        <v>3</v>
      </c>
      <c r="J186" t="s">
        <v>295</v>
      </c>
      <c r="K186" t="s">
        <v>225</v>
      </c>
      <c r="L186" t="s">
        <v>16</v>
      </c>
      <c r="M186" t="s">
        <v>102</v>
      </c>
      <c r="N186" s="2">
        <v>44993</v>
      </c>
    </row>
    <row r="187" spans="1:14" x14ac:dyDescent="0.25">
      <c r="A187" t="s">
        <v>293</v>
      </c>
      <c r="B187" s="2">
        <v>44993</v>
      </c>
      <c r="C187" t="s">
        <v>293</v>
      </c>
      <c r="D187" t="s">
        <v>99</v>
      </c>
      <c r="E187" t="s">
        <v>294</v>
      </c>
      <c r="F187" s="3">
        <v>-5040</v>
      </c>
      <c r="G187" s="3">
        <v>-5040</v>
      </c>
      <c r="H187" t="s">
        <v>3</v>
      </c>
      <c r="I187" t="s">
        <v>3</v>
      </c>
      <c r="J187" t="s">
        <v>295</v>
      </c>
      <c r="K187" t="s">
        <v>225</v>
      </c>
      <c r="L187" t="s">
        <v>16</v>
      </c>
      <c r="M187" t="s">
        <v>102</v>
      </c>
      <c r="N187" s="2">
        <v>44993</v>
      </c>
    </row>
    <row r="188" spans="1:14" x14ac:dyDescent="0.25">
      <c r="A188" t="s">
        <v>293</v>
      </c>
      <c r="B188" s="2">
        <v>44993</v>
      </c>
      <c r="C188" t="s">
        <v>293</v>
      </c>
      <c r="D188" t="s">
        <v>99</v>
      </c>
      <c r="E188" t="s">
        <v>294</v>
      </c>
      <c r="F188" s="3">
        <v>-9660</v>
      </c>
      <c r="G188" s="3">
        <v>-9660</v>
      </c>
      <c r="H188" t="s">
        <v>3</v>
      </c>
      <c r="I188" t="s">
        <v>3</v>
      </c>
      <c r="J188" t="s">
        <v>295</v>
      </c>
      <c r="K188" t="s">
        <v>225</v>
      </c>
      <c r="L188" t="s">
        <v>16</v>
      </c>
      <c r="M188" t="s">
        <v>102</v>
      </c>
      <c r="N188" s="2">
        <v>44993</v>
      </c>
    </row>
    <row r="189" spans="1:14" x14ac:dyDescent="0.25">
      <c r="A189" t="s">
        <v>293</v>
      </c>
      <c r="B189" s="2">
        <v>45372</v>
      </c>
      <c r="C189" t="s">
        <v>293</v>
      </c>
      <c r="D189" t="s">
        <v>99</v>
      </c>
      <c r="E189" t="s">
        <v>294</v>
      </c>
      <c r="F189" s="3">
        <v>7576.16</v>
      </c>
      <c r="G189" s="3">
        <v>7576.16</v>
      </c>
      <c r="H189" t="s">
        <v>3</v>
      </c>
      <c r="I189" t="s">
        <v>3</v>
      </c>
      <c r="J189" t="s">
        <v>295</v>
      </c>
      <c r="K189" t="s">
        <v>222</v>
      </c>
      <c r="L189" t="s">
        <v>16</v>
      </c>
      <c r="M189" t="s">
        <v>102</v>
      </c>
      <c r="N189" s="2">
        <v>45372</v>
      </c>
    </row>
    <row r="190" spans="1:14" x14ac:dyDescent="0.25">
      <c r="A190" s="4" t="s">
        <v>244</v>
      </c>
      <c r="B190" s="5"/>
      <c r="C190" s="4" t="s">
        <v>9</v>
      </c>
      <c r="D190" s="4" t="s">
        <v>9</v>
      </c>
      <c r="E190" s="4" t="s">
        <v>9</v>
      </c>
      <c r="F190" s="6">
        <v>0</v>
      </c>
      <c r="G190" s="6">
        <v>0</v>
      </c>
      <c r="H190" s="4" t="s">
        <v>9</v>
      </c>
      <c r="I190" s="4" t="s">
        <v>3</v>
      </c>
      <c r="J190" s="4" t="s">
        <v>9</v>
      </c>
      <c r="K190" s="4" t="s">
        <v>9</v>
      </c>
      <c r="L190" s="4" t="s">
        <v>9</v>
      </c>
      <c r="M190" s="4" t="s">
        <v>9</v>
      </c>
      <c r="N190" s="5"/>
    </row>
    <row r="191" spans="1:14" x14ac:dyDescent="0.25">
      <c r="A191" t="s">
        <v>293</v>
      </c>
      <c r="B191" s="2">
        <v>45415</v>
      </c>
      <c r="C191" t="s">
        <v>293</v>
      </c>
      <c r="D191" t="s">
        <v>99</v>
      </c>
      <c r="E191" t="s">
        <v>9</v>
      </c>
      <c r="F191" s="3">
        <v>-600</v>
      </c>
      <c r="G191" s="3">
        <v>-600</v>
      </c>
      <c r="H191" t="s">
        <v>3</v>
      </c>
      <c r="I191" t="s">
        <v>3</v>
      </c>
      <c r="J191" t="s">
        <v>9</v>
      </c>
      <c r="K191" t="s">
        <v>9</v>
      </c>
      <c r="L191" t="s">
        <v>17</v>
      </c>
      <c r="M191" t="s">
        <v>102</v>
      </c>
      <c r="N191" s="2">
        <v>45412</v>
      </c>
    </row>
    <row r="192" spans="1:14" x14ac:dyDescent="0.25">
      <c r="A192" t="s">
        <v>293</v>
      </c>
      <c r="B192" s="2">
        <v>45391</v>
      </c>
      <c r="C192" t="s">
        <v>293</v>
      </c>
      <c r="D192" t="s">
        <v>99</v>
      </c>
      <c r="E192" t="s">
        <v>294</v>
      </c>
      <c r="F192" s="3">
        <v>600</v>
      </c>
      <c r="G192" s="3">
        <v>600</v>
      </c>
      <c r="H192" t="s">
        <v>3</v>
      </c>
      <c r="I192" t="s">
        <v>3</v>
      </c>
      <c r="J192" t="s">
        <v>295</v>
      </c>
      <c r="K192" t="s">
        <v>222</v>
      </c>
      <c r="L192" t="s">
        <v>17</v>
      </c>
      <c r="M192" t="s">
        <v>102</v>
      </c>
      <c r="N192" s="2">
        <v>45391</v>
      </c>
    </row>
    <row r="193" spans="1:14" x14ac:dyDescent="0.25">
      <c r="A193" s="4" t="s">
        <v>249</v>
      </c>
      <c r="B193" s="5"/>
      <c r="C193" s="4" t="s">
        <v>9</v>
      </c>
      <c r="D193" s="4" t="s">
        <v>9</v>
      </c>
      <c r="E193" s="4" t="s">
        <v>9</v>
      </c>
      <c r="F193" s="6">
        <v>0</v>
      </c>
      <c r="G193" s="6">
        <v>0</v>
      </c>
      <c r="H193" s="4" t="s">
        <v>9</v>
      </c>
      <c r="I193" s="4" t="s">
        <v>3</v>
      </c>
      <c r="J193" s="4" t="s">
        <v>9</v>
      </c>
      <c r="K193" s="4" t="s">
        <v>9</v>
      </c>
      <c r="L193" s="4" t="s">
        <v>9</v>
      </c>
      <c r="M193" s="4" t="s">
        <v>9</v>
      </c>
      <c r="N193" s="5"/>
    </row>
    <row r="194" spans="1:14" x14ac:dyDescent="0.25">
      <c r="A194" t="s">
        <v>293</v>
      </c>
      <c r="B194" s="2">
        <v>44897</v>
      </c>
      <c r="C194" t="s">
        <v>293</v>
      </c>
      <c r="D194" t="s">
        <v>99</v>
      </c>
      <c r="E194" t="s">
        <v>9</v>
      </c>
      <c r="F194" s="3">
        <v>-17600</v>
      </c>
      <c r="G194" s="3">
        <v>-17600</v>
      </c>
      <c r="H194" t="s">
        <v>3</v>
      </c>
      <c r="I194" t="s">
        <v>3</v>
      </c>
      <c r="J194" t="s">
        <v>9</v>
      </c>
      <c r="K194" t="s">
        <v>9</v>
      </c>
      <c r="L194" t="s">
        <v>11</v>
      </c>
      <c r="M194" t="s">
        <v>102</v>
      </c>
      <c r="N194" s="2">
        <v>44895</v>
      </c>
    </row>
    <row r="195" spans="1:14" x14ac:dyDescent="0.25">
      <c r="A195" t="s">
        <v>293</v>
      </c>
      <c r="B195" s="2">
        <v>44886</v>
      </c>
      <c r="C195" t="s">
        <v>293</v>
      </c>
      <c r="D195" t="s">
        <v>99</v>
      </c>
      <c r="E195" t="s">
        <v>294</v>
      </c>
      <c r="F195" s="3">
        <v>17600</v>
      </c>
      <c r="G195" s="3">
        <v>17600</v>
      </c>
      <c r="H195" t="s">
        <v>3</v>
      </c>
      <c r="I195" t="s">
        <v>3</v>
      </c>
      <c r="J195" t="s">
        <v>295</v>
      </c>
      <c r="K195" t="s">
        <v>227</v>
      </c>
      <c r="L195" t="s">
        <v>11</v>
      </c>
      <c r="M195" t="s">
        <v>102</v>
      </c>
      <c r="N195" s="2">
        <v>44886</v>
      </c>
    </row>
    <row r="196" spans="1:14" x14ac:dyDescent="0.25">
      <c r="A196" s="4" t="s">
        <v>226</v>
      </c>
      <c r="B196" s="5"/>
      <c r="C196" s="4" t="s">
        <v>9</v>
      </c>
      <c r="D196" s="4" t="s">
        <v>9</v>
      </c>
      <c r="E196" s="4" t="s">
        <v>9</v>
      </c>
      <c r="F196" s="6">
        <v>0</v>
      </c>
      <c r="G196" s="6">
        <v>0</v>
      </c>
      <c r="H196" s="4" t="s">
        <v>9</v>
      </c>
      <c r="I196" s="4" t="s">
        <v>3</v>
      </c>
      <c r="J196" s="4" t="s">
        <v>9</v>
      </c>
      <c r="K196" s="4" t="s">
        <v>9</v>
      </c>
      <c r="L196" s="4" t="s">
        <v>9</v>
      </c>
      <c r="M196" s="4" t="s">
        <v>9</v>
      </c>
      <c r="N196" s="5"/>
    </row>
    <row r="197" spans="1:14" x14ac:dyDescent="0.25">
      <c r="A197" t="s">
        <v>293</v>
      </c>
      <c r="B197" s="2">
        <v>44930</v>
      </c>
      <c r="C197" t="s">
        <v>293</v>
      </c>
      <c r="D197" t="s">
        <v>99</v>
      </c>
      <c r="E197" t="s">
        <v>9</v>
      </c>
      <c r="F197" s="3">
        <v>-18400</v>
      </c>
      <c r="G197" s="3">
        <v>-18400</v>
      </c>
      <c r="H197" t="s">
        <v>3</v>
      </c>
      <c r="I197" t="s">
        <v>3</v>
      </c>
      <c r="J197" t="s">
        <v>9</v>
      </c>
      <c r="K197" t="s">
        <v>9</v>
      </c>
      <c r="L197" t="s">
        <v>12</v>
      </c>
      <c r="M197" t="s">
        <v>102</v>
      </c>
      <c r="N197" s="2">
        <v>44926</v>
      </c>
    </row>
    <row r="198" spans="1:14" x14ac:dyDescent="0.25">
      <c r="A198" t="s">
        <v>293</v>
      </c>
      <c r="B198" s="2">
        <v>44935</v>
      </c>
      <c r="C198" t="s">
        <v>293</v>
      </c>
      <c r="D198" t="s">
        <v>99</v>
      </c>
      <c r="E198" t="s">
        <v>9</v>
      </c>
      <c r="F198" s="3">
        <v>-4000</v>
      </c>
      <c r="G198" s="3">
        <v>-4000</v>
      </c>
      <c r="H198" t="s">
        <v>3</v>
      </c>
      <c r="I198" t="s">
        <v>3</v>
      </c>
      <c r="J198" t="s">
        <v>9</v>
      </c>
      <c r="K198" t="s">
        <v>9</v>
      </c>
      <c r="L198" t="s">
        <v>12</v>
      </c>
      <c r="M198" t="s">
        <v>102</v>
      </c>
      <c r="N198" s="2">
        <v>44926</v>
      </c>
    </row>
    <row r="199" spans="1:14" x14ac:dyDescent="0.25">
      <c r="A199" t="s">
        <v>293</v>
      </c>
      <c r="B199" s="2">
        <v>45295</v>
      </c>
      <c r="C199" t="s">
        <v>293</v>
      </c>
      <c r="D199" t="s">
        <v>99</v>
      </c>
      <c r="E199" t="s">
        <v>9</v>
      </c>
      <c r="F199" s="3">
        <v>-6000</v>
      </c>
      <c r="G199" s="3">
        <v>-6000</v>
      </c>
      <c r="H199" t="s">
        <v>3</v>
      </c>
      <c r="I199" t="s">
        <v>3</v>
      </c>
      <c r="J199" t="s">
        <v>9</v>
      </c>
      <c r="K199" t="s">
        <v>9</v>
      </c>
      <c r="L199" t="s">
        <v>12</v>
      </c>
      <c r="M199" t="s">
        <v>102</v>
      </c>
      <c r="N199" s="2">
        <v>45291</v>
      </c>
    </row>
    <row r="200" spans="1:14" x14ac:dyDescent="0.25">
      <c r="A200" t="s">
        <v>293</v>
      </c>
      <c r="B200" s="2">
        <v>45660</v>
      </c>
      <c r="C200" t="s">
        <v>293</v>
      </c>
      <c r="D200" t="s">
        <v>99</v>
      </c>
      <c r="E200" t="s">
        <v>9</v>
      </c>
      <c r="F200" s="3">
        <v>-55965.599999999999</v>
      </c>
      <c r="G200" s="3">
        <v>-55965.599999999999</v>
      </c>
      <c r="H200" t="s">
        <v>3</v>
      </c>
      <c r="I200" t="s">
        <v>3</v>
      </c>
      <c r="J200" t="s">
        <v>9</v>
      </c>
      <c r="K200" t="s">
        <v>9</v>
      </c>
      <c r="L200" t="s">
        <v>12</v>
      </c>
      <c r="M200" t="s">
        <v>102</v>
      </c>
      <c r="N200" s="2">
        <v>45657</v>
      </c>
    </row>
    <row r="201" spans="1:14" x14ac:dyDescent="0.25">
      <c r="A201" t="s">
        <v>293</v>
      </c>
      <c r="B201" s="2">
        <v>44916</v>
      </c>
      <c r="C201" t="s">
        <v>293</v>
      </c>
      <c r="D201" t="s">
        <v>99</v>
      </c>
      <c r="E201" t="s">
        <v>294</v>
      </c>
      <c r="F201" s="3">
        <v>4000</v>
      </c>
      <c r="G201" s="3">
        <v>4000</v>
      </c>
      <c r="H201" t="s">
        <v>3</v>
      </c>
      <c r="I201" t="s">
        <v>3</v>
      </c>
      <c r="J201" t="s">
        <v>295</v>
      </c>
      <c r="K201" t="s">
        <v>227</v>
      </c>
      <c r="L201" t="s">
        <v>12</v>
      </c>
      <c r="M201" t="s">
        <v>102</v>
      </c>
      <c r="N201" s="2">
        <v>44916</v>
      </c>
    </row>
    <row r="202" spans="1:14" x14ac:dyDescent="0.25">
      <c r="A202" t="s">
        <v>293</v>
      </c>
      <c r="B202" s="2">
        <v>44916</v>
      </c>
      <c r="C202" t="s">
        <v>293</v>
      </c>
      <c r="D202" t="s">
        <v>99</v>
      </c>
      <c r="E202" t="s">
        <v>294</v>
      </c>
      <c r="F202" s="3">
        <v>14400</v>
      </c>
      <c r="G202" s="3">
        <v>14400</v>
      </c>
      <c r="H202" t="s">
        <v>3</v>
      </c>
      <c r="I202" t="s">
        <v>3</v>
      </c>
      <c r="J202" t="s">
        <v>295</v>
      </c>
      <c r="K202" t="s">
        <v>227</v>
      </c>
      <c r="L202" t="s">
        <v>12</v>
      </c>
      <c r="M202" t="s">
        <v>102</v>
      </c>
      <c r="N202" s="2">
        <v>44916</v>
      </c>
    </row>
    <row r="203" spans="1:14" x14ac:dyDescent="0.25">
      <c r="A203" t="s">
        <v>293</v>
      </c>
      <c r="B203" s="2">
        <v>44874</v>
      </c>
      <c r="C203" t="s">
        <v>293</v>
      </c>
      <c r="D203" t="s">
        <v>99</v>
      </c>
      <c r="E203" t="s">
        <v>294</v>
      </c>
      <c r="F203" s="3">
        <v>4000</v>
      </c>
      <c r="G203" s="3">
        <v>4000</v>
      </c>
      <c r="H203" t="s">
        <v>3</v>
      </c>
      <c r="I203" t="s">
        <v>3</v>
      </c>
      <c r="J203" t="s">
        <v>295</v>
      </c>
      <c r="K203" t="s">
        <v>227</v>
      </c>
      <c r="L203" t="s">
        <v>12</v>
      </c>
      <c r="M203" t="s">
        <v>102</v>
      </c>
      <c r="N203" s="2">
        <v>44926</v>
      </c>
    </row>
    <row r="204" spans="1:14" x14ac:dyDescent="0.25">
      <c r="A204" t="s">
        <v>293</v>
      </c>
      <c r="B204" s="2">
        <v>45281</v>
      </c>
      <c r="C204" t="s">
        <v>293</v>
      </c>
      <c r="D204" t="s">
        <v>99</v>
      </c>
      <c r="E204" t="s">
        <v>294</v>
      </c>
      <c r="F204" s="3">
        <v>6000</v>
      </c>
      <c r="G204" s="3">
        <v>6000</v>
      </c>
      <c r="H204" t="s">
        <v>3</v>
      </c>
      <c r="I204" t="s">
        <v>3</v>
      </c>
      <c r="J204" t="s">
        <v>295</v>
      </c>
      <c r="K204" t="s">
        <v>225</v>
      </c>
      <c r="L204" t="s">
        <v>12</v>
      </c>
      <c r="M204" t="s">
        <v>102</v>
      </c>
      <c r="N204" s="2">
        <v>45281</v>
      </c>
    </row>
    <row r="205" spans="1:14" x14ac:dyDescent="0.25">
      <c r="A205" t="s">
        <v>293</v>
      </c>
      <c r="B205" s="2">
        <v>45646</v>
      </c>
      <c r="C205" t="s">
        <v>293</v>
      </c>
      <c r="D205" t="s">
        <v>99</v>
      </c>
      <c r="E205" t="s">
        <v>294</v>
      </c>
      <c r="F205" s="3">
        <v>12502.8</v>
      </c>
      <c r="G205" s="3">
        <v>12502.8</v>
      </c>
      <c r="H205" t="s">
        <v>3</v>
      </c>
      <c r="I205" t="s">
        <v>3</v>
      </c>
      <c r="J205" t="s">
        <v>295</v>
      </c>
      <c r="K205" t="s">
        <v>222</v>
      </c>
      <c r="L205" t="s">
        <v>12</v>
      </c>
      <c r="M205" t="s">
        <v>102</v>
      </c>
      <c r="N205" s="2">
        <v>45646</v>
      </c>
    </row>
    <row r="206" spans="1:14" x14ac:dyDescent="0.25">
      <c r="A206" t="s">
        <v>293</v>
      </c>
      <c r="B206" s="2">
        <v>45646</v>
      </c>
      <c r="C206" t="s">
        <v>293</v>
      </c>
      <c r="D206" t="s">
        <v>99</v>
      </c>
      <c r="E206" t="s">
        <v>294</v>
      </c>
      <c r="F206" s="3">
        <v>19501.2</v>
      </c>
      <c r="G206" s="3">
        <v>19501.2</v>
      </c>
      <c r="H206" t="s">
        <v>3</v>
      </c>
      <c r="I206" t="s">
        <v>3</v>
      </c>
      <c r="J206" t="s">
        <v>295</v>
      </c>
      <c r="K206" t="s">
        <v>222</v>
      </c>
      <c r="L206" t="s">
        <v>12</v>
      </c>
      <c r="M206" t="s">
        <v>102</v>
      </c>
      <c r="N206" s="2">
        <v>45646</v>
      </c>
    </row>
    <row r="207" spans="1:14" x14ac:dyDescent="0.25">
      <c r="A207" t="s">
        <v>293</v>
      </c>
      <c r="B207" s="2">
        <v>45646</v>
      </c>
      <c r="C207" t="s">
        <v>293</v>
      </c>
      <c r="D207" t="s">
        <v>99</v>
      </c>
      <c r="E207" t="s">
        <v>294</v>
      </c>
      <c r="F207" s="3">
        <v>2831.4</v>
      </c>
      <c r="G207" s="3">
        <v>2831.4</v>
      </c>
      <c r="H207" t="s">
        <v>3</v>
      </c>
      <c r="I207" t="s">
        <v>3</v>
      </c>
      <c r="J207" t="s">
        <v>295</v>
      </c>
      <c r="K207" t="s">
        <v>222</v>
      </c>
      <c r="L207" t="s">
        <v>12</v>
      </c>
      <c r="M207" t="s">
        <v>102</v>
      </c>
      <c r="N207" s="2">
        <v>45646</v>
      </c>
    </row>
    <row r="208" spans="1:14" x14ac:dyDescent="0.25">
      <c r="A208" t="s">
        <v>293</v>
      </c>
      <c r="B208" s="2">
        <v>45646</v>
      </c>
      <c r="C208" t="s">
        <v>293</v>
      </c>
      <c r="D208" t="s">
        <v>99</v>
      </c>
      <c r="E208" t="s">
        <v>294</v>
      </c>
      <c r="F208" s="3">
        <v>4510.8</v>
      </c>
      <c r="G208" s="3">
        <v>4510.8</v>
      </c>
      <c r="H208" t="s">
        <v>3</v>
      </c>
      <c r="I208" t="s">
        <v>3</v>
      </c>
      <c r="J208" t="s">
        <v>295</v>
      </c>
      <c r="K208" t="s">
        <v>222</v>
      </c>
      <c r="L208" t="s">
        <v>12</v>
      </c>
      <c r="M208" t="s">
        <v>102</v>
      </c>
      <c r="N208" s="2">
        <v>45646</v>
      </c>
    </row>
    <row r="209" spans="1:14" x14ac:dyDescent="0.25">
      <c r="A209" t="s">
        <v>293</v>
      </c>
      <c r="B209" s="2">
        <v>45646</v>
      </c>
      <c r="C209" t="s">
        <v>293</v>
      </c>
      <c r="D209" t="s">
        <v>99</v>
      </c>
      <c r="E209" t="s">
        <v>294</v>
      </c>
      <c r="F209" s="3">
        <v>12978</v>
      </c>
      <c r="G209" s="3">
        <v>12978</v>
      </c>
      <c r="H209" t="s">
        <v>3</v>
      </c>
      <c r="I209" t="s">
        <v>3</v>
      </c>
      <c r="J209" t="s">
        <v>295</v>
      </c>
      <c r="K209" t="s">
        <v>222</v>
      </c>
      <c r="L209" t="s">
        <v>12</v>
      </c>
      <c r="M209" t="s">
        <v>102</v>
      </c>
      <c r="N209" s="2">
        <v>45646</v>
      </c>
    </row>
    <row r="210" spans="1:14" x14ac:dyDescent="0.25">
      <c r="A210" t="s">
        <v>293</v>
      </c>
      <c r="B210" s="2">
        <v>45646</v>
      </c>
      <c r="C210" t="s">
        <v>293</v>
      </c>
      <c r="D210" t="s">
        <v>99</v>
      </c>
      <c r="E210" t="s">
        <v>294</v>
      </c>
      <c r="F210" s="3">
        <v>3641.4</v>
      </c>
      <c r="G210" s="3">
        <v>3641.4</v>
      </c>
      <c r="H210" t="s">
        <v>3</v>
      </c>
      <c r="I210" t="s">
        <v>3</v>
      </c>
      <c r="J210" t="s">
        <v>295</v>
      </c>
      <c r="K210" t="s">
        <v>222</v>
      </c>
      <c r="L210" t="s">
        <v>12</v>
      </c>
      <c r="M210" t="s">
        <v>102</v>
      </c>
      <c r="N210" s="2">
        <v>45646</v>
      </c>
    </row>
    <row r="211" spans="1:14" x14ac:dyDescent="0.25">
      <c r="A211" s="4" t="s">
        <v>228</v>
      </c>
      <c r="B211" s="5"/>
      <c r="C211" s="4" t="s">
        <v>9</v>
      </c>
      <c r="D211" s="4" t="s">
        <v>9</v>
      </c>
      <c r="E211" s="4" t="s">
        <v>9</v>
      </c>
      <c r="F211" s="6">
        <v>0</v>
      </c>
      <c r="G211" s="6">
        <v>0</v>
      </c>
      <c r="H211" s="4" t="s">
        <v>9</v>
      </c>
      <c r="I211" s="4" t="s">
        <v>3</v>
      </c>
      <c r="J211" s="4" t="s">
        <v>9</v>
      </c>
      <c r="K211" s="4" t="s">
        <v>9</v>
      </c>
      <c r="L211" s="4" t="s">
        <v>9</v>
      </c>
      <c r="M211" s="4" t="s">
        <v>9</v>
      </c>
      <c r="N211" s="5"/>
    </row>
    <row r="212" spans="1:14" x14ac:dyDescent="0.25">
      <c r="A212" s="4" t="s">
        <v>293</v>
      </c>
      <c r="B212" s="5"/>
      <c r="C212" s="4" t="s">
        <v>9</v>
      </c>
      <c r="D212" s="4" t="s">
        <v>9</v>
      </c>
      <c r="E212" s="4" t="s">
        <v>9</v>
      </c>
      <c r="F212" s="6">
        <v>0</v>
      </c>
      <c r="G212" s="6">
        <v>0</v>
      </c>
      <c r="H212" s="4" t="s">
        <v>9</v>
      </c>
      <c r="I212" s="4" t="s">
        <v>3</v>
      </c>
      <c r="J212" s="4" t="s">
        <v>9</v>
      </c>
      <c r="K212" s="4" t="s">
        <v>9</v>
      </c>
      <c r="L212" s="4" t="s">
        <v>9</v>
      </c>
      <c r="M212" s="4" t="s">
        <v>9</v>
      </c>
      <c r="N212" s="5"/>
    </row>
    <row r="213" spans="1:14" x14ac:dyDescent="0.25">
      <c r="A213" t="s">
        <v>296</v>
      </c>
      <c r="B213" s="2">
        <v>45693</v>
      </c>
      <c r="C213" t="s">
        <v>296</v>
      </c>
      <c r="D213" t="s">
        <v>112</v>
      </c>
      <c r="E213" t="s">
        <v>9</v>
      </c>
      <c r="F213" s="3">
        <v>-1600</v>
      </c>
      <c r="G213" s="3">
        <v>-1600</v>
      </c>
      <c r="H213" t="s">
        <v>3</v>
      </c>
      <c r="I213" t="s">
        <v>3</v>
      </c>
      <c r="J213" t="s">
        <v>9</v>
      </c>
      <c r="K213" t="s">
        <v>9</v>
      </c>
      <c r="L213" t="s">
        <v>14</v>
      </c>
      <c r="M213" t="s">
        <v>114</v>
      </c>
      <c r="N213" s="2">
        <v>45688</v>
      </c>
    </row>
    <row r="214" spans="1:14" x14ac:dyDescent="0.25">
      <c r="A214" t="s">
        <v>296</v>
      </c>
      <c r="B214" s="2">
        <v>46056</v>
      </c>
      <c r="C214" t="s">
        <v>296</v>
      </c>
      <c r="D214" t="s">
        <v>112</v>
      </c>
      <c r="E214" t="s">
        <v>9</v>
      </c>
      <c r="F214" s="3">
        <v>-3700</v>
      </c>
      <c r="G214" s="3">
        <v>-3700</v>
      </c>
      <c r="H214" t="s">
        <v>3</v>
      </c>
      <c r="I214" t="s">
        <v>3</v>
      </c>
      <c r="J214" t="s">
        <v>9</v>
      </c>
      <c r="K214" t="s">
        <v>9</v>
      </c>
      <c r="L214" t="s">
        <v>14</v>
      </c>
      <c r="M214" t="s">
        <v>114</v>
      </c>
      <c r="N214" s="2">
        <v>46053</v>
      </c>
    </row>
    <row r="215" spans="1:14" x14ac:dyDescent="0.25">
      <c r="A215" t="s">
        <v>296</v>
      </c>
      <c r="B215" s="2">
        <v>45688</v>
      </c>
      <c r="C215" t="s">
        <v>296</v>
      </c>
      <c r="D215" t="s">
        <v>112</v>
      </c>
      <c r="E215" t="s">
        <v>9</v>
      </c>
      <c r="F215" s="3">
        <v>1600</v>
      </c>
      <c r="G215" s="3">
        <v>1600</v>
      </c>
      <c r="H215" t="s">
        <v>3</v>
      </c>
      <c r="I215" t="s">
        <v>3</v>
      </c>
      <c r="J215" t="s">
        <v>297</v>
      </c>
      <c r="K215" t="s">
        <v>5</v>
      </c>
      <c r="L215" t="s">
        <v>14</v>
      </c>
      <c r="M215" t="s">
        <v>114</v>
      </c>
      <c r="N215" s="2">
        <v>45688</v>
      </c>
    </row>
    <row r="216" spans="1:14" x14ac:dyDescent="0.25">
      <c r="A216" t="s">
        <v>296</v>
      </c>
      <c r="B216" s="2">
        <v>46022</v>
      </c>
      <c r="C216" t="s">
        <v>296</v>
      </c>
      <c r="D216" t="s">
        <v>112</v>
      </c>
      <c r="E216" t="s">
        <v>9</v>
      </c>
      <c r="F216" s="3">
        <v>-31900</v>
      </c>
      <c r="G216" s="3">
        <v>-31900</v>
      </c>
      <c r="H216" t="s">
        <v>3</v>
      </c>
      <c r="I216" t="s">
        <v>3</v>
      </c>
      <c r="J216" t="s">
        <v>298</v>
      </c>
      <c r="K216" t="s">
        <v>13</v>
      </c>
      <c r="L216" t="s">
        <v>14</v>
      </c>
      <c r="M216" t="s">
        <v>114</v>
      </c>
      <c r="N216" s="2">
        <v>46023</v>
      </c>
    </row>
    <row r="217" spans="1:14" x14ac:dyDescent="0.25">
      <c r="A217" t="s">
        <v>296</v>
      </c>
      <c r="B217" s="2">
        <v>46022</v>
      </c>
      <c r="C217" t="s">
        <v>296</v>
      </c>
      <c r="D217" t="s">
        <v>112</v>
      </c>
      <c r="E217" t="s">
        <v>9</v>
      </c>
      <c r="F217" s="3">
        <v>-1300</v>
      </c>
      <c r="G217" s="3">
        <v>-1300</v>
      </c>
      <c r="H217" t="s">
        <v>3</v>
      </c>
      <c r="I217" t="s">
        <v>3</v>
      </c>
      <c r="J217" t="s">
        <v>299</v>
      </c>
      <c r="K217" t="s">
        <v>13</v>
      </c>
      <c r="L217" t="s">
        <v>14</v>
      </c>
      <c r="M217" t="s">
        <v>114</v>
      </c>
      <c r="N217" s="2">
        <v>46023</v>
      </c>
    </row>
    <row r="218" spans="1:14" x14ac:dyDescent="0.25">
      <c r="A218" t="s">
        <v>296</v>
      </c>
      <c r="B218" s="2">
        <v>46023</v>
      </c>
      <c r="C218" t="s">
        <v>296</v>
      </c>
      <c r="D218" t="s">
        <v>112</v>
      </c>
      <c r="E218" t="s">
        <v>9</v>
      </c>
      <c r="F218" s="3">
        <v>31900</v>
      </c>
      <c r="G218" s="3">
        <v>31900</v>
      </c>
      <c r="H218" t="s">
        <v>3</v>
      </c>
      <c r="I218" t="s">
        <v>3</v>
      </c>
      <c r="J218" t="s">
        <v>298</v>
      </c>
      <c r="K218" t="s">
        <v>13</v>
      </c>
      <c r="L218" t="s">
        <v>14</v>
      </c>
      <c r="M218" t="s">
        <v>114</v>
      </c>
      <c r="N218" s="2">
        <v>46023</v>
      </c>
    </row>
    <row r="219" spans="1:14" x14ac:dyDescent="0.25">
      <c r="A219" t="s">
        <v>296</v>
      </c>
      <c r="B219" s="2">
        <v>46023</v>
      </c>
      <c r="C219" t="s">
        <v>296</v>
      </c>
      <c r="D219" t="s">
        <v>112</v>
      </c>
      <c r="E219" t="s">
        <v>9</v>
      </c>
      <c r="F219" s="3">
        <v>1300</v>
      </c>
      <c r="G219" s="3">
        <v>1300</v>
      </c>
      <c r="H219" t="s">
        <v>3</v>
      </c>
      <c r="I219" t="s">
        <v>3</v>
      </c>
      <c r="J219" t="s">
        <v>299</v>
      </c>
      <c r="K219" t="s">
        <v>13</v>
      </c>
      <c r="L219" t="s">
        <v>14</v>
      </c>
      <c r="M219" t="s">
        <v>114</v>
      </c>
      <c r="N219" s="2">
        <v>46023</v>
      </c>
    </row>
    <row r="220" spans="1:14" x14ac:dyDescent="0.25">
      <c r="A220" t="s">
        <v>296</v>
      </c>
      <c r="B220" s="2">
        <v>46053</v>
      </c>
      <c r="C220" t="s">
        <v>296</v>
      </c>
      <c r="D220" t="s">
        <v>112</v>
      </c>
      <c r="E220" t="s">
        <v>9</v>
      </c>
      <c r="F220" s="3">
        <v>3700</v>
      </c>
      <c r="G220" s="3">
        <v>3700</v>
      </c>
      <c r="H220" t="s">
        <v>3</v>
      </c>
      <c r="I220" t="s">
        <v>3</v>
      </c>
      <c r="J220" t="s">
        <v>300</v>
      </c>
      <c r="K220" t="s">
        <v>13</v>
      </c>
      <c r="L220" t="s">
        <v>14</v>
      </c>
      <c r="M220" t="s">
        <v>114</v>
      </c>
      <c r="N220" s="2">
        <v>46053</v>
      </c>
    </row>
    <row r="221" spans="1:14" x14ac:dyDescent="0.25">
      <c r="A221" s="4" t="s">
        <v>234</v>
      </c>
      <c r="B221" s="5"/>
      <c r="C221" s="4" t="s">
        <v>9</v>
      </c>
      <c r="D221" s="4" t="s">
        <v>9</v>
      </c>
      <c r="E221" s="4" t="s">
        <v>9</v>
      </c>
      <c r="F221" s="6">
        <v>0</v>
      </c>
      <c r="G221" s="6">
        <v>0</v>
      </c>
      <c r="H221" s="4" t="s">
        <v>9</v>
      </c>
      <c r="I221" s="4" t="s">
        <v>3</v>
      </c>
      <c r="J221" s="4" t="s">
        <v>9</v>
      </c>
      <c r="K221" s="4" t="s">
        <v>9</v>
      </c>
      <c r="L221" s="4" t="s">
        <v>9</v>
      </c>
      <c r="M221" s="4" t="s">
        <v>9</v>
      </c>
      <c r="N221" s="5"/>
    </row>
    <row r="222" spans="1:14" x14ac:dyDescent="0.25">
      <c r="A222" t="s">
        <v>296</v>
      </c>
      <c r="B222" s="2">
        <v>45720</v>
      </c>
      <c r="C222" t="s">
        <v>296</v>
      </c>
      <c r="D222" t="s">
        <v>112</v>
      </c>
      <c r="E222" t="s">
        <v>9</v>
      </c>
      <c r="F222" s="3">
        <v>-5400</v>
      </c>
      <c r="G222" s="3">
        <v>-5400</v>
      </c>
      <c r="H222" t="s">
        <v>3</v>
      </c>
      <c r="I222" t="s">
        <v>3</v>
      </c>
      <c r="J222" t="s">
        <v>9</v>
      </c>
      <c r="K222" t="s">
        <v>9</v>
      </c>
      <c r="L222" t="s">
        <v>15</v>
      </c>
      <c r="M222" t="s">
        <v>114</v>
      </c>
      <c r="N222" s="2">
        <v>45716</v>
      </c>
    </row>
    <row r="223" spans="1:14" x14ac:dyDescent="0.25">
      <c r="A223" t="s">
        <v>296</v>
      </c>
      <c r="B223" s="2">
        <v>45720</v>
      </c>
      <c r="C223" t="s">
        <v>296</v>
      </c>
      <c r="D223" t="s">
        <v>301</v>
      </c>
      <c r="E223" t="s">
        <v>9</v>
      </c>
      <c r="F223" s="3">
        <v>7000</v>
      </c>
      <c r="G223" s="3">
        <v>7000</v>
      </c>
      <c r="H223" t="s">
        <v>3</v>
      </c>
      <c r="I223" t="s">
        <v>3</v>
      </c>
      <c r="J223" t="s">
        <v>9</v>
      </c>
      <c r="K223" t="s">
        <v>9</v>
      </c>
      <c r="L223" t="s">
        <v>15</v>
      </c>
      <c r="M223" t="s">
        <v>302</v>
      </c>
      <c r="N223" s="2">
        <v>45716</v>
      </c>
    </row>
    <row r="224" spans="1:14" x14ac:dyDescent="0.25">
      <c r="A224" t="s">
        <v>296</v>
      </c>
      <c r="B224" s="2">
        <v>46084</v>
      </c>
      <c r="C224" t="s">
        <v>296</v>
      </c>
      <c r="D224" t="s">
        <v>112</v>
      </c>
      <c r="E224" t="s">
        <v>9</v>
      </c>
      <c r="F224" s="3">
        <v>-5300</v>
      </c>
      <c r="G224" s="3">
        <v>-5300</v>
      </c>
      <c r="H224" t="s">
        <v>3</v>
      </c>
      <c r="I224" t="s">
        <v>3</v>
      </c>
      <c r="J224" t="s">
        <v>9</v>
      </c>
      <c r="K224" t="s">
        <v>9</v>
      </c>
      <c r="L224" t="s">
        <v>15</v>
      </c>
      <c r="M224" t="s">
        <v>114</v>
      </c>
      <c r="N224" s="2">
        <v>46081</v>
      </c>
    </row>
    <row r="225" spans="1:14" x14ac:dyDescent="0.25">
      <c r="A225" t="s">
        <v>296</v>
      </c>
      <c r="B225" s="2">
        <v>45688</v>
      </c>
      <c r="C225" t="s">
        <v>296</v>
      </c>
      <c r="D225" t="s">
        <v>112</v>
      </c>
      <c r="E225" t="s">
        <v>9</v>
      </c>
      <c r="F225" s="3">
        <v>-1600</v>
      </c>
      <c r="G225" s="3">
        <v>-1600</v>
      </c>
      <c r="H225" t="s">
        <v>3</v>
      </c>
      <c r="I225" t="s">
        <v>3</v>
      </c>
      <c r="J225" t="s">
        <v>297</v>
      </c>
      <c r="K225" t="s">
        <v>5</v>
      </c>
      <c r="L225" t="s">
        <v>15</v>
      </c>
      <c r="M225" t="s">
        <v>114</v>
      </c>
      <c r="N225" s="2">
        <v>45689</v>
      </c>
    </row>
    <row r="226" spans="1:14" x14ac:dyDescent="0.25">
      <c r="A226" t="s">
        <v>296</v>
      </c>
      <c r="B226" s="2">
        <v>45716</v>
      </c>
      <c r="C226" t="s">
        <v>296</v>
      </c>
      <c r="D226" t="s">
        <v>112</v>
      </c>
      <c r="E226" t="s">
        <v>9</v>
      </c>
      <c r="F226" s="3">
        <v>7000</v>
      </c>
      <c r="G226" s="3">
        <v>7000</v>
      </c>
      <c r="H226" t="s">
        <v>3</v>
      </c>
      <c r="I226" t="s">
        <v>3</v>
      </c>
      <c r="J226" t="s">
        <v>303</v>
      </c>
      <c r="K226" t="s">
        <v>5</v>
      </c>
      <c r="L226" t="s">
        <v>15</v>
      </c>
      <c r="M226" t="s">
        <v>114</v>
      </c>
      <c r="N226" s="2">
        <v>45716</v>
      </c>
    </row>
    <row r="227" spans="1:14" x14ac:dyDescent="0.25">
      <c r="A227" t="s">
        <v>296</v>
      </c>
      <c r="B227" s="2">
        <v>45716</v>
      </c>
      <c r="C227" t="s">
        <v>296</v>
      </c>
      <c r="D227" t="s">
        <v>112</v>
      </c>
      <c r="E227" t="s">
        <v>9</v>
      </c>
      <c r="F227" s="3">
        <v>-7000</v>
      </c>
      <c r="G227" s="3">
        <v>-7000</v>
      </c>
      <c r="H227" t="s">
        <v>3</v>
      </c>
      <c r="I227" t="s">
        <v>3</v>
      </c>
      <c r="J227" t="s">
        <v>10</v>
      </c>
      <c r="K227" t="s">
        <v>5</v>
      </c>
      <c r="L227" t="s">
        <v>15</v>
      </c>
      <c r="M227" t="s">
        <v>114</v>
      </c>
      <c r="N227" s="2">
        <v>45716</v>
      </c>
    </row>
    <row r="228" spans="1:14" x14ac:dyDescent="0.25">
      <c r="A228" t="s">
        <v>296</v>
      </c>
      <c r="B228" s="2">
        <v>45716</v>
      </c>
      <c r="C228" t="s">
        <v>296</v>
      </c>
      <c r="D228" t="s">
        <v>112</v>
      </c>
      <c r="E228" t="s">
        <v>9</v>
      </c>
      <c r="F228" s="3">
        <v>7000</v>
      </c>
      <c r="G228" s="3">
        <v>7000</v>
      </c>
      <c r="H228" t="s">
        <v>3</v>
      </c>
      <c r="I228" t="s">
        <v>3</v>
      </c>
      <c r="J228" t="s">
        <v>10</v>
      </c>
      <c r="K228" t="s">
        <v>5</v>
      </c>
      <c r="L228" t="s">
        <v>15</v>
      </c>
      <c r="M228" t="s">
        <v>114</v>
      </c>
      <c r="N228" s="2">
        <v>45716</v>
      </c>
    </row>
    <row r="229" spans="1:14" x14ac:dyDescent="0.25">
      <c r="A229" t="s">
        <v>296</v>
      </c>
      <c r="B229" s="2">
        <v>45716</v>
      </c>
      <c r="C229" t="s">
        <v>296</v>
      </c>
      <c r="D229" t="s">
        <v>301</v>
      </c>
      <c r="E229" t="s">
        <v>9</v>
      </c>
      <c r="F229" s="3">
        <v>-7000</v>
      </c>
      <c r="G229" s="3">
        <v>-7000</v>
      </c>
      <c r="H229" t="s">
        <v>3</v>
      </c>
      <c r="I229" t="s">
        <v>3</v>
      </c>
      <c r="J229" t="s">
        <v>10</v>
      </c>
      <c r="K229" t="s">
        <v>5</v>
      </c>
      <c r="L229" t="s">
        <v>15</v>
      </c>
      <c r="M229" t="s">
        <v>302</v>
      </c>
      <c r="N229" s="2">
        <v>45716</v>
      </c>
    </row>
    <row r="230" spans="1:14" x14ac:dyDescent="0.25">
      <c r="A230" t="s">
        <v>296</v>
      </c>
      <c r="B230" s="2">
        <v>46054</v>
      </c>
      <c r="C230" t="s">
        <v>296</v>
      </c>
      <c r="D230" t="s">
        <v>112</v>
      </c>
      <c r="E230" t="s">
        <v>9</v>
      </c>
      <c r="F230" s="3">
        <v>-3700</v>
      </c>
      <c r="G230" s="3">
        <v>-3700</v>
      </c>
      <c r="H230" t="s">
        <v>3</v>
      </c>
      <c r="I230" t="s">
        <v>3</v>
      </c>
      <c r="J230" t="s">
        <v>300</v>
      </c>
      <c r="K230" t="s">
        <v>13</v>
      </c>
      <c r="L230" t="s">
        <v>15</v>
      </c>
      <c r="M230" t="s">
        <v>114</v>
      </c>
      <c r="N230" s="2">
        <v>46054</v>
      </c>
    </row>
    <row r="231" spans="1:14" x14ac:dyDescent="0.25">
      <c r="A231" t="s">
        <v>296</v>
      </c>
      <c r="B231" s="2">
        <v>46054</v>
      </c>
      <c r="C231" t="s">
        <v>296</v>
      </c>
      <c r="D231" t="s">
        <v>112</v>
      </c>
      <c r="E231" t="s">
        <v>9</v>
      </c>
      <c r="F231" s="3">
        <v>3700</v>
      </c>
      <c r="G231" s="3">
        <v>3700</v>
      </c>
      <c r="H231" t="s">
        <v>3</v>
      </c>
      <c r="I231" t="s">
        <v>3</v>
      </c>
      <c r="J231" t="s">
        <v>300</v>
      </c>
      <c r="K231" t="s">
        <v>13</v>
      </c>
      <c r="L231" t="s">
        <v>15</v>
      </c>
      <c r="M231" t="s">
        <v>114</v>
      </c>
      <c r="N231" s="2">
        <v>46055</v>
      </c>
    </row>
    <row r="232" spans="1:14" x14ac:dyDescent="0.25">
      <c r="A232" t="s">
        <v>296</v>
      </c>
      <c r="B232" s="2">
        <v>46054</v>
      </c>
      <c r="C232" t="s">
        <v>296</v>
      </c>
      <c r="D232" t="s">
        <v>112</v>
      </c>
      <c r="E232" t="s">
        <v>9</v>
      </c>
      <c r="F232" s="3">
        <v>-3700</v>
      </c>
      <c r="G232" s="3">
        <v>-3700</v>
      </c>
      <c r="H232" t="s">
        <v>3</v>
      </c>
      <c r="I232" t="s">
        <v>3</v>
      </c>
      <c r="J232" t="s">
        <v>300</v>
      </c>
      <c r="K232" t="s">
        <v>13</v>
      </c>
      <c r="L232" t="s">
        <v>15</v>
      </c>
      <c r="M232" t="s">
        <v>114</v>
      </c>
      <c r="N232" s="2">
        <v>46054</v>
      </c>
    </row>
    <row r="233" spans="1:14" x14ac:dyDescent="0.25">
      <c r="A233" t="s">
        <v>296</v>
      </c>
      <c r="B233" s="2">
        <v>46081</v>
      </c>
      <c r="C233" t="s">
        <v>296</v>
      </c>
      <c r="D233" t="s">
        <v>112</v>
      </c>
      <c r="E233" t="s">
        <v>9</v>
      </c>
      <c r="F233" s="3">
        <v>9000</v>
      </c>
      <c r="G233" s="3">
        <v>9000</v>
      </c>
      <c r="H233" t="s">
        <v>3</v>
      </c>
      <c r="I233" t="s">
        <v>3</v>
      </c>
      <c r="J233" t="s">
        <v>304</v>
      </c>
      <c r="K233" t="s">
        <v>13</v>
      </c>
      <c r="L233" t="s">
        <v>15</v>
      </c>
      <c r="M233" t="s">
        <v>114</v>
      </c>
      <c r="N233" s="2">
        <v>46081</v>
      </c>
    </row>
    <row r="234" spans="1:14" x14ac:dyDescent="0.25">
      <c r="A234" s="4" t="s">
        <v>239</v>
      </c>
      <c r="B234" s="5"/>
      <c r="C234" s="4" t="s">
        <v>9</v>
      </c>
      <c r="D234" s="4" t="s">
        <v>9</v>
      </c>
      <c r="E234" s="4" t="s">
        <v>9</v>
      </c>
      <c r="F234" s="6">
        <v>0</v>
      </c>
      <c r="G234" s="6">
        <v>0</v>
      </c>
      <c r="H234" s="4" t="s">
        <v>9</v>
      </c>
      <c r="I234" s="4" t="s">
        <v>3</v>
      </c>
      <c r="J234" s="4" t="s">
        <v>9</v>
      </c>
      <c r="K234" s="4" t="s">
        <v>9</v>
      </c>
      <c r="L234" s="4" t="s">
        <v>9</v>
      </c>
      <c r="M234" s="4" t="s">
        <v>9</v>
      </c>
      <c r="N234" s="5"/>
    </row>
    <row r="235" spans="1:14" x14ac:dyDescent="0.25">
      <c r="A235" t="s">
        <v>296</v>
      </c>
      <c r="B235" s="2">
        <v>45020</v>
      </c>
      <c r="C235" t="s">
        <v>296</v>
      </c>
      <c r="D235" t="s">
        <v>112</v>
      </c>
      <c r="E235" t="s">
        <v>9</v>
      </c>
      <c r="F235" s="3">
        <v>-700</v>
      </c>
      <c r="G235" s="3">
        <v>-700</v>
      </c>
      <c r="H235" t="s">
        <v>3</v>
      </c>
      <c r="I235" t="s">
        <v>3</v>
      </c>
      <c r="J235" t="s">
        <v>9</v>
      </c>
      <c r="K235" t="s">
        <v>9</v>
      </c>
      <c r="L235" t="s">
        <v>16</v>
      </c>
      <c r="M235" t="s">
        <v>114</v>
      </c>
      <c r="N235" s="2">
        <v>45016</v>
      </c>
    </row>
    <row r="236" spans="1:14" x14ac:dyDescent="0.25">
      <c r="A236" t="s">
        <v>296</v>
      </c>
      <c r="B236" s="2">
        <v>45386</v>
      </c>
      <c r="C236" t="s">
        <v>296</v>
      </c>
      <c r="D236" t="s">
        <v>112</v>
      </c>
      <c r="E236" t="s">
        <v>9</v>
      </c>
      <c r="F236" s="3">
        <v>-200</v>
      </c>
      <c r="G236" s="3">
        <v>-200</v>
      </c>
      <c r="H236" t="s">
        <v>3</v>
      </c>
      <c r="I236" t="s">
        <v>3</v>
      </c>
      <c r="J236" t="s">
        <v>9</v>
      </c>
      <c r="K236" t="s">
        <v>9</v>
      </c>
      <c r="L236" t="s">
        <v>16</v>
      </c>
      <c r="M236" t="s">
        <v>114</v>
      </c>
      <c r="N236" s="2">
        <v>45382</v>
      </c>
    </row>
    <row r="237" spans="1:14" x14ac:dyDescent="0.25">
      <c r="A237" t="s">
        <v>296</v>
      </c>
      <c r="B237" s="2">
        <v>45749</v>
      </c>
      <c r="C237" t="s">
        <v>296</v>
      </c>
      <c r="D237" t="s">
        <v>112</v>
      </c>
      <c r="E237" t="s">
        <v>9</v>
      </c>
      <c r="F237" s="3">
        <v>-5900</v>
      </c>
      <c r="G237" s="3">
        <v>-5900</v>
      </c>
      <c r="H237" t="s">
        <v>3</v>
      </c>
      <c r="I237" t="s">
        <v>3</v>
      </c>
      <c r="J237" t="s">
        <v>9</v>
      </c>
      <c r="K237" t="s">
        <v>9</v>
      </c>
      <c r="L237" t="s">
        <v>16</v>
      </c>
      <c r="M237" t="s">
        <v>114</v>
      </c>
      <c r="N237" s="2">
        <v>45747</v>
      </c>
    </row>
    <row r="238" spans="1:14" x14ac:dyDescent="0.25">
      <c r="A238" t="s">
        <v>296</v>
      </c>
      <c r="B238" s="2">
        <v>45749</v>
      </c>
      <c r="C238" t="s">
        <v>296</v>
      </c>
      <c r="D238" t="s">
        <v>301</v>
      </c>
      <c r="E238" t="s">
        <v>9</v>
      </c>
      <c r="F238" s="3">
        <v>5900</v>
      </c>
      <c r="G238" s="3">
        <v>5900</v>
      </c>
      <c r="H238" t="s">
        <v>3</v>
      </c>
      <c r="I238" t="s">
        <v>3</v>
      </c>
      <c r="J238" t="s">
        <v>9</v>
      </c>
      <c r="K238" t="s">
        <v>9</v>
      </c>
      <c r="L238" t="s">
        <v>16</v>
      </c>
      <c r="M238" t="s">
        <v>302</v>
      </c>
      <c r="N238" s="2">
        <v>45747</v>
      </c>
    </row>
    <row r="239" spans="1:14" x14ac:dyDescent="0.25">
      <c r="A239" t="s">
        <v>296</v>
      </c>
      <c r="B239" s="2">
        <v>46115</v>
      </c>
      <c r="C239" t="s">
        <v>296</v>
      </c>
      <c r="D239" t="s">
        <v>112</v>
      </c>
      <c r="E239" t="s">
        <v>9</v>
      </c>
      <c r="F239" s="3">
        <v>-5700</v>
      </c>
      <c r="G239" s="3">
        <v>-5700</v>
      </c>
      <c r="H239" t="s">
        <v>3</v>
      </c>
      <c r="I239" t="s">
        <v>3</v>
      </c>
      <c r="J239" t="s">
        <v>9</v>
      </c>
      <c r="K239" t="s">
        <v>9</v>
      </c>
      <c r="L239" t="s">
        <v>16</v>
      </c>
      <c r="M239" t="s">
        <v>114</v>
      </c>
      <c r="N239" s="2">
        <v>46112</v>
      </c>
    </row>
    <row r="240" spans="1:14" x14ac:dyDescent="0.25">
      <c r="A240" t="s">
        <v>296</v>
      </c>
      <c r="B240" s="2">
        <v>46115</v>
      </c>
      <c r="C240" t="s">
        <v>296</v>
      </c>
      <c r="D240" t="s">
        <v>301</v>
      </c>
      <c r="E240" t="s">
        <v>9</v>
      </c>
      <c r="F240" s="3">
        <v>14700</v>
      </c>
      <c r="G240" s="3">
        <v>14700</v>
      </c>
      <c r="H240" t="s">
        <v>3</v>
      </c>
      <c r="I240" t="s">
        <v>3</v>
      </c>
      <c r="J240" t="s">
        <v>9</v>
      </c>
      <c r="K240" t="s">
        <v>9</v>
      </c>
      <c r="L240" t="s">
        <v>16</v>
      </c>
      <c r="M240" t="s">
        <v>302</v>
      </c>
      <c r="N240" s="2">
        <v>46112</v>
      </c>
    </row>
    <row r="241" spans="1:14" x14ac:dyDescent="0.25">
      <c r="A241" t="s">
        <v>296</v>
      </c>
      <c r="B241" s="2">
        <v>45016</v>
      </c>
      <c r="C241" t="s">
        <v>296</v>
      </c>
      <c r="D241" t="s">
        <v>112</v>
      </c>
      <c r="E241" t="s">
        <v>9</v>
      </c>
      <c r="F241" s="3">
        <v>700</v>
      </c>
      <c r="G241" s="3">
        <v>700</v>
      </c>
      <c r="H241" t="s">
        <v>3</v>
      </c>
      <c r="I241" t="s">
        <v>3</v>
      </c>
      <c r="J241" t="s">
        <v>242</v>
      </c>
      <c r="K241" t="s">
        <v>225</v>
      </c>
      <c r="L241" t="s">
        <v>16</v>
      </c>
      <c r="M241" t="s">
        <v>114</v>
      </c>
      <c r="N241" s="2">
        <v>45016</v>
      </c>
    </row>
    <row r="242" spans="1:14" x14ac:dyDescent="0.25">
      <c r="A242" t="s">
        <v>296</v>
      </c>
      <c r="B242" s="2">
        <v>45382</v>
      </c>
      <c r="C242" t="s">
        <v>296</v>
      </c>
      <c r="D242" t="s">
        <v>112</v>
      </c>
      <c r="E242" t="s">
        <v>9</v>
      </c>
      <c r="F242" s="3">
        <v>200</v>
      </c>
      <c r="G242" s="3">
        <v>200</v>
      </c>
      <c r="H242" t="s">
        <v>3</v>
      </c>
      <c r="I242" t="s">
        <v>3</v>
      </c>
      <c r="J242" t="s">
        <v>243</v>
      </c>
      <c r="K242" t="s">
        <v>222</v>
      </c>
      <c r="L242" t="s">
        <v>16</v>
      </c>
      <c r="M242" t="s">
        <v>114</v>
      </c>
      <c r="N242" s="2">
        <v>45382</v>
      </c>
    </row>
    <row r="243" spans="1:14" x14ac:dyDescent="0.25">
      <c r="A243" t="s">
        <v>296</v>
      </c>
      <c r="B243" s="2">
        <v>45717</v>
      </c>
      <c r="C243" t="s">
        <v>296</v>
      </c>
      <c r="D243" t="s">
        <v>112</v>
      </c>
      <c r="E243" t="s">
        <v>9</v>
      </c>
      <c r="F243" s="3">
        <v>-7000</v>
      </c>
      <c r="G243" s="3">
        <v>-7000</v>
      </c>
      <c r="H243" t="s">
        <v>3</v>
      </c>
      <c r="I243" t="s">
        <v>3</v>
      </c>
      <c r="J243" t="s">
        <v>303</v>
      </c>
      <c r="K243" t="s">
        <v>5</v>
      </c>
      <c r="L243" t="s">
        <v>16</v>
      </c>
      <c r="M243" t="s">
        <v>114</v>
      </c>
      <c r="N243" s="2">
        <v>45717</v>
      </c>
    </row>
    <row r="244" spans="1:14" x14ac:dyDescent="0.25">
      <c r="A244" t="s">
        <v>296</v>
      </c>
      <c r="B244" s="2">
        <v>45747</v>
      </c>
      <c r="C244" t="s">
        <v>296</v>
      </c>
      <c r="D244" t="s">
        <v>301</v>
      </c>
      <c r="E244" t="s">
        <v>9</v>
      </c>
      <c r="F244" s="3">
        <v>-5900</v>
      </c>
      <c r="G244" s="3">
        <v>-5900</v>
      </c>
      <c r="H244" t="s">
        <v>3</v>
      </c>
      <c r="I244" t="s">
        <v>3</v>
      </c>
      <c r="J244" t="s">
        <v>10</v>
      </c>
      <c r="K244" t="s">
        <v>5</v>
      </c>
      <c r="L244" t="s">
        <v>16</v>
      </c>
      <c r="M244" t="s">
        <v>302</v>
      </c>
      <c r="N244" s="2">
        <v>45747</v>
      </c>
    </row>
    <row r="245" spans="1:14" x14ac:dyDescent="0.25">
      <c r="A245" t="s">
        <v>296</v>
      </c>
      <c r="B245" s="2">
        <v>45747</v>
      </c>
      <c r="C245" t="s">
        <v>296</v>
      </c>
      <c r="D245" t="s">
        <v>112</v>
      </c>
      <c r="E245" t="s">
        <v>9</v>
      </c>
      <c r="F245" s="3">
        <v>11600</v>
      </c>
      <c r="G245" s="3">
        <v>11600</v>
      </c>
      <c r="H245" t="s">
        <v>3</v>
      </c>
      <c r="I245" t="s">
        <v>3</v>
      </c>
      <c r="J245" t="s">
        <v>305</v>
      </c>
      <c r="K245" t="s">
        <v>5</v>
      </c>
      <c r="L245" t="s">
        <v>16</v>
      </c>
      <c r="M245" t="s">
        <v>114</v>
      </c>
      <c r="N245" s="2">
        <v>45747</v>
      </c>
    </row>
    <row r="246" spans="1:14" x14ac:dyDescent="0.25">
      <c r="A246" t="s">
        <v>296</v>
      </c>
      <c r="B246" s="2">
        <v>45747</v>
      </c>
      <c r="C246" t="s">
        <v>296</v>
      </c>
      <c r="D246" t="s">
        <v>112</v>
      </c>
      <c r="E246" t="s">
        <v>9</v>
      </c>
      <c r="F246" s="3">
        <v>1300</v>
      </c>
      <c r="G246" s="3">
        <v>1300</v>
      </c>
      <c r="H246" t="s">
        <v>3</v>
      </c>
      <c r="I246" t="s">
        <v>3</v>
      </c>
      <c r="J246" t="s">
        <v>306</v>
      </c>
      <c r="K246" t="s">
        <v>5</v>
      </c>
      <c r="L246" t="s">
        <v>16</v>
      </c>
      <c r="M246" t="s">
        <v>114</v>
      </c>
      <c r="N246" s="2">
        <v>45747</v>
      </c>
    </row>
    <row r="247" spans="1:14" x14ac:dyDescent="0.25">
      <c r="A247" t="s">
        <v>296</v>
      </c>
      <c r="B247" s="2">
        <v>46081</v>
      </c>
      <c r="C247" t="s">
        <v>296</v>
      </c>
      <c r="D247" t="s">
        <v>112</v>
      </c>
      <c r="E247" t="s">
        <v>9</v>
      </c>
      <c r="F247" s="3">
        <v>-9000</v>
      </c>
      <c r="G247" s="3">
        <v>-9000</v>
      </c>
      <c r="H247" t="s">
        <v>3</v>
      </c>
      <c r="I247" t="s">
        <v>3</v>
      </c>
      <c r="J247" t="s">
        <v>304</v>
      </c>
      <c r="K247" t="s">
        <v>13</v>
      </c>
      <c r="L247" t="s">
        <v>16</v>
      </c>
      <c r="M247" t="s">
        <v>114</v>
      </c>
      <c r="N247" s="2">
        <v>46082</v>
      </c>
    </row>
    <row r="248" spans="1:14" x14ac:dyDescent="0.25">
      <c r="A248" t="s">
        <v>296</v>
      </c>
      <c r="B248" s="2">
        <v>46112</v>
      </c>
      <c r="C248" t="s">
        <v>296</v>
      </c>
      <c r="D248" t="s">
        <v>112</v>
      </c>
      <c r="E248" t="s">
        <v>9</v>
      </c>
      <c r="F248" s="3">
        <v>14700</v>
      </c>
      <c r="G248" s="3">
        <v>14700</v>
      </c>
      <c r="H248" t="s">
        <v>3</v>
      </c>
      <c r="I248" t="s">
        <v>3</v>
      </c>
      <c r="J248" t="s">
        <v>307</v>
      </c>
      <c r="K248" t="s">
        <v>13</v>
      </c>
      <c r="L248" t="s">
        <v>16</v>
      </c>
      <c r="M248" t="s">
        <v>114</v>
      </c>
      <c r="N248" s="2">
        <v>46112</v>
      </c>
    </row>
    <row r="249" spans="1:14" x14ac:dyDescent="0.25">
      <c r="A249" t="s">
        <v>296</v>
      </c>
      <c r="B249" s="2">
        <v>46112</v>
      </c>
      <c r="C249" t="s">
        <v>296</v>
      </c>
      <c r="D249" t="s">
        <v>301</v>
      </c>
      <c r="E249" t="s">
        <v>9</v>
      </c>
      <c r="F249" s="3">
        <v>-14700</v>
      </c>
      <c r="G249" s="3">
        <v>-14700</v>
      </c>
      <c r="H249" t="s">
        <v>3</v>
      </c>
      <c r="I249" t="s">
        <v>3</v>
      </c>
      <c r="J249" t="s">
        <v>10</v>
      </c>
      <c r="K249" t="s">
        <v>13</v>
      </c>
      <c r="L249" t="s">
        <v>16</v>
      </c>
      <c r="M249" t="s">
        <v>302</v>
      </c>
      <c r="N249" s="2">
        <v>46112</v>
      </c>
    </row>
    <row r="250" spans="1:14" x14ac:dyDescent="0.25">
      <c r="A250" s="4" t="s">
        <v>244</v>
      </c>
      <c r="B250" s="5"/>
      <c r="C250" s="4" t="s">
        <v>9</v>
      </c>
      <c r="D250" s="4" t="s">
        <v>9</v>
      </c>
      <c r="E250" s="4" t="s">
        <v>9</v>
      </c>
      <c r="F250" s="6">
        <v>0</v>
      </c>
      <c r="G250" s="6">
        <v>0</v>
      </c>
      <c r="H250" s="4" t="s">
        <v>9</v>
      </c>
      <c r="I250" s="4" t="s">
        <v>3</v>
      </c>
      <c r="J250" s="4" t="s">
        <v>9</v>
      </c>
      <c r="K250" s="4" t="s">
        <v>9</v>
      </c>
      <c r="L250" s="4" t="s">
        <v>9</v>
      </c>
      <c r="M250" s="4" t="s">
        <v>9</v>
      </c>
      <c r="N250" s="5"/>
    </row>
    <row r="251" spans="1:14" x14ac:dyDescent="0.25">
      <c r="A251" t="s">
        <v>296</v>
      </c>
      <c r="B251" s="2">
        <v>45415</v>
      </c>
      <c r="C251" t="s">
        <v>296</v>
      </c>
      <c r="D251" t="s">
        <v>112</v>
      </c>
      <c r="E251" t="s">
        <v>9</v>
      </c>
      <c r="F251" s="3">
        <v>-200</v>
      </c>
      <c r="G251" s="3">
        <v>-200</v>
      </c>
      <c r="H251" t="s">
        <v>3</v>
      </c>
      <c r="I251" t="s">
        <v>3</v>
      </c>
      <c r="J251" t="s">
        <v>9</v>
      </c>
      <c r="K251" t="s">
        <v>9</v>
      </c>
      <c r="L251" t="s">
        <v>17</v>
      </c>
      <c r="M251" t="s">
        <v>114</v>
      </c>
      <c r="N251" s="2">
        <v>45412</v>
      </c>
    </row>
    <row r="252" spans="1:14" x14ac:dyDescent="0.25">
      <c r="A252" t="s">
        <v>296</v>
      </c>
      <c r="B252" s="2">
        <v>45782</v>
      </c>
      <c r="C252" t="s">
        <v>296</v>
      </c>
      <c r="D252" t="s">
        <v>112</v>
      </c>
      <c r="E252" t="s">
        <v>9</v>
      </c>
      <c r="F252" s="3">
        <v>-5100</v>
      </c>
      <c r="G252" s="3">
        <v>-5100</v>
      </c>
      <c r="H252" t="s">
        <v>3</v>
      </c>
      <c r="I252" t="s">
        <v>3</v>
      </c>
      <c r="J252" t="s">
        <v>9</v>
      </c>
      <c r="K252" t="s">
        <v>9</v>
      </c>
      <c r="L252" t="s">
        <v>17</v>
      </c>
      <c r="M252" t="s">
        <v>114</v>
      </c>
      <c r="N252" s="2">
        <v>45777</v>
      </c>
    </row>
    <row r="253" spans="1:14" x14ac:dyDescent="0.25">
      <c r="A253" t="s">
        <v>296</v>
      </c>
      <c r="B253" s="2">
        <v>45782</v>
      </c>
      <c r="C253" t="s">
        <v>296</v>
      </c>
      <c r="D253" t="s">
        <v>301</v>
      </c>
      <c r="E253" t="s">
        <v>9</v>
      </c>
      <c r="F253" s="3">
        <v>5100</v>
      </c>
      <c r="G253" s="3">
        <v>5100</v>
      </c>
      <c r="H253" t="s">
        <v>3</v>
      </c>
      <c r="I253" t="s">
        <v>3</v>
      </c>
      <c r="J253" t="s">
        <v>9</v>
      </c>
      <c r="K253" t="s">
        <v>9</v>
      </c>
      <c r="L253" t="s">
        <v>17</v>
      </c>
      <c r="M253" t="s">
        <v>302</v>
      </c>
      <c r="N253" s="2">
        <v>45777</v>
      </c>
    </row>
    <row r="254" spans="1:14" x14ac:dyDescent="0.25">
      <c r="A254" t="s">
        <v>296</v>
      </c>
      <c r="B254" s="2">
        <v>46147</v>
      </c>
      <c r="C254" t="s">
        <v>296</v>
      </c>
      <c r="D254" t="s">
        <v>112</v>
      </c>
      <c r="E254" t="s">
        <v>9</v>
      </c>
      <c r="F254" s="3">
        <v>-350</v>
      </c>
      <c r="G254" s="3">
        <v>-350</v>
      </c>
      <c r="H254" t="s">
        <v>3</v>
      </c>
      <c r="I254" t="s">
        <v>3</v>
      </c>
      <c r="J254" t="s">
        <v>9</v>
      </c>
      <c r="K254" t="s">
        <v>9</v>
      </c>
      <c r="L254" t="s">
        <v>17</v>
      </c>
      <c r="M254" t="s">
        <v>114</v>
      </c>
      <c r="N254" s="2">
        <v>46142</v>
      </c>
    </row>
    <row r="255" spans="1:14" x14ac:dyDescent="0.25">
      <c r="A255" t="s">
        <v>296</v>
      </c>
      <c r="B255" s="2">
        <v>46147</v>
      </c>
      <c r="C255" t="s">
        <v>296</v>
      </c>
      <c r="D255" t="s">
        <v>301</v>
      </c>
      <c r="E255" t="s">
        <v>9</v>
      </c>
      <c r="F255" s="3">
        <v>350</v>
      </c>
      <c r="G255" s="3">
        <v>350</v>
      </c>
      <c r="H255" t="s">
        <v>3</v>
      </c>
      <c r="I255" t="s">
        <v>3</v>
      </c>
      <c r="J255" t="s">
        <v>9</v>
      </c>
      <c r="K255" t="s">
        <v>9</v>
      </c>
      <c r="L255" t="s">
        <v>17</v>
      </c>
      <c r="M255" t="s">
        <v>302</v>
      </c>
      <c r="N255" s="2">
        <v>46142</v>
      </c>
    </row>
    <row r="256" spans="1:14" x14ac:dyDescent="0.25">
      <c r="A256" t="s">
        <v>296</v>
      </c>
      <c r="B256" s="2">
        <v>45016</v>
      </c>
      <c r="C256" t="s">
        <v>296</v>
      </c>
      <c r="D256" t="s">
        <v>112</v>
      </c>
      <c r="E256" t="s">
        <v>9</v>
      </c>
      <c r="F256" s="3">
        <v>-700</v>
      </c>
      <c r="G256" s="3">
        <v>-700</v>
      </c>
      <c r="H256" t="s">
        <v>3</v>
      </c>
      <c r="I256" t="s">
        <v>3</v>
      </c>
      <c r="J256" t="s">
        <v>242</v>
      </c>
      <c r="K256" t="s">
        <v>225</v>
      </c>
      <c r="L256" t="s">
        <v>17</v>
      </c>
      <c r="M256" t="s">
        <v>114</v>
      </c>
      <c r="N256" s="2">
        <v>45017</v>
      </c>
    </row>
    <row r="257" spans="1:14" x14ac:dyDescent="0.25">
      <c r="A257" t="s">
        <v>296</v>
      </c>
      <c r="B257" s="2">
        <v>45046</v>
      </c>
      <c r="C257" t="s">
        <v>296</v>
      </c>
      <c r="D257" t="s">
        <v>112</v>
      </c>
      <c r="E257" t="s">
        <v>9</v>
      </c>
      <c r="F257" s="3">
        <v>700</v>
      </c>
      <c r="G257" s="3">
        <v>700</v>
      </c>
      <c r="H257" t="s">
        <v>3</v>
      </c>
      <c r="I257" t="s">
        <v>3</v>
      </c>
      <c r="J257" t="s">
        <v>247</v>
      </c>
      <c r="K257" t="s">
        <v>225</v>
      </c>
      <c r="L257" t="s">
        <v>17</v>
      </c>
      <c r="M257" t="s">
        <v>114</v>
      </c>
      <c r="N257" s="2">
        <v>45046</v>
      </c>
    </row>
    <row r="258" spans="1:14" x14ac:dyDescent="0.25">
      <c r="A258" t="s">
        <v>296</v>
      </c>
      <c r="B258" s="2">
        <v>45382</v>
      </c>
      <c r="C258" t="s">
        <v>296</v>
      </c>
      <c r="D258" t="s">
        <v>112</v>
      </c>
      <c r="E258" t="s">
        <v>9</v>
      </c>
      <c r="F258" s="3">
        <v>-200</v>
      </c>
      <c r="G258" s="3">
        <v>-200</v>
      </c>
      <c r="H258" t="s">
        <v>3</v>
      </c>
      <c r="I258" t="s">
        <v>3</v>
      </c>
      <c r="J258" t="s">
        <v>243</v>
      </c>
      <c r="K258" t="s">
        <v>222</v>
      </c>
      <c r="L258" t="s">
        <v>17</v>
      </c>
      <c r="M258" t="s">
        <v>114</v>
      </c>
      <c r="N258" s="2">
        <v>45383</v>
      </c>
    </row>
    <row r="259" spans="1:14" x14ac:dyDescent="0.25">
      <c r="A259" t="s">
        <v>296</v>
      </c>
      <c r="B259" s="2">
        <v>45412</v>
      </c>
      <c r="C259" t="s">
        <v>296</v>
      </c>
      <c r="D259" t="s">
        <v>112</v>
      </c>
      <c r="E259" t="s">
        <v>9</v>
      </c>
      <c r="F259" s="3">
        <v>400</v>
      </c>
      <c r="G259" s="3">
        <v>400</v>
      </c>
      <c r="H259" t="s">
        <v>3</v>
      </c>
      <c r="I259" t="s">
        <v>3</v>
      </c>
      <c r="J259" t="s">
        <v>248</v>
      </c>
      <c r="K259" t="s">
        <v>222</v>
      </c>
      <c r="L259" t="s">
        <v>17</v>
      </c>
      <c r="M259" t="s">
        <v>114</v>
      </c>
      <c r="N259" s="2">
        <v>45412</v>
      </c>
    </row>
    <row r="260" spans="1:14" x14ac:dyDescent="0.25">
      <c r="A260" t="s">
        <v>296</v>
      </c>
      <c r="B260" s="2">
        <v>45747</v>
      </c>
      <c r="C260" t="s">
        <v>296</v>
      </c>
      <c r="D260" t="s">
        <v>112</v>
      </c>
      <c r="E260" t="s">
        <v>9</v>
      </c>
      <c r="F260" s="3">
        <v>-11600</v>
      </c>
      <c r="G260" s="3">
        <v>-11600</v>
      </c>
      <c r="H260" t="s">
        <v>3</v>
      </c>
      <c r="I260" t="s">
        <v>3</v>
      </c>
      <c r="J260" t="s">
        <v>305</v>
      </c>
      <c r="K260" t="s">
        <v>5</v>
      </c>
      <c r="L260" t="s">
        <v>17</v>
      </c>
      <c r="M260" t="s">
        <v>114</v>
      </c>
      <c r="N260" s="2">
        <v>45748</v>
      </c>
    </row>
    <row r="261" spans="1:14" x14ac:dyDescent="0.25">
      <c r="A261" t="s">
        <v>296</v>
      </c>
      <c r="B261" s="2">
        <v>45747</v>
      </c>
      <c r="C261" t="s">
        <v>296</v>
      </c>
      <c r="D261" t="s">
        <v>112</v>
      </c>
      <c r="E261" t="s">
        <v>9</v>
      </c>
      <c r="F261" s="3">
        <v>-1300</v>
      </c>
      <c r="G261" s="3">
        <v>-1300</v>
      </c>
      <c r="H261" t="s">
        <v>3</v>
      </c>
      <c r="I261" t="s">
        <v>3</v>
      </c>
      <c r="J261" t="s">
        <v>306</v>
      </c>
      <c r="K261" t="s">
        <v>5</v>
      </c>
      <c r="L261" t="s">
        <v>17</v>
      </c>
      <c r="M261" t="s">
        <v>114</v>
      </c>
      <c r="N261" s="2">
        <v>45748</v>
      </c>
    </row>
    <row r="262" spans="1:14" x14ac:dyDescent="0.25">
      <c r="A262" t="s">
        <v>296</v>
      </c>
      <c r="B262" s="2">
        <v>45777</v>
      </c>
      <c r="C262" t="s">
        <v>296</v>
      </c>
      <c r="D262" t="s">
        <v>112</v>
      </c>
      <c r="E262" t="s">
        <v>9</v>
      </c>
      <c r="F262" s="3">
        <v>16700</v>
      </c>
      <c r="G262" s="3">
        <v>16700</v>
      </c>
      <c r="H262" t="s">
        <v>3</v>
      </c>
      <c r="I262" t="s">
        <v>3</v>
      </c>
      <c r="J262" t="s">
        <v>308</v>
      </c>
      <c r="K262" t="s">
        <v>5</v>
      </c>
      <c r="L262" t="s">
        <v>17</v>
      </c>
      <c r="M262" t="s">
        <v>114</v>
      </c>
      <c r="N262" s="2">
        <v>45777</v>
      </c>
    </row>
    <row r="263" spans="1:14" x14ac:dyDescent="0.25">
      <c r="A263" t="s">
        <v>296</v>
      </c>
      <c r="B263" s="2">
        <v>45777</v>
      </c>
      <c r="C263" t="s">
        <v>296</v>
      </c>
      <c r="D263" t="s">
        <v>112</v>
      </c>
      <c r="E263" t="s">
        <v>9</v>
      </c>
      <c r="F263" s="3">
        <v>1300</v>
      </c>
      <c r="G263" s="3">
        <v>1300</v>
      </c>
      <c r="H263" t="s">
        <v>3</v>
      </c>
      <c r="I263" t="s">
        <v>3</v>
      </c>
      <c r="J263" t="s">
        <v>309</v>
      </c>
      <c r="K263" t="s">
        <v>5</v>
      </c>
      <c r="L263" t="s">
        <v>17</v>
      </c>
      <c r="M263" t="s">
        <v>114</v>
      </c>
      <c r="N263" s="2">
        <v>45777</v>
      </c>
    </row>
    <row r="264" spans="1:14" x14ac:dyDescent="0.25">
      <c r="A264" t="s">
        <v>296</v>
      </c>
      <c r="B264" s="2">
        <v>45777</v>
      </c>
      <c r="C264" t="s">
        <v>296</v>
      </c>
      <c r="D264" t="s">
        <v>301</v>
      </c>
      <c r="E264" t="s">
        <v>9</v>
      </c>
      <c r="F264" s="3">
        <v>-5100</v>
      </c>
      <c r="G264" s="3">
        <v>-5100</v>
      </c>
      <c r="H264" t="s">
        <v>3</v>
      </c>
      <c r="I264" t="s">
        <v>3</v>
      </c>
      <c r="J264" t="s">
        <v>10</v>
      </c>
      <c r="K264" t="s">
        <v>5</v>
      </c>
      <c r="L264" t="s">
        <v>17</v>
      </c>
      <c r="M264" t="s">
        <v>302</v>
      </c>
      <c r="N264" s="2">
        <v>45777</v>
      </c>
    </row>
    <row r="265" spans="1:14" x14ac:dyDescent="0.25">
      <c r="A265" t="s">
        <v>296</v>
      </c>
      <c r="B265" s="2">
        <v>46112</v>
      </c>
      <c r="C265" t="s">
        <v>296</v>
      </c>
      <c r="D265" t="s">
        <v>112</v>
      </c>
      <c r="E265" t="s">
        <v>9</v>
      </c>
      <c r="F265" s="3">
        <v>-14700</v>
      </c>
      <c r="G265" s="3">
        <v>-14700</v>
      </c>
      <c r="H265" t="s">
        <v>3</v>
      </c>
      <c r="I265" t="s">
        <v>3</v>
      </c>
      <c r="J265" t="s">
        <v>307</v>
      </c>
      <c r="K265" t="s">
        <v>13</v>
      </c>
      <c r="L265" t="s">
        <v>17</v>
      </c>
      <c r="M265" t="s">
        <v>114</v>
      </c>
      <c r="N265" s="2">
        <v>46113</v>
      </c>
    </row>
    <row r="266" spans="1:14" x14ac:dyDescent="0.25">
      <c r="A266" t="s">
        <v>296</v>
      </c>
      <c r="B266" s="2">
        <v>46142</v>
      </c>
      <c r="C266" t="s">
        <v>296</v>
      </c>
      <c r="D266" t="s">
        <v>112</v>
      </c>
      <c r="E266" t="s">
        <v>9</v>
      </c>
      <c r="F266" s="3">
        <v>15050</v>
      </c>
      <c r="G266" s="3">
        <v>15050</v>
      </c>
      <c r="H266" t="s">
        <v>3</v>
      </c>
      <c r="I266" t="s">
        <v>3</v>
      </c>
      <c r="J266" t="s">
        <v>310</v>
      </c>
      <c r="K266" t="s">
        <v>13</v>
      </c>
      <c r="L266" t="s">
        <v>17</v>
      </c>
      <c r="M266" t="s">
        <v>114</v>
      </c>
      <c r="N266" s="2">
        <v>46142</v>
      </c>
    </row>
    <row r="267" spans="1:14" x14ac:dyDescent="0.25">
      <c r="A267" t="s">
        <v>296</v>
      </c>
      <c r="B267" s="2">
        <v>46142</v>
      </c>
      <c r="C267" t="s">
        <v>296</v>
      </c>
      <c r="D267" t="s">
        <v>301</v>
      </c>
      <c r="E267" t="s">
        <v>9</v>
      </c>
      <c r="F267" s="3">
        <v>-350</v>
      </c>
      <c r="G267" s="3">
        <v>-350</v>
      </c>
      <c r="H267" t="s">
        <v>3</v>
      </c>
      <c r="I267" t="s">
        <v>3</v>
      </c>
      <c r="J267" t="s">
        <v>10</v>
      </c>
      <c r="K267" t="s">
        <v>13</v>
      </c>
      <c r="L267" t="s">
        <v>17</v>
      </c>
      <c r="M267" t="s">
        <v>302</v>
      </c>
      <c r="N267" s="2">
        <v>46142</v>
      </c>
    </row>
    <row r="268" spans="1:14" x14ac:dyDescent="0.25">
      <c r="A268" s="4" t="s">
        <v>249</v>
      </c>
      <c r="B268" s="5"/>
      <c r="C268" s="4" t="s">
        <v>9</v>
      </c>
      <c r="D268" s="4" t="s">
        <v>9</v>
      </c>
      <c r="E268" s="4" t="s">
        <v>9</v>
      </c>
      <c r="F268" s="6">
        <v>0</v>
      </c>
      <c r="G268" s="6">
        <v>0</v>
      </c>
      <c r="H268" s="4" t="s">
        <v>9</v>
      </c>
      <c r="I268" s="4" t="s">
        <v>3</v>
      </c>
      <c r="J268" s="4" t="s">
        <v>9</v>
      </c>
      <c r="K268" s="4" t="s">
        <v>9</v>
      </c>
      <c r="L268" s="4" t="s">
        <v>9</v>
      </c>
      <c r="M268" s="4" t="s">
        <v>9</v>
      </c>
      <c r="N268" s="5"/>
    </row>
    <row r="269" spans="1:14" x14ac:dyDescent="0.25">
      <c r="A269" t="s">
        <v>296</v>
      </c>
      <c r="B269" s="2">
        <v>45447</v>
      </c>
      <c r="C269" t="s">
        <v>296</v>
      </c>
      <c r="D269" t="s">
        <v>112</v>
      </c>
      <c r="E269" t="s">
        <v>9</v>
      </c>
      <c r="F269" s="3">
        <v>-400</v>
      </c>
      <c r="G269" s="3">
        <v>-400</v>
      </c>
      <c r="H269" t="s">
        <v>3</v>
      </c>
      <c r="I269" t="s">
        <v>3</v>
      </c>
      <c r="J269" t="s">
        <v>9</v>
      </c>
      <c r="K269" t="s">
        <v>9</v>
      </c>
      <c r="L269" t="s">
        <v>18</v>
      </c>
      <c r="M269" t="s">
        <v>114</v>
      </c>
      <c r="N269" s="2">
        <v>45443</v>
      </c>
    </row>
    <row r="270" spans="1:14" x14ac:dyDescent="0.25">
      <c r="A270" t="s">
        <v>296</v>
      </c>
      <c r="B270" s="2">
        <v>45810</v>
      </c>
      <c r="C270" t="s">
        <v>296</v>
      </c>
      <c r="D270" t="s">
        <v>112</v>
      </c>
      <c r="E270" t="s">
        <v>9</v>
      </c>
      <c r="F270" s="3">
        <v>-3500</v>
      </c>
      <c r="G270" s="3">
        <v>-3500</v>
      </c>
      <c r="H270" t="s">
        <v>3</v>
      </c>
      <c r="I270" t="s">
        <v>3</v>
      </c>
      <c r="J270" t="s">
        <v>9</v>
      </c>
      <c r="K270" t="s">
        <v>9</v>
      </c>
      <c r="L270" t="s">
        <v>18</v>
      </c>
      <c r="M270" t="s">
        <v>114</v>
      </c>
      <c r="N270" s="2">
        <v>45808</v>
      </c>
    </row>
    <row r="271" spans="1:14" x14ac:dyDescent="0.25">
      <c r="A271" t="s">
        <v>296</v>
      </c>
      <c r="B271" s="2">
        <v>45810</v>
      </c>
      <c r="C271" t="s">
        <v>296</v>
      </c>
      <c r="D271" t="s">
        <v>301</v>
      </c>
      <c r="E271" t="s">
        <v>9</v>
      </c>
      <c r="F271" s="3">
        <v>3500</v>
      </c>
      <c r="G271" s="3">
        <v>3500</v>
      </c>
      <c r="H271" t="s">
        <v>3</v>
      </c>
      <c r="I271" t="s">
        <v>3</v>
      </c>
      <c r="J271" t="s">
        <v>9</v>
      </c>
      <c r="K271" t="s">
        <v>9</v>
      </c>
      <c r="L271" t="s">
        <v>18</v>
      </c>
      <c r="M271" t="s">
        <v>302</v>
      </c>
      <c r="N271" s="2">
        <v>45808</v>
      </c>
    </row>
    <row r="272" spans="1:14" x14ac:dyDescent="0.25">
      <c r="A272" t="s">
        <v>296</v>
      </c>
      <c r="B272" s="2">
        <v>45046</v>
      </c>
      <c r="C272" t="s">
        <v>296</v>
      </c>
      <c r="D272" t="s">
        <v>112</v>
      </c>
      <c r="E272" t="s">
        <v>9</v>
      </c>
      <c r="F272" s="3">
        <v>-700</v>
      </c>
      <c r="G272" s="3">
        <v>-700</v>
      </c>
      <c r="H272" t="s">
        <v>3</v>
      </c>
      <c r="I272" t="s">
        <v>3</v>
      </c>
      <c r="J272" t="s">
        <v>247</v>
      </c>
      <c r="K272" t="s">
        <v>225</v>
      </c>
      <c r="L272" t="s">
        <v>18</v>
      </c>
      <c r="M272" t="s">
        <v>114</v>
      </c>
      <c r="N272" s="2">
        <v>45047</v>
      </c>
    </row>
    <row r="273" spans="1:14" x14ac:dyDescent="0.25">
      <c r="A273" t="s">
        <v>296</v>
      </c>
      <c r="B273" s="2">
        <v>45077</v>
      </c>
      <c r="C273" t="s">
        <v>296</v>
      </c>
      <c r="D273" t="s">
        <v>112</v>
      </c>
      <c r="E273" t="s">
        <v>9</v>
      </c>
      <c r="F273" s="3">
        <v>700</v>
      </c>
      <c r="G273" s="3">
        <v>700</v>
      </c>
      <c r="H273" t="s">
        <v>3</v>
      </c>
      <c r="I273" t="s">
        <v>3</v>
      </c>
      <c r="J273" t="s">
        <v>252</v>
      </c>
      <c r="K273" t="s">
        <v>225</v>
      </c>
      <c r="L273" t="s">
        <v>18</v>
      </c>
      <c r="M273" t="s">
        <v>114</v>
      </c>
      <c r="N273" s="2">
        <v>45077</v>
      </c>
    </row>
    <row r="274" spans="1:14" x14ac:dyDescent="0.25">
      <c r="A274" t="s">
        <v>296</v>
      </c>
      <c r="B274" s="2">
        <v>45412</v>
      </c>
      <c r="C274" t="s">
        <v>296</v>
      </c>
      <c r="D274" t="s">
        <v>112</v>
      </c>
      <c r="E274" t="s">
        <v>9</v>
      </c>
      <c r="F274" s="3">
        <v>-400</v>
      </c>
      <c r="G274" s="3">
        <v>-400</v>
      </c>
      <c r="H274" t="s">
        <v>3</v>
      </c>
      <c r="I274" t="s">
        <v>3</v>
      </c>
      <c r="J274" t="s">
        <v>248</v>
      </c>
      <c r="K274" t="s">
        <v>222</v>
      </c>
      <c r="L274" t="s">
        <v>18</v>
      </c>
      <c r="M274" t="s">
        <v>114</v>
      </c>
      <c r="N274" s="2">
        <v>45413</v>
      </c>
    </row>
    <row r="275" spans="1:14" x14ac:dyDescent="0.25">
      <c r="A275" t="s">
        <v>296</v>
      </c>
      <c r="B275" s="2">
        <v>45443</v>
      </c>
      <c r="C275" t="s">
        <v>296</v>
      </c>
      <c r="D275" t="s">
        <v>112</v>
      </c>
      <c r="E275" t="s">
        <v>9</v>
      </c>
      <c r="F275" s="3">
        <v>800</v>
      </c>
      <c r="G275" s="3">
        <v>800</v>
      </c>
      <c r="H275" t="s">
        <v>3</v>
      </c>
      <c r="I275" t="s">
        <v>3</v>
      </c>
      <c r="J275" t="s">
        <v>253</v>
      </c>
      <c r="K275" t="s">
        <v>222</v>
      </c>
      <c r="L275" t="s">
        <v>18</v>
      </c>
      <c r="M275" t="s">
        <v>114</v>
      </c>
      <c r="N275" s="2">
        <v>45443</v>
      </c>
    </row>
    <row r="276" spans="1:14" x14ac:dyDescent="0.25">
      <c r="A276" t="s">
        <v>296</v>
      </c>
      <c r="B276" s="2">
        <v>45777</v>
      </c>
      <c r="C276" t="s">
        <v>296</v>
      </c>
      <c r="D276" t="s">
        <v>112</v>
      </c>
      <c r="E276" t="s">
        <v>9</v>
      </c>
      <c r="F276" s="3">
        <v>-16700</v>
      </c>
      <c r="G276" s="3">
        <v>-16700</v>
      </c>
      <c r="H276" t="s">
        <v>3</v>
      </c>
      <c r="I276" t="s">
        <v>3</v>
      </c>
      <c r="J276" t="s">
        <v>308</v>
      </c>
      <c r="K276" t="s">
        <v>5</v>
      </c>
      <c r="L276" t="s">
        <v>18</v>
      </c>
      <c r="M276" t="s">
        <v>114</v>
      </c>
      <c r="N276" s="2">
        <v>45778</v>
      </c>
    </row>
    <row r="277" spans="1:14" x14ac:dyDescent="0.25">
      <c r="A277" t="s">
        <v>296</v>
      </c>
      <c r="B277" s="2">
        <v>45777</v>
      </c>
      <c r="C277" t="s">
        <v>296</v>
      </c>
      <c r="D277" t="s">
        <v>112</v>
      </c>
      <c r="E277" t="s">
        <v>9</v>
      </c>
      <c r="F277" s="3">
        <v>-1300</v>
      </c>
      <c r="G277" s="3">
        <v>-1300</v>
      </c>
      <c r="H277" t="s">
        <v>3</v>
      </c>
      <c r="I277" t="s">
        <v>3</v>
      </c>
      <c r="J277" t="s">
        <v>309</v>
      </c>
      <c r="K277" t="s">
        <v>5</v>
      </c>
      <c r="L277" t="s">
        <v>18</v>
      </c>
      <c r="M277" t="s">
        <v>114</v>
      </c>
      <c r="N277" s="2">
        <v>45778</v>
      </c>
    </row>
    <row r="278" spans="1:14" x14ac:dyDescent="0.25">
      <c r="A278" t="s">
        <v>296</v>
      </c>
      <c r="B278" s="2">
        <v>45808</v>
      </c>
      <c r="C278" t="s">
        <v>296</v>
      </c>
      <c r="D278" t="s">
        <v>112</v>
      </c>
      <c r="E278" t="s">
        <v>9</v>
      </c>
      <c r="F278" s="3">
        <v>20200</v>
      </c>
      <c r="G278" s="3">
        <v>20200</v>
      </c>
      <c r="H278" t="s">
        <v>3</v>
      </c>
      <c r="I278" t="s">
        <v>3</v>
      </c>
      <c r="J278" t="s">
        <v>311</v>
      </c>
      <c r="K278" t="s">
        <v>5</v>
      </c>
      <c r="L278" t="s">
        <v>18</v>
      </c>
      <c r="M278" t="s">
        <v>114</v>
      </c>
      <c r="N278" s="2">
        <v>45808</v>
      </c>
    </row>
    <row r="279" spans="1:14" x14ac:dyDescent="0.25">
      <c r="A279" t="s">
        <v>296</v>
      </c>
      <c r="B279" s="2">
        <v>45808</v>
      </c>
      <c r="C279" t="s">
        <v>296</v>
      </c>
      <c r="D279" t="s">
        <v>112</v>
      </c>
      <c r="E279" t="s">
        <v>9</v>
      </c>
      <c r="F279" s="3">
        <v>1300</v>
      </c>
      <c r="G279" s="3">
        <v>1300</v>
      </c>
      <c r="H279" t="s">
        <v>3</v>
      </c>
      <c r="I279" t="s">
        <v>3</v>
      </c>
      <c r="J279" t="s">
        <v>312</v>
      </c>
      <c r="K279" t="s">
        <v>5</v>
      </c>
      <c r="L279" t="s">
        <v>18</v>
      </c>
      <c r="M279" t="s">
        <v>114</v>
      </c>
      <c r="N279" s="2">
        <v>45808</v>
      </c>
    </row>
    <row r="280" spans="1:14" x14ac:dyDescent="0.25">
      <c r="A280" t="s">
        <v>296</v>
      </c>
      <c r="B280" s="2">
        <v>45808</v>
      </c>
      <c r="C280" t="s">
        <v>296</v>
      </c>
      <c r="D280" t="s">
        <v>301</v>
      </c>
      <c r="E280" t="s">
        <v>9</v>
      </c>
      <c r="F280" s="3">
        <v>-3500</v>
      </c>
      <c r="G280" s="3">
        <v>-3500</v>
      </c>
      <c r="H280" t="s">
        <v>3</v>
      </c>
      <c r="I280" t="s">
        <v>3</v>
      </c>
      <c r="J280" t="s">
        <v>10</v>
      </c>
      <c r="K280" t="s">
        <v>5</v>
      </c>
      <c r="L280" t="s">
        <v>18</v>
      </c>
      <c r="M280" t="s">
        <v>302</v>
      </c>
      <c r="N280" s="2">
        <v>45808</v>
      </c>
    </row>
    <row r="281" spans="1:14" x14ac:dyDescent="0.25">
      <c r="A281" t="s">
        <v>296</v>
      </c>
      <c r="B281" s="2">
        <v>46142</v>
      </c>
      <c r="C281" t="s">
        <v>296</v>
      </c>
      <c r="D281" t="s">
        <v>112</v>
      </c>
      <c r="E281" t="s">
        <v>9</v>
      </c>
      <c r="F281" s="3">
        <v>-15050</v>
      </c>
      <c r="G281" s="3">
        <v>-15050</v>
      </c>
      <c r="H281" t="s">
        <v>3</v>
      </c>
      <c r="I281" t="s">
        <v>3</v>
      </c>
      <c r="J281" t="s">
        <v>310</v>
      </c>
      <c r="K281" t="s">
        <v>13</v>
      </c>
      <c r="L281" t="s">
        <v>18</v>
      </c>
      <c r="M281" t="s">
        <v>114</v>
      </c>
      <c r="N281" s="2">
        <v>46143</v>
      </c>
    </row>
    <row r="282" spans="1:14" x14ac:dyDescent="0.25">
      <c r="A282" t="s">
        <v>296</v>
      </c>
      <c r="B282" s="2">
        <v>46173</v>
      </c>
      <c r="C282" t="s">
        <v>296</v>
      </c>
      <c r="D282" t="s">
        <v>112</v>
      </c>
      <c r="E282" t="s">
        <v>9</v>
      </c>
      <c r="F282" s="3">
        <v>15050</v>
      </c>
      <c r="G282" s="3">
        <v>15050</v>
      </c>
      <c r="H282" t="s">
        <v>3</v>
      </c>
      <c r="I282" t="s">
        <v>3</v>
      </c>
      <c r="J282" t="s">
        <v>313</v>
      </c>
      <c r="K282" t="s">
        <v>13</v>
      </c>
      <c r="L282" t="s">
        <v>18</v>
      </c>
      <c r="M282" t="s">
        <v>114</v>
      </c>
      <c r="N282" s="2">
        <v>46173</v>
      </c>
    </row>
    <row r="283" spans="1:14" x14ac:dyDescent="0.25">
      <c r="A283" s="4" t="s">
        <v>223</v>
      </c>
      <c r="B283" s="5"/>
      <c r="C283" s="4" t="s">
        <v>9</v>
      </c>
      <c r="D283" s="4" t="s">
        <v>9</v>
      </c>
      <c r="E283" s="4" t="s">
        <v>9</v>
      </c>
      <c r="F283" s="6">
        <v>0</v>
      </c>
      <c r="G283" s="6">
        <v>0</v>
      </c>
      <c r="H283" s="4" t="s">
        <v>9</v>
      </c>
      <c r="I283" s="4" t="s">
        <v>3</v>
      </c>
      <c r="J283" s="4" t="s">
        <v>9</v>
      </c>
      <c r="K283" s="4" t="s">
        <v>9</v>
      </c>
      <c r="L283" s="4" t="s">
        <v>9</v>
      </c>
      <c r="M283" s="4" t="s">
        <v>9</v>
      </c>
      <c r="N283" s="5"/>
    </row>
    <row r="284" spans="1:14" x14ac:dyDescent="0.25">
      <c r="A284" t="s">
        <v>296</v>
      </c>
      <c r="B284" s="2">
        <v>45475</v>
      </c>
      <c r="C284" t="s">
        <v>296</v>
      </c>
      <c r="D284" t="s">
        <v>112</v>
      </c>
      <c r="E284" t="s">
        <v>9</v>
      </c>
      <c r="F284" s="3">
        <v>-600</v>
      </c>
      <c r="G284" s="3">
        <v>-600</v>
      </c>
      <c r="H284" t="s">
        <v>3</v>
      </c>
      <c r="I284" t="s">
        <v>3</v>
      </c>
      <c r="J284" t="s">
        <v>9</v>
      </c>
      <c r="K284" t="s">
        <v>9</v>
      </c>
      <c r="L284" t="s">
        <v>19</v>
      </c>
      <c r="M284" t="s">
        <v>114</v>
      </c>
      <c r="N284" s="2">
        <v>45473</v>
      </c>
    </row>
    <row r="285" spans="1:14" x14ac:dyDescent="0.25">
      <c r="A285" t="s">
        <v>296</v>
      </c>
      <c r="B285" s="2">
        <v>45839</v>
      </c>
      <c r="C285" t="s">
        <v>296</v>
      </c>
      <c r="D285" t="s">
        <v>112</v>
      </c>
      <c r="E285" t="s">
        <v>9</v>
      </c>
      <c r="F285" s="3">
        <v>-3500</v>
      </c>
      <c r="G285" s="3">
        <v>-3500</v>
      </c>
      <c r="H285" t="s">
        <v>3</v>
      </c>
      <c r="I285" t="s">
        <v>3</v>
      </c>
      <c r="J285" t="s">
        <v>9</v>
      </c>
      <c r="K285" t="s">
        <v>9</v>
      </c>
      <c r="L285" t="s">
        <v>19</v>
      </c>
      <c r="M285" t="s">
        <v>114</v>
      </c>
      <c r="N285" s="2">
        <v>45838</v>
      </c>
    </row>
    <row r="286" spans="1:14" x14ac:dyDescent="0.25">
      <c r="A286" t="s">
        <v>296</v>
      </c>
      <c r="B286" s="2">
        <v>45839</v>
      </c>
      <c r="C286" t="s">
        <v>296</v>
      </c>
      <c r="D286" t="s">
        <v>301</v>
      </c>
      <c r="E286" t="s">
        <v>9</v>
      </c>
      <c r="F286" s="3">
        <v>3500</v>
      </c>
      <c r="G286" s="3">
        <v>3500</v>
      </c>
      <c r="H286" t="s">
        <v>3</v>
      </c>
      <c r="I286" t="s">
        <v>3</v>
      </c>
      <c r="J286" t="s">
        <v>9</v>
      </c>
      <c r="K286" t="s">
        <v>9</v>
      </c>
      <c r="L286" t="s">
        <v>19</v>
      </c>
      <c r="M286" t="s">
        <v>302</v>
      </c>
      <c r="N286" s="2">
        <v>45838</v>
      </c>
    </row>
    <row r="287" spans="1:14" x14ac:dyDescent="0.25">
      <c r="A287" t="s">
        <v>296</v>
      </c>
      <c r="B287" s="2">
        <v>46205</v>
      </c>
      <c r="C287" t="s">
        <v>296</v>
      </c>
      <c r="D287" t="s">
        <v>112</v>
      </c>
      <c r="E287" t="s">
        <v>9</v>
      </c>
      <c r="F287" s="3">
        <v>-600</v>
      </c>
      <c r="G287" s="3">
        <v>-600</v>
      </c>
      <c r="H287" t="s">
        <v>3</v>
      </c>
      <c r="I287" t="s">
        <v>3</v>
      </c>
      <c r="J287" t="s">
        <v>9</v>
      </c>
      <c r="K287" t="s">
        <v>9</v>
      </c>
      <c r="L287" t="s">
        <v>19</v>
      </c>
      <c r="M287" t="s">
        <v>114</v>
      </c>
      <c r="N287" s="2">
        <v>46203</v>
      </c>
    </row>
    <row r="288" spans="1:14" x14ac:dyDescent="0.25">
      <c r="A288" t="s">
        <v>296</v>
      </c>
      <c r="B288" s="2">
        <v>46205</v>
      </c>
      <c r="C288" t="s">
        <v>296</v>
      </c>
      <c r="D288" t="s">
        <v>301</v>
      </c>
      <c r="E288" t="s">
        <v>9</v>
      </c>
      <c r="F288" s="3">
        <v>600</v>
      </c>
      <c r="G288" s="3">
        <v>600</v>
      </c>
      <c r="H288" t="s">
        <v>3</v>
      </c>
      <c r="I288" t="s">
        <v>3</v>
      </c>
      <c r="J288" t="s">
        <v>9</v>
      </c>
      <c r="K288" t="s">
        <v>9</v>
      </c>
      <c r="L288" t="s">
        <v>19</v>
      </c>
      <c r="M288" t="s">
        <v>302</v>
      </c>
      <c r="N288" s="2">
        <v>46203</v>
      </c>
    </row>
    <row r="289" spans="1:14" x14ac:dyDescent="0.25">
      <c r="A289" t="s">
        <v>296</v>
      </c>
      <c r="B289" s="2">
        <v>45077</v>
      </c>
      <c r="C289" t="s">
        <v>296</v>
      </c>
      <c r="D289" t="s">
        <v>112</v>
      </c>
      <c r="E289" t="s">
        <v>9</v>
      </c>
      <c r="F289" s="3">
        <v>-700</v>
      </c>
      <c r="G289" s="3">
        <v>-700</v>
      </c>
      <c r="H289" t="s">
        <v>3</v>
      </c>
      <c r="I289" t="s">
        <v>3</v>
      </c>
      <c r="J289" t="s">
        <v>252</v>
      </c>
      <c r="K289" t="s">
        <v>225</v>
      </c>
      <c r="L289" t="s">
        <v>19</v>
      </c>
      <c r="M289" t="s">
        <v>114</v>
      </c>
      <c r="N289" s="2">
        <v>45078</v>
      </c>
    </row>
    <row r="290" spans="1:14" x14ac:dyDescent="0.25">
      <c r="A290" t="s">
        <v>296</v>
      </c>
      <c r="B290" s="2">
        <v>45107</v>
      </c>
      <c r="C290" t="s">
        <v>296</v>
      </c>
      <c r="D290" t="s">
        <v>112</v>
      </c>
      <c r="E290" t="s">
        <v>9</v>
      </c>
      <c r="F290" s="3">
        <v>700</v>
      </c>
      <c r="G290" s="3">
        <v>700</v>
      </c>
      <c r="H290" t="s">
        <v>3</v>
      </c>
      <c r="I290" t="s">
        <v>3</v>
      </c>
      <c r="J290" t="s">
        <v>256</v>
      </c>
      <c r="K290" t="s">
        <v>225</v>
      </c>
      <c r="L290" t="s">
        <v>19</v>
      </c>
      <c r="M290" t="s">
        <v>114</v>
      </c>
      <c r="N290" s="2">
        <v>45107</v>
      </c>
    </row>
    <row r="291" spans="1:14" x14ac:dyDescent="0.25">
      <c r="A291" t="s">
        <v>296</v>
      </c>
      <c r="B291" s="2">
        <v>45443</v>
      </c>
      <c r="C291" t="s">
        <v>296</v>
      </c>
      <c r="D291" t="s">
        <v>112</v>
      </c>
      <c r="E291" t="s">
        <v>9</v>
      </c>
      <c r="F291" s="3">
        <v>-800</v>
      </c>
      <c r="G291" s="3">
        <v>-800</v>
      </c>
      <c r="H291" t="s">
        <v>3</v>
      </c>
      <c r="I291" t="s">
        <v>3</v>
      </c>
      <c r="J291" t="s">
        <v>253</v>
      </c>
      <c r="K291" t="s">
        <v>222</v>
      </c>
      <c r="L291" t="s">
        <v>19</v>
      </c>
      <c r="M291" t="s">
        <v>114</v>
      </c>
      <c r="N291" s="2">
        <v>45444</v>
      </c>
    </row>
    <row r="292" spans="1:14" x14ac:dyDescent="0.25">
      <c r="A292" t="s">
        <v>296</v>
      </c>
      <c r="B292" s="2">
        <v>45473</v>
      </c>
      <c r="C292" t="s">
        <v>296</v>
      </c>
      <c r="D292" t="s">
        <v>112</v>
      </c>
      <c r="E292" t="s">
        <v>9</v>
      </c>
      <c r="F292" s="3">
        <v>1400</v>
      </c>
      <c r="G292" s="3">
        <v>1400</v>
      </c>
      <c r="H292" t="s">
        <v>3</v>
      </c>
      <c r="I292" t="s">
        <v>3</v>
      </c>
      <c r="J292" t="s">
        <v>257</v>
      </c>
      <c r="K292" t="s">
        <v>222</v>
      </c>
      <c r="L292" t="s">
        <v>19</v>
      </c>
      <c r="M292" t="s">
        <v>114</v>
      </c>
      <c r="N292" s="2">
        <v>45473</v>
      </c>
    </row>
    <row r="293" spans="1:14" x14ac:dyDescent="0.25">
      <c r="A293" t="s">
        <v>296</v>
      </c>
      <c r="B293" s="2">
        <v>45808</v>
      </c>
      <c r="C293" t="s">
        <v>296</v>
      </c>
      <c r="D293" t="s">
        <v>112</v>
      </c>
      <c r="E293" t="s">
        <v>9</v>
      </c>
      <c r="F293" s="3">
        <v>-20200</v>
      </c>
      <c r="G293" s="3">
        <v>-20200</v>
      </c>
      <c r="H293" t="s">
        <v>3</v>
      </c>
      <c r="I293" t="s">
        <v>3</v>
      </c>
      <c r="J293" t="s">
        <v>311</v>
      </c>
      <c r="K293" t="s">
        <v>5</v>
      </c>
      <c r="L293" t="s">
        <v>19</v>
      </c>
      <c r="M293" t="s">
        <v>114</v>
      </c>
      <c r="N293" s="2">
        <v>45809</v>
      </c>
    </row>
    <row r="294" spans="1:14" x14ac:dyDescent="0.25">
      <c r="A294" t="s">
        <v>296</v>
      </c>
      <c r="B294" s="2">
        <v>45808</v>
      </c>
      <c r="C294" t="s">
        <v>296</v>
      </c>
      <c r="D294" t="s">
        <v>112</v>
      </c>
      <c r="E294" t="s">
        <v>9</v>
      </c>
      <c r="F294" s="3">
        <v>-1300</v>
      </c>
      <c r="G294" s="3">
        <v>-1300</v>
      </c>
      <c r="H294" t="s">
        <v>3</v>
      </c>
      <c r="I294" t="s">
        <v>3</v>
      </c>
      <c r="J294" t="s">
        <v>312</v>
      </c>
      <c r="K294" t="s">
        <v>5</v>
      </c>
      <c r="L294" t="s">
        <v>19</v>
      </c>
      <c r="M294" t="s">
        <v>114</v>
      </c>
      <c r="N294" s="2">
        <v>45809</v>
      </c>
    </row>
    <row r="295" spans="1:14" x14ac:dyDescent="0.25">
      <c r="A295" t="s">
        <v>296</v>
      </c>
      <c r="B295" s="2">
        <v>45838</v>
      </c>
      <c r="C295" t="s">
        <v>296</v>
      </c>
      <c r="D295" t="s">
        <v>112</v>
      </c>
      <c r="E295" t="s">
        <v>9</v>
      </c>
      <c r="F295" s="3">
        <v>23700</v>
      </c>
      <c r="G295" s="3">
        <v>23700</v>
      </c>
      <c r="H295" t="s">
        <v>3</v>
      </c>
      <c r="I295" t="s">
        <v>3</v>
      </c>
      <c r="J295" t="s">
        <v>314</v>
      </c>
      <c r="K295" t="s">
        <v>5</v>
      </c>
      <c r="L295" t="s">
        <v>19</v>
      </c>
      <c r="M295" t="s">
        <v>114</v>
      </c>
      <c r="N295" s="2">
        <v>45838</v>
      </c>
    </row>
    <row r="296" spans="1:14" x14ac:dyDescent="0.25">
      <c r="A296" t="s">
        <v>296</v>
      </c>
      <c r="B296" s="2">
        <v>45838</v>
      </c>
      <c r="C296" t="s">
        <v>296</v>
      </c>
      <c r="D296" t="s">
        <v>112</v>
      </c>
      <c r="E296" t="s">
        <v>9</v>
      </c>
      <c r="F296" s="3">
        <v>1300</v>
      </c>
      <c r="G296" s="3">
        <v>1300</v>
      </c>
      <c r="H296" t="s">
        <v>3</v>
      </c>
      <c r="I296" t="s">
        <v>3</v>
      </c>
      <c r="J296" t="s">
        <v>315</v>
      </c>
      <c r="K296" t="s">
        <v>5</v>
      </c>
      <c r="L296" t="s">
        <v>19</v>
      </c>
      <c r="M296" t="s">
        <v>114</v>
      </c>
      <c r="N296" s="2">
        <v>45838</v>
      </c>
    </row>
    <row r="297" spans="1:14" x14ac:dyDescent="0.25">
      <c r="A297" t="s">
        <v>296</v>
      </c>
      <c r="B297" s="2">
        <v>45838</v>
      </c>
      <c r="C297" t="s">
        <v>296</v>
      </c>
      <c r="D297" t="s">
        <v>301</v>
      </c>
      <c r="E297" t="s">
        <v>9</v>
      </c>
      <c r="F297" s="3">
        <v>-3500</v>
      </c>
      <c r="G297" s="3">
        <v>-3500</v>
      </c>
      <c r="H297" t="s">
        <v>3</v>
      </c>
      <c r="I297" t="s">
        <v>3</v>
      </c>
      <c r="J297" t="s">
        <v>10</v>
      </c>
      <c r="K297" t="s">
        <v>5</v>
      </c>
      <c r="L297" t="s">
        <v>19</v>
      </c>
      <c r="M297" t="s">
        <v>302</v>
      </c>
      <c r="N297" s="2">
        <v>45838</v>
      </c>
    </row>
    <row r="298" spans="1:14" x14ac:dyDescent="0.25">
      <c r="A298" t="s">
        <v>296</v>
      </c>
      <c r="B298" s="2">
        <v>46173</v>
      </c>
      <c r="C298" t="s">
        <v>296</v>
      </c>
      <c r="D298" t="s">
        <v>112</v>
      </c>
      <c r="E298" t="s">
        <v>9</v>
      </c>
      <c r="F298" s="3">
        <v>-15050</v>
      </c>
      <c r="G298" s="3">
        <v>-15050</v>
      </c>
      <c r="H298" t="s">
        <v>3</v>
      </c>
      <c r="I298" t="s">
        <v>3</v>
      </c>
      <c r="J298" t="s">
        <v>313</v>
      </c>
      <c r="K298" t="s">
        <v>13</v>
      </c>
      <c r="L298" t="s">
        <v>19</v>
      </c>
      <c r="M298" t="s">
        <v>114</v>
      </c>
      <c r="N298" s="2">
        <v>46174</v>
      </c>
    </row>
    <row r="299" spans="1:14" x14ac:dyDescent="0.25">
      <c r="A299" t="s">
        <v>296</v>
      </c>
      <c r="B299" s="2">
        <v>46203</v>
      </c>
      <c r="C299" t="s">
        <v>296</v>
      </c>
      <c r="D299" t="s">
        <v>112</v>
      </c>
      <c r="E299" t="s">
        <v>9</v>
      </c>
      <c r="F299" s="3">
        <v>15650</v>
      </c>
      <c r="G299" s="3">
        <v>15650</v>
      </c>
      <c r="H299" t="s">
        <v>3</v>
      </c>
      <c r="I299" t="s">
        <v>3</v>
      </c>
      <c r="J299" t="s">
        <v>316</v>
      </c>
      <c r="K299" t="s">
        <v>13</v>
      </c>
      <c r="L299" t="s">
        <v>19</v>
      </c>
      <c r="M299" t="s">
        <v>114</v>
      </c>
      <c r="N299" s="2">
        <v>46203</v>
      </c>
    </row>
    <row r="300" spans="1:14" x14ac:dyDescent="0.25">
      <c r="A300" t="s">
        <v>296</v>
      </c>
      <c r="B300" s="2">
        <v>46203</v>
      </c>
      <c r="C300" t="s">
        <v>296</v>
      </c>
      <c r="D300" t="s">
        <v>301</v>
      </c>
      <c r="E300" t="s">
        <v>9</v>
      </c>
      <c r="F300" s="3">
        <v>-600</v>
      </c>
      <c r="G300" s="3">
        <v>-600</v>
      </c>
      <c r="H300" t="s">
        <v>3</v>
      </c>
      <c r="I300" t="s">
        <v>3</v>
      </c>
      <c r="J300" t="s">
        <v>10</v>
      </c>
      <c r="K300" t="s">
        <v>13</v>
      </c>
      <c r="L300" t="s">
        <v>19</v>
      </c>
      <c r="M300" t="s">
        <v>302</v>
      </c>
      <c r="N300" s="2">
        <v>46203</v>
      </c>
    </row>
    <row r="301" spans="1:14" x14ac:dyDescent="0.25">
      <c r="A301" s="4" t="s">
        <v>224</v>
      </c>
      <c r="B301" s="5"/>
      <c r="C301" s="4" t="s">
        <v>9</v>
      </c>
      <c r="D301" s="4" t="s">
        <v>9</v>
      </c>
      <c r="E301" s="4" t="s">
        <v>9</v>
      </c>
      <c r="F301" s="6">
        <v>0</v>
      </c>
      <c r="G301" s="6">
        <v>0</v>
      </c>
      <c r="H301" s="4" t="s">
        <v>9</v>
      </c>
      <c r="I301" s="4" t="s">
        <v>3</v>
      </c>
      <c r="J301" s="4" t="s">
        <v>9</v>
      </c>
      <c r="K301" s="4" t="s">
        <v>9</v>
      </c>
      <c r="L301" s="4" t="s">
        <v>9</v>
      </c>
      <c r="M301" s="4" t="s">
        <v>9</v>
      </c>
      <c r="N301" s="5"/>
    </row>
    <row r="302" spans="1:14" x14ac:dyDescent="0.25">
      <c r="A302" t="s">
        <v>296</v>
      </c>
      <c r="B302" s="2">
        <v>45509</v>
      </c>
      <c r="C302" t="s">
        <v>296</v>
      </c>
      <c r="D302" t="s">
        <v>112</v>
      </c>
      <c r="E302" t="s">
        <v>9</v>
      </c>
      <c r="F302" s="3">
        <v>-400</v>
      </c>
      <c r="G302" s="3">
        <v>-400</v>
      </c>
      <c r="H302" t="s">
        <v>3</v>
      </c>
      <c r="I302" t="s">
        <v>3</v>
      </c>
      <c r="J302" t="s">
        <v>9</v>
      </c>
      <c r="K302" t="s">
        <v>9</v>
      </c>
      <c r="L302" t="s">
        <v>21</v>
      </c>
      <c r="M302" t="s">
        <v>114</v>
      </c>
      <c r="N302" s="2">
        <v>45504</v>
      </c>
    </row>
    <row r="303" spans="1:14" x14ac:dyDescent="0.25">
      <c r="A303" t="s">
        <v>296</v>
      </c>
      <c r="B303" s="2">
        <v>45870</v>
      </c>
      <c r="C303" t="s">
        <v>296</v>
      </c>
      <c r="D303" t="s">
        <v>112</v>
      </c>
      <c r="E303" t="s">
        <v>9</v>
      </c>
      <c r="F303" s="3">
        <v>-1200</v>
      </c>
      <c r="G303" s="3">
        <v>-1200</v>
      </c>
      <c r="H303" t="s">
        <v>3</v>
      </c>
      <c r="I303" t="s">
        <v>3</v>
      </c>
      <c r="J303" t="s">
        <v>9</v>
      </c>
      <c r="K303" t="s">
        <v>9</v>
      </c>
      <c r="L303" t="s">
        <v>21</v>
      </c>
      <c r="M303" t="s">
        <v>114</v>
      </c>
      <c r="N303" s="2">
        <v>45869</v>
      </c>
    </row>
    <row r="304" spans="1:14" x14ac:dyDescent="0.25">
      <c r="A304" t="s">
        <v>296</v>
      </c>
      <c r="B304" s="2">
        <v>45870</v>
      </c>
      <c r="C304" t="s">
        <v>296</v>
      </c>
      <c r="D304" t="s">
        <v>301</v>
      </c>
      <c r="E304" t="s">
        <v>9</v>
      </c>
      <c r="F304" s="3">
        <v>1200</v>
      </c>
      <c r="G304" s="3">
        <v>1200</v>
      </c>
      <c r="H304" t="s">
        <v>3</v>
      </c>
      <c r="I304" t="s">
        <v>3</v>
      </c>
      <c r="J304" t="s">
        <v>9</v>
      </c>
      <c r="K304" t="s">
        <v>9</v>
      </c>
      <c r="L304" t="s">
        <v>21</v>
      </c>
      <c r="M304" t="s">
        <v>302</v>
      </c>
      <c r="N304" s="2">
        <v>45869</v>
      </c>
    </row>
    <row r="305" spans="1:14" x14ac:dyDescent="0.25">
      <c r="A305" t="s">
        <v>296</v>
      </c>
      <c r="B305" s="2">
        <v>46239</v>
      </c>
      <c r="C305" t="s">
        <v>296</v>
      </c>
      <c r="D305" t="s">
        <v>112</v>
      </c>
      <c r="E305" t="s">
        <v>9</v>
      </c>
      <c r="F305" s="3">
        <v>15650</v>
      </c>
      <c r="G305" s="3">
        <v>15650</v>
      </c>
      <c r="H305" t="s">
        <v>3</v>
      </c>
      <c r="I305" t="s">
        <v>3</v>
      </c>
      <c r="J305" t="s">
        <v>9</v>
      </c>
      <c r="K305" t="s">
        <v>9</v>
      </c>
      <c r="L305" t="s">
        <v>21</v>
      </c>
      <c r="M305" t="s">
        <v>114</v>
      </c>
      <c r="N305" s="2">
        <v>46234</v>
      </c>
    </row>
    <row r="306" spans="1:14" x14ac:dyDescent="0.25">
      <c r="A306" t="s">
        <v>296</v>
      </c>
      <c r="B306" s="2">
        <v>46239</v>
      </c>
      <c r="C306" t="s">
        <v>296</v>
      </c>
      <c r="D306" t="s">
        <v>112</v>
      </c>
      <c r="E306" t="s">
        <v>9</v>
      </c>
      <c r="F306" s="3">
        <v>-15650</v>
      </c>
      <c r="G306" s="3">
        <v>-15650</v>
      </c>
      <c r="H306" t="s">
        <v>3</v>
      </c>
      <c r="I306" t="s">
        <v>3</v>
      </c>
      <c r="J306" t="s">
        <v>9</v>
      </c>
      <c r="K306" t="s">
        <v>9</v>
      </c>
      <c r="L306" t="s">
        <v>21</v>
      </c>
      <c r="M306" t="s">
        <v>114</v>
      </c>
      <c r="N306" s="2">
        <v>46234</v>
      </c>
    </row>
    <row r="307" spans="1:14" x14ac:dyDescent="0.25">
      <c r="A307" t="s">
        <v>296</v>
      </c>
      <c r="B307" s="2">
        <v>45107</v>
      </c>
      <c r="C307" t="s">
        <v>296</v>
      </c>
      <c r="D307" t="s">
        <v>112</v>
      </c>
      <c r="E307" t="s">
        <v>9</v>
      </c>
      <c r="F307" s="3">
        <v>-700</v>
      </c>
      <c r="G307" s="3">
        <v>-700</v>
      </c>
      <c r="H307" t="s">
        <v>3</v>
      </c>
      <c r="I307" t="s">
        <v>3</v>
      </c>
      <c r="J307" t="s">
        <v>256</v>
      </c>
      <c r="K307" t="s">
        <v>225</v>
      </c>
      <c r="L307" t="s">
        <v>21</v>
      </c>
      <c r="M307" t="s">
        <v>114</v>
      </c>
      <c r="N307" s="2">
        <v>45108</v>
      </c>
    </row>
    <row r="308" spans="1:14" x14ac:dyDescent="0.25">
      <c r="A308" t="s">
        <v>296</v>
      </c>
      <c r="B308" s="2">
        <v>45138</v>
      </c>
      <c r="C308" t="s">
        <v>296</v>
      </c>
      <c r="D308" t="s">
        <v>112</v>
      </c>
      <c r="E308" t="s">
        <v>9</v>
      </c>
      <c r="F308" s="3">
        <v>700</v>
      </c>
      <c r="G308" s="3">
        <v>700</v>
      </c>
      <c r="H308" t="s">
        <v>3</v>
      </c>
      <c r="I308" t="s">
        <v>3</v>
      </c>
      <c r="J308" t="s">
        <v>260</v>
      </c>
      <c r="K308" t="s">
        <v>225</v>
      </c>
      <c r="L308" t="s">
        <v>21</v>
      </c>
      <c r="M308" t="s">
        <v>114</v>
      </c>
      <c r="N308" s="2">
        <v>45138</v>
      </c>
    </row>
    <row r="309" spans="1:14" x14ac:dyDescent="0.25">
      <c r="A309" t="s">
        <v>296</v>
      </c>
      <c r="B309" s="2">
        <v>45473</v>
      </c>
      <c r="C309" t="s">
        <v>296</v>
      </c>
      <c r="D309" t="s">
        <v>112</v>
      </c>
      <c r="E309" t="s">
        <v>9</v>
      </c>
      <c r="F309" s="3">
        <v>-1400</v>
      </c>
      <c r="G309" s="3">
        <v>-1400</v>
      </c>
      <c r="H309" t="s">
        <v>3</v>
      </c>
      <c r="I309" t="s">
        <v>3</v>
      </c>
      <c r="J309" t="s">
        <v>257</v>
      </c>
      <c r="K309" t="s">
        <v>222</v>
      </c>
      <c r="L309" t="s">
        <v>21</v>
      </c>
      <c r="M309" t="s">
        <v>114</v>
      </c>
      <c r="N309" s="2">
        <v>45474</v>
      </c>
    </row>
    <row r="310" spans="1:14" x14ac:dyDescent="0.25">
      <c r="A310" t="s">
        <v>296</v>
      </c>
      <c r="B310" s="2">
        <v>45504</v>
      </c>
      <c r="C310" t="s">
        <v>296</v>
      </c>
      <c r="D310" t="s">
        <v>112</v>
      </c>
      <c r="E310" t="s">
        <v>9</v>
      </c>
      <c r="F310" s="3">
        <v>1800</v>
      </c>
      <c r="G310" s="3">
        <v>1800</v>
      </c>
      <c r="H310" t="s">
        <v>3</v>
      </c>
      <c r="I310" t="s">
        <v>3</v>
      </c>
      <c r="J310" t="s">
        <v>261</v>
      </c>
      <c r="K310" t="s">
        <v>222</v>
      </c>
      <c r="L310" t="s">
        <v>21</v>
      </c>
      <c r="M310" t="s">
        <v>114</v>
      </c>
      <c r="N310" s="2">
        <v>45504</v>
      </c>
    </row>
    <row r="311" spans="1:14" x14ac:dyDescent="0.25">
      <c r="A311" t="s">
        <v>296</v>
      </c>
      <c r="B311" s="2">
        <v>45838</v>
      </c>
      <c r="C311" t="s">
        <v>296</v>
      </c>
      <c r="D311" t="s">
        <v>112</v>
      </c>
      <c r="E311" t="s">
        <v>9</v>
      </c>
      <c r="F311" s="3">
        <v>-23700</v>
      </c>
      <c r="G311" s="3">
        <v>-23700</v>
      </c>
      <c r="H311" t="s">
        <v>3</v>
      </c>
      <c r="I311" t="s">
        <v>3</v>
      </c>
      <c r="J311" t="s">
        <v>314</v>
      </c>
      <c r="K311" t="s">
        <v>5</v>
      </c>
      <c r="L311" t="s">
        <v>21</v>
      </c>
      <c r="M311" t="s">
        <v>114</v>
      </c>
      <c r="N311" s="2">
        <v>45839</v>
      </c>
    </row>
    <row r="312" spans="1:14" x14ac:dyDescent="0.25">
      <c r="A312" t="s">
        <v>296</v>
      </c>
      <c r="B312" s="2">
        <v>45838</v>
      </c>
      <c r="C312" t="s">
        <v>296</v>
      </c>
      <c r="D312" t="s">
        <v>112</v>
      </c>
      <c r="E312" t="s">
        <v>9</v>
      </c>
      <c r="F312" s="3">
        <v>-1300</v>
      </c>
      <c r="G312" s="3">
        <v>-1300</v>
      </c>
      <c r="H312" t="s">
        <v>3</v>
      </c>
      <c r="I312" t="s">
        <v>3</v>
      </c>
      <c r="J312" t="s">
        <v>315</v>
      </c>
      <c r="K312" t="s">
        <v>5</v>
      </c>
      <c r="L312" t="s">
        <v>21</v>
      </c>
      <c r="M312" t="s">
        <v>114</v>
      </c>
      <c r="N312" s="2">
        <v>45839</v>
      </c>
    </row>
    <row r="313" spans="1:14" x14ac:dyDescent="0.25">
      <c r="A313" t="s">
        <v>296</v>
      </c>
      <c r="B313" s="2">
        <v>45869</v>
      </c>
      <c r="C313" t="s">
        <v>296</v>
      </c>
      <c r="D313" t="s">
        <v>112</v>
      </c>
      <c r="E313" t="s">
        <v>9</v>
      </c>
      <c r="F313" s="3">
        <v>24900</v>
      </c>
      <c r="G313" s="3">
        <v>24900</v>
      </c>
      <c r="H313" t="s">
        <v>3</v>
      </c>
      <c r="I313" t="s">
        <v>3</v>
      </c>
      <c r="J313" t="s">
        <v>317</v>
      </c>
      <c r="K313" t="s">
        <v>5</v>
      </c>
      <c r="L313" t="s">
        <v>21</v>
      </c>
      <c r="M313" t="s">
        <v>114</v>
      </c>
      <c r="N313" s="2">
        <v>45869</v>
      </c>
    </row>
    <row r="314" spans="1:14" x14ac:dyDescent="0.25">
      <c r="A314" t="s">
        <v>296</v>
      </c>
      <c r="B314" s="2">
        <v>45869</v>
      </c>
      <c r="C314" t="s">
        <v>296</v>
      </c>
      <c r="D314" t="s">
        <v>112</v>
      </c>
      <c r="E314" t="s">
        <v>9</v>
      </c>
      <c r="F314" s="3">
        <v>1300</v>
      </c>
      <c r="G314" s="3">
        <v>1300</v>
      </c>
      <c r="H314" t="s">
        <v>3</v>
      </c>
      <c r="I314" t="s">
        <v>3</v>
      </c>
      <c r="J314" t="s">
        <v>318</v>
      </c>
      <c r="K314" t="s">
        <v>5</v>
      </c>
      <c r="L314" t="s">
        <v>21</v>
      </c>
      <c r="M314" t="s">
        <v>114</v>
      </c>
      <c r="N314" s="2">
        <v>45869</v>
      </c>
    </row>
    <row r="315" spans="1:14" x14ac:dyDescent="0.25">
      <c r="A315" t="s">
        <v>296</v>
      </c>
      <c r="B315" s="2">
        <v>45869</v>
      </c>
      <c r="C315" t="s">
        <v>296</v>
      </c>
      <c r="D315" t="s">
        <v>301</v>
      </c>
      <c r="E315" t="s">
        <v>9</v>
      </c>
      <c r="F315" s="3">
        <v>-1200</v>
      </c>
      <c r="G315" s="3">
        <v>-1200</v>
      </c>
      <c r="H315" t="s">
        <v>3</v>
      </c>
      <c r="I315" t="s">
        <v>3</v>
      </c>
      <c r="J315" t="s">
        <v>10</v>
      </c>
      <c r="K315" t="s">
        <v>5</v>
      </c>
      <c r="L315" t="s">
        <v>21</v>
      </c>
      <c r="M315" t="s">
        <v>302</v>
      </c>
      <c r="N315" s="2">
        <v>45869</v>
      </c>
    </row>
    <row r="316" spans="1:14" x14ac:dyDescent="0.25">
      <c r="A316" t="s">
        <v>296</v>
      </c>
      <c r="B316" s="2">
        <v>46203</v>
      </c>
      <c r="C316" t="s">
        <v>296</v>
      </c>
      <c r="D316" t="s">
        <v>112</v>
      </c>
      <c r="E316" t="s">
        <v>9</v>
      </c>
      <c r="F316" s="3">
        <v>-15650</v>
      </c>
      <c r="G316" s="3">
        <v>-15650</v>
      </c>
      <c r="H316" t="s">
        <v>3</v>
      </c>
      <c r="I316" t="s">
        <v>3</v>
      </c>
      <c r="J316" t="s">
        <v>316</v>
      </c>
      <c r="K316" t="s">
        <v>13</v>
      </c>
      <c r="L316" t="s">
        <v>21</v>
      </c>
      <c r="M316" t="s">
        <v>114</v>
      </c>
      <c r="N316" s="2">
        <v>46204</v>
      </c>
    </row>
    <row r="317" spans="1:14" x14ac:dyDescent="0.25">
      <c r="A317" t="s">
        <v>296</v>
      </c>
      <c r="B317" s="2">
        <v>46234</v>
      </c>
      <c r="C317" t="s">
        <v>296</v>
      </c>
      <c r="D317" t="s">
        <v>112</v>
      </c>
      <c r="E317" t="s">
        <v>9</v>
      </c>
      <c r="F317" s="3">
        <v>15650</v>
      </c>
      <c r="G317" s="3">
        <v>15650</v>
      </c>
      <c r="H317" t="s">
        <v>3</v>
      </c>
      <c r="I317" t="s">
        <v>3</v>
      </c>
      <c r="J317" t="s">
        <v>319</v>
      </c>
      <c r="K317" t="s">
        <v>13</v>
      </c>
      <c r="L317" t="s">
        <v>21</v>
      </c>
      <c r="M317" t="s">
        <v>114</v>
      </c>
      <c r="N317" s="2">
        <v>46234</v>
      </c>
    </row>
    <row r="318" spans="1:14" x14ac:dyDescent="0.25">
      <c r="A318" s="4" t="s">
        <v>262</v>
      </c>
      <c r="B318" s="5"/>
      <c r="C318" s="4" t="s">
        <v>9</v>
      </c>
      <c r="D318" s="4" t="s">
        <v>9</v>
      </c>
      <c r="E318" s="4" t="s">
        <v>9</v>
      </c>
      <c r="F318" s="6">
        <v>0</v>
      </c>
      <c r="G318" s="6">
        <v>0</v>
      </c>
      <c r="H318" s="4" t="s">
        <v>9</v>
      </c>
      <c r="I318" s="4" t="s">
        <v>3</v>
      </c>
      <c r="J318" s="4" t="s">
        <v>9</v>
      </c>
      <c r="K318" s="4" t="s">
        <v>9</v>
      </c>
      <c r="L318" s="4" t="s">
        <v>9</v>
      </c>
      <c r="M318" s="4" t="s">
        <v>9</v>
      </c>
      <c r="N318" s="5"/>
    </row>
    <row r="319" spans="1:14" x14ac:dyDescent="0.25">
      <c r="A319" t="s">
        <v>296</v>
      </c>
      <c r="B319" s="2">
        <v>45901</v>
      </c>
      <c r="C319" t="s">
        <v>296</v>
      </c>
      <c r="D319" t="s">
        <v>112</v>
      </c>
      <c r="E319" t="s">
        <v>9</v>
      </c>
      <c r="F319" s="3">
        <v>400</v>
      </c>
      <c r="G319" s="3">
        <v>400</v>
      </c>
      <c r="H319" t="s">
        <v>3</v>
      </c>
      <c r="I319" t="s">
        <v>3</v>
      </c>
      <c r="J319" t="s">
        <v>9</v>
      </c>
      <c r="K319" t="s">
        <v>9</v>
      </c>
      <c r="L319" t="s">
        <v>22</v>
      </c>
      <c r="M319" t="s">
        <v>114</v>
      </c>
      <c r="N319" s="2">
        <v>45900</v>
      </c>
    </row>
    <row r="320" spans="1:14" x14ac:dyDescent="0.25">
      <c r="A320" t="s">
        <v>296</v>
      </c>
      <c r="B320" s="2">
        <v>45903</v>
      </c>
      <c r="C320" t="s">
        <v>296</v>
      </c>
      <c r="D320" t="s">
        <v>112</v>
      </c>
      <c r="E320" t="s">
        <v>9</v>
      </c>
      <c r="F320" s="3">
        <v>-3200</v>
      </c>
      <c r="G320" s="3">
        <v>-3200</v>
      </c>
      <c r="H320" t="s">
        <v>3</v>
      </c>
      <c r="I320" t="s">
        <v>3</v>
      </c>
      <c r="J320" t="s">
        <v>9</v>
      </c>
      <c r="K320" t="s">
        <v>9</v>
      </c>
      <c r="L320" t="s">
        <v>22</v>
      </c>
      <c r="M320" t="s">
        <v>114</v>
      </c>
      <c r="N320" s="2">
        <v>45900</v>
      </c>
    </row>
    <row r="321" spans="1:14" x14ac:dyDescent="0.25">
      <c r="A321" t="s">
        <v>296</v>
      </c>
      <c r="B321" s="2">
        <v>45138</v>
      </c>
      <c r="C321" t="s">
        <v>296</v>
      </c>
      <c r="D321" t="s">
        <v>112</v>
      </c>
      <c r="E321" t="s">
        <v>9</v>
      </c>
      <c r="F321" s="3">
        <v>-700</v>
      </c>
      <c r="G321" s="3">
        <v>-700</v>
      </c>
      <c r="H321" t="s">
        <v>3</v>
      </c>
      <c r="I321" t="s">
        <v>3</v>
      </c>
      <c r="J321" t="s">
        <v>260</v>
      </c>
      <c r="K321" t="s">
        <v>225</v>
      </c>
      <c r="L321" t="s">
        <v>22</v>
      </c>
      <c r="M321" t="s">
        <v>114</v>
      </c>
      <c r="N321" s="2">
        <v>45139</v>
      </c>
    </row>
    <row r="322" spans="1:14" x14ac:dyDescent="0.25">
      <c r="A322" t="s">
        <v>296</v>
      </c>
      <c r="B322" s="2">
        <v>45169</v>
      </c>
      <c r="C322" t="s">
        <v>296</v>
      </c>
      <c r="D322" t="s">
        <v>112</v>
      </c>
      <c r="E322" t="s">
        <v>9</v>
      </c>
      <c r="F322" s="3">
        <v>700</v>
      </c>
      <c r="G322" s="3">
        <v>700</v>
      </c>
      <c r="H322" t="s">
        <v>3</v>
      </c>
      <c r="I322" t="s">
        <v>3</v>
      </c>
      <c r="J322" t="s">
        <v>265</v>
      </c>
      <c r="K322" t="s">
        <v>225</v>
      </c>
      <c r="L322" t="s">
        <v>22</v>
      </c>
      <c r="M322" t="s">
        <v>114</v>
      </c>
      <c r="N322" s="2">
        <v>45169</v>
      </c>
    </row>
    <row r="323" spans="1:14" x14ac:dyDescent="0.25">
      <c r="A323" t="s">
        <v>296</v>
      </c>
      <c r="B323" s="2">
        <v>45504</v>
      </c>
      <c r="C323" t="s">
        <v>296</v>
      </c>
      <c r="D323" t="s">
        <v>112</v>
      </c>
      <c r="E323" t="s">
        <v>9</v>
      </c>
      <c r="F323" s="3">
        <v>-1800</v>
      </c>
      <c r="G323" s="3">
        <v>-1800</v>
      </c>
      <c r="H323" t="s">
        <v>3</v>
      </c>
      <c r="I323" t="s">
        <v>3</v>
      </c>
      <c r="J323" t="s">
        <v>261</v>
      </c>
      <c r="K323" t="s">
        <v>222</v>
      </c>
      <c r="L323" t="s">
        <v>22</v>
      </c>
      <c r="M323" t="s">
        <v>114</v>
      </c>
      <c r="N323" s="2">
        <v>45505</v>
      </c>
    </row>
    <row r="324" spans="1:14" x14ac:dyDescent="0.25">
      <c r="A324" t="s">
        <v>296</v>
      </c>
      <c r="B324" s="2">
        <v>45535</v>
      </c>
      <c r="C324" t="s">
        <v>296</v>
      </c>
      <c r="D324" t="s">
        <v>112</v>
      </c>
      <c r="E324" t="s">
        <v>9</v>
      </c>
      <c r="F324" s="3">
        <v>1800</v>
      </c>
      <c r="G324" s="3">
        <v>1800</v>
      </c>
      <c r="H324" t="s">
        <v>3</v>
      </c>
      <c r="I324" t="s">
        <v>3</v>
      </c>
      <c r="J324" t="s">
        <v>266</v>
      </c>
      <c r="K324" t="s">
        <v>222</v>
      </c>
      <c r="L324" t="s">
        <v>22</v>
      </c>
      <c r="M324" t="s">
        <v>114</v>
      </c>
      <c r="N324" s="2">
        <v>45535</v>
      </c>
    </row>
    <row r="325" spans="1:14" x14ac:dyDescent="0.25">
      <c r="A325" t="s">
        <v>296</v>
      </c>
      <c r="B325" s="2">
        <v>45869</v>
      </c>
      <c r="C325" t="s">
        <v>296</v>
      </c>
      <c r="D325" t="s">
        <v>112</v>
      </c>
      <c r="E325" t="s">
        <v>9</v>
      </c>
      <c r="F325" s="3">
        <v>-24900</v>
      </c>
      <c r="G325" s="3">
        <v>-24900</v>
      </c>
      <c r="H325" t="s">
        <v>3</v>
      </c>
      <c r="I325" t="s">
        <v>3</v>
      </c>
      <c r="J325" t="s">
        <v>317</v>
      </c>
      <c r="K325" t="s">
        <v>5</v>
      </c>
      <c r="L325" t="s">
        <v>22</v>
      </c>
      <c r="M325" t="s">
        <v>114</v>
      </c>
      <c r="N325" s="2">
        <v>45870</v>
      </c>
    </row>
    <row r="326" spans="1:14" x14ac:dyDescent="0.25">
      <c r="A326" t="s">
        <v>296</v>
      </c>
      <c r="B326" s="2">
        <v>45869</v>
      </c>
      <c r="C326" t="s">
        <v>296</v>
      </c>
      <c r="D326" t="s">
        <v>112</v>
      </c>
      <c r="E326" t="s">
        <v>9</v>
      </c>
      <c r="F326" s="3">
        <v>-1300</v>
      </c>
      <c r="G326" s="3">
        <v>-1300</v>
      </c>
      <c r="H326" t="s">
        <v>3</v>
      </c>
      <c r="I326" t="s">
        <v>3</v>
      </c>
      <c r="J326" t="s">
        <v>318</v>
      </c>
      <c r="K326" t="s">
        <v>5</v>
      </c>
      <c r="L326" t="s">
        <v>22</v>
      </c>
      <c r="M326" t="s">
        <v>114</v>
      </c>
      <c r="N326" s="2">
        <v>45870</v>
      </c>
    </row>
    <row r="327" spans="1:14" x14ac:dyDescent="0.25">
      <c r="A327" t="s">
        <v>296</v>
      </c>
      <c r="B327" s="2">
        <v>45900</v>
      </c>
      <c r="C327" t="s">
        <v>296</v>
      </c>
      <c r="D327" t="s">
        <v>112</v>
      </c>
      <c r="E327" t="s">
        <v>9</v>
      </c>
      <c r="F327" s="3">
        <v>24500</v>
      </c>
      <c r="G327" s="3">
        <v>24500</v>
      </c>
      <c r="H327" t="s">
        <v>3</v>
      </c>
      <c r="I327" t="s">
        <v>3</v>
      </c>
      <c r="J327" t="s">
        <v>320</v>
      </c>
      <c r="K327" t="s">
        <v>5</v>
      </c>
      <c r="L327" t="s">
        <v>22</v>
      </c>
      <c r="M327" t="s">
        <v>114</v>
      </c>
      <c r="N327" s="2">
        <v>45900</v>
      </c>
    </row>
    <row r="328" spans="1:14" x14ac:dyDescent="0.25">
      <c r="A328" t="s">
        <v>296</v>
      </c>
      <c r="B328" s="2">
        <v>45900</v>
      </c>
      <c r="C328" t="s">
        <v>296</v>
      </c>
      <c r="D328" t="s">
        <v>112</v>
      </c>
      <c r="E328" t="s">
        <v>9</v>
      </c>
      <c r="F328" s="3">
        <v>1300</v>
      </c>
      <c r="G328" s="3">
        <v>1300</v>
      </c>
      <c r="H328" t="s">
        <v>3</v>
      </c>
      <c r="I328" t="s">
        <v>3</v>
      </c>
      <c r="J328" t="s">
        <v>321</v>
      </c>
      <c r="K328" t="s">
        <v>5</v>
      </c>
      <c r="L328" t="s">
        <v>22</v>
      </c>
      <c r="M328" t="s">
        <v>114</v>
      </c>
      <c r="N328" s="2">
        <v>45900</v>
      </c>
    </row>
    <row r="329" spans="1:14" x14ac:dyDescent="0.25">
      <c r="A329" t="s">
        <v>296</v>
      </c>
      <c r="B329" s="2">
        <v>45900</v>
      </c>
      <c r="C329" t="s">
        <v>296</v>
      </c>
      <c r="D329" t="s">
        <v>112</v>
      </c>
      <c r="E329" t="s">
        <v>9</v>
      </c>
      <c r="F329" s="3">
        <v>-24500</v>
      </c>
      <c r="G329" s="3">
        <v>-24500</v>
      </c>
      <c r="H329" t="s">
        <v>3</v>
      </c>
      <c r="I329" t="s">
        <v>3</v>
      </c>
      <c r="J329" t="s">
        <v>320</v>
      </c>
      <c r="K329" t="s">
        <v>5</v>
      </c>
      <c r="L329" t="s">
        <v>22</v>
      </c>
      <c r="M329" t="s">
        <v>114</v>
      </c>
      <c r="N329" s="2">
        <v>45900</v>
      </c>
    </row>
    <row r="330" spans="1:14" x14ac:dyDescent="0.25">
      <c r="A330" t="s">
        <v>296</v>
      </c>
      <c r="B330" s="2">
        <v>45900</v>
      </c>
      <c r="C330" t="s">
        <v>296</v>
      </c>
      <c r="D330" t="s">
        <v>112</v>
      </c>
      <c r="E330" t="s">
        <v>9</v>
      </c>
      <c r="F330" s="3">
        <v>-1300</v>
      </c>
      <c r="G330" s="3">
        <v>-1300</v>
      </c>
      <c r="H330" t="s">
        <v>3</v>
      </c>
      <c r="I330" t="s">
        <v>3</v>
      </c>
      <c r="J330" t="s">
        <v>321</v>
      </c>
      <c r="K330" t="s">
        <v>5</v>
      </c>
      <c r="L330" t="s">
        <v>22</v>
      </c>
      <c r="M330" t="s">
        <v>114</v>
      </c>
      <c r="N330" s="2">
        <v>45900</v>
      </c>
    </row>
    <row r="331" spans="1:14" x14ac:dyDescent="0.25">
      <c r="A331" t="s">
        <v>296</v>
      </c>
      <c r="B331" s="2">
        <v>45900</v>
      </c>
      <c r="C331" t="s">
        <v>296</v>
      </c>
      <c r="D331" t="s">
        <v>112</v>
      </c>
      <c r="E331" t="s">
        <v>9</v>
      </c>
      <c r="F331" s="3">
        <v>26300</v>
      </c>
      <c r="G331" s="3">
        <v>26300</v>
      </c>
      <c r="H331" t="s">
        <v>3</v>
      </c>
      <c r="I331" t="s">
        <v>3</v>
      </c>
      <c r="J331" t="s">
        <v>320</v>
      </c>
      <c r="K331" t="s">
        <v>5</v>
      </c>
      <c r="L331" t="s">
        <v>22</v>
      </c>
      <c r="M331" t="s">
        <v>114</v>
      </c>
      <c r="N331" s="2">
        <v>45900</v>
      </c>
    </row>
    <row r="332" spans="1:14" x14ac:dyDescent="0.25">
      <c r="A332" t="s">
        <v>296</v>
      </c>
      <c r="B332" s="2">
        <v>45900</v>
      </c>
      <c r="C332" t="s">
        <v>296</v>
      </c>
      <c r="D332" t="s">
        <v>112</v>
      </c>
      <c r="E332" t="s">
        <v>9</v>
      </c>
      <c r="F332" s="3">
        <v>1300</v>
      </c>
      <c r="G332" s="3">
        <v>1300</v>
      </c>
      <c r="H332" t="s">
        <v>3</v>
      </c>
      <c r="I332" t="s">
        <v>3</v>
      </c>
      <c r="J332" t="s">
        <v>321</v>
      </c>
      <c r="K332" t="s">
        <v>5</v>
      </c>
      <c r="L332" t="s">
        <v>22</v>
      </c>
      <c r="M332" t="s">
        <v>114</v>
      </c>
      <c r="N332" s="2">
        <v>45900</v>
      </c>
    </row>
    <row r="333" spans="1:14" x14ac:dyDescent="0.25">
      <c r="A333" t="s">
        <v>296</v>
      </c>
      <c r="B333" s="2">
        <v>45900</v>
      </c>
      <c r="C333" t="s">
        <v>296</v>
      </c>
      <c r="D333" t="s">
        <v>112</v>
      </c>
      <c r="E333" t="s">
        <v>9</v>
      </c>
      <c r="F333" s="3">
        <v>27700</v>
      </c>
      <c r="G333" s="3">
        <v>27700</v>
      </c>
      <c r="H333" t="s">
        <v>3</v>
      </c>
      <c r="I333" t="s">
        <v>3</v>
      </c>
      <c r="J333" t="s">
        <v>320</v>
      </c>
      <c r="K333" t="s">
        <v>5</v>
      </c>
      <c r="L333" t="s">
        <v>22</v>
      </c>
      <c r="M333" t="s">
        <v>114</v>
      </c>
      <c r="N333" s="2">
        <v>45900</v>
      </c>
    </row>
    <row r="334" spans="1:14" x14ac:dyDescent="0.25">
      <c r="A334" t="s">
        <v>296</v>
      </c>
      <c r="B334" s="2">
        <v>45900</v>
      </c>
      <c r="C334" t="s">
        <v>296</v>
      </c>
      <c r="D334" t="s">
        <v>112</v>
      </c>
      <c r="E334" t="s">
        <v>9</v>
      </c>
      <c r="F334" s="3">
        <v>1300</v>
      </c>
      <c r="G334" s="3">
        <v>1300</v>
      </c>
      <c r="H334" t="s">
        <v>3</v>
      </c>
      <c r="I334" t="s">
        <v>3</v>
      </c>
      <c r="J334" t="s">
        <v>321</v>
      </c>
      <c r="K334" t="s">
        <v>5</v>
      </c>
      <c r="L334" t="s">
        <v>22</v>
      </c>
      <c r="M334" t="s">
        <v>114</v>
      </c>
      <c r="N334" s="2">
        <v>45900</v>
      </c>
    </row>
    <row r="335" spans="1:14" x14ac:dyDescent="0.25">
      <c r="A335" t="s">
        <v>296</v>
      </c>
      <c r="B335" s="2">
        <v>45900</v>
      </c>
      <c r="C335" t="s">
        <v>296</v>
      </c>
      <c r="D335" t="s">
        <v>112</v>
      </c>
      <c r="E335" t="s">
        <v>9</v>
      </c>
      <c r="F335" s="3">
        <v>-26300</v>
      </c>
      <c r="G335" s="3">
        <v>-26300</v>
      </c>
      <c r="H335" t="s">
        <v>3</v>
      </c>
      <c r="I335" t="s">
        <v>3</v>
      </c>
      <c r="J335" t="s">
        <v>320</v>
      </c>
      <c r="K335" t="s">
        <v>5</v>
      </c>
      <c r="L335" t="s">
        <v>22</v>
      </c>
      <c r="M335" t="s">
        <v>114</v>
      </c>
      <c r="N335" s="2">
        <v>45900</v>
      </c>
    </row>
    <row r="336" spans="1:14" x14ac:dyDescent="0.25">
      <c r="A336" t="s">
        <v>296</v>
      </c>
      <c r="B336" s="2">
        <v>45900</v>
      </c>
      <c r="C336" t="s">
        <v>296</v>
      </c>
      <c r="D336" t="s">
        <v>112</v>
      </c>
      <c r="E336" t="s">
        <v>9</v>
      </c>
      <c r="F336" s="3">
        <v>-1300</v>
      </c>
      <c r="G336" s="3">
        <v>-1300</v>
      </c>
      <c r="H336" t="s">
        <v>3</v>
      </c>
      <c r="I336" t="s">
        <v>3</v>
      </c>
      <c r="J336" t="s">
        <v>321</v>
      </c>
      <c r="K336" t="s">
        <v>5</v>
      </c>
      <c r="L336" t="s">
        <v>22</v>
      </c>
      <c r="M336" t="s">
        <v>114</v>
      </c>
      <c r="N336" s="2">
        <v>45900</v>
      </c>
    </row>
    <row r="337" spans="1:14" x14ac:dyDescent="0.25">
      <c r="A337" t="s">
        <v>296</v>
      </c>
      <c r="B337" s="2">
        <v>46234</v>
      </c>
      <c r="C337" t="s">
        <v>296</v>
      </c>
      <c r="D337" t="s">
        <v>112</v>
      </c>
      <c r="E337" t="s">
        <v>9</v>
      </c>
      <c r="F337" s="3">
        <v>-15650</v>
      </c>
      <c r="G337" s="3">
        <v>-15650</v>
      </c>
      <c r="H337" t="s">
        <v>3</v>
      </c>
      <c r="I337" t="s">
        <v>3</v>
      </c>
      <c r="J337" t="s">
        <v>319</v>
      </c>
      <c r="K337" t="s">
        <v>13</v>
      </c>
      <c r="L337" t="s">
        <v>22</v>
      </c>
      <c r="M337" t="s">
        <v>114</v>
      </c>
      <c r="N337" s="2">
        <v>46235</v>
      </c>
    </row>
    <row r="338" spans="1:14" x14ac:dyDescent="0.25">
      <c r="A338" t="s">
        <v>296</v>
      </c>
      <c r="B338" s="2">
        <v>46265</v>
      </c>
      <c r="C338" t="s">
        <v>296</v>
      </c>
      <c r="D338" t="s">
        <v>112</v>
      </c>
      <c r="E338" t="s">
        <v>9</v>
      </c>
      <c r="F338" s="3">
        <v>15650</v>
      </c>
      <c r="G338" s="3">
        <v>15650</v>
      </c>
      <c r="H338" t="s">
        <v>3</v>
      </c>
      <c r="I338" t="s">
        <v>3</v>
      </c>
      <c r="J338" t="s">
        <v>322</v>
      </c>
      <c r="K338" t="s">
        <v>13</v>
      </c>
      <c r="L338" t="s">
        <v>22</v>
      </c>
      <c r="M338" t="s">
        <v>114</v>
      </c>
      <c r="N338" s="2">
        <v>46265</v>
      </c>
    </row>
    <row r="339" spans="1:14" x14ac:dyDescent="0.25">
      <c r="A339" s="4" t="s">
        <v>267</v>
      </c>
      <c r="B339" s="5"/>
      <c r="C339" s="4" t="s">
        <v>9</v>
      </c>
      <c r="D339" s="4" t="s">
        <v>9</v>
      </c>
      <c r="E339" s="4" t="s">
        <v>9</v>
      </c>
      <c r="F339" s="6">
        <v>0</v>
      </c>
      <c r="G339" s="6">
        <v>0</v>
      </c>
      <c r="H339" s="4" t="s">
        <v>9</v>
      </c>
      <c r="I339" s="4" t="s">
        <v>3</v>
      </c>
      <c r="J339" s="4" t="s">
        <v>9</v>
      </c>
      <c r="K339" s="4" t="s">
        <v>9</v>
      </c>
      <c r="L339" s="4" t="s">
        <v>9</v>
      </c>
      <c r="M339" s="4" t="s">
        <v>9</v>
      </c>
      <c r="N339" s="5"/>
    </row>
    <row r="340" spans="1:14" x14ac:dyDescent="0.25">
      <c r="A340" t="s">
        <v>296</v>
      </c>
      <c r="B340" s="2">
        <v>45567</v>
      </c>
      <c r="C340" t="s">
        <v>296</v>
      </c>
      <c r="D340" t="s">
        <v>112</v>
      </c>
      <c r="E340" t="s">
        <v>9</v>
      </c>
      <c r="F340" s="3">
        <v>-4600</v>
      </c>
      <c r="G340" s="3">
        <v>-4600</v>
      </c>
      <c r="H340" t="s">
        <v>3</v>
      </c>
      <c r="I340" t="s">
        <v>3</v>
      </c>
      <c r="J340" t="s">
        <v>9</v>
      </c>
      <c r="K340" t="s">
        <v>9</v>
      </c>
      <c r="L340" t="s">
        <v>6</v>
      </c>
      <c r="M340" t="s">
        <v>114</v>
      </c>
      <c r="N340" s="2">
        <v>45565</v>
      </c>
    </row>
    <row r="341" spans="1:14" x14ac:dyDescent="0.25">
      <c r="A341" t="s">
        <v>296</v>
      </c>
      <c r="B341" s="2">
        <v>45932</v>
      </c>
      <c r="C341" t="s">
        <v>296</v>
      </c>
      <c r="D341" t="s">
        <v>112</v>
      </c>
      <c r="E341" t="s">
        <v>9</v>
      </c>
      <c r="F341" s="3">
        <v>-800</v>
      </c>
      <c r="G341" s="3">
        <v>-800</v>
      </c>
      <c r="H341" t="s">
        <v>3</v>
      </c>
      <c r="I341" t="s">
        <v>3</v>
      </c>
      <c r="J341" t="s">
        <v>9</v>
      </c>
      <c r="K341" t="s">
        <v>9</v>
      </c>
      <c r="L341" t="s">
        <v>6</v>
      </c>
      <c r="M341" t="s">
        <v>114</v>
      </c>
      <c r="N341" s="2">
        <v>45930</v>
      </c>
    </row>
    <row r="342" spans="1:14" x14ac:dyDescent="0.25">
      <c r="A342" t="s">
        <v>296</v>
      </c>
      <c r="B342" s="2">
        <v>45932</v>
      </c>
      <c r="C342" t="s">
        <v>296</v>
      </c>
      <c r="D342" t="s">
        <v>301</v>
      </c>
      <c r="E342" t="s">
        <v>9</v>
      </c>
      <c r="F342" s="3">
        <v>3600</v>
      </c>
      <c r="G342" s="3">
        <v>3600</v>
      </c>
      <c r="H342" t="s">
        <v>3</v>
      </c>
      <c r="I342" t="s">
        <v>3</v>
      </c>
      <c r="J342" t="s">
        <v>9</v>
      </c>
      <c r="K342" t="s">
        <v>9</v>
      </c>
      <c r="L342" t="s">
        <v>6</v>
      </c>
      <c r="M342" t="s">
        <v>302</v>
      </c>
      <c r="N342" s="2">
        <v>45930</v>
      </c>
    </row>
    <row r="343" spans="1:14" x14ac:dyDescent="0.25">
      <c r="A343" t="s">
        <v>296</v>
      </c>
      <c r="B343" s="2">
        <v>45169</v>
      </c>
      <c r="C343" t="s">
        <v>296</v>
      </c>
      <c r="D343" t="s">
        <v>112</v>
      </c>
      <c r="E343" t="s">
        <v>9</v>
      </c>
      <c r="F343" s="3">
        <v>-700</v>
      </c>
      <c r="G343" s="3">
        <v>-700</v>
      </c>
      <c r="H343" t="s">
        <v>3</v>
      </c>
      <c r="I343" t="s">
        <v>3</v>
      </c>
      <c r="J343" t="s">
        <v>265</v>
      </c>
      <c r="K343" t="s">
        <v>225</v>
      </c>
      <c r="L343" t="s">
        <v>6</v>
      </c>
      <c r="M343" t="s">
        <v>114</v>
      </c>
      <c r="N343" s="2">
        <v>45170</v>
      </c>
    </row>
    <row r="344" spans="1:14" x14ac:dyDescent="0.25">
      <c r="A344" t="s">
        <v>296</v>
      </c>
      <c r="B344" s="2">
        <v>45199</v>
      </c>
      <c r="C344" t="s">
        <v>296</v>
      </c>
      <c r="D344" t="s">
        <v>112</v>
      </c>
      <c r="E344" t="s">
        <v>9</v>
      </c>
      <c r="F344" s="3">
        <v>700</v>
      </c>
      <c r="G344" s="3">
        <v>700</v>
      </c>
      <c r="H344" t="s">
        <v>3</v>
      </c>
      <c r="I344" t="s">
        <v>3</v>
      </c>
      <c r="J344" t="s">
        <v>270</v>
      </c>
      <c r="K344" t="s">
        <v>225</v>
      </c>
      <c r="L344" t="s">
        <v>6</v>
      </c>
      <c r="M344" t="s">
        <v>114</v>
      </c>
      <c r="N344" s="2">
        <v>45199</v>
      </c>
    </row>
    <row r="345" spans="1:14" x14ac:dyDescent="0.25">
      <c r="A345" t="s">
        <v>296</v>
      </c>
      <c r="B345" s="2">
        <v>45535</v>
      </c>
      <c r="C345" t="s">
        <v>296</v>
      </c>
      <c r="D345" t="s">
        <v>112</v>
      </c>
      <c r="E345" t="s">
        <v>9</v>
      </c>
      <c r="F345" s="3">
        <v>-1800</v>
      </c>
      <c r="G345" s="3">
        <v>-1800</v>
      </c>
      <c r="H345" t="s">
        <v>3</v>
      </c>
      <c r="I345" t="s">
        <v>3</v>
      </c>
      <c r="J345" t="s">
        <v>266</v>
      </c>
      <c r="K345" t="s">
        <v>222</v>
      </c>
      <c r="L345" t="s">
        <v>6</v>
      </c>
      <c r="M345" t="s">
        <v>114</v>
      </c>
      <c r="N345" s="2">
        <v>45536</v>
      </c>
    </row>
    <row r="346" spans="1:14" x14ac:dyDescent="0.25">
      <c r="A346" t="s">
        <v>296</v>
      </c>
      <c r="B346" s="2">
        <v>45565</v>
      </c>
      <c r="C346" t="s">
        <v>296</v>
      </c>
      <c r="D346" t="s">
        <v>112</v>
      </c>
      <c r="E346" t="s">
        <v>9</v>
      </c>
      <c r="F346" s="3">
        <v>6400</v>
      </c>
      <c r="G346" s="3">
        <v>6400</v>
      </c>
      <c r="H346" t="s">
        <v>3</v>
      </c>
      <c r="I346" t="s">
        <v>3</v>
      </c>
      <c r="J346" t="s">
        <v>271</v>
      </c>
      <c r="K346" t="s">
        <v>222</v>
      </c>
      <c r="L346" t="s">
        <v>6</v>
      </c>
      <c r="M346" t="s">
        <v>114</v>
      </c>
      <c r="N346" s="2">
        <v>45565</v>
      </c>
    </row>
    <row r="347" spans="1:14" x14ac:dyDescent="0.25">
      <c r="A347" t="s">
        <v>296</v>
      </c>
      <c r="B347" s="2">
        <v>45900</v>
      </c>
      <c r="C347" t="s">
        <v>296</v>
      </c>
      <c r="D347" t="s">
        <v>112</v>
      </c>
      <c r="E347" t="s">
        <v>9</v>
      </c>
      <c r="F347" s="3">
        <v>-24500</v>
      </c>
      <c r="G347" s="3">
        <v>-24500</v>
      </c>
      <c r="H347" t="s">
        <v>3</v>
      </c>
      <c r="I347" t="s">
        <v>3</v>
      </c>
      <c r="J347" t="s">
        <v>320</v>
      </c>
      <c r="K347" t="s">
        <v>5</v>
      </c>
      <c r="L347" t="s">
        <v>6</v>
      </c>
      <c r="M347" t="s">
        <v>114</v>
      </c>
      <c r="N347" s="2">
        <v>45901</v>
      </c>
    </row>
    <row r="348" spans="1:14" x14ac:dyDescent="0.25">
      <c r="A348" t="s">
        <v>296</v>
      </c>
      <c r="B348" s="2">
        <v>45900</v>
      </c>
      <c r="C348" t="s">
        <v>296</v>
      </c>
      <c r="D348" t="s">
        <v>112</v>
      </c>
      <c r="E348" t="s">
        <v>9</v>
      </c>
      <c r="F348" s="3">
        <v>-1300</v>
      </c>
      <c r="G348" s="3">
        <v>-1300</v>
      </c>
      <c r="H348" t="s">
        <v>3</v>
      </c>
      <c r="I348" t="s">
        <v>3</v>
      </c>
      <c r="J348" t="s">
        <v>321</v>
      </c>
      <c r="K348" t="s">
        <v>5</v>
      </c>
      <c r="L348" t="s">
        <v>6</v>
      </c>
      <c r="M348" t="s">
        <v>114</v>
      </c>
      <c r="N348" s="2">
        <v>45901</v>
      </c>
    </row>
    <row r="349" spans="1:14" x14ac:dyDescent="0.25">
      <c r="A349" t="s">
        <v>296</v>
      </c>
      <c r="B349" s="2">
        <v>45900</v>
      </c>
      <c r="C349" t="s">
        <v>296</v>
      </c>
      <c r="D349" t="s">
        <v>112</v>
      </c>
      <c r="E349" t="s">
        <v>9</v>
      </c>
      <c r="F349" s="3">
        <v>24500</v>
      </c>
      <c r="G349" s="3">
        <v>24500</v>
      </c>
      <c r="H349" t="s">
        <v>3</v>
      </c>
      <c r="I349" t="s">
        <v>3</v>
      </c>
      <c r="J349" t="s">
        <v>320</v>
      </c>
      <c r="K349" t="s">
        <v>5</v>
      </c>
      <c r="L349" t="s">
        <v>6</v>
      </c>
      <c r="M349" t="s">
        <v>114</v>
      </c>
      <c r="N349" s="2">
        <v>45901</v>
      </c>
    </row>
    <row r="350" spans="1:14" x14ac:dyDescent="0.25">
      <c r="A350" t="s">
        <v>296</v>
      </c>
      <c r="B350" s="2">
        <v>45900</v>
      </c>
      <c r="C350" t="s">
        <v>296</v>
      </c>
      <c r="D350" t="s">
        <v>112</v>
      </c>
      <c r="E350" t="s">
        <v>9</v>
      </c>
      <c r="F350" s="3">
        <v>1300</v>
      </c>
      <c r="G350" s="3">
        <v>1300</v>
      </c>
      <c r="H350" t="s">
        <v>3</v>
      </c>
      <c r="I350" t="s">
        <v>3</v>
      </c>
      <c r="J350" t="s">
        <v>321</v>
      </c>
      <c r="K350" t="s">
        <v>5</v>
      </c>
      <c r="L350" t="s">
        <v>6</v>
      </c>
      <c r="M350" t="s">
        <v>114</v>
      </c>
      <c r="N350" s="2">
        <v>45901</v>
      </c>
    </row>
    <row r="351" spans="1:14" x14ac:dyDescent="0.25">
      <c r="A351" t="s">
        <v>296</v>
      </c>
      <c r="B351" s="2">
        <v>45900</v>
      </c>
      <c r="C351" t="s">
        <v>296</v>
      </c>
      <c r="D351" t="s">
        <v>112</v>
      </c>
      <c r="E351" t="s">
        <v>9</v>
      </c>
      <c r="F351" s="3">
        <v>-26300</v>
      </c>
      <c r="G351" s="3">
        <v>-26300</v>
      </c>
      <c r="H351" t="s">
        <v>3</v>
      </c>
      <c r="I351" t="s">
        <v>3</v>
      </c>
      <c r="J351" t="s">
        <v>320</v>
      </c>
      <c r="K351" t="s">
        <v>5</v>
      </c>
      <c r="L351" t="s">
        <v>6</v>
      </c>
      <c r="M351" t="s">
        <v>114</v>
      </c>
      <c r="N351" s="2">
        <v>45901</v>
      </c>
    </row>
    <row r="352" spans="1:14" x14ac:dyDescent="0.25">
      <c r="A352" t="s">
        <v>296</v>
      </c>
      <c r="B352" s="2">
        <v>45900</v>
      </c>
      <c r="C352" t="s">
        <v>296</v>
      </c>
      <c r="D352" t="s">
        <v>112</v>
      </c>
      <c r="E352" t="s">
        <v>9</v>
      </c>
      <c r="F352" s="3">
        <v>-1300</v>
      </c>
      <c r="G352" s="3">
        <v>-1300</v>
      </c>
      <c r="H352" t="s">
        <v>3</v>
      </c>
      <c r="I352" t="s">
        <v>3</v>
      </c>
      <c r="J352" t="s">
        <v>321</v>
      </c>
      <c r="K352" t="s">
        <v>5</v>
      </c>
      <c r="L352" t="s">
        <v>6</v>
      </c>
      <c r="M352" t="s">
        <v>114</v>
      </c>
      <c r="N352" s="2">
        <v>45901</v>
      </c>
    </row>
    <row r="353" spans="1:14" x14ac:dyDescent="0.25">
      <c r="A353" t="s">
        <v>296</v>
      </c>
      <c r="B353" s="2">
        <v>45900</v>
      </c>
      <c r="C353" t="s">
        <v>296</v>
      </c>
      <c r="D353" t="s">
        <v>112</v>
      </c>
      <c r="E353" t="s">
        <v>9</v>
      </c>
      <c r="F353" s="3">
        <v>26300</v>
      </c>
      <c r="G353" s="3">
        <v>26300</v>
      </c>
      <c r="H353" t="s">
        <v>3</v>
      </c>
      <c r="I353" t="s">
        <v>3</v>
      </c>
      <c r="J353" t="s">
        <v>320</v>
      </c>
      <c r="K353" t="s">
        <v>5</v>
      </c>
      <c r="L353" t="s">
        <v>6</v>
      </c>
      <c r="M353" t="s">
        <v>114</v>
      </c>
      <c r="N353" s="2">
        <v>45901</v>
      </c>
    </row>
    <row r="354" spans="1:14" x14ac:dyDescent="0.25">
      <c r="A354" t="s">
        <v>296</v>
      </c>
      <c r="B354" s="2">
        <v>45900</v>
      </c>
      <c r="C354" t="s">
        <v>296</v>
      </c>
      <c r="D354" t="s">
        <v>112</v>
      </c>
      <c r="E354" t="s">
        <v>9</v>
      </c>
      <c r="F354" s="3">
        <v>1300</v>
      </c>
      <c r="G354" s="3">
        <v>1300</v>
      </c>
      <c r="H354" t="s">
        <v>3</v>
      </c>
      <c r="I354" t="s">
        <v>3</v>
      </c>
      <c r="J354" t="s">
        <v>321</v>
      </c>
      <c r="K354" t="s">
        <v>5</v>
      </c>
      <c r="L354" t="s">
        <v>6</v>
      </c>
      <c r="M354" t="s">
        <v>114</v>
      </c>
      <c r="N354" s="2">
        <v>45901</v>
      </c>
    </row>
    <row r="355" spans="1:14" x14ac:dyDescent="0.25">
      <c r="A355" t="s">
        <v>296</v>
      </c>
      <c r="B355" s="2">
        <v>45900</v>
      </c>
      <c r="C355" t="s">
        <v>296</v>
      </c>
      <c r="D355" t="s">
        <v>112</v>
      </c>
      <c r="E355" t="s">
        <v>9</v>
      </c>
      <c r="F355" s="3">
        <v>-27700</v>
      </c>
      <c r="G355" s="3">
        <v>-27700</v>
      </c>
      <c r="H355" t="s">
        <v>3</v>
      </c>
      <c r="I355" t="s">
        <v>3</v>
      </c>
      <c r="J355" t="s">
        <v>320</v>
      </c>
      <c r="K355" t="s">
        <v>5</v>
      </c>
      <c r="L355" t="s">
        <v>6</v>
      </c>
      <c r="M355" t="s">
        <v>114</v>
      </c>
      <c r="N355" s="2">
        <v>45901</v>
      </c>
    </row>
    <row r="356" spans="1:14" x14ac:dyDescent="0.25">
      <c r="A356" t="s">
        <v>296</v>
      </c>
      <c r="B356" s="2">
        <v>45900</v>
      </c>
      <c r="C356" t="s">
        <v>296</v>
      </c>
      <c r="D356" t="s">
        <v>112</v>
      </c>
      <c r="E356" t="s">
        <v>9</v>
      </c>
      <c r="F356" s="3">
        <v>-1300</v>
      </c>
      <c r="G356" s="3">
        <v>-1300</v>
      </c>
      <c r="H356" t="s">
        <v>3</v>
      </c>
      <c r="I356" t="s">
        <v>3</v>
      </c>
      <c r="J356" t="s">
        <v>321</v>
      </c>
      <c r="K356" t="s">
        <v>5</v>
      </c>
      <c r="L356" t="s">
        <v>6</v>
      </c>
      <c r="M356" t="s">
        <v>114</v>
      </c>
      <c r="N356" s="2">
        <v>45901</v>
      </c>
    </row>
    <row r="357" spans="1:14" x14ac:dyDescent="0.25">
      <c r="A357" t="s">
        <v>296</v>
      </c>
      <c r="B357" s="2">
        <v>45930</v>
      </c>
      <c r="C357" t="s">
        <v>296</v>
      </c>
      <c r="D357" t="s">
        <v>112</v>
      </c>
      <c r="E357" t="s">
        <v>9</v>
      </c>
      <c r="F357" s="3">
        <v>28500</v>
      </c>
      <c r="G357" s="3">
        <v>28500</v>
      </c>
      <c r="H357" t="s">
        <v>3</v>
      </c>
      <c r="I357" t="s">
        <v>3</v>
      </c>
      <c r="J357" t="s">
        <v>323</v>
      </c>
      <c r="K357" t="s">
        <v>5</v>
      </c>
      <c r="L357" t="s">
        <v>6</v>
      </c>
      <c r="M357" t="s">
        <v>114</v>
      </c>
      <c r="N357" s="2">
        <v>45930</v>
      </c>
    </row>
    <row r="358" spans="1:14" x14ac:dyDescent="0.25">
      <c r="A358" t="s">
        <v>296</v>
      </c>
      <c r="B358" s="2">
        <v>45930</v>
      </c>
      <c r="C358" t="s">
        <v>296</v>
      </c>
      <c r="D358" t="s">
        <v>112</v>
      </c>
      <c r="E358" t="s">
        <v>9</v>
      </c>
      <c r="F358" s="3">
        <v>1300</v>
      </c>
      <c r="G358" s="3">
        <v>1300</v>
      </c>
      <c r="H358" t="s">
        <v>3</v>
      </c>
      <c r="I358" t="s">
        <v>3</v>
      </c>
      <c r="J358" t="s">
        <v>324</v>
      </c>
      <c r="K358" t="s">
        <v>5</v>
      </c>
      <c r="L358" t="s">
        <v>6</v>
      </c>
      <c r="M358" t="s">
        <v>114</v>
      </c>
      <c r="N358" s="2">
        <v>45930</v>
      </c>
    </row>
    <row r="359" spans="1:14" x14ac:dyDescent="0.25">
      <c r="A359" t="s">
        <v>296</v>
      </c>
      <c r="B359" s="2">
        <v>45930</v>
      </c>
      <c r="C359" t="s">
        <v>296</v>
      </c>
      <c r="D359" t="s">
        <v>301</v>
      </c>
      <c r="E359" t="s">
        <v>9</v>
      </c>
      <c r="F359" s="3">
        <v>-3600</v>
      </c>
      <c r="G359" s="3">
        <v>-3600</v>
      </c>
      <c r="H359" t="s">
        <v>3</v>
      </c>
      <c r="I359" t="s">
        <v>3</v>
      </c>
      <c r="J359" t="s">
        <v>10</v>
      </c>
      <c r="K359" t="s">
        <v>5</v>
      </c>
      <c r="L359" t="s">
        <v>6</v>
      </c>
      <c r="M359" t="s">
        <v>302</v>
      </c>
      <c r="N359" s="2">
        <v>45930</v>
      </c>
    </row>
    <row r="360" spans="1:14" x14ac:dyDescent="0.25">
      <c r="A360" s="4" t="s">
        <v>272</v>
      </c>
      <c r="B360" s="5"/>
      <c r="C360" s="4" t="s">
        <v>9</v>
      </c>
      <c r="D360" s="4" t="s">
        <v>9</v>
      </c>
      <c r="E360" s="4" t="s">
        <v>9</v>
      </c>
      <c r="F360" s="6">
        <v>0</v>
      </c>
      <c r="G360" s="6">
        <v>0</v>
      </c>
      <c r="H360" s="4" t="s">
        <v>9</v>
      </c>
      <c r="I360" s="4" t="s">
        <v>3</v>
      </c>
      <c r="J360" s="4" t="s">
        <v>9</v>
      </c>
      <c r="K360" s="4" t="s">
        <v>9</v>
      </c>
      <c r="L360" s="4" t="s">
        <v>9</v>
      </c>
      <c r="M360" s="4" t="s">
        <v>9</v>
      </c>
      <c r="N360" s="5"/>
    </row>
    <row r="361" spans="1:14" x14ac:dyDescent="0.25">
      <c r="A361" t="s">
        <v>296</v>
      </c>
      <c r="B361" s="2">
        <v>45601</v>
      </c>
      <c r="C361" t="s">
        <v>296</v>
      </c>
      <c r="D361" t="s">
        <v>112</v>
      </c>
      <c r="E361" t="s">
        <v>9</v>
      </c>
      <c r="F361" s="3">
        <v>-50</v>
      </c>
      <c r="G361" s="3">
        <v>-50</v>
      </c>
      <c r="H361" t="s">
        <v>3</v>
      </c>
      <c r="I361" t="s">
        <v>3</v>
      </c>
      <c r="J361" t="s">
        <v>9</v>
      </c>
      <c r="K361" t="s">
        <v>9</v>
      </c>
      <c r="L361" t="s">
        <v>8</v>
      </c>
      <c r="M361" t="s">
        <v>114</v>
      </c>
      <c r="N361" s="2">
        <v>45596</v>
      </c>
    </row>
    <row r="362" spans="1:14" x14ac:dyDescent="0.25">
      <c r="A362" t="s">
        <v>296</v>
      </c>
      <c r="B362" s="2">
        <v>45965</v>
      </c>
      <c r="C362" t="s">
        <v>296</v>
      </c>
      <c r="D362" t="s">
        <v>112</v>
      </c>
      <c r="E362" t="s">
        <v>9</v>
      </c>
      <c r="F362" s="3">
        <v>-100</v>
      </c>
      <c r="G362" s="3">
        <v>-100</v>
      </c>
      <c r="H362" t="s">
        <v>3</v>
      </c>
      <c r="I362" t="s">
        <v>3</v>
      </c>
      <c r="J362" t="s">
        <v>9</v>
      </c>
      <c r="K362" t="s">
        <v>9</v>
      </c>
      <c r="L362" t="s">
        <v>8</v>
      </c>
      <c r="M362" t="s">
        <v>114</v>
      </c>
      <c r="N362" s="2">
        <v>45961</v>
      </c>
    </row>
    <row r="363" spans="1:14" x14ac:dyDescent="0.25">
      <c r="A363" t="s">
        <v>296</v>
      </c>
      <c r="B363" s="2">
        <v>45199</v>
      </c>
      <c r="C363" t="s">
        <v>296</v>
      </c>
      <c r="D363" t="s">
        <v>112</v>
      </c>
      <c r="E363" t="s">
        <v>9</v>
      </c>
      <c r="F363" s="3">
        <v>-700</v>
      </c>
      <c r="G363" s="3">
        <v>-700</v>
      </c>
      <c r="H363" t="s">
        <v>3</v>
      </c>
      <c r="I363" t="s">
        <v>3</v>
      </c>
      <c r="J363" t="s">
        <v>270</v>
      </c>
      <c r="K363" t="s">
        <v>225</v>
      </c>
      <c r="L363" t="s">
        <v>8</v>
      </c>
      <c r="M363" t="s">
        <v>114</v>
      </c>
      <c r="N363" s="2">
        <v>45200</v>
      </c>
    </row>
    <row r="364" spans="1:14" x14ac:dyDescent="0.25">
      <c r="A364" t="s">
        <v>296</v>
      </c>
      <c r="B364" s="2">
        <v>45230</v>
      </c>
      <c r="C364" t="s">
        <v>296</v>
      </c>
      <c r="D364" t="s">
        <v>112</v>
      </c>
      <c r="E364" t="s">
        <v>9</v>
      </c>
      <c r="F364" s="3">
        <v>700</v>
      </c>
      <c r="G364" s="3">
        <v>700</v>
      </c>
      <c r="H364" t="s">
        <v>3</v>
      </c>
      <c r="I364" t="s">
        <v>3</v>
      </c>
      <c r="J364" t="s">
        <v>276</v>
      </c>
      <c r="K364" t="s">
        <v>225</v>
      </c>
      <c r="L364" t="s">
        <v>8</v>
      </c>
      <c r="M364" t="s">
        <v>114</v>
      </c>
      <c r="N364" s="2">
        <v>45230</v>
      </c>
    </row>
    <row r="365" spans="1:14" x14ac:dyDescent="0.25">
      <c r="A365" t="s">
        <v>296</v>
      </c>
      <c r="B365" s="2">
        <v>45565</v>
      </c>
      <c r="C365" t="s">
        <v>296</v>
      </c>
      <c r="D365" t="s">
        <v>112</v>
      </c>
      <c r="E365" t="s">
        <v>9</v>
      </c>
      <c r="F365" s="3">
        <v>-6400</v>
      </c>
      <c r="G365" s="3">
        <v>-6400</v>
      </c>
      <c r="H365" t="s">
        <v>3</v>
      </c>
      <c r="I365" t="s">
        <v>3</v>
      </c>
      <c r="J365" t="s">
        <v>271</v>
      </c>
      <c r="K365" t="s">
        <v>222</v>
      </c>
      <c r="L365" t="s">
        <v>8</v>
      </c>
      <c r="M365" t="s">
        <v>114</v>
      </c>
      <c r="N365" s="2">
        <v>45566</v>
      </c>
    </row>
    <row r="366" spans="1:14" x14ac:dyDescent="0.25">
      <c r="A366" t="s">
        <v>296</v>
      </c>
      <c r="B366" s="2">
        <v>45596</v>
      </c>
      <c r="C366" t="s">
        <v>296</v>
      </c>
      <c r="D366" t="s">
        <v>112</v>
      </c>
      <c r="E366" t="s">
        <v>9</v>
      </c>
      <c r="F366" s="3">
        <v>6450</v>
      </c>
      <c r="G366" s="3">
        <v>6450</v>
      </c>
      <c r="H366" t="s">
        <v>3</v>
      </c>
      <c r="I366" t="s">
        <v>3</v>
      </c>
      <c r="J366" t="s">
        <v>277</v>
      </c>
      <c r="K366" t="s">
        <v>222</v>
      </c>
      <c r="L366" t="s">
        <v>8</v>
      </c>
      <c r="M366" t="s">
        <v>114</v>
      </c>
      <c r="N366" s="2">
        <v>45596</v>
      </c>
    </row>
    <row r="367" spans="1:14" x14ac:dyDescent="0.25">
      <c r="A367" t="s">
        <v>296</v>
      </c>
      <c r="B367" s="2">
        <v>45930</v>
      </c>
      <c r="C367" t="s">
        <v>296</v>
      </c>
      <c r="D367" t="s">
        <v>112</v>
      </c>
      <c r="E367" t="s">
        <v>9</v>
      </c>
      <c r="F367" s="3">
        <v>-28500</v>
      </c>
      <c r="G367" s="3">
        <v>-28500</v>
      </c>
      <c r="H367" t="s">
        <v>3</v>
      </c>
      <c r="I367" t="s">
        <v>3</v>
      </c>
      <c r="J367" t="s">
        <v>323</v>
      </c>
      <c r="K367" t="s">
        <v>5</v>
      </c>
      <c r="L367" t="s">
        <v>8</v>
      </c>
      <c r="M367" t="s">
        <v>114</v>
      </c>
      <c r="N367" s="2">
        <v>45931</v>
      </c>
    </row>
    <row r="368" spans="1:14" x14ac:dyDescent="0.25">
      <c r="A368" t="s">
        <v>296</v>
      </c>
      <c r="B368" s="2">
        <v>45930</v>
      </c>
      <c r="C368" t="s">
        <v>296</v>
      </c>
      <c r="D368" t="s">
        <v>112</v>
      </c>
      <c r="E368" t="s">
        <v>9</v>
      </c>
      <c r="F368" s="3">
        <v>-1300</v>
      </c>
      <c r="G368" s="3">
        <v>-1300</v>
      </c>
      <c r="H368" t="s">
        <v>3</v>
      </c>
      <c r="I368" t="s">
        <v>3</v>
      </c>
      <c r="J368" t="s">
        <v>324</v>
      </c>
      <c r="K368" t="s">
        <v>5</v>
      </c>
      <c r="L368" t="s">
        <v>8</v>
      </c>
      <c r="M368" t="s">
        <v>114</v>
      </c>
      <c r="N368" s="2">
        <v>45931</v>
      </c>
    </row>
    <row r="369" spans="1:14" x14ac:dyDescent="0.25">
      <c r="A369" t="s">
        <v>296</v>
      </c>
      <c r="B369" s="2">
        <v>45961</v>
      </c>
      <c r="C369" t="s">
        <v>296</v>
      </c>
      <c r="D369" t="s">
        <v>112</v>
      </c>
      <c r="E369" t="s">
        <v>9</v>
      </c>
      <c r="F369" s="3">
        <v>28600</v>
      </c>
      <c r="G369" s="3">
        <v>28600</v>
      </c>
      <c r="H369" t="s">
        <v>3</v>
      </c>
      <c r="I369" t="s">
        <v>3</v>
      </c>
      <c r="J369" t="s">
        <v>325</v>
      </c>
      <c r="K369" t="s">
        <v>5</v>
      </c>
      <c r="L369" t="s">
        <v>8</v>
      </c>
      <c r="M369" t="s">
        <v>114</v>
      </c>
      <c r="N369" s="2">
        <v>45961</v>
      </c>
    </row>
    <row r="370" spans="1:14" x14ac:dyDescent="0.25">
      <c r="A370" t="s">
        <v>296</v>
      </c>
      <c r="B370" s="2">
        <v>45961</v>
      </c>
      <c r="C370" t="s">
        <v>296</v>
      </c>
      <c r="D370" t="s">
        <v>112</v>
      </c>
      <c r="E370" t="s">
        <v>9</v>
      </c>
      <c r="F370" s="3">
        <v>1300</v>
      </c>
      <c r="G370" s="3">
        <v>1300</v>
      </c>
      <c r="H370" t="s">
        <v>3</v>
      </c>
      <c r="I370" t="s">
        <v>3</v>
      </c>
      <c r="J370" t="s">
        <v>326</v>
      </c>
      <c r="K370" t="s">
        <v>5</v>
      </c>
      <c r="L370" t="s">
        <v>8</v>
      </c>
      <c r="M370" t="s">
        <v>114</v>
      </c>
      <c r="N370" s="2">
        <v>45961</v>
      </c>
    </row>
    <row r="371" spans="1:14" x14ac:dyDescent="0.25">
      <c r="A371" s="4" t="s">
        <v>278</v>
      </c>
      <c r="B371" s="5"/>
      <c r="C371" s="4" t="s">
        <v>9</v>
      </c>
      <c r="D371" s="4" t="s">
        <v>9</v>
      </c>
      <c r="E371" s="4" t="s">
        <v>9</v>
      </c>
      <c r="F371" s="6">
        <v>0</v>
      </c>
      <c r="G371" s="6">
        <v>0</v>
      </c>
      <c r="H371" s="4" t="s">
        <v>9</v>
      </c>
      <c r="I371" s="4" t="s">
        <v>3</v>
      </c>
      <c r="J371" s="4" t="s">
        <v>9</v>
      </c>
      <c r="K371" s="4" t="s">
        <v>9</v>
      </c>
      <c r="L371" s="4" t="s">
        <v>9</v>
      </c>
      <c r="M371" s="4" t="s">
        <v>9</v>
      </c>
      <c r="N371" s="5"/>
    </row>
    <row r="372" spans="1:14" x14ac:dyDescent="0.25">
      <c r="A372" t="s">
        <v>296</v>
      </c>
      <c r="B372" s="2">
        <v>45629</v>
      </c>
      <c r="C372" t="s">
        <v>296</v>
      </c>
      <c r="D372" t="s">
        <v>112</v>
      </c>
      <c r="E372" t="s">
        <v>9</v>
      </c>
      <c r="F372" s="3">
        <v>-1100</v>
      </c>
      <c r="G372" s="3">
        <v>-1100</v>
      </c>
      <c r="H372" t="s">
        <v>3</v>
      </c>
      <c r="I372" t="s">
        <v>3</v>
      </c>
      <c r="J372" t="s">
        <v>9</v>
      </c>
      <c r="K372" t="s">
        <v>9</v>
      </c>
      <c r="L372" t="s">
        <v>11</v>
      </c>
      <c r="M372" t="s">
        <v>114</v>
      </c>
      <c r="N372" s="2">
        <v>45626</v>
      </c>
    </row>
    <row r="373" spans="1:14" x14ac:dyDescent="0.25">
      <c r="A373" t="s">
        <v>296</v>
      </c>
      <c r="B373" s="2">
        <v>45993</v>
      </c>
      <c r="C373" t="s">
        <v>296</v>
      </c>
      <c r="D373" t="s">
        <v>112</v>
      </c>
      <c r="E373" t="s">
        <v>9</v>
      </c>
      <c r="F373" s="3">
        <v>-1800</v>
      </c>
      <c r="G373" s="3">
        <v>-1800</v>
      </c>
      <c r="H373" t="s">
        <v>3</v>
      </c>
      <c r="I373" t="s">
        <v>3</v>
      </c>
      <c r="J373" t="s">
        <v>9</v>
      </c>
      <c r="K373" t="s">
        <v>9</v>
      </c>
      <c r="L373" t="s">
        <v>11</v>
      </c>
      <c r="M373" t="s">
        <v>114</v>
      </c>
      <c r="N373" s="2">
        <v>45991</v>
      </c>
    </row>
    <row r="374" spans="1:14" x14ac:dyDescent="0.25">
      <c r="A374" t="s">
        <v>296</v>
      </c>
      <c r="B374" s="2">
        <v>45993</v>
      </c>
      <c r="C374" t="s">
        <v>296</v>
      </c>
      <c r="D374" t="s">
        <v>301</v>
      </c>
      <c r="E374" t="s">
        <v>9</v>
      </c>
      <c r="F374" s="3">
        <v>1900</v>
      </c>
      <c r="G374" s="3">
        <v>1900</v>
      </c>
      <c r="H374" t="s">
        <v>3</v>
      </c>
      <c r="I374" t="s">
        <v>3</v>
      </c>
      <c r="J374" t="s">
        <v>9</v>
      </c>
      <c r="K374" t="s">
        <v>9</v>
      </c>
      <c r="L374" t="s">
        <v>11</v>
      </c>
      <c r="M374" t="s">
        <v>302</v>
      </c>
      <c r="N374" s="2">
        <v>45991</v>
      </c>
    </row>
    <row r="375" spans="1:14" x14ac:dyDescent="0.25">
      <c r="A375" t="s">
        <v>296</v>
      </c>
      <c r="B375" s="2">
        <v>45230</v>
      </c>
      <c r="C375" t="s">
        <v>296</v>
      </c>
      <c r="D375" t="s">
        <v>112</v>
      </c>
      <c r="E375" t="s">
        <v>9</v>
      </c>
      <c r="F375" s="3">
        <v>-700</v>
      </c>
      <c r="G375" s="3">
        <v>-700</v>
      </c>
      <c r="H375" t="s">
        <v>3</v>
      </c>
      <c r="I375" t="s">
        <v>3</v>
      </c>
      <c r="J375" t="s">
        <v>276</v>
      </c>
      <c r="K375" t="s">
        <v>225</v>
      </c>
      <c r="L375" t="s">
        <v>11</v>
      </c>
      <c r="M375" t="s">
        <v>114</v>
      </c>
      <c r="N375" s="2">
        <v>45231</v>
      </c>
    </row>
    <row r="376" spans="1:14" x14ac:dyDescent="0.25">
      <c r="A376" t="s">
        <v>296</v>
      </c>
      <c r="B376" s="2">
        <v>45260</v>
      </c>
      <c r="C376" t="s">
        <v>296</v>
      </c>
      <c r="D376" t="s">
        <v>112</v>
      </c>
      <c r="E376" t="s">
        <v>9</v>
      </c>
      <c r="F376" s="3">
        <v>700</v>
      </c>
      <c r="G376" s="3">
        <v>700</v>
      </c>
      <c r="H376" t="s">
        <v>3</v>
      </c>
      <c r="I376" t="s">
        <v>3</v>
      </c>
      <c r="J376" t="s">
        <v>282</v>
      </c>
      <c r="K376" t="s">
        <v>225</v>
      </c>
      <c r="L376" t="s">
        <v>11</v>
      </c>
      <c r="M376" t="s">
        <v>114</v>
      </c>
      <c r="N376" s="2">
        <v>45260</v>
      </c>
    </row>
    <row r="377" spans="1:14" x14ac:dyDescent="0.25">
      <c r="A377" t="s">
        <v>296</v>
      </c>
      <c r="B377" s="2">
        <v>45596</v>
      </c>
      <c r="C377" t="s">
        <v>296</v>
      </c>
      <c r="D377" t="s">
        <v>112</v>
      </c>
      <c r="E377" t="s">
        <v>9</v>
      </c>
      <c r="F377" s="3">
        <v>-6450</v>
      </c>
      <c r="G377" s="3">
        <v>-6450</v>
      </c>
      <c r="H377" t="s">
        <v>3</v>
      </c>
      <c r="I377" t="s">
        <v>3</v>
      </c>
      <c r="J377" t="s">
        <v>277</v>
      </c>
      <c r="K377" t="s">
        <v>222</v>
      </c>
      <c r="L377" t="s">
        <v>11</v>
      </c>
      <c r="M377" t="s">
        <v>114</v>
      </c>
      <c r="N377" s="2">
        <v>45597</v>
      </c>
    </row>
    <row r="378" spans="1:14" x14ac:dyDescent="0.25">
      <c r="A378" t="s">
        <v>296</v>
      </c>
      <c r="B378" s="2">
        <v>45626</v>
      </c>
      <c r="C378" t="s">
        <v>296</v>
      </c>
      <c r="D378" t="s">
        <v>112</v>
      </c>
      <c r="E378" t="s">
        <v>9</v>
      </c>
      <c r="F378" s="3">
        <v>7150</v>
      </c>
      <c r="G378" s="3">
        <v>7150</v>
      </c>
      <c r="H378" t="s">
        <v>3</v>
      </c>
      <c r="I378" t="s">
        <v>3</v>
      </c>
      <c r="J378" t="s">
        <v>283</v>
      </c>
      <c r="K378" t="s">
        <v>222</v>
      </c>
      <c r="L378" t="s">
        <v>11</v>
      </c>
      <c r="M378" t="s">
        <v>114</v>
      </c>
      <c r="N378" s="2">
        <v>45626</v>
      </c>
    </row>
    <row r="379" spans="1:14" x14ac:dyDescent="0.25">
      <c r="A379" t="s">
        <v>296</v>
      </c>
      <c r="B379" s="2">
        <v>45626</v>
      </c>
      <c r="C379" t="s">
        <v>296</v>
      </c>
      <c r="D379" t="s">
        <v>112</v>
      </c>
      <c r="E379" t="s">
        <v>9</v>
      </c>
      <c r="F379" s="3">
        <v>400</v>
      </c>
      <c r="G379" s="3">
        <v>400</v>
      </c>
      <c r="H379" t="s">
        <v>3</v>
      </c>
      <c r="I379" t="s">
        <v>3</v>
      </c>
      <c r="J379" t="s">
        <v>327</v>
      </c>
      <c r="K379" t="s">
        <v>222</v>
      </c>
      <c r="L379" t="s">
        <v>11</v>
      </c>
      <c r="M379" t="s">
        <v>114</v>
      </c>
      <c r="N379" s="2">
        <v>45626</v>
      </c>
    </row>
    <row r="380" spans="1:14" x14ac:dyDescent="0.25">
      <c r="A380" t="s">
        <v>296</v>
      </c>
      <c r="B380" s="2">
        <v>45961</v>
      </c>
      <c r="C380" t="s">
        <v>296</v>
      </c>
      <c r="D380" t="s">
        <v>112</v>
      </c>
      <c r="E380" t="s">
        <v>9</v>
      </c>
      <c r="F380" s="3">
        <v>-28600</v>
      </c>
      <c r="G380" s="3">
        <v>-28600</v>
      </c>
      <c r="H380" t="s">
        <v>3</v>
      </c>
      <c r="I380" t="s">
        <v>3</v>
      </c>
      <c r="J380" t="s">
        <v>325</v>
      </c>
      <c r="K380" t="s">
        <v>5</v>
      </c>
      <c r="L380" t="s">
        <v>11</v>
      </c>
      <c r="M380" t="s">
        <v>114</v>
      </c>
      <c r="N380" s="2">
        <v>45962</v>
      </c>
    </row>
    <row r="381" spans="1:14" x14ac:dyDescent="0.25">
      <c r="A381" t="s">
        <v>296</v>
      </c>
      <c r="B381" s="2">
        <v>45961</v>
      </c>
      <c r="C381" t="s">
        <v>296</v>
      </c>
      <c r="D381" t="s">
        <v>112</v>
      </c>
      <c r="E381" t="s">
        <v>9</v>
      </c>
      <c r="F381" s="3">
        <v>-1300</v>
      </c>
      <c r="G381" s="3">
        <v>-1300</v>
      </c>
      <c r="H381" t="s">
        <v>3</v>
      </c>
      <c r="I381" t="s">
        <v>3</v>
      </c>
      <c r="J381" t="s">
        <v>326</v>
      </c>
      <c r="K381" t="s">
        <v>5</v>
      </c>
      <c r="L381" t="s">
        <v>11</v>
      </c>
      <c r="M381" t="s">
        <v>114</v>
      </c>
      <c r="N381" s="2">
        <v>45962</v>
      </c>
    </row>
    <row r="382" spans="1:14" x14ac:dyDescent="0.25">
      <c r="A382" t="s">
        <v>296</v>
      </c>
      <c r="B382" s="2">
        <v>45991</v>
      </c>
      <c r="C382" t="s">
        <v>296</v>
      </c>
      <c r="D382" t="s">
        <v>112</v>
      </c>
      <c r="E382" t="s">
        <v>9</v>
      </c>
      <c r="F382" s="3">
        <v>30400</v>
      </c>
      <c r="G382" s="3">
        <v>30400</v>
      </c>
      <c r="H382" t="s">
        <v>3</v>
      </c>
      <c r="I382" t="s">
        <v>3</v>
      </c>
      <c r="J382" t="s">
        <v>328</v>
      </c>
      <c r="K382" t="s">
        <v>5</v>
      </c>
      <c r="L382" t="s">
        <v>11</v>
      </c>
      <c r="M382" t="s">
        <v>114</v>
      </c>
      <c r="N382" s="2">
        <v>45991</v>
      </c>
    </row>
    <row r="383" spans="1:14" x14ac:dyDescent="0.25">
      <c r="A383" t="s">
        <v>296</v>
      </c>
      <c r="B383" s="2">
        <v>45991</v>
      </c>
      <c r="C383" t="s">
        <v>296</v>
      </c>
      <c r="D383" t="s">
        <v>112</v>
      </c>
      <c r="E383" t="s">
        <v>9</v>
      </c>
      <c r="F383" s="3">
        <v>1300</v>
      </c>
      <c r="G383" s="3">
        <v>1300</v>
      </c>
      <c r="H383" t="s">
        <v>3</v>
      </c>
      <c r="I383" t="s">
        <v>3</v>
      </c>
      <c r="J383" t="s">
        <v>329</v>
      </c>
      <c r="K383" t="s">
        <v>5</v>
      </c>
      <c r="L383" t="s">
        <v>11</v>
      </c>
      <c r="M383" t="s">
        <v>114</v>
      </c>
      <c r="N383" s="2">
        <v>45991</v>
      </c>
    </row>
    <row r="384" spans="1:14" x14ac:dyDescent="0.25">
      <c r="A384" t="s">
        <v>296</v>
      </c>
      <c r="B384" s="2">
        <v>45991</v>
      </c>
      <c r="C384" t="s">
        <v>296</v>
      </c>
      <c r="D384" t="s">
        <v>301</v>
      </c>
      <c r="E384" t="s">
        <v>9</v>
      </c>
      <c r="F384" s="3">
        <v>-1900</v>
      </c>
      <c r="G384" s="3">
        <v>-1900</v>
      </c>
      <c r="H384" t="s">
        <v>3</v>
      </c>
      <c r="I384" t="s">
        <v>3</v>
      </c>
      <c r="J384" t="s">
        <v>10</v>
      </c>
      <c r="K384" t="s">
        <v>5</v>
      </c>
      <c r="L384" t="s">
        <v>11</v>
      </c>
      <c r="M384" t="s">
        <v>302</v>
      </c>
      <c r="N384" s="2">
        <v>45991</v>
      </c>
    </row>
    <row r="385" spans="1:14" x14ac:dyDescent="0.25">
      <c r="A385" s="4" t="s">
        <v>226</v>
      </c>
      <c r="B385" s="5"/>
      <c r="C385" s="4" t="s">
        <v>9</v>
      </c>
      <c r="D385" s="4" t="s">
        <v>9</v>
      </c>
      <c r="E385" s="4" t="s">
        <v>9</v>
      </c>
      <c r="F385" s="6">
        <v>0</v>
      </c>
      <c r="G385" s="6">
        <v>0</v>
      </c>
      <c r="H385" s="4" t="s">
        <v>9</v>
      </c>
      <c r="I385" s="4" t="s">
        <v>3</v>
      </c>
      <c r="J385" s="4" t="s">
        <v>9</v>
      </c>
      <c r="K385" s="4" t="s">
        <v>9</v>
      </c>
      <c r="L385" s="4" t="s">
        <v>9</v>
      </c>
      <c r="M385" s="4" t="s">
        <v>9</v>
      </c>
      <c r="N385" s="5"/>
    </row>
    <row r="386" spans="1:14" x14ac:dyDescent="0.25">
      <c r="A386" t="s">
        <v>296</v>
      </c>
      <c r="B386" s="2">
        <v>44930</v>
      </c>
      <c r="C386" t="s">
        <v>296</v>
      </c>
      <c r="D386" t="s">
        <v>112</v>
      </c>
      <c r="E386" t="s">
        <v>9</v>
      </c>
      <c r="F386" s="3">
        <v>-400</v>
      </c>
      <c r="G386" s="3">
        <v>-400</v>
      </c>
      <c r="H386" t="s">
        <v>3</v>
      </c>
      <c r="I386" t="s">
        <v>3</v>
      </c>
      <c r="J386" t="s">
        <v>9</v>
      </c>
      <c r="K386" t="s">
        <v>9</v>
      </c>
      <c r="L386" t="s">
        <v>12</v>
      </c>
      <c r="M386" t="s">
        <v>114</v>
      </c>
      <c r="N386" s="2">
        <v>44926</v>
      </c>
    </row>
    <row r="387" spans="1:14" x14ac:dyDescent="0.25">
      <c r="A387" t="s">
        <v>296</v>
      </c>
      <c r="B387" s="2">
        <v>45660</v>
      </c>
      <c r="C387" t="s">
        <v>296</v>
      </c>
      <c r="D387" t="s">
        <v>112</v>
      </c>
      <c r="E387" t="s">
        <v>9</v>
      </c>
      <c r="F387" s="3">
        <v>-600</v>
      </c>
      <c r="G387" s="3">
        <v>-600</v>
      </c>
      <c r="H387" t="s">
        <v>3</v>
      </c>
      <c r="I387" t="s">
        <v>3</v>
      </c>
      <c r="J387" t="s">
        <v>9</v>
      </c>
      <c r="K387" t="s">
        <v>9</v>
      </c>
      <c r="L387" t="s">
        <v>12</v>
      </c>
      <c r="M387" t="s">
        <v>114</v>
      </c>
      <c r="N387" s="2">
        <v>45657</v>
      </c>
    </row>
    <row r="388" spans="1:14" x14ac:dyDescent="0.25">
      <c r="A388" t="s">
        <v>296</v>
      </c>
      <c r="B388" s="2">
        <v>46028</v>
      </c>
      <c r="C388" t="s">
        <v>296</v>
      </c>
      <c r="D388" t="s">
        <v>112</v>
      </c>
      <c r="E388" t="s">
        <v>9</v>
      </c>
      <c r="F388" s="3">
        <v>-1500</v>
      </c>
      <c r="G388" s="3">
        <v>-1500</v>
      </c>
      <c r="H388" t="s">
        <v>3</v>
      </c>
      <c r="I388" t="s">
        <v>3</v>
      </c>
      <c r="J388" t="s">
        <v>9</v>
      </c>
      <c r="K388" t="s">
        <v>9</v>
      </c>
      <c r="L388" t="s">
        <v>12</v>
      </c>
      <c r="M388" t="s">
        <v>114</v>
      </c>
      <c r="N388" s="2">
        <v>46022</v>
      </c>
    </row>
    <row r="389" spans="1:14" x14ac:dyDescent="0.25">
      <c r="A389" t="s">
        <v>296</v>
      </c>
      <c r="B389" s="2">
        <v>46028</v>
      </c>
      <c r="C389" t="s">
        <v>296</v>
      </c>
      <c r="D389" t="s">
        <v>301</v>
      </c>
      <c r="E389" t="s">
        <v>9</v>
      </c>
      <c r="F389" s="3">
        <v>1500</v>
      </c>
      <c r="G389" s="3">
        <v>1500</v>
      </c>
      <c r="H389" t="s">
        <v>3</v>
      </c>
      <c r="I389" t="s">
        <v>3</v>
      </c>
      <c r="J389" t="s">
        <v>9</v>
      </c>
      <c r="K389" t="s">
        <v>9</v>
      </c>
      <c r="L389" t="s">
        <v>12</v>
      </c>
      <c r="M389" t="s">
        <v>302</v>
      </c>
      <c r="N389" s="2">
        <v>46022</v>
      </c>
    </row>
    <row r="390" spans="1:14" x14ac:dyDescent="0.25">
      <c r="A390" t="s">
        <v>296</v>
      </c>
      <c r="B390" s="2">
        <v>44926</v>
      </c>
      <c r="C390" t="s">
        <v>296</v>
      </c>
      <c r="D390" t="s">
        <v>112</v>
      </c>
      <c r="E390" t="s">
        <v>9</v>
      </c>
      <c r="F390" s="3">
        <v>400</v>
      </c>
      <c r="G390" s="3">
        <v>400</v>
      </c>
      <c r="H390" t="s">
        <v>3</v>
      </c>
      <c r="I390" t="s">
        <v>3</v>
      </c>
      <c r="J390" t="s">
        <v>288</v>
      </c>
      <c r="K390" t="s">
        <v>227</v>
      </c>
      <c r="L390" t="s">
        <v>12</v>
      </c>
      <c r="M390" t="s">
        <v>114</v>
      </c>
      <c r="N390" s="2">
        <v>44926</v>
      </c>
    </row>
    <row r="391" spans="1:14" x14ac:dyDescent="0.25">
      <c r="A391" t="s">
        <v>296</v>
      </c>
      <c r="B391" s="2">
        <v>45260</v>
      </c>
      <c r="C391" t="s">
        <v>296</v>
      </c>
      <c r="D391" t="s">
        <v>112</v>
      </c>
      <c r="E391" t="s">
        <v>9</v>
      </c>
      <c r="F391" s="3">
        <v>-700</v>
      </c>
      <c r="G391" s="3">
        <v>-700</v>
      </c>
      <c r="H391" t="s">
        <v>3</v>
      </c>
      <c r="I391" t="s">
        <v>3</v>
      </c>
      <c r="J391" t="s">
        <v>282</v>
      </c>
      <c r="K391" t="s">
        <v>225</v>
      </c>
      <c r="L391" t="s">
        <v>12</v>
      </c>
      <c r="M391" t="s">
        <v>114</v>
      </c>
      <c r="N391" s="2">
        <v>45261</v>
      </c>
    </row>
    <row r="392" spans="1:14" x14ac:dyDescent="0.25">
      <c r="A392" t="s">
        <v>296</v>
      </c>
      <c r="B392" s="2">
        <v>45291</v>
      </c>
      <c r="C392" t="s">
        <v>296</v>
      </c>
      <c r="D392" t="s">
        <v>112</v>
      </c>
      <c r="E392" t="s">
        <v>9</v>
      </c>
      <c r="F392" s="3">
        <v>700</v>
      </c>
      <c r="G392" s="3">
        <v>700</v>
      </c>
      <c r="H392" t="s">
        <v>3</v>
      </c>
      <c r="I392" t="s">
        <v>3</v>
      </c>
      <c r="J392" t="s">
        <v>291</v>
      </c>
      <c r="K392" t="s">
        <v>225</v>
      </c>
      <c r="L392" t="s">
        <v>12</v>
      </c>
      <c r="M392" t="s">
        <v>114</v>
      </c>
      <c r="N392" s="2">
        <v>45291</v>
      </c>
    </row>
    <row r="393" spans="1:14" x14ac:dyDescent="0.25">
      <c r="A393" t="s">
        <v>296</v>
      </c>
      <c r="B393" s="2">
        <v>45626</v>
      </c>
      <c r="C393" t="s">
        <v>296</v>
      </c>
      <c r="D393" t="s">
        <v>112</v>
      </c>
      <c r="E393" t="s">
        <v>9</v>
      </c>
      <c r="F393" s="3">
        <v>-7150</v>
      </c>
      <c r="G393" s="3">
        <v>-7150</v>
      </c>
      <c r="H393" t="s">
        <v>3</v>
      </c>
      <c r="I393" t="s">
        <v>3</v>
      </c>
      <c r="J393" t="s">
        <v>283</v>
      </c>
      <c r="K393" t="s">
        <v>222</v>
      </c>
      <c r="L393" t="s">
        <v>12</v>
      </c>
      <c r="M393" t="s">
        <v>114</v>
      </c>
      <c r="N393" s="2">
        <v>45627</v>
      </c>
    </row>
    <row r="394" spans="1:14" x14ac:dyDescent="0.25">
      <c r="A394" t="s">
        <v>296</v>
      </c>
      <c r="B394" s="2">
        <v>45626</v>
      </c>
      <c r="C394" t="s">
        <v>296</v>
      </c>
      <c r="D394" t="s">
        <v>112</v>
      </c>
      <c r="E394" t="s">
        <v>9</v>
      </c>
      <c r="F394" s="3">
        <v>-400</v>
      </c>
      <c r="G394" s="3">
        <v>-400</v>
      </c>
      <c r="H394" t="s">
        <v>3</v>
      </c>
      <c r="I394" t="s">
        <v>3</v>
      </c>
      <c r="J394" t="s">
        <v>327</v>
      </c>
      <c r="K394" t="s">
        <v>222</v>
      </c>
      <c r="L394" t="s">
        <v>12</v>
      </c>
      <c r="M394" t="s">
        <v>114</v>
      </c>
      <c r="N394" s="2">
        <v>45627</v>
      </c>
    </row>
    <row r="395" spans="1:14" x14ac:dyDescent="0.25">
      <c r="A395" t="s">
        <v>296</v>
      </c>
      <c r="B395" s="2">
        <v>45657</v>
      </c>
      <c r="C395" t="s">
        <v>296</v>
      </c>
      <c r="D395" t="s">
        <v>112</v>
      </c>
      <c r="E395" t="s">
        <v>9</v>
      </c>
      <c r="F395" s="3">
        <v>7750</v>
      </c>
      <c r="G395" s="3">
        <v>7750</v>
      </c>
      <c r="H395" t="s">
        <v>3</v>
      </c>
      <c r="I395" t="s">
        <v>3</v>
      </c>
      <c r="J395" t="s">
        <v>292</v>
      </c>
      <c r="K395" t="s">
        <v>222</v>
      </c>
      <c r="L395" t="s">
        <v>12</v>
      </c>
      <c r="M395" t="s">
        <v>114</v>
      </c>
      <c r="N395" s="2">
        <v>45657</v>
      </c>
    </row>
    <row r="396" spans="1:14" x14ac:dyDescent="0.25">
      <c r="A396" t="s">
        <v>296</v>
      </c>
      <c r="B396" s="2">
        <v>45657</v>
      </c>
      <c r="C396" t="s">
        <v>296</v>
      </c>
      <c r="D396" t="s">
        <v>112</v>
      </c>
      <c r="E396" t="s">
        <v>9</v>
      </c>
      <c r="F396" s="3">
        <v>400</v>
      </c>
      <c r="G396" s="3">
        <v>400</v>
      </c>
      <c r="H396" t="s">
        <v>3</v>
      </c>
      <c r="I396" t="s">
        <v>3</v>
      </c>
      <c r="J396" t="s">
        <v>330</v>
      </c>
      <c r="K396" t="s">
        <v>222</v>
      </c>
      <c r="L396" t="s">
        <v>12</v>
      </c>
      <c r="M396" t="s">
        <v>114</v>
      </c>
      <c r="N396" s="2">
        <v>45657</v>
      </c>
    </row>
    <row r="397" spans="1:14" x14ac:dyDescent="0.25">
      <c r="A397" t="s">
        <v>296</v>
      </c>
      <c r="B397" s="2">
        <v>45991</v>
      </c>
      <c r="C397" t="s">
        <v>296</v>
      </c>
      <c r="D397" t="s">
        <v>112</v>
      </c>
      <c r="E397" t="s">
        <v>9</v>
      </c>
      <c r="F397" s="3">
        <v>-30400</v>
      </c>
      <c r="G397" s="3">
        <v>-30400</v>
      </c>
      <c r="H397" t="s">
        <v>3</v>
      </c>
      <c r="I397" t="s">
        <v>3</v>
      </c>
      <c r="J397" t="s">
        <v>328</v>
      </c>
      <c r="K397" t="s">
        <v>5</v>
      </c>
      <c r="L397" t="s">
        <v>12</v>
      </c>
      <c r="M397" t="s">
        <v>114</v>
      </c>
      <c r="N397" s="2">
        <v>45992</v>
      </c>
    </row>
    <row r="398" spans="1:14" x14ac:dyDescent="0.25">
      <c r="A398" t="s">
        <v>296</v>
      </c>
      <c r="B398" s="2">
        <v>45991</v>
      </c>
      <c r="C398" t="s">
        <v>296</v>
      </c>
      <c r="D398" t="s">
        <v>112</v>
      </c>
      <c r="E398" t="s">
        <v>9</v>
      </c>
      <c r="F398" s="3">
        <v>-1300</v>
      </c>
      <c r="G398" s="3">
        <v>-1300</v>
      </c>
      <c r="H398" t="s">
        <v>3</v>
      </c>
      <c r="I398" t="s">
        <v>3</v>
      </c>
      <c r="J398" t="s">
        <v>329</v>
      </c>
      <c r="K398" t="s">
        <v>5</v>
      </c>
      <c r="L398" t="s">
        <v>12</v>
      </c>
      <c r="M398" t="s">
        <v>114</v>
      </c>
      <c r="N398" s="2">
        <v>45992</v>
      </c>
    </row>
    <row r="399" spans="1:14" x14ac:dyDescent="0.25">
      <c r="A399" t="s">
        <v>296</v>
      </c>
      <c r="B399" s="2">
        <v>46022</v>
      </c>
      <c r="C399" t="s">
        <v>296</v>
      </c>
      <c r="D399" t="s">
        <v>112</v>
      </c>
      <c r="E399" t="s">
        <v>9</v>
      </c>
      <c r="F399" s="3">
        <v>31900</v>
      </c>
      <c r="G399" s="3">
        <v>31900</v>
      </c>
      <c r="H399" t="s">
        <v>3</v>
      </c>
      <c r="I399" t="s">
        <v>3</v>
      </c>
      <c r="J399" t="s">
        <v>298</v>
      </c>
      <c r="K399" t="s">
        <v>5</v>
      </c>
      <c r="L399" t="s">
        <v>12</v>
      </c>
      <c r="M399" t="s">
        <v>114</v>
      </c>
      <c r="N399" s="2">
        <v>46022</v>
      </c>
    </row>
    <row r="400" spans="1:14" x14ac:dyDescent="0.25">
      <c r="A400" t="s">
        <v>296</v>
      </c>
      <c r="B400" s="2">
        <v>46022</v>
      </c>
      <c r="C400" t="s">
        <v>296</v>
      </c>
      <c r="D400" t="s">
        <v>112</v>
      </c>
      <c r="E400" t="s">
        <v>9</v>
      </c>
      <c r="F400" s="3">
        <v>1300</v>
      </c>
      <c r="G400" s="3">
        <v>1300</v>
      </c>
      <c r="H400" t="s">
        <v>3</v>
      </c>
      <c r="I400" t="s">
        <v>3</v>
      </c>
      <c r="J400" t="s">
        <v>299</v>
      </c>
      <c r="K400" t="s">
        <v>5</v>
      </c>
      <c r="L400" t="s">
        <v>12</v>
      </c>
      <c r="M400" t="s">
        <v>114</v>
      </c>
      <c r="N400" s="2">
        <v>46022</v>
      </c>
    </row>
    <row r="401" spans="1:14" x14ac:dyDescent="0.25">
      <c r="A401" t="s">
        <v>296</v>
      </c>
      <c r="B401" s="2">
        <v>46022</v>
      </c>
      <c r="C401" t="s">
        <v>296</v>
      </c>
      <c r="D401" t="s">
        <v>301</v>
      </c>
      <c r="E401" t="s">
        <v>9</v>
      </c>
      <c r="F401" s="3">
        <v>-1500</v>
      </c>
      <c r="G401" s="3">
        <v>-1500</v>
      </c>
      <c r="H401" t="s">
        <v>3</v>
      </c>
      <c r="I401" t="s">
        <v>3</v>
      </c>
      <c r="J401" t="s">
        <v>10</v>
      </c>
      <c r="K401" t="s">
        <v>5</v>
      </c>
      <c r="L401" t="s">
        <v>12</v>
      </c>
      <c r="M401" t="s">
        <v>302</v>
      </c>
      <c r="N401" s="2">
        <v>46022</v>
      </c>
    </row>
    <row r="402" spans="1:14" x14ac:dyDescent="0.25">
      <c r="A402" t="s">
        <v>296</v>
      </c>
      <c r="B402" s="2">
        <v>46022</v>
      </c>
      <c r="C402" t="s">
        <v>296</v>
      </c>
      <c r="D402" t="s">
        <v>112</v>
      </c>
      <c r="E402" t="s">
        <v>9</v>
      </c>
      <c r="F402" s="3">
        <v>31900</v>
      </c>
      <c r="G402" s="3">
        <v>31900</v>
      </c>
      <c r="H402" t="s">
        <v>3</v>
      </c>
      <c r="I402" t="s">
        <v>3</v>
      </c>
      <c r="J402" t="s">
        <v>298</v>
      </c>
      <c r="K402" t="s">
        <v>5</v>
      </c>
      <c r="L402" t="s">
        <v>12</v>
      </c>
      <c r="M402" t="s">
        <v>114</v>
      </c>
      <c r="N402" s="2">
        <v>46022</v>
      </c>
    </row>
    <row r="403" spans="1:14" x14ac:dyDescent="0.25">
      <c r="A403" t="s">
        <v>296</v>
      </c>
      <c r="B403" s="2">
        <v>46022</v>
      </c>
      <c r="C403" t="s">
        <v>296</v>
      </c>
      <c r="D403" t="s">
        <v>112</v>
      </c>
      <c r="E403" t="s">
        <v>9</v>
      </c>
      <c r="F403" s="3">
        <v>1300</v>
      </c>
      <c r="G403" s="3">
        <v>1300</v>
      </c>
      <c r="H403" t="s">
        <v>3</v>
      </c>
      <c r="I403" t="s">
        <v>3</v>
      </c>
      <c r="J403" t="s">
        <v>299</v>
      </c>
      <c r="K403" t="s">
        <v>5</v>
      </c>
      <c r="L403" t="s">
        <v>12</v>
      </c>
      <c r="M403" t="s">
        <v>114</v>
      </c>
      <c r="N403" s="2">
        <v>46022</v>
      </c>
    </row>
    <row r="404" spans="1:14" x14ac:dyDescent="0.25">
      <c r="A404" t="s">
        <v>296</v>
      </c>
      <c r="B404" s="2">
        <v>46022</v>
      </c>
      <c r="C404" t="s">
        <v>296</v>
      </c>
      <c r="D404" t="s">
        <v>112</v>
      </c>
      <c r="E404" t="s">
        <v>9</v>
      </c>
      <c r="F404" s="3">
        <v>-31900</v>
      </c>
      <c r="G404" s="3">
        <v>-31900</v>
      </c>
      <c r="H404" t="s">
        <v>3</v>
      </c>
      <c r="I404" t="s">
        <v>3</v>
      </c>
      <c r="J404" t="s">
        <v>298</v>
      </c>
      <c r="K404" t="s">
        <v>5</v>
      </c>
      <c r="L404" t="s">
        <v>12</v>
      </c>
      <c r="M404" t="s">
        <v>114</v>
      </c>
      <c r="N404" s="2">
        <v>46022</v>
      </c>
    </row>
    <row r="405" spans="1:14" x14ac:dyDescent="0.25">
      <c r="A405" t="s">
        <v>296</v>
      </c>
      <c r="B405" s="2">
        <v>46022</v>
      </c>
      <c r="C405" t="s">
        <v>296</v>
      </c>
      <c r="D405" t="s">
        <v>112</v>
      </c>
      <c r="E405" t="s">
        <v>9</v>
      </c>
      <c r="F405" s="3">
        <v>-1300</v>
      </c>
      <c r="G405" s="3">
        <v>-1300</v>
      </c>
      <c r="H405" t="s">
        <v>3</v>
      </c>
      <c r="I405" t="s">
        <v>3</v>
      </c>
      <c r="J405" t="s">
        <v>299</v>
      </c>
      <c r="K405" t="s">
        <v>5</v>
      </c>
      <c r="L405" t="s">
        <v>12</v>
      </c>
      <c r="M405" t="s">
        <v>114</v>
      </c>
      <c r="N405" s="2">
        <v>46022</v>
      </c>
    </row>
    <row r="406" spans="1:14" x14ac:dyDescent="0.25">
      <c r="A406" s="4" t="s">
        <v>228</v>
      </c>
      <c r="B406" s="5"/>
      <c r="C406" s="4" t="s">
        <v>9</v>
      </c>
      <c r="D406" s="4" t="s">
        <v>9</v>
      </c>
      <c r="E406" s="4" t="s">
        <v>9</v>
      </c>
      <c r="F406" s="6">
        <v>0</v>
      </c>
      <c r="G406" s="6">
        <v>0</v>
      </c>
      <c r="H406" s="4" t="s">
        <v>9</v>
      </c>
      <c r="I406" s="4" t="s">
        <v>3</v>
      </c>
      <c r="J406" s="4" t="s">
        <v>9</v>
      </c>
      <c r="K406" s="4" t="s">
        <v>9</v>
      </c>
      <c r="L406" s="4" t="s">
        <v>9</v>
      </c>
      <c r="M406" s="4" t="s">
        <v>9</v>
      </c>
      <c r="N406" s="5"/>
    </row>
    <row r="407" spans="1:14" x14ac:dyDescent="0.25">
      <c r="A407" s="4" t="s">
        <v>296</v>
      </c>
      <c r="B407" s="5"/>
      <c r="C407" s="4" t="s">
        <v>9</v>
      </c>
      <c r="D407" s="4" t="s">
        <v>9</v>
      </c>
      <c r="E407" s="4" t="s">
        <v>9</v>
      </c>
      <c r="F407" s="6">
        <v>0</v>
      </c>
      <c r="G407" s="6">
        <v>0</v>
      </c>
      <c r="H407" s="4" t="s">
        <v>9</v>
      </c>
      <c r="I407" s="4" t="s">
        <v>3</v>
      </c>
      <c r="J407" s="4" t="s">
        <v>9</v>
      </c>
      <c r="K407" s="4" t="s">
        <v>9</v>
      </c>
      <c r="L407" s="4" t="s">
        <v>9</v>
      </c>
      <c r="M407" s="4" t="s">
        <v>9</v>
      </c>
      <c r="N407" s="5"/>
    </row>
    <row r="408" spans="1:14" x14ac:dyDescent="0.25">
      <c r="A408" t="s">
        <v>331</v>
      </c>
      <c r="B408" s="2">
        <v>45749</v>
      </c>
      <c r="C408" t="s">
        <v>331</v>
      </c>
      <c r="D408" t="s">
        <v>33</v>
      </c>
      <c r="E408" t="s">
        <v>9</v>
      </c>
      <c r="F408" s="3">
        <v>7875</v>
      </c>
      <c r="G408" s="3">
        <v>7875</v>
      </c>
      <c r="H408" t="s">
        <v>3</v>
      </c>
      <c r="I408" t="s">
        <v>3</v>
      </c>
      <c r="J408" t="s">
        <v>9</v>
      </c>
      <c r="K408" t="s">
        <v>9</v>
      </c>
      <c r="L408" t="s">
        <v>16</v>
      </c>
      <c r="M408" t="s">
        <v>35</v>
      </c>
      <c r="N408" s="2">
        <v>45747</v>
      </c>
    </row>
    <row r="409" spans="1:14" x14ac:dyDescent="0.25">
      <c r="A409" t="s">
        <v>331</v>
      </c>
      <c r="B409" s="2">
        <v>45734</v>
      </c>
      <c r="C409" t="s">
        <v>331</v>
      </c>
      <c r="D409" t="s">
        <v>33</v>
      </c>
      <c r="E409" t="s">
        <v>9</v>
      </c>
      <c r="F409" s="3">
        <v>-7875</v>
      </c>
      <c r="G409" s="3">
        <v>-7875</v>
      </c>
      <c r="H409" t="s">
        <v>3</v>
      </c>
      <c r="I409" t="s">
        <v>3</v>
      </c>
      <c r="J409" t="s">
        <v>9</v>
      </c>
      <c r="K409" t="s">
        <v>5</v>
      </c>
      <c r="L409" t="s">
        <v>16</v>
      </c>
      <c r="M409" t="s">
        <v>35</v>
      </c>
      <c r="N409" s="2">
        <v>45734</v>
      </c>
    </row>
    <row r="410" spans="1:14" x14ac:dyDescent="0.25">
      <c r="A410" s="4" t="s">
        <v>244</v>
      </c>
      <c r="B410" s="5"/>
      <c r="C410" s="4" t="s">
        <v>9</v>
      </c>
      <c r="D410" s="4" t="s">
        <v>9</v>
      </c>
      <c r="E410" s="4" t="s">
        <v>9</v>
      </c>
      <c r="F410" s="6">
        <v>0</v>
      </c>
      <c r="G410" s="6">
        <v>0</v>
      </c>
      <c r="H410" s="4" t="s">
        <v>9</v>
      </c>
      <c r="I410" s="4" t="s">
        <v>3</v>
      </c>
      <c r="J410" s="4" t="s">
        <v>9</v>
      </c>
      <c r="K410" s="4" t="s">
        <v>9</v>
      </c>
      <c r="L410" s="4" t="s">
        <v>9</v>
      </c>
      <c r="M410" s="4" t="s">
        <v>9</v>
      </c>
      <c r="N410" s="5"/>
    </row>
    <row r="411" spans="1:14" x14ac:dyDescent="0.25">
      <c r="A411" t="s">
        <v>331</v>
      </c>
      <c r="B411" s="2">
        <v>45049</v>
      </c>
      <c r="C411" t="s">
        <v>331</v>
      </c>
      <c r="D411" t="s">
        <v>33</v>
      </c>
      <c r="E411" t="s">
        <v>9</v>
      </c>
      <c r="F411" s="3">
        <v>82085</v>
      </c>
      <c r="G411" s="3">
        <v>82085</v>
      </c>
      <c r="H411" t="s">
        <v>3</v>
      </c>
      <c r="I411" t="s">
        <v>3</v>
      </c>
      <c r="J411" t="s">
        <v>9</v>
      </c>
      <c r="K411" t="s">
        <v>9</v>
      </c>
      <c r="L411" t="s">
        <v>17</v>
      </c>
      <c r="M411" t="s">
        <v>35</v>
      </c>
      <c r="N411" s="2">
        <v>45046</v>
      </c>
    </row>
    <row r="412" spans="1:14" x14ac:dyDescent="0.25">
      <c r="A412" t="s">
        <v>331</v>
      </c>
      <c r="B412" s="2">
        <v>45782</v>
      </c>
      <c r="C412" t="s">
        <v>331</v>
      </c>
      <c r="D412" t="s">
        <v>33</v>
      </c>
      <c r="E412" t="s">
        <v>9</v>
      </c>
      <c r="F412" s="3">
        <v>4355.34</v>
      </c>
      <c r="G412" s="3">
        <v>4355.34</v>
      </c>
      <c r="H412" t="s">
        <v>3</v>
      </c>
      <c r="I412" t="s">
        <v>3</v>
      </c>
      <c r="J412" t="s">
        <v>9</v>
      </c>
      <c r="K412" t="s">
        <v>9</v>
      </c>
      <c r="L412" t="s">
        <v>17</v>
      </c>
      <c r="M412" t="s">
        <v>35</v>
      </c>
      <c r="N412" s="2">
        <v>45777</v>
      </c>
    </row>
    <row r="413" spans="1:14" x14ac:dyDescent="0.25">
      <c r="A413" t="s">
        <v>331</v>
      </c>
      <c r="B413" s="2">
        <v>45022</v>
      </c>
      <c r="C413" t="s">
        <v>331</v>
      </c>
      <c r="D413" t="s">
        <v>33</v>
      </c>
      <c r="E413" t="s">
        <v>9</v>
      </c>
      <c r="F413" s="3">
        <v>-82085</v>
      </c>
      <c r="G413" s="3">
        <v>-82085</v>
      </c>
      <c r="H413" t="s">
        <v>3</v>
      </c>
      <c r="I413" t="s">
        <v>3</v>
      </c>
      <c r="J413" t="s">
        <v>9</v>
      </c>
      <c r="K413" t="s">
        <v>225</v>
      </c>
      <c r="L413" t="s">
        <v>17</v>
      </c>
      <c r="M413" t="s">
        <v>35</v>
      </c>
      <c r="N413" s="2">
        <v>45022</v>
      </c>
    </row>
    <row r="414" spans="1:14" x14ac:dyDescent="0.25">
      <c r="A414" t="s">
        <v>331</v>
      </c>
      <c r="B414" s="2">
        <v>45763</v>
      </c>
      <c r="C414" t="s">
        <v>331</v>
      </c>
      <c r="D414" t="s">
        <v>33</v>
      </c>
      <c r="E414" t="s">
        <v>9</v>
      </c>
      <c r="F414" s="3">
        <v>-4355.34</v>
      </c>
      <c r="G414" s="3">
        <v>-4355.34</v>
      </c>
      <c r="H414" t="s">
        <v>3</v>
      </c>
      <c r="I414" t="s">
        <v>3</v>
      </c>
      <c r="J414" t="s">
        <v>9</v>
      </c>
      <c r="K414" t="s">
        <v>5</v>
      </c>
      <c r="L414" t="s">
        <v>17</v>
      </c>
      <c r="M414" t="s">
        <v>35</v>
      </c>
      <c r="N414" s="2">
        <v>45763</v>
      </c>
    </row>
    <row r="415" spans="1:14" x14ac:dyDescent="0.25">
      <c r="A415" s="4" t="s">
        <v>249</v>
      </c>
      <c r="B415" s="5"/>
      <c r="C415" s="4" t="s">
        <v>9</v>
      </c>
      <c r="D415" s="4" t="s">
        <v>9</v>
      </c>
      <c r="E415" s="4" t="s">
        <v>9</v>
      </c>
      <c r="F415" s="6">
        <v>0</v>
      </c>
      <c r="G415" s="6">
        <v>0</v>
      </c>
      <c r="H415" s="4" t="s">
        <v>9</v>
      </c>
      <c r="I415" s="4" t="s">
        <v>3</v>
      </c>
      <c r="J415" s="4" t="s">
        <v>9</v>
      </c>
      <c r="K415" s="4" t="s">
        <v>9</v>
      </c>
      <c r="L415" s="4" t="s">
        <v>9</v>
      </c>
      <c r="M415" s="4" t="s">
        <v>9</v>
      </c>
      <c r="N415" s="5"/>
    </row>
    <row r="416" spans="1:14" x14ac:dyDescent="0.25">
      <c r="A416" t="s">
        <v>331</v>
      </c>
      <c r="B416" s="2">
        <v>45111</v>
      </c>
      <c r="C416" t="s">
        <v>331</v>
      </c>
      <c r="D416" t="s">
        <v>33</v>
      </c>
      <c r="E416" t="s">
        <v>9</v>
      </c>
      <c r="F416" s="3">
        <v>7359</v>
      </c>
      <c r="G416" s="3">
        <v>7359</v>
      </c>
      <c r="H416" t="s">
        <v>3</v>
      </c>
      <c r="I416" t="s">
        <v>3</v>
      </c>
      <c r="J416" t="s">
        <v>9</v>
      </c>
      <c r="K416" t="s">
        <v>9</v>
      </c>
      <c r="L416" t="s">
        <v>19</v>
      </c>
      <c r="M416" t="s">
        <v>35</v>
      </c>
      <c r="N416" s="2">
        <v>45107</v>
      </c>
    </row>
    <row r="417" spans="1:14" x14ac:dyDescent="0.25">
      <c r="A417" t="s">
        <v>331</v>
      </c>
      <c r="B417" s="2">
        <v>45475</v>
      </c>
      <c r="C417" t="s">
        <v>331</v>
      </c>
      <c r="D417" t="s">
        <v>33</v>
      </c>
      <c r="E417" t="s">
        <v>9</v>
      </c>
      <c r="F417" s="3">
        <v>29212</v>
      </c>
      <c r="G417" s="3">
        <v>29212</v>
      </c>
      <c r="H417" t="s">
        <v>3</v>
      </c>
      <c r="I417" t="s">
        <v>3</v>
      </c>
      <c r="J417" t="s">
        <v>9</v>
      </c>
      <c r="K417" t="s">
        <v>9</v>
      </c>
      <c r="L417" t="s">
        <v>19</v>
      </c>
      <c r="M417" t="s">
        <v>35</v>
      </c>
      <c r="N417" s="2">
        <v>45473</v>
      </c>
    </row>
    <row r="418" spans="1:14" x14ac:dyDescent="0.25">
      <c r="A418" t="s">
        <v>331</v>
      </c>
      <c r="B418" s="2">
        <v>45839</v>
      </c>
      <c r="C418" t="s">
        <v>331</v>
      </c>
      <c r="D418" t="s">
        <v>33</v>
      </c>
      <c r="E418" t="s">
        <v>9</v>
      </c>
      <c r="F418" s="3">
        <v>5239</v>
      </c>
      <c r="G418" s="3">
        <v>5239</v>
      </c>
      <c r="H418" t="s">
        <v>3</v>
      </c>
      <c r="I418" t="s">
        <v>3</v>
      </c>
      <c r="J418" t="s">
        <v>9</v>
      </c>
      <c r="K418" t="s">
        <v>9</v>
      </c>
      <c r="L418" t="s">
        <v>19</v>
      </c>
      <c r="M418" t="s">
        <v>35</v>
      </c>
      <c r="N418" s="2">
        <v>45838</v>
      </c>
    </row>
    <row r="419" spans="1:14" x14ac:dyDescent="0.25">
      <c r="A419" t="s">
        <v>331</v>
      </c>
      <c r="B419" s="2">
        <v>45096</v>
      </c>
      <c r="C419" t="s">
        <v>331</v>
      </c>
      <c r="D419" t="s">
        <v>33</v>
      </c>
      <c r="E419" t="s">
        <v>9</v>
      </c>
      <c r="F419" s="3">
        <v>-7359</v>
      </c>
      <c r="G419" s="3">
        <v>-7359</v>
      </c>
      <c r="H419" t="s">
        <v>3</v>
      </c>
      <c r="I419" t="s">
        <v>3</v>
      </c>
      <c r="J419" t="s">
        <v>9</v>
      </c>
      <c r="K419" t="s">
        <v>225</v>
      </c>
      <c r="L419" t="s">
        <v>19</v>
      </c>
      <c r="M419" t="s">
        <v>35</v>
      </c>
      <c r="N419" s="2">
        <v>45096</v>
      </c>
    </row>
    <row r="420" spans="1:14" x14ac:dyDescent="0.25">
      <c r="A420" t="s">
        <v>331</v>
      </c>
      <c r="B420" s="2">
        <v>45462</v>
      </c>
      <c r="C420" t="s">
        <v>331</v>
      </c>
      <c r="D420" t="s">
        <v>33</v>
      </c>
      <c r="E420" t="s">
        <v>9</v>
      </c>
      <c r="F420" s="3">
        <v>-3465</v>
      </c>
      <c r="G420" s="3">
        <v>-3465</v>
      </c>
      <c r="H420" t="s">
        <v>3</v>
      </c>
      <c r="I420" t="s">
        <v>3</v>
      </c>
      <c r="J420" t="s">
        <v>9</v>
      </c>
      <c r="K420" t="s">
        <v>222</v>
      </c>
      <c r="L420" t="s">
        <v>19</v>
      </c>
      <c r="M420" t="s">
        <v>35</v>
      </c>
      <c r="N420" s="2">
        <v>45462</v>
      </c>
    </row>
    <row r="421" spans="1:14" x14ac:dyDescent="0.25">
      <c r="A421" t="s">
        <v>331</v>
      </c>
      <c r="B421" s="2">
        <v>45462</v>
      </c>
      <c r="C421" t="s">
        <v>331</v>
      </c>
      <c r="D421" t="s">
        <v>33</v>
      </c>
      <c r="E421" t="s">
        <v>9</v>
      </c>
      <c r="F421" s="3">
        <v>-25747</v>
      </c>
      <c r="G421" s="3">
        <v>-25747</v>
      </c>
      <c r="H421" t="s">
        <v>3</v>
      </c>
      <c r="I421" t="s">
        <v>3</v>
      </c>
      <c r="J421" t="s">
        <v>9</v>
      </c>
      <c r="K421" t="s">
        <v>222</v>
      </c>
      <c r="L421" t="s">
        <v>19</v>
      </c>
      <c r="M421" t="s">
        <v>35</v>
      </c>
      <c r="N421" s="2">
        <v>45462</v>
      </c>
    </row>
    <row r="422" spans="1:14" x14ac:dyDescent="0.25">
      <c r="A422" t="s">
        <v>331</v>
      </c>
      <c r="B422" s="2">
        <v>45825</v>
      </c>
      <c r="C422" t="s">
        <v>331</v>
      </c>
      <c r="D422" t="s">
        <v>33</v>
      </c>
      <c r="E422" t="s">
        <v>9</v>
      </c>
      <c r="F422" s="3">
        <v>-5239</v>
      </c>
      <c r="G422" s="3">
        <v>-5239</v>
      </c>
      <c r="H422" t="s">
        <v>3</v>
      </c>
      <c r="I422" t="s">
        <v>3</v>
      </c>
      <c r="J422" t="s">
        <v>9</v>
      </c>
      <c r="K422" t="s">
        <v>5</v>
      </c>
      <c r="L422" t="s">
        <v>19</v>
      </c>
      <c r="M422" t="s">
        <v>35</v>
      </c>
      <c r="N422" s="2">
        <v>45825</v>
      </c>
    </row>
    <row r="423" spans="1:14" x14ac:dyDescent="0.25">
      <c r="A423" s="4" t="s">
        <v>224</v>
      </c>
      <c r="B423" s="5"/>
      <c r="C423" s="4" t="s">
        <v>9</v>
      </c>
      <c r="D423" s="4" t="s">
        <v>9</v>
      </c>
      <c r="E423" s="4" t="s">
        <v>9</v>
      </c>
      <c r="F423" s="6">
        <v>0</v>
      </c>
      <c r="G423" s="6">
        <v>0</v>
      </c>
      <c r="H423" s="4" t="s">
        <v>9</v>
      </c>
      <c r="I423" s="4" t="s">
        <v>3</v>
      </c>
      <c r="J423" s="4" t="s">
        <v>9</v>
      </c>
      <c r="K423" s="4" t="s">
        <v>9</v>
      </c>
      <c r="L423" s="4" t="s">
        <v>9</v>
      </c>
      <c r="M423" s="4" t="s">
        <v>9</v>
      </c>
      <c r="N423" s="5"/>
    </row>
    <row r="424" spans="1:14" x14ac:dyDescent="0.25">
      <c r="A424" t="s">
        <v>331</v>
      </c>
      <c r="B424" s="2">
        <v>45901</v>
      </c>
      <c r="C424" t="s">
        <v>331</v>
      </c>
      <c r="D424" t="s">
        <v>33</v>
      </c>
      <c r="E424" t="s">
        <v>9</v>
      </c>
      <c r="F424" s="3">
        <v>6956</v>
      </c>
      <c r="G424" s="3">
        <v>6956</v>
      </c>
      <c r="H424" t="s">
        <v>3</v>
      </c>
      <c r="I424" t="s">
        <v>3</v>
      </c>
      <c r="J424" t="s">
        <v>9</v>
      </c>
      <c r="K424" t="s">
        <v>9</v>
      </c>
      <c r="L424" t="s">
        <v>22</v>
      </c>
      <c r="M424" t="s">
        <v>35</v>
      </c>
      <c r="N424" s="2">
        <v>45900</v>
      </c>
    </row>
    <row r="425" spans="1:14" x14ac:dyDescent="0.25">
      <c r="A425" t="s">
        <v>331</v>
      </c>
      <c r="B425" s="2">
        <v>45888</v>
      </c>
      <c r="C425" t="s">
        <v>331</v>
      </c>
      <c r="D425" t="s">
        <v>33</v>
      </c>
      <c r="E425" t="s">
        <v>9</v>
      </c>
      <c r="F425" s="3">
        <v>-4005</v>
      </c>
      <c r="G425" s="3">
        <v>-4005</v>
      </c>
      <c r="H425" t="s">
        <v>3</v>
      </c>
      <c r="I425" t="s">
        <v>3</v>
      </c>
      <c r="J425" t="s">
        <v>9</v>
      </c>
      <c r="K425" t="s">
        <v>5</v>
      </c>
      <c r="L425" t="s">
        <v>22</v>
      </c>
      <c r="M425" t="s">
        <v>35</v>
      </c>
      <c r="N425" s="2">
        <v>45888</v>
      </c>
    </row>
    <row r="426" spans="1:14" x14ac:dyDescent="0.25">
      <c r="A426" t="s">
        <v>331</v>
      </c>
      <c r="B426" s="2">
        <v>45888</v>
      </c>
      <c r="C426" t="s">
        <v>331</v>
      </c>
      <c r="D426" t="s">
        <v>33</v>
      </c>
      <c r="E426" t="s">
        <v>9</v>
      </c>
      <c r="F426" s="3">
        <v>-2951</v>
      </c>
      <c r="G426" s="3">
        <v>-2951</v>
      </c>
      <c r="H426" t="s">
        <v>3</v>
      </c>
      <c r="I426" t="s">
        <v>3</v>
      </c>
      <c r="J426" t="s">
        <v>9</v>
      </c>
      <c r="K426" t="s">
        <v>5</v>
      </c>
      <c r="L426" t="s">
        <v>22</v>
      </c>
      <c r="M426" t="s">
        <v>35</v>
      </c>
      <c r="N426" s="2">
        <v>45888</v>
      </c>
    </row>
    <row r="427" spans="1:14" x14ac:dyDescent="0.25">
      <c r="A427" s="4" t="s">
        <v>267</v>
      </c>
      <c r="B427" s="5"/>
      <c r="C427" s="4" t="s">
        <v>9</v>
      </c>
      <c r="D427" s="4" t="s">
        <v>9</v>
      </c>
      <c r="E427" s="4" t="s">
        <v>9</v>
      </c>
      <c r="F427" s="6">
        <v>0</v>
      </c>
      <c r="G427" s="6">
        <v>0</v>
      </c>
      <c r="H427" s="4" t="s">
        <v>9</v>
      </c>
      <c r="I427" s="4" t="s">
        <v>3</v>
      </c>
      <c r="J427" s="4" t="s">
        <v>9</v>
      </c>
      <c r="K427" s="4" t="s">
        <v>9</v>
      </c>
      <c r="L427" s="4" t="s">
        <v>9</v>
      </c>
      <c r="M427" s="4" t="s">
        <v>9</v>
      </c>
      <c r="N427" s="5"/>
    </row>
    <row r="428" spans="1:14" x14ac:dyDescent="0.25">
      <c r="A428" t="s">
        <v>331</v>
      </c>
      <c r="B428" s="2">
        <v>45202</v>
      </c>
      <c r="C428" t="s">
        <v>331</v>
      </c>
      <c r="D428" t="s">
        <v>33</v>
      </c>
      <c r="E428" t="s">
        <v>9</v>
      </c>
      <c r="F428" s="3">
        <v>16094</v>
      </c>
      <c r="G428" s="3">
        <v>16094</v>
      </c>
      <c r="H428" t="s">
        <v>3</v>
      </c>
      <c r="I428" t="s">
        <v>3</v>
      </c>
      <c r="J428" t="s">
        <v>9</v>
      </c>
      <c r="K428" t="s">
        <v>9</v>
      </c>
      <c r="L428" t="s">
        <v>6</v>
      </c>
      <c r="M428" t="s">
        <v>35</v>
      </c>
      <c r="N428" s="2">
        <v>45199</v>
      </c>
    </row>
    <row r="429" spans="1:14" x14ac:dyDescent="0.25">
      <c r="A429" t="s">
        <v>331</v>
      </c>
      <c r="B429" s="2">
        <v>45567</v>
      </c>
      <c r="C429" t="s">
        <v>331</v>
      </c>
      <c r="D429" t="s">
        <v>33</v>
      </c>
      <c r="E429" t="s">
        <v>9</v>
      </c>
      <c r="F429" s="3">
        <v>93512</v>
      </c>
      <c r="G429" s="3">
        <v>93512</v>
      </c>
      <c r="H429" t="s">
        <v>3</v>
      </c>
      <c r="I429" t="s">
        <v>3</v>
      </c>
      <c r="J429" t="s">
        <v>9</v>
      </c>
      <c r="K429" t="s">
        <v>9</v>
      </c>
      <c r="L429" t="s">
        <v>6</v>
      </c>
      <c r="M429" t="s">
        <v>35</v>
      </c>
      <c r="N429" s="2">
        <v>45565</v>
      </c>
    </row>
    <row r="430" spans="1:14" x14ac:dyDescent="0.25">
      <c r="A430" t="s">
        <v>331</v>
      </c>
      <c r="B430" s="2">
        <v>45932</v>
      </c>
      <c r="C430" t="s">
        <v>331</v>
      </c>
      <c r="D430" t="s">
        <v>33</v>
      </c>
      <c r="E430" t="s">
        <v>9</v>
      </c>
      <c r="F430" s="3">
        <v>9300</v>
      </c>
      <c r="G430" s="3">
        <v>9300</v>
      </c>
      <c r="H430" t="s">
        <v>3</v>
      </c>
      <c r="I430" t="s">
        <v>3</v>
      </c>
      <c r="J430" t="s">
        <v>9</v>
      </c>
      <c r="K430" t="s">
        <v>9</v>
      </c>
      <c r="L430" t="s">
        <v>6</v>
      </c>
      <c r="M430" t="s">
        <v>35</v>
      </c>
      <c r="N430" s="2">
        <v>45930</v>
      </c>
    </row>
    <row r="431" spans="1:14" x14ac:dyDescent="0.25">
      <c r="A431" t="s">
        <v>331</v>
      </c>
      <c r="B431" s="2">
        <v>45189</v>
      </c>
      <c r="C431" t="s">
        <v>331</v>
      </c>
      <c r="D431" t="s">
        <v>33</v>
      </c>
      <c r="E431" t="s">
        <v>9</v>
      </c>
      <c r="F431" s="3">
        <v>-16094</v>
      </c>
      <c r="G431" s="3">
        <v>-16094</v>
      </c>
      <c r="H431" t="s">
        <v>3</v>
      </c>
      <c r="I431" t="s">
        <v>3</v>
      </c>
      <c r="J431" t="s">
        <v>9</v>
      </c>
      <c r="K431" t="s">
        <v>225</v>
      </c>
      <c r="L431" t="s">
        <v>6</v>
      </c>
      <c r="M431" t="s">
        <v>35</v>
      </c>
      <c r="N431" s="2">
        <v>45189</v>
      </c>
    </row>
    <row r="432" spans="1:14" x14ac:dyDescent="0.25">
      <c r="A432" t="s">
        <v>331</v>
      </c>
      <c r="B432" s="2">
        <v>45553</v>
      </c>
      <c r="C432" t="s">
        <v>331</v>
      </c>
      <c r="D432" t="s">
        <v>33</v>
      </c>
      <c r="E432" t="s">
        <v>9</v>
      </c>
      <c r="F432" s="3">
        <v>-93512</v>
      </c>
      <c r="G432" s="3">
        <v>-93512</v>
      </c>
      <c r="H432" t="s">
        <v>3</v>
      </c>
      <c r="I432" t="s">
        <v>3</v>
      </c>
      <c r="J432" t="s">
        <v>9</v>
      </c>
      <c r="K432" t="s">
        <v>222</v>
      </c>
      <c r="L432" t="s">
        <v>6</v>
      </c>
      <c r="M432" t="s">
        <v>35</v>
      </c>
      <c r="N432" s="2">
        <v>45553</v>
      </c>
    </row>
    <row r="433" spans="1:14" x14ac:dyDescent="0.25">
      <c r="A433" t="s">
        <v>331</v>
      </c>
      <c r="B433" s="2">
        <v>45910</v>
      </c>
      <c r="C433" t="s">
        <v>331</v>
      </c>
      <c r="D433" t="s">
        <v>33</v>
      </c>
      <c r="E433" t="s">
        <v>9</v>
      </c>
      <c r="F433" s="3">
        <v>-1850</v>
      </c>
      <c r="G433" s="3">
        <v>-1850</v>
      </c>
      <c r="H433" t="s">
        <v>3</v>
      </c>
      <c r="I433" t="s">
        <v>3</v>
      </c>
      <c r="J433" t="s">
        <v>9</v>
      </c>
      <c r="K433" t="s">
        <v>5</v>
      </c>
      <c r="L433" t="s">
        <v>6</v>
      </c>
      <c r="M433" t="s">
        <v>35</v>
      </c>
      <c r="N433" s="2">
        <v>45910</v>
      </c>
    </row>
    <row r="434" spans="1:14" x14ac:dyDescent="0.25">
      <c r="A434" t="s">
        <v>331</v>
      </c>
      <c r="B434" s="2">
        <v>45910</v>
      </c>
      <c r="C434" t="s">
        <v>331</v>
      </c>
      <c r="D434" t="s">
        <v>33</v>
      </c>
      <c r="E434" t="s">
        <v>9</v>
      </c>
      <c r="F434" s="3">
        <v>-7450</v>
      </c>
      <c r="G434" s="3">
        <v>-7450</v>
      </c>
      <c r="H434" t="s">
        <v>3</v>
      </c>
      <c r="I434" t="s">
        <v>3</v>
      </c>
      <c r="J434" t="s">
        <v>9</v>
      </c>
      <c r="K434" t="s">
        <v>5</v>
      </c>
      <c r="L434" t="s">
        <v>6</v>
      </c>
      <c r="M434" t="s">
        <v>35</v>
      </c>
      <c r="N434" s="2">
        <v>45910</v>
      </c>
    </row>
    <row r="435" spans="1:14" x14ac:dyDescent="0.25">
      <c r="A435" s="4" t="s">
        <v>272</v>
      </c>
      <c r="B435" s="5"/>
      <c r="C435" s="4" t="s">
        <v>9</v>
      </c>
      <c r="D435" s="4" t="s">
        <v>9</v>
      </c>
      <c r="E435" s="4" t="s">
        <v>9</v>
      </c>
      <c r="F435" s="6">
        <v>0</v>
      </c>
      <c r="G435" s="6">
        <v>0</v>
      </c>
      <c r="H435" s="4" t="s">
        <v>9</v>
      </c>
      <c r="I435" s="4" t="s">
        <v>3</v>
      </c>
      <c r="J435" s="4" t="s">
        <v>9</v>
      </c>
      <c r="K435" s="4" t="s">
        <v>9</v>
      </c>
      <c r="L435" s="4" t="s">
        <v>9</v>
      </c>
      <c r="M435" s="4" t="s">
        <v>9</v>
      </c>
      <c r="N435" s="5"/>
    </row>
    <row r="436" spans="1:14" x14ac:dyDescent="0.25">
      <c r="A436" t="s">
        <v>331</v>
      </c>
      <c r="B436" s="2">
        <v>45601</v>
      </c>
      <c r="C436" t="s">
        <v>331</v>
      </c>
      <c r="D436" t="s">
        <v>33</v>
      </c>
      <c r="E436" t="s">
        <v>9</v>
      </c>
      <c r="F436" s="3">
        <v>14506</v>
      </c>
      <c r="G436" s="3">
        <v>14506</v>
      </c>
      <c r="H436" t="s">
        <v>3</v>
      </c>
      <c r="I436" t="s">
        <v>3</v>
      </c>
      <c r="J436" t="s">
        <v>9</v>
      </c>
      <c r="K436" t="s">
        <v>9</v>
      </c>
      <c r="L436" t="s">
        <v>8</v>
      </c>
      <c r="M436" t="s">
        <v>35</v>
      </c>
      <c r="N436" s="2">
        <v>45596</v>
      </c>
    </row>
    <row r="437" spans="1:14" x14ac:dyDescent="0.25">
      <c r="A437" t="s">
        <v>331</v>
      </c>
      <c r="B437" s="2">
        <v>45579</v>
      </c>
      <c r="C437" t="s">
        <v>331</v>
      </c>
      <c r="D437" t="s">
        <v>33</v>
      </c>
      <c r="E437" t="s">
        <v>9</v>
      </c>
      <c r="F437" s="3">
        <v>-14506</v>
      </c>
      <c r="G437" s="3">
        <v>-14506</v>
      </c>
      <c r="H437" t="s">
        <v>3</v>
      </c>
      <c r="I437" t="s">
        <v>3</v>
      </c>
      <c r="J437" t="s">
        <v>9</v>
      </c>
      <c r="K437" t="s">
        <v>222</v>
      </c>
      <c r="L437" t="s">
        <v>8</v>
      </c>
      <c r="M437" t="s">
        <v>35</v>
      </c>
      <c r="N437" s="2">
        <v>45579</v>
      </c>
    </row>
    <row r="438" spans="1:14" x14ac:dyDescent="0.25">
      <c r="A438" s="4" t="s">
        <v>278</v>
      </c>
      <c r="B438" s="5"/>
      <c r="C438" s="4" t="s">
        <v>9</v>
      </c>
      <c r="D438" s="4" t="s">
        <v>9</v>
      </c>
      <c r="E438" s="4" t="s">
        <v>9</v>
      </c>
      <c r="F438" s="6">
        <v>0</v>
      </c>
      <c r="G438" s="6">
        <v>0</v>
      </c>
      <c r="H438" s="4" t="s">
        <v>9</v>
      </c>
      <c r="I438" s="4" t="s">
        <v>3</v>
      </c>
      <c r="J438" s="4" t="s">
        <v>9</v>
      </c>
      <c r="K438" s="4" t="s">
        <v>9</v>
      </c>
      <c r="L438" s="4" t="s">
        <v>9</v>
      </c>
      <c r="M438" s="4" t="s">
        <v>9</v>
      </c>
      <c r="N438" s="5"/>
    </row>
    <row r="439" spans="1:14" x14ac:dyDescent="0.25">
      <c r="A439" t="s">
        <v>331</v>
      </c>
      <c r="B439" s="2">
        <v>45629</v>
      </c>
      <c r="C439" t="s">
        <v>331</v>
      </c>
      <c r="D439" t="s">
        <v>33</v>
      </c>
      <c r="E439" t="s">
        <v>9</v>
      </c>
      <c r="F439" s="3">
        <v>-26077</v>
      </c>
      <c r="G439" s="3">
        <v>-26077</v>
      </c>
      <c r="H439" t="s">
        <v>3</v>
      </c>
      <c r="I439" t="s">
        <v>3</v>
      </c>
      <c r="J439" t="s">
        <v>9</v>
      </c>
      <c r="K439" t="s">
        <v>9</v>
      </c>
      <c r="L439" t="s">
        <v>11</v>
      </c>
      <c r="M439" t="s">
        <v>35</v>
      </c>
      <c r="N439" s="2">
        <v>45626</v>
      </c>
    </row>
    <row r="440" spans="1:14" x14ac:dyDescent="0.25">
      <c r="A440" t="s">
        <v>331</v>
      </c>
      <c r="B440" s="2">
        <v>45993</v>
      </c>
      <c r="C440" t="s">
        <v>331</v>
      </c>
      <c r="D440" t="s">
        <v>33</v>
      </c>
      <c r="E440" t="s">
        <v>9</v>
      </c>
      <c r="F440" s="3">
        <v>91487</v>
      </c>
      <c r="G440" s="3">
        <v>91487</v>
      </c>
      <c r="H440" t="s">
        <v>3</v>
      </c>
      <c r="I440" t="s">
        <v>3</v>
      </c>
      <c r="J440" t="s">
        <v>9</v>
      </c>
      <c r="K440" t="s">
        <v>9</v>
      </c>
      <c r="L440" t="s">
        <v>11</v>
      </c>
      <c r="M440" t="s">
        <v>35</v>
      </c>
      <c r="N440" s="2">
        <v>45991</v>
      </c>
    </row>
    <row r="441" spans="1:14" x14ac:dyDescent="0.25">
      <c r="A441" t="s">
        <v>331</v>
      </c>
      <c r="B441" s="2">
        <v>45614</v>
      </c>
      <c r="C441" t="s">
        <v>331</v>
      </c>
      <c r="D441" t="s">
        <v>33</v>
      </c>
      <c r="E441" t="s">
        <v>9</v>
      </c>
      <c r="F441" s="3">
        <v>14506</v>
      </c>
      <c r="G441" s="3">
        <v>14506</v>
      </c>
      <c r="H441" t="s">
        <v>3</v>
      </c>
      <c r="I441" t="s">
        <v>3</v>
      </c>
      <c r="J441" t="s">
        <v>9</v>
      </c>
      <c r="K441" t="s">
        <v>222</v>
      </c>
      <c r="L441" t="s">
        <v>11</v>
      </c>
      <c r="M441" t="s">
        <v>35</v>
      </c>
      <c r="N441" s="2">
        <v>45614</v>
      </c>
    </row>
    <row r="442" spans="1:14" x14ac:dyDescent="0.25">
      <c r="A442" t="s">
        <v>331</v>
      </c>
      <c r="B442" s="2">
        <v>45614</v>
      </c>
      <c r="C442" t="s">
        <v>331</v>
      </c>
      <c r="D442" t="s">
        <v>33</v>
      </c>
      <c r="E442" t="s">
        <v>9</v>
      </c>
      <c r="F442" s="3">
        <v>93512</v>
      </c>
      <c r="G442" s="3">
        <v>93512</v>
      </c>
      <c r="H442" t="s">
        <v>3</v>
      </c>
      <c r="I442" t="s">
        <v>3</v>
      </c>
      <c r="J442" t="s">
        <v>9</v>
      </c>
      <c r="K442" t="s">
        <v>222</v>
      </c>
      <c r="L442" t="s">
        <v>11</v>
      </c>
      <c r="M442" t="s">
        <v>35</v>
      </c>
      <c r="N442" s="2">
        <v>45614</v>
      </c>
    </row>
    <row r="443" spans="1:14" x14ac:dyDescent="0.25">
      <c r="A443" t="s">
        <v>331</v>
      </c>
      <c r="B443" s="2">
        <v>45614</v>
      </c>
      <c r="C443" t="s">
        <v>331</v>
      </c>
      <c r="D443" t="s">
        <v>33</v>
      </c>
      <c r="E443" t="s">
        <v>9</v>
      </c>
      <c r="F443" s="3">
        <v>3465</v>
      </c>
      <c r="G443" s="3">
        <v>3465</v>
      </c>
      <c r="H443" t="s">
        <v>3</v>
      </c>
      <c r="I443" t="s">
        <v>3</v>
      </c>
      <c r="J443" t="s">
        <v>9</v>
      </c>
      <c r="K443" t="s">
        <v>222</v>
      </c>
      <c r="L443" t="s">
        <v>11</v>
      </c>
      <c r="M443" t="s">
        <v>35</v>
      </c>
      <c r="N443" s="2">
        <v>45614</v>
      </c>
    </row>
    <row r="444" spans="1:14" x14ac:dyDescent="0.25">
      <c r="A444" t="s">
        <v>331</v>
      </c>
      <c r="B444" s="2">
        <v>45614</v>
      </c>
      <c r="C444" t="s">
        <v>331</v>
      </c>
      <c r="D444" t="s">
        <v>33</v>
      </c>
      <c r="E444" t="s">
        <v>9</v>
      </c>
      <c r="F444" s="3">
        <v>25747</v>
      </c>
      <c r="G444" s="3">
        <v>25747</v>
      </c>
      <c r="H444" t="s">
        <v>3</v>
      </c>
      <c r="I444" t="s">
        <v>3</v>
      </c>
      <c r="J444" t="s">
        <v>9</v>
      </c>
      <c r="K444" t="s">
        <v>222</v>
      </c>
      <c r="L444" t="s">
        <v>11</v>
      </c>
      <c r="M444" t="s">
        <v>35</v>
      </c>
      <c r="N444" s="2">
        <v>45614</v>
      </c>
    </row>
    <row r="445" spans="1:14" x14ac:dyDescent="0.25">
      <c r="A445" t="s">
        <v>331</v>
      </c>
      <c r="B445" s="2">
        <v>45614</v>
      </c>
      <c r="C445" t="s">
        <v>331</v>
      </c>
      <c r="D445" t="s">
        <v>33</v>
      </c>
      <c r="E445" t="s">
        <v>9</v>
      </c>
      <c r="F445" s="3">
        <v>-87150</v>
      </c>
      <c r="G445" s="3">
        <v>-87150</v>
      </c>
      <c r="H445" t="s">
        <v>3</v>
      </c>
      <c r="I445" t="s">
        <v>3</v>
      </c>
      <c r="J445" t="s">
        <v>9</v>
      </c>
      <c r="K445" t="s">
        <v>222</v>
      </c>
      <c r="L445" t="s">
        <v>11</v>
      </c>
      <c r="M445" t="s">
        <v>35</v>
      </c>
      <c r="N445" s="2">
        <v>45614</v>
      </c>
    </row>
    <row r="446" spans="1:14" x14ac:dyDescent="0.25">
      <c r="A446" t="s">
        <v>331</v>
      </c>
      <c r="B446" s="2">
        <v>45614</v>
      </c>
      <c r="C446" t="s">
        <v>331</v>
      </c>
      <c r="D446" t="s">
        <v>33</v>
      </c>
      <c r="E446" t="s">
        <v>9</v>
      </c>
      <c r="F446" s="3">
        <v>-24003</v>
      </c>
      <c r="G446" s="3">
        <v>-24003</v>
      </c>
      <c r="H446" t="s">
        <v>3</v>
      </c>
      <c r="I446" t="s">
        <v>3</v>
      </c>
      <c r="J446" t="s">
        <v>9</v>
      </c>
      <c r="K446" t="s">
        <v>222</v>
      </c>
      <c r="L446" t="s">
        <v>11</v>
      </c>
      <c r="M446" t="s">
        <v>35</v>
      </c>
      <c r="N446" s="2">
        <v>45614</v>
      </c>
    </row>
    <row r="447" spans="1:14" x14ac:dyDescent="0.25">
      <c r="A447" t="s">
        <v>331</v>
      </c>
      <c r="B447" s="2">
        <v>45965</v>
      </c>
      <c r="C447" t="s">
        <v>331</v>
      </c>
      <c r="D447" t="s">
        <v>33</v>
      </c>
      <c r="E447" t="s">
        <v>9</v>
      </c>
      <c r="F447" s="3">
        <v>-87841</v>
      </c>
      <c r="G447" s="3">
        <v>-87841</v>
      </c>
      <c r="H447" t="s">
        <v>3</v>
      </c>
      <c r="I447" t="s">
        <v>3</v>
      </c>
      <c r="J447" t="s">
        <v>9</v>
      </c>
      <c r="K447" t="s">
        <v>5</v>
      </c>
      <c r="L447" t="s">
        <v>11</v>
      </c>
      <c r="M447" t="s">
        <v>35</v>
      </c>
      <c r="N447" s="2">
        <v>45965</v>
      </c>
    </row>
    <row r="448" spans="1:14" x14ac:dyDescent="0.25">
      <c r="A448" t="s">
        <v>331</v>
      </c>
      <c r="B448" s="2">
        <v>45979</v>
      </c>
      <c r="C448" t="s">
        <v>331</v>
      </c>
      <c r="D448" t="s">
        <v>33</v>
      </c>
      <c r="E448" t="s">
        <v>9</v>
      </c>
      <c r="F448" s="3">
        <v>-91487</v>
      </c>
      <c r="G448" s="3">
        <v>-91487</v>
      </c>
      <c r="H448" t="s">
        <v>3</v>
      </c>
      <c r="I448" t="s">
        <v>3</v>
      </c>
      <c r="J448" t="s">
        <v>9</v>
      </c>
      <c r="K448" t="s">
        <v>5</v>
      </c>
      <c r="L448" t="s">
        <v>11</v>
      </c>
      <c r="M448" t="s">
        <v>35</v>
      </c>
      <c r="N448" s="2">
        <v>45979</v>
      </c>
    </row>
    <row r="449" spans="1:14" x14ac:dyDescent="0.25">
      <c r="A449" t="s">
        <v>331</v>
      </c>
      <c r="B449" s="2">
        <v>45965</v>
      </c>
      <c r="C449" t="s">
        <v>331</v>
      </c>
      <c r="D449" t="s">
        <v>33</v>
      </c>
      <c r="E449" t="s">
        <v>9</v>
      </c>
      <c r="F449" s="3">
        <v>87841</v>
      </c>
      <c r="G449" s="3">
        <v>87841</v>
      </c>
      <c r="H449" t="s">
        <v>3</v>
      </c>
      <c r="I449" t="s">
        <v>3</v>
      </c>
      <c r="J449" t="s">
        <v>9</v>
      </c>
      <c r="K449" t="s">
        <v>5</v>
      </c>
      <c r="L449" t="s">
        <v>11</v>
      </c>
      <c r="M449" t="s">
        <v>35</v>
      </c>
      <c r="N449" s="2">
        <v>45965</v>
      </c>
    </row>
    <row r="450" spans="1:14" x14ac:dyDescent="0.25">
      <c r="A450" s="4" t="s">
        <v>226</v>
      </c>
      <c r="B450" s="5"/>
      <c r="C450" s="4" t="s">
        <v>9</v>
      </c>
      <c r="D450" s="4" t="s">
        <v>9</v>
      </c>
      <c r="E450" s="4" t="s">
        <v>9</v>
      </c>
      <c r="F450" s="6">
        <v>0</v>
      </c>
      <c r="G450" s="6">
        <v>0</v>
      </c>
      <c r="H450" s="4" t="s">
        <v>9</v>
      </c>
      <c r="I450" s="4" t="s">
        <v>3</v>
      </c>
      <c r="J450" s="4" t="s">
        <v>9</v>
      </c>
      <c r="K450" s="4" t="s">
        <v>9</v>
      </c>
      <c r="L450" s="4" t="s">
        <v>9</v>
      </c>
      <c r="M450" s="4" t="s">
        <v>9</v>
      </c>
      <c r="N450" s="5"/>
    </row>
    <row r="451" spans="1:14" x14ac:dyDescent="0.25">
      <c r="A451" t="s">
        <v>331</v>
      </c>
      <c r="B451" s="2">
        <v>45295</v>
      </c>
      <c r="C451" t="s">
        <v>331</v>
      </c>
      <c r="D451" t="s">
        <v>33</v>
      </c>
      <c r="E451" t="s">
        <v>9</v>
      </c>
      <c r="F451" s="3">
        <v>28219</v>
      </c>
      <c r="G451" s="3">
        <v>28219</v>
      </c>
      <c r="H451" t="s">
        <v>3</v>
      </c>
      <c r="I451" t="s">
        <v>3</v>
      </c>
      <c r="J451" t="s">
        <v>9</v>
      </c>
      <c r="K451" t="s">
        <v>9</v>
      </c>
      <c r="L451" t="s">
        <v>12</v>
      </c>
      <c r="M451" t="s">
        <v>35</v>
      </c>
      <c r="N451" s="2">
        <v>45291</v>
      </c>
    </row>
    <row r="452" spans="1:14" x14ac:dyDescent="0.25">
      <c r="A452" t="s">
        <v>331</v>
      </c>
      <c r="B452" s="2">
        <v>45660</v>
      </c>
      <c r="C452" t="s">
        <v>331</v>
      </c>
      <c r="D452" t="s">
        <v>33</v>
      </c>
      <c r="E452" t="s">
        <v>9</v>
      </c>
      <c r="F452" s="3">
        <v>12394</v>
      </c>
      <c r="G452" s="3">
        <v>12394</v>
      </c>
      <c r="H452" t="s">
        <v>3</v>
      </c>
      <c r="I452" t="s">
        <v>3</v>
      </c>
      <c r="J452" t="s">
        <v>9</v>
      </c>
      <c r="K452" t="s">
        <v>9</v>
      </c>
      <c r="L452" t="s">
        <v>12</v>
      </c>
      <c r="M452" t="s">
        <v>35</v>
      </c>
      <c r="N452" s="2">
        <v>45657</v>
      </c>
    </row>
    <row r="453" spans="1:14" x14ac:dyDescent="0.25">
      <c r="A453" t="s">
        <v>331</v>
      </c>
      <c r="B453" s="2">
        <v>46028</v>
      </c>
      <c r="C453" t="s">
        <v>331</v>
      </c>
      <c r="D453" t="s">
        <v>33</v>
      </c>
      <c r="E453" t="s">
        <v>9</v>
      </c>
      <c r="F453" s="3">
        <v>1208</v>
      </c>
      <c r="G453" s="3">
        <v>1208</v>
      </c>
      <c r="H453" t="s">
        <v>3</v>
      </c>
      <c r="I453" t="s">
        <v>3</v>
      </c>
      <c r="J453" t="s">
        <v>9</v>
      </c>
      <c r="K453" t="s">
        <v>9</v>
      </c>
      <c r="L453" t="s">
        <v>12</v>
      </c>
      <c r="M453" t="s">
        <v>35</v>
      </c>
      <c r="N453" s="2">
        <v>46022</v>
      </c>
    </row>
    <row r="454" spans="1:14" x14ac:dyDescent="0.25">
      <c r="A454" t="s">
        <v>331</v>
      </c>
      <c r="B454" s="2">
        <v>45271</v>
      </c>
      <c r="C454" t="s">
        <v>331</v>
      </c>
      <c r="D454" t="s">
        <v>33</v>
      </c>
      <c r="E454" t="s">
        <v>9</v>
      </c>
      <c r="F454" s="3">
        <v>-28219</v>
      </c>
      <c r="G454" s="3">
        <v>-28219</v>
      </c>
      <c r="H454" t="s">
        <v>3</v>
      </c>
      <c r="I454" t="s">
        <v>3</v>
      </c>
      <c r="J454" t="s">
        <v>9</v>
      </c>
      <c r="K454" t="s">
        <v>225</v>
      </c>
      <c r="L454" t="s">
        <v>12</v>
      </c>
      <c r="M454" t="s">
        <v>35</v>
      </c>
      <c r="N454" s="2">
        <v>45271</v>
      </c>
    </row>
    <row r="455" spans="1:14" x14ac:dyDescent="0.25">
      <c r="A455" t="s">
        <v>331</v>
      </c>
      <c r="B455" s="2">
        <v>45642</v>
      </c>
      <c r="C455" t="s">
        <v>331</v>
      </c>
      <c r="D455" t="s">
        <v>33</v>
      </c>
      <c r="E455" t="s">
        <v>9</v>
      </c>
      <c r="F455" s="3">
        <v>-12394</v>
      </c>
      <c r="G455" s="3">
        <v>-12394</v>
      </c>
      <c r="H455" t="s">
        <v>3</v>
      </c>
      <c r="I455" t="s">
        <v>3</v>
      </c>
      <c r="J455" t="s">
        <v>9</v>
      </c>
      <c r="K455" t="s">
        <v>222</v>
      </c>
      <c r="L455" t="s">
        <v>12</v>
      </c>
      <c r="M455" t="s">
        <v>35</v>
      </c>
      <c r="N455" s="2">
        <v>45642</v>
      </c>
    </row>
    <row r="456" spans="1:14" x14ac:dyDescent="0.25">
      <c r="A456" t="s">
        <v>331</v>
      </c>
      <c r="B456" s="2">
        <v>46007</v>
      </c>
      <c r="C456" t="s">
        <v>331</v>
      </c>
      <c r="D456" t="s">
        <v>33</v>
      </c>
      <c r="E456" t="s">
        <v>9</v>
      </c>
      <c r="F456" s="3">
        <v>-1208</v>
      </c>
      <c r="G456" s="3">
        <v>-1208</v>
      </c>
      <c r="H456" t="s">
        <v>3</v>
      </c>
      <c r="I456" t="s">
        <v>3</v>
      </c>
      <c r="J456" t="s">
        <v>9</v>
      </c>
      <c r="K456" t="s">
        <v>5</v>
      </c>
      <c r="L456" t="s">
        <v>12</v>
      </c>
      <c r="M456" t="s">
        <v>35</v>
      </c>
      <c r="N456" s="2">
        <v>46007</v>
      </c>
    </row>
    <row r="457" spans="1:14" x14ac:dyDescent="0.25">
      <c r="A457" s="4" t="s">
        <v>228</v>
      </c>
      <c r="B457" s="5"/>
      <c r="C457" s="4" t="s">
        <v>9</v>
      </c>
      <c r="D457" s="4" t="s">
        <v>9</v>
      </c>
      <c r="E457" s="4" t="s">
        <v>9</v>
      </c>
      <c r="F457" s="6">
        <v>0</v>
      </c>
      <c r="G457" s="6">
        <v>0</v>
      </c>
      <c r="H457" s="4" t="s">
        <v>9</v>
      </c>
      <c r="I457" s="4" t="s">
        <v>3</v>
      </c>
      <c r="J457" s="4" t="s">
        <v>9</v>
      </c>
      <c r="K457" s="4" t="s">
        <v>9</v>
      </c>
      <c r="L457" s="4" t="s">
        <v>9</v>
      </c>
      <c r="M457" s="4" t="s">
        <v>9</v>
      </c>
      <c r="N457" s="5"/>
    </row>
    <row r="458" spans="1:14" x14ac:dyDescent="0.25">
      <c r="A458" s="4" t="s">
        <v>331</v>
      </c>
      <c r="B458" s="5"/>
      <c r="C458" s="4" t="s">
        <v>9</v>
      </c>
      <c r="D458" s="4" t="s">
        <v>9</v>
      </c>
      <c r="E458" s="4" t="s">
        <v>9</v>
      </c>
      <c r="F458" s="6">
        <v>0</v>
      </c>
      <c r="G458" s="6">
        <v>0</v>
      </c>
      <c r="H458" s="4" t="s">
        <v>9</v>
      </c>
      <c r="I458" s="4" t="s">
        <v>3</v>
      </c>
      <c r="J458" s="4" t="s">
        <v>9</v>
      </c>
      <c r="K458" s="4" t="s">
        <v>9</v>
      </c>
      <c r="L458" s="4" t="s">
        <v>9</v>
      </c>
      <c r="M458" s="4" t="s">
        <v>9</v>
      </c>
      <c r="N458" s="5"/>
    </row>
    <row r="459" spans="1:14" x14ac:dyDescent="0.25">
      <c r="A459" t="s">
        <v>332</v>
      </c>
      <c r="B459" s="2">
        <v>45324</v>
      </c>
      <c r="C459" t="s">
        <v>332</v>
      </c>
      <c r="D459" t="s">
        <v>112</v>
      </c>
      <c r="E459" t="s">
        <v>9</v>
      </c>
      <c r="F459" s="3">
        <v>-400</v>
      </c>
      <c r="G459" s="3">
        <v>-400</v>
      </c>
      <c r="H459" t="s">
        <v>3</v>
      </c>
      <c r="I459" t="s">
        <v>3</v>
      </c>
      <c r="J459" t="s">
        <v>9</v>
      </c>
      <c r="K459" t="s">
        <v>9</v>
      </c>
      <c r="L459" t="s">
        <v>14</v>
      </c>
      <c r="M459" t="s">
        <v>114</v>
      </c>
      <c r="N459" s="2">
        <v>45322</v>
      </c>
    </row>
    <row r="460" spans="1:14" x14ac:dyDescent="0.25">
      <c r="A460" t="s">
        <v>332</v>
      </c>
      <c r="B460" s="2">
        <v>45693</v>
      </c>
      <c r="C460" t="s">
        <v>332</v>
      </c>
      <c r="D460" t="s">
        <v>112</v>
      </c>
      <c r="E460" t="s">
        <v>9</v>
      </c>
      <c r="F460" s="3">
        <v>-2900</v>
      </c>
      <c r="G460" s="3">
        <v>-2900</v>
      </c>
      <c r="H460" t="s">
        <v>3</v>
      </c>
      <c r="I460" t="s">
        <v>3</v>
      </c>
      <c r="J460" t="s">
        <v>9</v>
      </c>
      <c r="K460" t="s">
        <v>9</v>
      </c>
      <c r="L460" t="s">
        <v>14</v>
      </c>
      <c r="M460" t="s">
        <v>114</v>
      </c>
      <c r="N460" s="2">
        <v>45688</v>
      </c>
    </row>
    <row r="461" spans="1:14" x14ac:dyDescent="0.25">
      <c r="A461" t="s">
        <v>332</v>
      </c>
      <c r="B461" s="2">
        <v>46056</v>
      </c>
      <c r="C461" t="s">
        <v>332</v>
      </c>
      <c r="D461" t="s">
        <v>112</v>
      </c>
      <c r="E461" t="s">
        <v>9</v>
      </c>
      <c r="F461" s="3">
        <v>-100</v>
      </c>
      <c r="G461" s="3">
        <v>-100</v>
      </c>
      <c r="H461" t="s">
        <v>3</v>
      </c>
      <c r="I461" t="s">
        <v>3</v>
      </c>
      <c r="J461" t="s">
        <v>9</v>
      </c>
      <c r="K461" t="s">
        <v>9</v>
      </c>
      <c r="L461" t="s">
        <v>14</v>
      </c>
      <c r="M461" t="s">
        <v>114</v>
      </c>
      <c r="N461" s="2">
        <v>46053</v>
      </c>
    </row>
    <row r="462" spans="1:14" x14ac:dyDescent="0.25">
      <c r="A462" t="s">
        <v>332</v>
      </c>
      <c r="B462" s="2">
        <v>45322</v>
      </c>
      <c r="C462" t="s">
        <v>332</v>
      </c>
      <c r="D462" t="s">
        <v>112</v>
      </c>
      <c r="E462" t="s">
        <v>9</v>
      </c>
      <c r="F462" s="3">
        <v>200</v>
      </c>
      <c r="G462" s="3">
        <v>200</v>
      </c>
      <c r="H462" t="s">
        <v>3</v>
      </c>
      <c r="I462" t="s">
        <v>3</v>
      </c>
      <c r="J462" t="s">
        <v>233</v>
      </c>
      <c r="K462" t="s">
        <v>222</v>
      </c>
      <c r="L462" t="s">
        <v>14</v>
      </c>
      <c r="M462" t="s">
        <v>114</v>
      </c>
      <c r="N462" s="2">
        <v>45322</v>
      </c>
    </row>
    <row r="463" spans="1:14" x14ac:dyDescent="0.25">
      <c r="A463" t="s">
        <v>332</v>
      </c>
      <c r="B463" s="2">
        <v>45322</v>
      </c>
      <c r="C463" t="s">
        <v>332</v>
      </c>
      <c r="D463" t="s">
        <v>112</v>
      </c>
      <c r="E463" t="s">
        <v>9</v>
      </c>
      <c r="F463" s="3">
        <v>200</v>
      </c>
      <c r="G463" s="3">
        <v>200</v>
      </c>
      <c r="H463" t="s">
        <v>3</v>
      </c>
      <c r="I463" t="s">
        <v>3</v>
      </c>
      <c r="J463" t="s">
        <v>333</v>
      </c>
      <c r="K463" t="s">
        <v>222</v>
      </c>
      <c r="L463" t="s">
        <v>14</v>
      </c>
      <c r="M463" t="s">
        <v>114</v>
      </c>
      <c r="N463" s="2">
        <v>45322</v>
      </c>
    </row>
    <row r="464" spans="1:14" x14ac:dyDescent="0.25">
      <c r="A464" t="s">
        <v>332</v>
      </c>
      <c r="B464" s="2">
        <v>45688</v>
      </c>
      <c r="C464" t="s">
        <v>332</v>
      </c>
      <c r="D464" t="s">
        <v>112</v>
      </c>
      <c r="E464" t="s">
        <v>9</v>
      </c>
      <c r="F464" s="3">
        <v>2900</v>
      </c>
      <c r="G464" s="3">
        <v>2900</v>
      </c>
      <c r="H464" t="s">
        <v>3</v>
      </c>
      <c r="I464" t="s">
        <v>3</v>
      </c>
      <c r="J464" t="s">
        <v>297</v>
      </c>
      <c r="K464" t="s">
        <v>5</v>
      </c>
      <c r="L464" t="s">
        <v>14</v>
      </c>
      <c r="M464" t="s">
        <v>114</v>
      </c>
      <c r="N464" s="2">
        <v>45688</v>
      </c>
    </row>
    <row r="465" spans="1:14" x14ac:dyDescent="0.25">
      <c r="A465" t="s">
        <v>332</v>
      </c>
      <c r="B465" s="2">
        <v>46022</v>
      </c>
      <c r="C465" t="s">
        <v>332</v>
      </c>
      <c r="D465" t="s">
        <v>112</v>
      </c>
      <c r="E465" t="s">
        <v>9</v>
      </c>
      <c r="F465" s="3">
        <v>-17450</v>
      </c>
      <c r="G465" s="3">
        <v>-17450</v>
      </c>
      <c r="H465" t="s">
        <v>3</v>
      </c>
      <c r="I465" t="s">
        <v>3</v>
      </c>
      <c r="J465" t="s">
        <v>298</v>
      </c>
      <c r="K465" t="s">
        <v>13</v>
      </c>
      <c r="L465" t="s">
        <v>14</v>
      </c>
      <c r="M465" t="s">
        <v>114</v>
      </c>
      <c r="N465" s="2">
        <v>46023</v>
      </c>
    </row>
    <row r="466" spans="1:14" x14ac:dyDescent="0.25">
      <c r="A466" t="s">
        <v>332</v>
      </c>
      <c r="B466" s="2">
        <v>46023</v>
      </c>
      <c r="C466" t="s">
        <v>332</v>
      </c>
      <c r="D466" t="s">
        <v>112</v>
      </c>
      <c r="E466" t="s">
        <v>9</v>
      </c>
      <c r="F466" s="3">
        <v>17450</v>
      </c>
      <c r="G466" s="3">
        <v>17450</v>
      </c>
      <c r="H466" t="s">
        <v>3</v>
      </c>
      <c r="I466" t="s">
        <v>3</v>
      </c>
      <c r="J466" t="s">
        <v>298</v>
      </c>
      <c r="K466" t="s">
        <v>13</v>
      </c>
      <c r="L466" t="s">
        <v>14</v>
      </c>
      <c r="M466" t="s">
        <v>114</v>
      </c>
      <c r="N466" s="2">
        <v>46023</v>
      </c>
    </row>
    <row r="467" spans="1:14" x14ac:dyDescent="0.25">
      <c r="A467" t="s">
        <v>332</v>
      </c>
      <c r="B467" s="2">
        <v>46053</v>
      </c>
      <c r="C467" t="s">
        <v>332</v>
      </c>
      <c r="D467" t="s">
        <v>112</v>
      </c>
      <c r="E467" t="s">
        <v>9</v>
      </c>
      <c r="F467" s="3">
        <v>100</v>
      </c>
      <c r="G467" s="3">
        <v>100</v>
      </c>
      <c r="H467" t="s">
        <v>3</v>
      </c>
      <c r="I467" t="s">
        <v>3</v>
      </c>
      <c r="J467" t="s">
        <v>300</v>
      </c>
      <c r="K467" t="s">
        <v>13</v>
      </c>
      <c r="L467" t="s">
        <v>14</v>
      </c>
      <c r="M467" t="s">
        <v>114</v>
      </c>
      <c r="N467" s="2">
        <v>46053</v>
      </c>
    </row>
    <row r="468" spans="1:14" x14ac:dyDescent="0.25">
      <c r="A468" s="4" t="s">
        <v>234</v>
      </c>
      <c r="B468" s="5"/>
      <c r="C468" s="4" t="s">
        <v>9</v>
      </c>
      <c r="D468" s="4" t="s">
        <v>9</v>
      </c>
      <c r="E468" s="4" t="s">
        <v>9</v>
      </c>
      <c r="F468" s="6">
        <v>0</v>
      </c>
      <c r="G468" s="6">
        <v>0</v>
      </c>
      <c r="H468" s="4" t="s">
        <v>9</v>
      </c>
      <c r="I468" s="4" t="s">
        <v>3</v>
      </c>
      <c r="J468" s="4" t="s">
        <v>9</v>
      </c>
      <c r="K468" s="4" t="s">
        <v>9</v>
      </c>
      <c r="L468" s="4" t="s">
        <v>9</v>
      </c>
      <c r="M468" s="4" t="s">
        <v>9</v>
      </c>
      <c r="N468" s="5"/>
    </row>
    <row r="469" spans="1:14" x14ac:dyDescent="0.25">
      <c r="A469" t="s">
        <v>332</v>
      </c>
      <c r="B469" s="2">
        <v>44988</v>
      </c>
      <c r="C469" t="s">
        <v>332</v>
      </c>
      <c r="D469" t="s">
        <v>112</v>
      </c>
      <c r="E469" t="s">
        <v>9</v>
      </c>
      <c r="F469" s="3">
        <v>-500</v>
      </c>
      <c r="G469" s="3">
        <v>-500</v>
      </c>
      <c r="H469" t="s">
        <v>3</v>
      </c>
      <c r="I469" t="s">
        <v>3</v>
      </c>
      <c r="J469" t="s">
        <v>9</v>
      </c>
      <c r="K469" t="s">
        <v>9</v>
      </c>
      <c r="L469" t="s">
        <v>15</v>
      </c>
      <c r="M469" t="s">
        <v>114</v>
      </c>
      <c r="N469" s="2">
        <v>44985</v>
      </c>
    </row>
    <row r="470" spans="1:14" x14ac:dyDescent="0.25">
      <c r="A470" t="s">
        <v>332</v>
      </c>
      <c r="B470" s="2">
        <v>45356</v>
      </c>
      <c r="C470" t="s">
        <v>332</v>
      </c>
      <c r="D470" t="s">
        <v>112</v>
      </c>
      <c r="E470" t="s">
        <v>9</v>
      </c>
      <c r="F470" s="3">
        <v>-700</v>
      </c>
      <c r="G470" s="3">
        <v>-700</v>
      </c>
      <c r="H470" t="s">
        <v>3</v>
      </c>
      <c r="I470" t="s">
        <v>3</v>
      </c>
      <c r="J470" t="s">
        <v>9</v>
      </c>
      <c r="K470" t="s">
        <v>9</v>
      </c>
      <c r="L470" t="s">
        <v>15</v>
      </c>
      <c r="M470" t="s">
        <v>114</v>
      </c>
      <c r="N470" s="2">
        <v>45351</v>
      </c>
    </row>
    <row r="471" spans="1:14" x14ac:dyDescent="0.25">
      <c r="A471" t="s">
        <v>332</v>
      </c>
      <c r="B471" s="2">
        <v>45720</v>
      </c>
      <c r="C471" t="s">
        <v>332</v>
      </c>
      <c r="D471" t="s">
        <v>112</v>
      </c>
      <c r="E471" t="s">
        <v>9</v>
      </c>
      <c r="F471" s="3">
        <v>-4600</v>
      </c>
      <c r="G471" s="3">
        <v>-4600</v>
      </c>
      <c r="H471" t="s">
        <v>3</v>
      </c>
      <c r="I471" t="s">
        <v>3</v>
      </c>
      <c r="J471" t="s">
        <v>9</v>
      </c>
      <c r="K471" t="s">
        <v>9</v>
      </c>
      <c r="L471" t="s">
        <v>15</v>
      </c>
      <c r="M471" t="s">
        <v>114</v>
      </c>
      <c r="N471" s="2">
        <v>45716</v>
      </c>
    </row>
    <row r="472" spans="1:14" x14ac:dyDescent="0.25">
      <c r="A472" t="s">
        <v>332</v>
      </c>
      <c r="B472" s="2">
        <v>46084</v>
      </c>
      <c r="C472" t="s">
        <v>332</v>
      </c>
      <c r="D472" t="s">
        <v>112</v>
      </c>
      <c r="E472" t="s">
        <v>9</v>
      </c>
      <c r="F472" s="3">
        <v>-100</v>
      </c>
      <c r="G472" s="3">
        <v>-100</v>
      </c>
      <c r="H472" t="s">
        <v>3</v>
      </c>
      <c r="I472" t="s">
        <v>3</v>
      </c>
      <c r="J472" t="s">
        <v>9</v>
      </c>
      <c r="K472" t="s">
        <v>9</v>
      </c>
      <c r="L472" t="s">
        <v>15</v>
      </c>
      <c r="M472" t="s">
        <v>114</v>
      </c>
      <c r="N472" s="2">
        <v>46081</v>
      </c>
    </row>
    <row r="473" spans="1:14" x14ac:dyDescent="0.25">
      <c r="A473" t="s">
        <v>332</v>
      </c>
      <c r="B473" s="2">
        <v>44985</v>
      </c>
      <c r="C473" t="s">
        <v>332</v>
      </c>
      <c r="D473" t="s">
        <v>112</v>
      </c>
      <c r="E473" t="s">
        <v>9</v>
      </c>
      <c r="F473" s="3">
        <v>500</v>
      </c>
      <c r="G473" s="3">
        <v>500</v>
      </c>
      <c r="H473" t="s">
        <v>3</v>
      </c>
      <c r="I473" t="s">
        <v>3</v>
      </c>
      <c r="J473" t="s">
        <v>237</v>
      </c>
      <c r="K473" t="s">
        <v>225</v>
      </c>
      <c r="L473" t="s">
        <v>15</v>
      </c>
      <c r="M473" t="s">
        <v>114</v>
      </c>
      <c r="N473" s="2">
        <v>44985</v>
      </c>
    </row>
    <row r="474" spans="1:14" x14ac:dyDescent="0.25">
      <c r="A474" t="s">
        <v>332</v>
      </c>
      <c r="B474" s="2">
        <v>45322</v>
      </c>
      <c r="C474" t="s">
        <v>332</v>
      </c>
      <c r="D474" t="s">
        <v>112</v>
      </c>
      <c r="E474" t="s">
        <v>9</v>
      </c>
      <c r="F474" s="3">
        <v>-200</v>
      </c>
      <c r="G474" s="3">
        <v>-200</v>
      </c>
      <c r="H474" t="s">
        <v>3</v>
      </c>
      <c r="I474" t="s">
        <v>3</v>
      </c>
      <c r="J474" t="s">
        <v>233</v>
      </c>
      <c r="K474" t="s">
        <v>222</v>
      </c>
      <c r="L474" t="s">
        <v>15</v>
      </c>
      <c r="M474" t="s">
        <v>114</v>
      </c>
      <c r="N474" s="2">
        <v>45323</v>
      </c>
    </row>
    <row r="475" spans="1:14" x14ac:dyDescent="0.25">
      <c r="A475" t="s">
        <v>332</v>
      </c>
      <c r="B475" s="2">
        <v>45322</v>
      </c>
      <c r="C475" t="s">
        <v>332</v>
      </c>
      <c r="D475" t="s">
        <v>112</v>
      </c>
      <c r="E475" t="s">
        <v>9</v>
      </c>
      <c r="F475" s="3">
        <v>-200</v>
      </c>
      <c r="G475" s="3">
        <v>-200</v>
      </c>
      <c r="H475" t="s">
        <v>3</v>
      </c>
      <c r="I475" t="s">
        <v>3</v>
      </c>
      <c r="J475" t="s">
        <v>333</v>
      </c>
      <c r="K475" t="s">
        <v>222</v>
      </c>
      <c r="L475" t="s">
        <v>15</v>
      </c>
      <c r="M475" t="s">
        <v>114</v>
      </c>
      <c r="N475" s="2">
        <v>45323</v>
      </c>
    </row>
    <row r="476" spans="1:14" x14ac:dyDescent="0.25">
      <c r="A476" t="s">
        <v>332</v>
      </c>
      <c r="B476" s="2">
        <v>45351</v>
      </c>
      <c r="C476" t="s">
        <v>332</v>
      </c>
      <c r="D476" t="s">
        <v>112</v>
      </c>
      <c r="E476" t="s">
        <v>9</v>
      </c>
      <c r="F476" s="3">
        <v>700</v>
      </c>
      <c r="G476" s="3">
        <v>700</v>
      </c>
      <c r="H476" t="s">
        <v>3</v>
      </c>
      <c r="I476" t="s">
        <v>3</v>
      </c>
      <c r="J476" t="s">
        <v>238</v>
      </c>
      <c r="K476" t="s">
        <v>222</v>
      </c>
      <c r="L476" t="s">
        <v>15</v>
      </c>
      <c r="M476" t="s">
        <v>114</v>
      </c>
      <c r="N476" s="2">
        <v>45351</v>
      </c>
    </row>
    <row r="477" spans="1:14" x14ac:dyDescent="0.25">
      <c r="A477" t="s">
        <v>332</v>
      </c>
      <c r="B477" s="2">
        <v>45351</v>
      </c>
      <c r="C477" t="s">
        <v>332</v>
      </c>
      <c r="D477" t="s">
        <v>112</v>
      </c>
      <c r="E477" t="s">
        <v>9</v>
      </c>
      <c r="F477" s="3">
        <v>400</v>
      </c>
      <c r="G477" s="3">
        <v>400</v>
      </c>
      <c r="H477" t="s">
        <v>3</v>
      </c>
      <c r="I477" t="s">
        <v>3</v>
      </c>
      <c r="J477" t="s">
        <v>334</v>
      </c>
      <c r="K477" t="s">
        <v>222</v>
      </c>
      <c r="L477" t="s">
        <v>15</v>
      </c>
      <c r="M477" t="s">
        <v>114</v>
      </c>
      <c r="N477" s="2">
        <v>45351</v>
      </c>
    </row>
    <row r="478" spans="1:14" x14ac:dyDescent="0.25">
      <c r="A478" t="s">
        <v>332</v>
      </c>
      <c r="B478" s="2">
        <v>45688</v>
      </c>
      <c r="C478" t="s">
        <v>332</v>
      </c>
      <c r="D478" t="s">
        <v>112</v>
      </c>
      <c r="E478" t="s">
        <v>9</v>
      </c>
      <c r="F478" s="3">
        <v>-2900</v>
      </c>
      <c r="G478" s="3">
        <v>-2900</v>
      </c>
      <c r="H478" t="s">
        <v>3</v>
      </c>
      <c r="I478" t="s">
        <v>3</v>
      </c>
      <c r="J478" t="s">
        <v>297</v>
      </c>
      <c r="K478" t="s">
        <v>5</v>
      </c>
      <c r="L478" t="s">
        <v>15</v>
      </c>
      <c r="M478" t="s">
        <v>114</v>
      </c>
      <c r="N478" s="2">
        <v>45689</v>
      </c>
    </row>
    <row r="479" spans="1:14" x14ac:dyDescent="0.25">
      <c r="A479" t="s">
        <v>332</v>
      </c>
      <c r="B479" s="2">
        <v>45716</v>
      </c>
      <c r="C479" t="s">
        <v>332</v>
      </c>
      <c r="D479" t="s">
        <v>112</v>
      </c>
      <c r="E479" t="s">
        <v>9</v>
      </c>
      <c r="F479" s="3">
        <v>7500</v>
      </c>
      <c r="G479" s="3">
        <v>7500</v>
      </c>
      <c r="H479" t="s">
        <v>3</v>
      </c>
      <c r="I479" t="s">
        <v>3</v>
      </c>
      <c r="J479" t="s">
        <v>303</v>
      </c>
      <c r="K479" t="s">
        <v>5</v>
      </c>
      <c r="L479" t="s">
        <v>15</v>
      </c>
      <c r="M479" t="s">
        <v>114</v>
      </c>
      <c r="N479" s="2">
        <v>45716</v>
      </c>
    </row>
    <row r="480" spans="1:14" x14ac:dyDescent="0.25">
      <c r="A480" t="s">
        <v>332</v>
      </c>
      <c r="B480" s="2">
        <v>46054</v>
      </c>
      <c r="C480" t="s">
        <v>332</v>
      </c>
      <c r="D480" t="s">
        <v>112</v>
      </c>
      <c r="E480" t="s">
        <v>9</v>
      </c>
      <c r="F480" s="3">
        <v>-100</v>
      </c>
      <c r="G480" s="3">
        <v>-100</v>
      </c>
      <c r="H480" t="s">
        <v>3</v>
      </c>
      <c r="I480" t="s">
        <v>3</v>
      </c>
      <c r="J480" t="s">
        <v>300</v>
      </c>
      <c r="K480" t="s">
        <v>13</v>
      </c>
      <c r="L480" t="s">
        <v>15</v>
      </c>
      <c r="M480" t="s">
        <v>114</v>
      </c>
      <c r="N480" s="2">
        <v>46054</v>
      </c>
    </row>
    <row r="481" spans="1:14" x14ac:dyDescent="0.25">
      <c r="A481" t="s">
        <v>332</v>
      </c>
      <c r="B481" s="2">
        <v>46054</v>
      </c>
      <c r="C481" t="s">
        <v>332</v>
      </c>
      <c r="D481" t="s">
        <v>112</v>
      </c>
      <c r="E481" t="s">
        <v>9</v>
      </c>
      <c r="F481" s="3">
        <v>100</v>
      </c>
      <c r="G481" s="3">
        <v>100</v>
      </c>
      <c r="H481" t="s">
        <v>3</v>
      </c>
      <c r="I481" t="s">
        <v>3</v>
      </c>
      <c r="J481" t="s">
        <v>300</v>
      </c>
      <c r="K481" t="s">
        <v>13</v>
      </c>
      <c r="L481" t="s">
        <v>15</v>
      </c>
      <c r="M481" t="s">
        <v>114</v>
      </c>
      <c r="N481" s="2">
        <v>46055</v>
      </c>
    </row>
    <row r="482" spans="1:14" x14ac:dyDescent="0.25">
      <c r="A482" t="s">
        <v>332</v>
      </c>
      <c r="B482" s="2">
        <v>46054</v>
      </c>
      <c r="C482" t="s">
        <v>332</v>
      </c>
      <c r="D482" t="s">
        <v>112</v>
      </c>
      <c r="E482" t="s">
        <v>9</v>
      </c>
      <c r="F482" s="3">
        <v>-100</v>
      </c>
      <c r="G482" s="3">
        <v>-100</v>
      </c>
      <c r="H482" t="s">
        <v>3</v>
      </c>
      <c r="I482" t="s">
        <v>3</v>
      </c>
      <c r="J482" t="s">
        <v>300</v>
      </c>
      <c r="K482" t="s">
        <v>13</v>
      </c>
      <c r="L482" t="s">
        <v>15</v>
      </c>
      <c r="M482" t="s">
        <v>114</v>
      </c>
      <c r="N482" s="2">
        <v>46054</v>
      </c>
    </row>
    <row r="483" spans="1:14" x14ac:dyDescent="0.25">
      <c r="A483" t="s">
        <v>332</v>
      </c>
      <c r="B483" s="2">
        <v>46081</v>
      </c>
      <c r="C483" t="s">
        <v>332</v>
      </c>
      <c r="D483" t="s">
        <v>112</v>
      </c>
      <c r="E483" t="s">
        <v>9</v>
      </c>
      <c r="F483" s="3">
        <v>200</v>
      </c>
      <c r="G483" s="3">
        <v>200</v>
      </c>
      <c r="H483" t="s">
        <v>3</v>
      </c>
      <c r="I483" t="s">
        <v>3</v>
      </c>
      <c r="J483" t="s">
        <v>304</v>
      </c>
      <c r="K483" t="s">
        <v>13</v>
      </c>
      <c r="L483" t="s">
        <v>15</v>
      </c>
      <c r="M483" t="s">
        <v>114</v>
      </c>
      <c r="N483" s="2">
        <v>46081</v>
      </c>
    </row>
    <row r="484" spans="1:14" x14ac:dyDescent="0.25">
      <c r="A484" s="4" t="s">
        <v>239</v>
      </c>
      <c r="B484" s="5"/>
      <c r="C484" s="4" t="s">
        <v>9</v>
      </c>
      <c r="D484" s="4" t="s">
        <v>9</v>
      </c>
      <c r="E484" s="4" t="s">
        <v>9</v>
      </c>
      <c r="F484" s="6">
        <v>0</v>
      </c>
      <c r="G484" s="6">
        <v>0</v>
      </c>
      <c r="H484" s="4" t="s">
        <v>9</v>
      </c>
      <c r="I484" s="4" t="s">
        <v>3</v>
      </c>
      <c r="J484" s="4" t="s">
        <v>9</v>
      </c>
      <c r="K484" s="4" t="s">
        <v>9</v>
      </c>
      <c r="L484" s="4" t="s">
        <v>9</v>
      </c>
      <c r="M484" s="4" t="s">
        <v>9</v>
      </c>
      <c r="N484" s="5"/>
    </row>
    <row r="485" spans="1:14" x14ac:dyDescent="0.25">
      <c r="A485" t="s">
        <v>332</v>
      </c>
      <c r="B485" s="2">
        <v>45020</v>
      </c>
      <c r="C485" t="s">
        <v>332</v>
      </c>
      <c r="D485" t="s">
        <v>112</v>
      </c>
      <c r="E485" t="s">
        <v>9</v>
      </c>
      <c r="F485" s="3">
        <v>-1800</v>
      </c>
      <c r="G485" s="3">
        <v>-1800</v>
      </c>
      <c r="H485" t="s">
        <v>3</v>
      </c>
      <c r="I485" t="s">
        <v>3</v>
      </c>
      <c r="J485" t="s">
        <v>9</v>
      </c>
      <c r="K485" t="s">
        <v>9</v>
      </c>
      <c r="L485" t="s">
        <v>16</v>
      </c>
      <c r="M485" t="s">
        <v>114</v>
      </c>
      <c r="N485" s="2">
        <v>45016</v>
      </c>
    </row>
    <row r="486" spans="1:14" x14ac:dyDescent="0.25">
      <c r="A486" t="s">
        <v>332</v>
      </c>
      <c r="B486" s="2">
        <v>45379</v>
      </c>
      <c r="C486" t="s">
        <v>332</v>
      </c>
      <c r="D486" t="s">
        <v>112</v>
      </c>
      <c r="E486" t="s">
        <v>9</v>
      </c>
      <c r="F486" s="3">
        <v>1100</v>
      </c>
      <c r="G486" s="3">
        <v>1100</v>
      </c>
      <c r="H486" t="s">
        <v>3</v>
      </c>
      <c r="I486" t="s">
        <v>3</v>
      </c>
      <c r="J486" t="s">
        <v>9</v>
      </c>
      <c r="K486" t="s">
        <v>9</v>
      </c>
      <c r="L486" t="s">
        <v>16</v>
      </c>
      <c r="M486" t="s">
        <v>114</v>
      </c>
      <c r="N486" s="2">
        <v>45382</v>
      </c>
    </row>
    <row r="487" spans="1:14" x14ac:dyDescent="0.25">
      <c r="A487" t="s">
        <v>332</v>
      </c>
      <c r="B487" s="2">
        <v>45386</v>
      </c>
      <c r="C487" t="s">
        <v>332</v>
      </c>
      <c r="D487" t="s">
        <v>112</v>
      </c>
      <c r="E487" t="s">
        <v>9</v>
      </c>
      <c r="F487" s="3">
        <v>-1400</v>
      </c>
      <c r="G487" s="3">
        <v>-1400</v>
      </c>
      <c r="H487" t="s">
        <v>3</v>
      </c>
      <c r="I487" t="s">
        <v>3</v>
      </c>
      <c r="J487" t="s">
        <v>9</v>
      </c>
      <c r="K487" t="s">
        <v>9</v>
      </c>
      <c r="L487" t="s">
        <v>16</v>
      </c>
      <c r="M487" t="s">
        <v>114</v>
      </c>
      <c r="N487" s="2">
        <v>45382</v>
      </c>
    </row>
    <row r="488" spans="1:14" x14ac:dyDescent="0.25">
      <c r="A488" t="s">
        <v>332</v>
      </c>
      <c r="B488" s="2">
        <v>45749</v>
      </c>
      <c r="C488" t="s">
        <v>332</v>
      </c>
      <c r="D488" t="s">
        <v>112</v>
      </c>
      <c r="E488" t="s">
        <v>9</v>
      </c>
      <c r="F488" s="3">
        <v>-3500</v>
      </c>
      <c r="G488" s="3">
        <v>-3500</v>
      </c>
      <c r="H488" t="s">
        <v>3</v>
      </c>
      <c r="I488" t="s">
        <v>3</v>
      </c>
      <c r="J488" t="s">
        <v>9</v>
      </c>
      <c r="K488" t="s">
        <v>9</v>
      </c>
      <c r="L488" t="s">
        <v>16</v>
      </c>
      <c r="M488" t="s">
        <v>114</v>
      </c>
      <c r="N488" s="2">
        <v>45747</v>
      </c>
    </row>
    <row r="489" spans="1:14" x14ac:dyDescent="0.25">
      <c r="A489" t="s">
        <v>332</v>
      </c>
      <c r="B489" s="2">
        <v>44985</v>
      </c>
      <c r="C489" t="s">
        <v>332</v>
      </c>
      <c r="D489" t="s">
        <v>112</v>
      </c>
      <c r="E489" t="s">
        <v>9</v>
      </c>
      <c r="F489" s="3">
        <v>-500</v>
      </c>
      <c r="G489" s="3">
        <v>-500</v>
      </c>
      <c r="H489" t="s">
        <v>3</v>
      </c>
      <c r="I489" t="s">
        <v>3</v>
      </c>
      <c r="J489" t="s">
        <v>237</v>
      </c>
      <c r="K489" t="s">
        <v>225</v>
      </c>
      <c r="L489" t="s">
        <v>16</v>
      </c>
      <c r="M489" t="s">
        <v>114</v>
      </c>
      <c r="N489" s="2">
        <v>44986</v>
      </c>
    </row>
    <row r="490" spans="1:14" x14ac:dyDescent="0.25">
      <c r="A490" t="s">
        <v>332</v>
      </c>
      <c r="B490" s="2">
        <v>45016</v>
      </c>
      <c r="C490" t="s">
        <v>332</v>
      </c>
      <c r="D490" t="s">
        <v>112</v>
      </c>
      <c r="E490" t="s">
        <v>9</v>
      </c>
      <c r="F490" s="3">
        <v>2300</v>
      </c>
      <c r="G490" s="3">
        <v>2300</v>
      </c>
      <c r="H490" t="s">
        <v>3</v>
      </c>
      <c r="I490" t="s">
        <v>3</v>
      </c>
      <c r="J490" t="s">
        <v>242</v>
      </c>
      <c r="K490" t="s">
        <v>225</v>
      </c>
      <c r="L490" t="s">
        <v>16</v>
      </c>
      <c r="M490" t="s">
        <v>114</v>
      </c>
      <c r="N490" s="2">
        <v>45016</v>
      </c>
    </row>
    <row r="491" spans="1:14" x14ac:dyDescent="0.25">
      <c r="A491" t="s">
        <v>332</v>
      </c>
      <c r="B491" s="2">
        <v>45351</v>
      </c>
      <c r="C491" t="s">
        <v>332</v>
      </c>
      <c r="D491" t="s">
        <v>112</v>
      </c>
      <c r="E491" t="s">
        <v>9</v>
      </c>
      <c r="F491" s="3">
        <v>-700</v>
      </c>
      <c r="G491" s="3">
        <v>-700</v>
      </c>
      <c r="H491" t="s">
        <v>3</v>
      </c>
      <c r="I491" t="s">
        <v>3</v>
      </c>
      <c r="J491" t="s">
        <v>238</v>
      </c>
      <c r="K491" t="s">
        <v>222</v>
      </c>
      <c r="L491" t="s">
        <v>16</v>
      </c>
      <c r="M491" t="s">
        <v>114</v>
      </c>
      <c r="N491" s="2">
        <v>45352</v>
      </c>
    </row>
    <row r="492" spans="1:14" x14ac:dyDescent="0.25">
      <c r="A492" t="s">
        <v>332</v>
      </c>
      <c r="B492" s="2">
        <v>45351</v>
      </c>
      <c r="C492" t="s">
        <v>332</v>
      </c>
      <c r="D492" t="s">
        <v>112</v>
      </c>
      <c r="E492" t="s">
        <v>9</v>
      </c>
      <c r="F492" s="3">
        <v>-400</v>
      </c>
      <c r="G492" s="3">
        <v>-400</v>
      </c>
      <c r="H492" t="s">
        <v>3</v>
      </c>
      <c r="I492" t="s">
        <v>3</v>
      </c>
      <c r="J492" t="s">
        <v>334</v>
      </c>
      <c r="K492" t="s">
        <v>222</v>
      </c>
      <c r="L492" t="s">
        <v>16</v>
      </c>
      <c r="M492" t="s">
        <v>114</v>
      </c>
      <c r="N492" s="2">
        <v>45352</v>
      </c>
    </row>
    <row r="493" spans="1:14" x14ac:dyDescent="0.25">
      <c r="A493" t="s">
        <v>332</v>
      </c>
      <c r="B493" s="2">
        <v>45382</v>
      </c>
      <c r="C493" t="s">
        <v>332</v>
      </c>
      <c r="D493" t="s">
        <v>112</v>
      </c>
      <c r="E493" t="s">
        <v>9</v>
      </c>
      <c r="F493" s="3">
        <v>900</v>
      </c>
      <c r="G493" s="3">
        <v>900</v>
      </c>
      <c r="H493" t="s">
        <v>3</v>
      </c>
      <c r="I493" t="s">
        <v>3</v>
      </c>
      <c r="J493" t="s">
        <v>243</v>
      </c>
      <c r="K493" t="s">
        <v>222</v>
      </c>
      <c r="L493" t="s">
        <v>16</v>
      </c>
      <c r="M493" t="s">
        <v>114</v>
      </c>
      <c r="N493" s="2">
        <v>45382</v>
      </c>
    </row>
    <row r="494" spans="1:14" x14ac:dyDescent="0.25">
      <c r="A494" t="s">
        <v>332</v>
      </c>
      <c r="B494" s="2">
        <v>45382</v>
      </c>
      <c r="C494" t="s">
        <v>332</v>
      </c>
      <c r="D494" t="s">
        <v>112</v>
      </c>
      <c r="E494" t="s">
        <v>9</v>
      </c>
      <c r="F494" s="3">
        <v>500</v>
      </c>
      <c r="G494" s="3">
        <v>500</v>
      </c>
      <c r="H494" t="s">
        <v>3</v>
      </c>
      <c r="I494" t="s">
        <v>3</v>
      </c>
      <c r="J494" t="s">
        <v>335</v>
      </c>
      <c r="K494" t="s">
        <v>222</v>
      </c>
      <c r="L494" t="s">
        <v>16</v>
      </c>
      <c r="M494" t="s">
        <v>114</v>
      </c>
      <c r="N494" s="2">
        <v>45382</v>
      </c>
    </row>
    <row r="495" spans="1:14" x14ac:dyDescent="0.25">
      <c r="A495" t="s">
        <v>332</v>
      </c>
      <c r="B495" s="2">
        <v>45717</v>
      </c>
      <c r="C495" t="s">
        <v>332</v>
      </c>
      <c r="D495" t="s">
        <v>112</v>
      </c>
      <c r="E495" t="s">
        <v>9</v>
      </c>
      <c r="F495" s="3">
        <v>-7500</v>
      </c>
      <c r="G495" s="3">
        <v>-7500</v>
      </c>
      <c r="H495" t="s">
        <v>3</v>
      </c>
      <c r="I495" t="s">
        <v>3</v>
      </c>
      <c r="J495" t="s">
        <v>303</v>
      </c>
      <c r="K495" t="s">
        <v>5</v>
      </c>
      <c r="L495" t="s">
        <v>16</v>
      </c>
      <c r="M495" t="s">
        <v>114</v>
      </c>
      <c r="N495" s="2">
        <v>45717</v>
      </c>
    </row>
    <row r="496" spans="1:14" x14ac:dyDescent="0.25">
      <c r="A496" t="s">
        <v>332</v>
      </c>
      <c r="B496" s="2">
        <v>45747</v>
      </c>
      <c r="C496" t="s">
        <v>332</v>
      </c>
      <c r="D496" t="s">
        <v>112</v>
      </c>
      <c r="E496" t="s">
        <v>9</v>
      </c>
      <c r="F496" s="3">
        <v>11000</v>
      </c>
      <c r="G496" s="3">
        <v>11000</v>
      </c>
      <c r="H496" t="s">
        <v>3</v>
      </c>
      <c r="I496" t="s">
        <v>3</v>
      </c>
      <c r="J496" t="s">
        <v>305</v>
      </c>
      <c r="K496" t="s">
        <v>5</v>
      </c>
      <c r="L496" t="s">
        <v>16</v>
      </c>
      <c r="M496" t="s">
        <v>114</v>
      </c>
      <c r="N496" s="2">
        <v>45747</v>
      </c>
    </row>
    <row r="497" spans="1:14" x14ac:dyDescent="0.25">
      <c r="A497" t="s">
        <v>332</v>
      </c>
      <c r="B497" s="2">
        <v>46081</v>
      </c>
      <c r="C497" t="s">
        <v>332</v>
      </c>
      <c r="D497" t="s">
        <v>112</v>
      </c>
      <c r="E497" t="s">
        <v>9</v>
      </c>
      <c r="F497" s="3">
        <v>-200</v>
      </c>
      <c r="G497" s="3">
        <v>-200</v>
      </c>
      <c r="H497" t="s">
        <v>3</v>
      </c>
      <c r="I497" t="s">
        <v>3</v>
      </c>
      <c r="J497" t="s">
        <v>304</v>
      </c>
      <c r="K497" t="s">
        <v>13</v>
      </c>
      <c r="L497" t="s">
        <v>16</v>
      </c>
      <c r="M497" t="s">
        <v>114</v>
      </c>
      <c r="N497" s="2">
        <v>46082</v>
      </c>
    </row>
    <row r="498" spans="1:14" x14ac:dyDescent="0.25">
      <c r="A498" t="s">
        <v>332</v>
      </c>
      <c r="B498" s="2">
        <v>46112</v>
      </c>
      <c r="C498" t="s">
        <v>332</v>
      </c>
      <c r="D498" t="s">
        <v>112</v>
      </c>
      <c r="E498" t="s">
        <v>9</v>
      </c>
      <c r="F498" s="3">
        <v>200</v>
      </c>
      <c r="G498" s="3">
        <v>200</v>
      </c>
      <c r="H498" t="s">
        <v>3</v>
      </c>
      <c r="I498" t="s">
        <v>3</v>
      </c>
      <c r="J498" t="s">
        <v>307</v>
      </c>
      <c r="K498" t="s">
        <v>13</v>
      </c>
      <c r="L498" t="s">
        <v>16</v>
      </c>
      <c r="M498" t="s">
        <v>114</v>
      </c>
      <c r="N498" s="2">
        <v>46112</v>
      </c>
    </row>
    <row r="499" spans="1:14" x14ac:dyDescent="0.25">
      <c r="A499" s="4" t="s">
        <v>244</v>
      </c>
      <c r="B499" s="5"/>
      <c r="C499" s="4" t="s">
        <v>9</v>
      </c>
      <c r="D499" s="4" t="s">
        <v>9</v>
      </c>
      <c r="E499" s="4" t="s">
        <v>9</v>
      </c>
      <c r="F499" s="6">
        <v>0</v>
      </c>
      <c r="G499" s="6">
        <v>0</v>
      </c>
      <c r="H499" s="4" t="s">
        <v>9</v>
      </c>
      <c r="I499" s="4" t="s">
        <v>3</v>
      </c>
      <c r="J499" s="4" t="s">
        <v>9</v>
      </c>
      <c r="K499" s="4" t="s">
        <v>9</v>
      </c>
      <c r="L499" s="4" t="s">
        <v>9</v>
      </c>
      <c r="M499" s="4" t="s">
        <v>9</v>
      </c>
      <c r="N499" s="5"/>
    </row>
    <row r="500" spans="1:14" x14ac:dyDescent="0.25">
      <c r="A500" t="s">
        <v>332</v>
      </c>
      <c r="B500" s="2">
        <v>45049</v>
      </c>
      <c r="C500" t="s">
        <v>332</v>
      </c>
      <c r="D500" t="s">
        <v>112</v>
      </c>
      <c r="E500" t="s">
        <v>9</v>
      </c>
      <c r="F500" s="3">
        <v>-1000</v>
      </c>
      <c r="G500" s="3">
        <v>-1000</v>
      </c>
      <c r="H500" t="s">
        <v>3</v>
      </c>
      <c r="I500" t="s">
        <v>3</v>
      </c>
      <c r="J500" t="s">
        <v>9</v>
      </c>
      <c r="K500" t="s">
        <v>9</v>
      </c>
      <c r="L500" t="s">
        <v>17</v>
      </c>
      <c r="M500" t="s">
        <v>114</v>
      </c>
      <c r="N500" s="2">
        <v>45046</v>
      </c>
    </row>
    <row r="501" spans="1:14" x14ac:dyDescent="0.25">
      <c r="A501" t="s">
        <v>332</v>
      </c>
      <c r="B501" s="2">
        <v>45415</v>
      </c>
      <c r="C501" t="s">
        <v>332</v>
      </c>
      <c r="D501" t="s">
        <v>112</v>
      </c>
      <c r="E501" t="s">
        <v>9</v>
      </c>
      <c r="F501" s="3">
        <v>-1900</v>
      </c>
      <c r="G501" s="3">
        <v>-1900</v>
      </c>
      <c r="H501" t="s">
        <v>3</v>
      </c>
      <c r="I501" t="s">
        <v>3</v>
      </c>
      <c r="J501" t="s">
        <v>9</v>
      </c>
      <c r="K501" t="s">
        <v>9</v>
      </c>
      <c r="L501" t="s">
        <v>17</v>
      </c>
      <c r="M501" t="s">
        <v>114</v>
      </c>
      <c r="N501" s="2">
        <v>45412</v>
      </c>
    </row>
    <row r="502" spans="1:14" x14ac:dyDescent="0.25">
      <c r="A502" t="s">
        <v>332</v>
      </c>
      <c r="B502" s="2">
        <v>45782</v>
      </c>
      <c r="C502" t="s">
        <v>332</v>
      </c>
      <c r="D502" t="s">
        <v>112</v>
      </c>
      <c r="E502" t="s">
        <v>9</v>
      </c>
      <c r="F502" s="3">
        <v>400</v>
      </c>
      <c r="G502" s="3">
        <v>400</v>
      </c>
      <c r="H502" t="s">
        <v>3</v>
      </c>
      <c r="I502" t="s">
        <v>3</v>
      </c>
      <c r="J502" t="s">
        <v>9</v>
      </c>
      <c r="K502" t="s">
        <v>9</v>
      </c>
      <c r="L502" t="s">
        <v>17</v>
      </c>
      <c r="M502" t="s">
        <v>114</v>
      </c>
      <c r="N502" s="2">
        <v>45777</v>
      </c>
    </row>
    <row r="503" spans="1:14" x14ac:dyDescent="0.25">
      <c r="A503" t="s">
        <v>332</v>
      </c>
      <c r="B503" s="2">
        <v>46147</v>
      </c>
      <c r="C503" t="s">
        <v>332</v>
      </c>
      <c r="D503" t="s">
        <v>112</v>
      </c>
      <c r="E503" t="s">
        <v>9</v>
      </c>
      <c r="F503" s="3">
        <v>-50</v>
      </c>
      <c r="G503" s="3">
        <v>-50</v>
      </c>
      <c r="H503" t="s">
        <v>3</v>
      </c>
      <c r="I503" t="s">
        <v>3</v>
      </c>
      <c r="J503" t="s">
        <v>9</v>
      </c>
      <c r="K503" t="s">
        <v>9</v>
      </c>
      <c r="L503" t="s">
        <v>17</v>
      </c>
      <c r="M503" t="s">
        <v>114</v>
      </c>
      <c r="N503" s="2">
        <v>46142</v>
      </c>
    </row>
    <row r="504" spans="1:14" x14ac:dyDescent="0.25">
      <c r="A504" t="s">
        <v>332</v>
      </c>
      <c r="B504" s="2">
        <v>45016</v>
      </c>
      <c r="C504" t="s">
        <v>332</v>
      </c>
      <c r="D504" t="s">
        <v>112</v>
      </c>
      <c r="E504" t="s">
        <v>9</v>
      </c>
      <c r="F504" s="3">
        <v>-2300</v>
      </c>
      <c r="G504" s="3">
        <v>-2300</v>
      </c>
      <c r="H504" t="s">
        <v>3</v>
      </c>
      <c r="I504" t="s">
        <v>3</v>
      </c>
      <c r="J504" t="s">
        <v>242</v>
      </c>
      <c r="K504" t="s">
        <v>225</v>
      </c>
      <c r="L504" t="s">
        <v>17</v>
      </c>
      <c r="M504" t="s">
        <v>114</v>
      </c>
      <c r="N504" s="2">
        <v>45017</v>
      </c>
    </row>
    <row r="505" spans="1:14" x14ac:dyDescent="0.25">
      <c r="A505" t="s">
        <v>332</v>
      </c>
      <c r="B505" s="2">
        <v>45046</v>
      </c>
      <c r="C505" t="s">
        <v>332</v>
      </c>
      <c r="D505" t="s">
        <v>112</v>
      </c>
      <c r="E505" t="s">
        <v>9</v>
      </c>
      <c r="F505" s="3">
        <v>3300</v>
      </c>
      <c r="G505" s="3">
        <v>3300</v>
      </c>
      <c r="H505" t="s">
        <v>3</v>
      </c>
      <c r="I505" t="s">
        <v>3</v>
      </c>
      <c r="J505" t="s">
        <v>247</v>
      </c>
      <c r="K505" t="s">
        <v>225</v>
      </c>
      <c r="L505" t="s">
        <v>17</v>
      </c>
      <c r="M505" t="s">
        <v>114</v>
      </c>
      <c r="N505" s="2">
        <v>45046</v>
      </c>
    </row>
    <row r="506" spans="1:14" x14ac:dyDescent="0.25">
      <c r="A506" t="s">
        <v>332</v>
      </c>
      <c r="B506" s="2">
        <v>45382</v>
      </c>
      <c r="C506" t="s">
        <v>332</v>
      </c>
      <c r="D506" t="s">
        <v>112</v>
      </c>
      <c r="E506" t="s">
        <v>9</v>
      </c>
      <c r="F506" s="3">
        <v>-900</v>
      </c>
      <c r="G506" s="3">
        <v>-900</v>
      </c>
      <c r="H506" t="s">
        <v>3</v>
      </c>
      <c r="I506" t="s">
        <v>3</v>
      </c>
      <c r="J506" t="s">
        <v>243</v>
      </c>
      <c r="K506" t="s">
        <v>222</v>
      </c>
      <c r="L506" t="s">
        <v>17</v>
      </c>
      <c r="M506" t="s">
        <v>114</v>
      </c>
      <c r="N506" s="2">
        <v>45383</v>
      </c>
    </row>
    <row r="507" spans="1:14" x14ac:dyDescent="0.25">
      <c r="A507" t="s">
        <v>332</v>
      </c>
      <c r="B507" s="2">
        <v>45382</v>
      </c>
      <c r="C507" t="s">
        <v>332</v>
      </c>
      <c r="D507" t="s">
        <v>112</v>
      </c>
      <c r="E507" t="s">
        <v>9</v>
      </c>
      <c r="F507" s="3">
        <v>-500</v>
      </c>
      <c r="G507" s="3">
        <v>-500</v>
      </c>
      <c r="H507" t="s">
        <v>3</v>
      </c>
      <c r="I507" t="s">
        <v>3</v>
      </c>
      <c r="J507" t="s">
        <v>335</v>
      </c>
      <c r="K507" t="s">
        <v>222</v>
      </c>
      <c r="L507" t="s">
        <v>17</v>
      </c>
      <c r="M507" t="s">
        <v>114</v>
      </c>
      <c r="N507" s="2">
        <v>45383</v>
      </c>
    </row>
    <row r="508" spans="1:14" x14ac:dyDescent="0.25">
      <c r="A508" t="s">
        <v>332</v>
      </c>
      <c r="B508" s="2">
        <v>45412</v>
      </c>
      <c r="C508" t="s">
        <v>332</v>
      </c>
      <c r="D508" t="s">
        <v>112</v>
      </c>
      <c r="E508" t="s">
        <v>9</v>
      </c>
      <c r="F508" s="3">
        <v>2700</v>
      </c>
      <c r="G508" s="3">
        <v>2700</v>
      </c>
      <c r="H508" t="s">
        <v>3</v>
      </c>
      <c r="I508" t="s">
        <v>3</v>
      </c>
      <c r="J508" t="s">
        <v>248</v>
      </c>
      <c r="K508" t="s">
        <v>222</v>
      </c>
      <c r="L508" t="s">
        <v>17</v>
      </c>
      <c r="M508" t="s">
        <v>114</v>
      </c>
      <c r="N508" s="2">
        <v>45412</v>
      </c>
    </row>
    <row r="509" spans="1:14" x14ac:dyDescent="0.25">
      <c r="A509" t="s">
        <v>332</v>
      </c>
      <c r="B509" s="2">
        <v>45412</v>
      </c>
      <c r="C509" t="s">
        <v>332</v>
      </c>
      <c r="D509" t="s">
        <v>112</v>
      </c>
      <c r="E509" t="s">
        <v>9</v>
      </c>
      <c r="F509" s="3">
        <v>600</v>
      </c>
      <c r="G509" s="3">
        <v>600</v>
      </c>
      <c r="H509" t="s">
        <v>3</v>
      </c>
      <c r="I509" t="s">
        <v>3</v>
      </c>
      <c r="J509" t="s">
        <v>336</v>
      </c>
      <c r="K509" t="s">
        <v>222</v>
      </c>
      <c r="L509" t="s">
        <v>17</v>
      </c>
      <c r="M509" t="s">
        <v>114</v>
      </c>
      <c r="N509" s="2">
        <v>45412</v>
      </c>
    </row>
    <row r="510" spans="1:14" x14ac:dyDescent="0.25">
      <c r="A510" t="s">
        <v>332</v>
      </c>
      <c r="B510" s="2">
        <v>45747</v>
      </c>
      <c r="C510" t="s">
        <v>332</v>
      </c>
      <c r="D510" t="s">
        <v>112</v>
      </c>
      <c r="E510" t="s">
        <v>9</v>
      </c>
      <c r="F510" s="3">
        <v>-11000</v>
      </c>
      <c r="G510" s="3">
        <v>-11000</v>
      </c>
      <c r="H510" t="s">
        <v>3</v>
      </c>
      <c r="I510" t="s">
        <v>3</v>
      </c>
      <c r="J510" t="s">
        <v>305</v>
      </c>
      <c r="K510" t="s">
        <v>5</v>
      </c>
      <c r="L510" t="s">
        <v>17</v>
      </c>
      <c r="M510" t="s">
        <v>114</v>
      </c>
      <c r="N510" s="2">
        <v>45748</v>
      </c>
    </row>
    <row r="511" spans="1:14" x14ac:dyDescent="0.25">
      <c r="A511" t="s">
        <v>332</v>
      </c>
      <c r="B511" s="2">
        <v>45777</v>
      </c>
      <c r="C511" t="s">
        <v>332</v>
      </c>
      <c r="D511" t="s">
        <v>112</v>
      </c>
      <c r="E511" t="s">
        <v>9</v>
      </c>
      <c r="F511" s="3">
        <v>10600</v>
      </c>
      <c r="G511" s="3">
        <v>10600</v>
      </c>
      <c r="H511" t="s">
        <v>3</v>
      </c>
      <c r="I511" t="s">
        <v>3</v>
      </c>
      <c r="J511" t="s">
        <v>308</v>
      </c>
      <c r="K511" t="s">
        <v>5</v>
      </c>
      <c r="L511" t="s">
        <v>17</v>
      </c>
      <c r="M511" t="s">
        <v>114</v>
      </c>
      <c r="N511" s="2">
        <v>45777</v>
      </c>
    </row>
    <row r="512" spans="1:14" x14ac:dyDescent="0.25">
      <c r="A512" t="s">
        <v>332</v>
      </c>
      <c r="B512" s="2">
        <v>46112</v>
      </c>
      <c r="C512" t="s">
        <v>332</v>
      </c>
      <c r="D512" t="s">
        <v>112</v>
      </c>
      <c r="E512" t="s">
        <v>9</v>
      </c>
      <c r="F512" s="3">
        <v>-200</v>
      </c>
      <c r="G512" s="3">
        <v>-200</v>
      </c>
      <c r="H512" t="s">
        <v>3</v>
      </c>
      <c r="I512" t="s">
        <v>3</v>
      </c>
      <c r="J512" t="s">
        <v>307</v>
      </c>
      <c r="K512" t="s">
        <v>13</v>
      </c>
      <c r="L512" t="s">
        <v>17</v>
      </c>
      <c r="M512" t="s">
        <v>114</v>
      </c>
      <c r="N512" s="2">
        <v>46113</v>
      </c>
    </row>
    <row r="513" spans="1:14" x14ac:dyDescent="0.25">
      <c r="A513" t="s">
        <v>332</v>
      </c>
      <c r="B513" s="2">
        <v>46142</v>
      </c>
      <c r="C513" t="s">
        <v>332</v>
      </c>
      <c r="D513" t="s">
        <v>112</v>
      </c>
      <c r="E513" t="s">
        <v>9</v>
      </c>
      <c r="F513" s="3">
        <v>250</v>
      </c>
      <c r="G513" s="3">
        <v>250</v>
      </c>
      <c r="H513" t="s">
        <v>3</v>
      </c>
      <c r="I513" t="s">
        <v>3</v>
      </c>
      <c r="J513" t="s">
        <v>310</v>
      </c>
      <c r="K513" t="s">
        <v>13</v>
      </c>
      <c r="L513" t="s">
        <v>17</v>
      </c>
      <c r="M513" t="s">
        <v>114</v>
      </c>
      <c r="N513" s="2">
        <v>46142</v>
      </c>
    </row>
    <row r="514" spans="1:14" x14ac:dyDescent="0.25">
      <c r="A514" s="4" t="s">
        <v>249</v>
      </c>
      <c r="B514" s="5"/>
      <c r="C514" s="4" t="s">
        <v>9</v>
      </c>
      <c r="D514" s="4" t="s">
        <v>9</v>
      </c>
      <c r="E514" s="4" t="s">
        <v>9</v>
      </c>
      <c r="F514" s="6">
        <v>0</v>
      </c>
      <c r="G514" s="6">
        <v>0</v>
      </c>
      <c r="H514" s="4" t="s">
        <v>9</v>
      </c>
      <c r="I514" s="4" t="s">
        <v>3</v>
      </c>
      <c r="J514" s="4" t="s">
        <v>9</v>
      </c>
      <c r="K514" s="4" t="s">
        <v>9</v>
      </c>
      <c r="L514" s="4" t="s">
        <v>9</v>
      </c>
      <c r="M514" s="4" t="s">
        <v>9</v>
      </c>
      <c r="N514" s="5"/>
    </row>
    <row r="515" spans="1:14" x14ac:dyDescent="0.25">
      <c r="A515" t="s">
        <v>332</v>
      </c>
      <c r="B515" s="2">
        <v>45082</v>
      </c>
      <c r="C515" t="s">
        <v>332</v>
      </c>
      <c r="D515" t="s">
        <v>112</v>
      </c>
      <c r="E515" t="s">
        <v>9</v>
      </c>
      <c r="F515" s="3">
        <v>-1200</v>
      </c>
      <c r="G515" s="3">
        <v>-1200</v>
      </c>
      <c r="H515" t="s">
        <v>3</v>
      </c>
      <c r="I515" t="s">
        <v>3</v>
      </c>
      <c r="J515" t="s">
        <v>9</v>
      </c>
      <c r="K515" t="s">
        <v>9</v>
      </c>
      <c r="L515" t="s">
        <v>18</v>
      </c>
      <c r="M515" t="s">
        <v>114</v>
      </c>
      <c r="N515" s="2">
        <v>45077</v>
      </c>
    </row>
    <row r="516" spans="1:14" x14ac:dyDescent="0.25">
      <c r="A516" t="s">
        <v>332</v>
      </c>
      <c r="B516" s="2">
        <v>45046</v>
      </c>
      <c r="C516" t="s">
        <v>332</v>
      </c>
      <c r="D516" t="s">
        <v>112</v>
      </c>
      <c r="E516" t="s">
        <v>9</v>
      </c>
      <c r="F516" s="3">
        <v>-3300</v>
      </c>
      <c r="G516" s="3">
        <v>-3300</v>
      </c>
      <c r="H516" t="s">
        <v>3</v>
      </c>
      <c r="I516" t="s">
        <v>3</v>
      </c>
      <c r="J516" t="s">
        <v>247</v>
      </c>
      <c r="K516" t="s">
        <v>225</v>
      </c>
      <c r="L516" t="s">
        <v>18</v>
      </c>
      <c r="M516" t="s">
        <v>114</v>
      </c>
      <c r="N516" s="2">
        <v>45047</v>
      </c>
    </row>
    <row r="517" spans="1:14" x14ac:dyDescent="0.25">
      <c r="A517" t="s">
        <v>332</v>
      </c>
      <c r="B517" s="2">
        <v>45077</v>
      </c>
      <c r="C517" t="s">
        <v>332</v>
      </c>
      <c r="D517" t="s">
        <v>112</v>
      </c>
      <c r="E517" t="s">
        <v>9</v>
      </c>
      <c r="F517" s="3">
        <v>4500</v>
      </c>
      <c r="G517" s="3">
        <v>4500</v>
      </c>
      <c r="H517" t="s">
        <v>3</v>
      </c>
      <c r="I517" t="s">
        <v>3</v>
      </c>
      <c r="J517" t="s">
        <v>252</v>
      </c>
      <c r="K517" t="s">
        <v>225</v>
      </c>
      <c r="L517" t="s">
        <v>18</v>
      </c>
      <c r="M517" t="s">
        <v>114</v>
      </c>
      <c r="N517" s="2">
        <v>45077</v>
      </c>
    </row>
    <row r="518" spans="1:14" x14ac:dyDescent="0.25">
      <c r="A518" t="s">
        <v>332</v>
      </c>
      <c r="B518" s="2">
        <v>45412</v>
      </c>
      <c r="C518" t="s">
        <v>332</v>
      </c>
      <c r="D518" t="s">
        <v>112</v>
      </c>
      <c r="E518" t="s">
        <v>9</v>
      </c>
      <c r="F518" s="3">
        <v>-2700</v>
      </c>
      <c r="G518" s="3">
        <v>-2700</v>
      </c>
      <c r="H518" t="s">
        <v>3</v>
      </c>
      <c r="I518" t="s">
        <v>3</v>
      </c>
      <c r="J518" t="s">
        <v>248</v>
      </c>
      <c r="K518" t="s">
        <v>222</v>
      </c>
      <c r="L518" t="s">
        <v>18</v>
      </c>
      <c r="M518" t="s">
        <v>114</v>
      </c>
      <c r="N518" s="2">
        <v>45413</v>
      </c>
    </row>
    <row r="519" spans="1:14" x14ac:dyDescent="0.25">
      <c r="A519" t="s">
        <v>332</v>
      </c>
      <c r="B519" s="2">
        <v>45412</v>
      </c>
      <c r="C519" t="s">
        <v>332</v>
      </c>
      <c r="D519" t="s">
        <v>112</v>
      </c>
      <c r="E519" t="s">
        <v>9</v>
      </c>
      <c r="F519" s="3">
        <v>-600</v>
      </c>
      <c r="G519" s="3">
        <v>-600</v>
      </c>
      <c r="H519" t="s">
        <v>3</v>
      </c>
      <c r="I519" t="s">
        <v>3</v>
      </c>
      <c r="J519" t="s">
        <v>336</v>
      </c>
      <c r="K519" t="s">
        <v>222</v>
      </c>
      <c r="L519" t="s">
        <v>18</v>
      </c>
      <c r="M519" t="s">
        <v>114</v>
      </c>
      <c r="N519" s="2">
        <v>45413</v>
      </c>
    </row>
    <row r="520" spans="1:14" x14ac:dyDescent="0.25">
      <c r="A520" t="s">
        <v>332</v>
      </c>
      <c r="B520" s="2">
        <v>45443</v>
      </c>
      <c r="C520" t="s">
        <v>332</v>
      </c>
      <c r="D520" t="s">
        <v>112</v>
      </c>
      <c r="E520" t="s">
        <v>9</v>
      </c>
      <c r="F520" s="3">
        <v>2700</v>
      </c>
      <c r="G520" s="3">
        <v>2700</v>
      </c>
      <c r="H520" t="s">
        <v>3</v>
      </c>
      <c r="I520" t="s">
        <v>3</v>
      </c>
      <c r="J520" t="s">
        <v>253</v>
      </c>
      <c r="K520" t="s">
        <v>222</v>
      </c>
      <c r="L520" t="s">
        <v>18</v>
      </c>
      <c r="M520" t="s">
        <v>114</v>
      </c>
      <c r="N520" s="2">
        <v>45443</v>
      </c>
    </row>
    <row r="521" spans="1:14" x14ac:dyDescent="0.25">
      <c r="A521" t="s">
        <v>332</v>
      </c>
      <c r="B521" s="2">
        <v>45443</v>
      </c>
      <c r="C521" t="s">
        <v>332</v>
      </c>
      <c r="D521" t="s">
        <v>112</v>
      </c>
      <c r="E521" t="s">
        <v>9</v>
      </c>
      <c r="F521" s="3">
        <v>600</v>
      </c>
      <c r="G521" s="3">
        <v>600</v>
      </c>
      <c r="H521" t="s">
        <v>3</v>
      </c>
      <c r="I521" t="s">
        <v>3</v>
      </c>
      <c r="J521" t="s">
        <v>337</v>
      </c>
      <c r="K521" t="s">
        <v>222</v>
      </c>
      <c r="L521" t="s">
        <v>18</v>
      </c>
      <c r="M521" t="s">
        <v>114</v>
      </c>
      <c r="N521" s="2">
        <v>45443</v>
      </c>
    </row>
    <row r="522" spans="1:14" x14ac:dyDescent="0.25">
      <c r="A522" t="s">
        <v>332</v>
      </c>
      <c r="B522" s="2">
        <v>45777</v>
      </c>
      <c r="C522" t="s">
        <v>332</v>
      </c>
      <c r="D522" t="s">
        <v>112</v>
      </c>
      <c r="E522" t="s">
        <v>9</v>
      </c>
      <c r="F522" s="3">
        <v>-10600</v>
      </c>
      <c r="G522" s="3">
        <v>-10600</v>
      </c>
      <c r="H522" t="s">
        <v>3</v>
      </c>
      <c r="I522" t="s">
        <v>3</v>
      </c>
      <c r="J522" t="s">
        <v>308</v>
      </c>
      <c r="K522" t="s">
        <v>5</v>
      </c>
      <c r="L522" t="s">
        <v>18</v>
      </c>
      <c r="M522" t="s">
        <v>114</v>
      </c>
      <c r="N522" s="2">
        <v>45778</v>
      </c>
    </row>
    <row r="523" spans="1:14" x14ac:dyDescent="0.25">
      <c r="A523" t="s">
        <v>332</v>
      </c>
      <c r="B523" s="2">
        <v>45808</v>
      </c>
      <c r="C523" t="s">
        <v>332</v>
      </c>
      <c r="D523" t="s">
        <v>112</v>
      </c>
      <c r="E523" t="s">
        <v>9</v>
      </c>
      <c r="F523" s="3">
        <v>10600</v>
      </c>
      <c r="G523" s="3">
        <v>10600</v>
      </c>
      <c r="H523" t="s">
        <v>3</v>
      </c>
      <c r="I523" t="s">
        <v>3</v>
      </c>
      <c r="J523" t="s">
        <v>311</v>
      </c>
      <c r="K523" t="s">
        <v>5</v>
      </c>
      <c r="L523" t="s">
        <v>18</v>
      </c>
      <c r="M523" t="s">
        <v>114</v>
      </c>
      <c r="N523" s="2">
        <v>45808</v>
      </c>
    </row>
    <row r="524" spans="1:14" x14ac:dyDescent="0.25">
      <c r="A524" t="s">
        <v>332</v>
      </c>
      <c r="B524" s="2">
        <v>46142</v>
      </c>
      <c r="C524" t="s">
        <v>332</v>
      </c>
      <c r="D524" t="s">
        <v>112</v>
      </c>
      <c r="E524" t="s">
        <v>9</v>
      </c>
      <c r="F524" s="3">
        <v>-250</v>
      </c>
      <c r="G524" s="3">
        <v>-250</v>
      </c>
      <c r="H524" t="s">
        <v>3</v>
      </c>
      <c r="I524" t="s">
        <v>3</v>
      </c>
      <c r="J524" t="s">
        <v>310</v>
      </c>
      <c r="K524" t="s">
        <v>13</v>
      </c>
      <c r="L524" t="s">
        <v>18</v>
      </c>
      <c r="M524" t="s">
        <v>114</v>
      </c>
      <c r="N524" s="2">
        <v>46143</v>
      </c>
    </row>
    <row r="525" spans="1:14" x14ac:dyDescent="0.25">
      <c r="A525" t="s">
        <v>332</v>
      </c>
      <c r="B525" s="2">
        <v>46173</v>
      </c>
      <c r="C525" t="s">
        <v>332</v>
      </c>
      <c r="D525" t="s">
        <v>112</v>
      </c>
      <c r="E525" t="s">
        <v>9</v>
      </c>
      <c r="F525" s="3">
        <v>250</v>
      </c>
      <c r="G525" s="3">
        <v>250</v>
      </c>
      <c r="H525" t="s">
        <v>3</v>
      </c>
      <c r="I525" t="s">
        <v>3</v>
      </c>
      <c r="J525" t="s">
        <v>313</v>
      </c>
      <c r="K525" t="s">
        <v>13</v>
      </c>
      <c r="L525" t="s">
        <v>18</v>
      </c>
      <c r="M525" t="s">
        <v>114</v>
      </c>
      <c r="N525" s="2">
        <v>46173</v>
      </c>
    </row>
    <row r="526" spans="1:14" x14ac:dyDescent="0.25">
      <c r="A526" s="4" t="s">
        <v>223</v>
      </c>
      <c r="B526" s="5"/>
      <c r="C526" s="4" t="s">
        <v>9</v>
      </c>
      <c r="D526" s="4" t="s">
        <v>9</v>
      </c>
      <c r="E526" s="4" t="s">
        <v>9</v>
      </c>
      <c r="F526" s="6">
        <v>0</v>
      </c>
      <c r="G526" s="6">
        <v>0</v>
      </c>
      <c r="H526" s="4" t="s">
        <v>9</v>
      </c>
      <c r="I526" s="4" t="s">
        <v>3</v>
      </c>
      <c r="J526" s="4" t="s">
        <v>9</v>
      </c>
      <c r="K526" s="4" t="s">
        <v>9</v>
      </c>
      <c r="L526" s="4" t="s">
        <v>9</v>
      </c>
      <c r="M526" s="4" t="s">
        <v>9</v>
      </c>
      <c r="N526" s="5"/>
    </row>
    <row r="527" spans="1:14" x14ac:dyDescent="0.25">
      <c r="A527" t="s">
        <v>332</v>
      </c>
      <c r="B527" s="2">
        <v>45111</v>
      </c>
      <c r="C527" t="s">
        <v>332</v>
      </c>
      <c r="D527" t="s">
        <v>112</v>
      </c>
      <c r="E527" t="s">
        <v>9</v>
      </c>
      <c r="F527" s="3">
        <v>-3400</v>
      </c>
      <c r="G527" s="3">
        <v>-3400</v>
      </c>
      <c r="H527" t="s">
        <v>3</v>
      </c>
      <c r="I527" t="s">
        <v>3</v>
      </c>
      <c r="J527" t="s">
        <v>9</v>
      </c>
      <c r="K527" t="s">
        <v>9</v>
      </c>
      <c r="L527" t="s">
        <v>19</v>
      </c>
      <c r="M527" t="s">
        <v>114</v>
      </c>
      <c r="N527" s="2">
        <v>45107</v>
      </c>
    </row>
    <row r="528" spans="1:14" x14ac:dyDescent="0.25">
      <c r="A528" t="s">
        <v>332</v>
      </c>
      <c r="B528" s="2">
        <v>45475</v>
      </c>
      <c r="C528" t="s">
        <v>332</v>
      </c>
      <c r="D528" t="s">
        <v>112</v>
      </c>
      <c r="E528" t="s">
        <v>9</v>
      </c>
      <c r="F528" s="3">
        <v>-100</v>
      </c>
      <c r="G528" s="3">
        <v>-100</v>
      </c>
      <c r="H528" t="s">
        <v>3</v>
      </c>
      <c r="I528" t="s">
        <v>3</v>
      </c>
      <c r="J528" t="s">
        <v>9</v>
      </c>
      <c r="K528" t="s">
        <v>9</v>
      </c>
      <c r="L528" t="s">
        <v>19</v>
      </c>
      <c r="M528" t="s">
        <v>114</v>
      </c>
      <c r="N528" s="2">
        <v>45473</v>
      </c>
    </row>
    <row r="529" spans="1:14" x14ac:dyDescent="0.25">
      <c r="A529" t="s">
        <v>332</v>
      </c>
      <c r="B529" s="2">
        <v>45839</v>
      </c>
      <c r="C529" t="s">
        <v>332</v>
      </c>
      <c r="D529" t="s">
        <v>112</v>
      </c>
      <c r="E529" t="s">
        <v>9</v>
      </c>
      <c r="F529" s="3">
        <v>-1200</v>
      </c>
      <c r="G529" s="3">
        <v>-1200</v>
      </c>
      <c r="H529" t="s">
        <v>3</v>
      </c>
      <c r="I529" t="s">
        <v>3</v>
      </c>
      <c r="J529" t="s">
        <v>9</v>
      </c>
      <c r="K529" t="s">
        <v>9</v>
      </c>
      <c r="L529" t="s">
        <v>19</v>
      </c>
      <c r="M529" t="s">
        <v>114</v>
      </c>
      <c r="N529" s="2">
        <v>45838</v>
      </c>
    </row>
    <row r="530" spans="1:14" x14ac:dyDescent="0.25">
      <c r="A530" t="s">
        <v>332</v>
      </c>
      <c r="B530" s="2">
        <v>45077</v>
      </c>
      <c r="C530" t="s">
        <v>332</v>
      </c>
      <c r="D530" t="s">
        <v>112</v>
      </c>
      <c r="E530" t="s">
        <v>9</v>
      </c>
      <c r="F530" s="3">
        <v>-4500</v>
      </c>
      <c r="G530" s="3">
        <v>-4500</v>
      </c>
      <c r="H530" t="s">
        <v>3</v>
      </c>
      <c r="I530" t="s">
        <v>3</v>
      </c>
      <c r="J530" t="s">
        <v>252</v>
      </c>
      <c r="K530" t="s">
        <v>225</v>
      </c>
      <c r="L530" t="s">
        <v>19</v>
      </c>
      <c r="M530" t="s">
        <v>114</v>
      </c>
      <c r="N530" s="2">
        <v>45078</v>
      </c>
    </row>
    <row r="531" spans="1:14" x14ac:dyDescent="0.25">
      <c r="A531" t="s">
        <v>332</v>
      </c>
      <c r="B531" s="2">
        <v>45107</v>
      </c>
      <c r="C531" t="s">
        <v>332</v>
      </c>
      <c r="D531" t="s">
        <v>112</v>
      </c>
      <c r="E531" t="s">
        <v>9</v>
      </c>
      <c r="F531" s="3">
        <v>7900</v>
      </c>
      <c r="G531" s="3">
        <v>7900</v>
      </c>
      <c r="H531" t="s">
        <v>3</v>
      </c>
      <c r="I531" t="s">
        <v>3</v>
      </c>
      <c r="J531" t="s">
        <v>256</v>
      </c>
      <c r="K531" t="s">
        <v>225</v>
      </c>
      <c r="L531" t="s">
        <v>19</v>
      </c>
      <c r="M531" t="s">
        <v>114</v>
      </c>
      <c r="N531" s="2">
        <v>45107</v>
      </c>
    </row>
    <row r="532" spans="1:14" x14ac:dyDescent="0.25">
      <c r="A532" t="s">
        <v>332</v>
      </c>
      <c r="B532" s="2">
        <v>45443</v>
      </c>
      <c r="C532" t="s">
        <v>332</v>
      </c>
      <c r="D532" t="s">
        <v>112</v>
      </c>
      <c r="E532" t="s">
        <v>9</v>
      </c>
      <c r="F532" s="3">
        <v>-2700</v>
      </c>
      <c r="G532" s="3">
        <v>-2700</v>
      </c>
      <c r="H532" t="s">
        <v>3</v>
      </c>
      <c r="I532" t="s">
        <v>3</v>
      </c>
      <c r="J532" t="s">
        <v>253</v>
      </c>
      <c r="K532" t="s">
        <v>222</v>
      </c>
      <c r="L532" t="s">
        <v>19</v>
      </c>
      <c r="M532" t="s">
        <v>114</v>
      </c>
      <c r="N532" s="2">
        <v>45444</v>
      </c>
    </row>
    <row r="533" spans="1:14" x14ac:dyDescent="0.25">
      <c r="A533" t="s">
        <v>332</v>
      </c>
      <c r="B533" s="2">
        <v>45443</v>
      </c>
      <c r="C533" t="s">
        <v>332</v>
      </c>
      <c r="D533" t="s">
        <v>112</v>
      </c>
      <c r="E533" t="s">
        <v>9</v>
      </c>
      <c r="F533" s="3">
        <v>-600</v>
      </c>
      <c r="G533" s="3">
        <v>-600</v>
      </c>
      <c r="H533" t="s">
        <v>3</v>
      </c>
      <c r="I533" t="s">
        <v>3</v>
      </c>
      <c r="J533" t="s">
        <v>337</v>
      </c>
      <c r="K533" t="s">
        <v>222</v>
      </c>
      <c r="L533" t="s">
        <v>19</v>
      </c>
      <c r="M533" t="s">
        <v>114</v>
      </c>
      <c r="N533" s="2">
        <v>45444</v>
      </c>
    </row>
    <row r="534" spans="1:14" x14ac:dyDescent="0.25">
      <c r="A534" t="s">
        <v>332</v>
      </c>
      <c r="B534" s="2">
        <v>45473</v>
      </c>
      <c r="C534" t="s">
        <v>332</v>
      </c>
      <c r="D534" t="s">
        <v>112</v>
      </c>
      <c r="E534" t="s">
        <v>9</v>
      </c>
      <c r="F534" s="3">
        <v>2800</v>
      </c>
      <c r="G534" s="3">
        <v>2800</v>
      </c>
      <c r="H534" t="s">
        <v>3</v>
      </c>
      <c r="I534" t="s">
        <v>3</v>
      </c>
      <c r="J534" t="s">
        <v>257</v>
      </c>
      <c r="K534" t="s">
        <v>222</v>
      </c>
      <c r="L534" t="s">
        <v>19</v>
      </c>
      <c r="M534" t="s">
        <v>114</v>
      </c>
      <c r="N534" s="2">
        <v>45473</v>
      </c>
    </row>
    <row r="535" spans="1:14" x14ac:dyDescent="0.25">
      <c r="A535" t="s">
        <v>332</v>
      </c>
      <c r="B535" s="2">
        <v>45473</v>
      </c>
      <c r="C535" t="s">
        <v>332</v>
      </c>
      <c r="D535" t="s">
        <v>112</v>
      </c>
      <c r="E535" t="s">
        <v>9</v>
      </c>
      <c r="F535" s="3">
        <v>600</v>
      </c>
      <c r="G535" s="3">
        <v>600</v>
      </c>
      <c r="H535" t="s">
        <v>3</v>
      </c>
      <c r="I535" t="s">
        <v>3</v>
      </c>
      <c r="J535" t="s">
        <v>338</v>
      </c>
      <c r="K535" t="s">
        <v>222</v>
      </c>
      <c r="L535" t="s">
        <v>19</v>
      </c>
      <c r="M535" t="s">
        <v>114</v>
      </c>
      <c r="N535" s="2">
        <v>45473</v>
      </c>
    </row>
    <row r="536" spans="1:14" x14ac:dyDescent="0.25">
      <c r="A536" t="s">
        <v>332</v>
      </c>
      <c r="B536" s="2">
        <v>45808</v>
      </c>
      <c r="C536" t="s">
        <v>332</v>
      </c>
      <c r="D536" t="s">
        <v>112</v>
      </c>
      <c r="E536" t="s">
        <v>9</v>
      </c>
      <c r="F536" s="3">
        <v>-10600</v>
      </c>
      <c r="G536" s="3">
        <v>-10600</v>
      </c>
      <c r="H536" t="s">
        <v>3</v>
      </c>
      <c r="I536" t="s">
        <v>3</v>
      </c>
      <c r="J536" t="s">
        <v>311</v>
      </c>
      <c r="K536" t="s">
        <v>5</v>
      </c>
      <c r="L536" t="s">
        <v>19</v>
      </c>
      <c r="M536" t="s">
        <v>114</v>
      </c>
      <c r="N536" s="2">
        <v>45809</v>
      </c>
    </row>
    <row r="537" spans="1:14" x14ac:dyDescent="0.25">
      <c r="A537" t="s">
        <v>332</v>
      </c>
      <c r="B537" s="2">
        <v>45838</v>
      </c>
      <c r="C537" t="s">
        <v>332</v>
      </c>
      <c r="D537" t="s">
        <v>112</v>
      </c>
      <c r="E537" t="s">
        <v>9</v>
      </c>
      <c r="F537" s="3">
        <v>11800</v>
      </c>
      <c r="G537" s="3">
        <v>11800</v>
      </c>
      <c r="H537" t="s">
        <v>3</v>
      </c>
      <c r="I537" t="s">
        <v>3</v>
      </c>
      <c r="J537" t="s">
        <v>314</v>
      </c>
      <c r="K537" t="s">
        <v>5</v>
      </c>
      <c r="L537" t="s">
        <v>19</v>
      </c>
      <c r="M537" t="s">
        <v>114</v>
      </c>
      <c r="N537" s="2">
        <v>45838</v>
      </c>
    </row>
    <row r="538" spans="1:14" x14ac:dyDescent="0.25">
      <c r="A538" t="s">
        <v>332</v>
      </c>
      <c r="B538" s="2">
        <v>46173</v>
      </c>
      <c r="C538" t="s">
        <v>332</v>
      </c>
      <c r="D538" t="s">
        <v>112</v>
      </c>
      <c r="E538" t="s">
        <v>9</v>
      </c>
      <c r="F538" s="3">
        <v>-250</v>
      </c>
      <c r="G538" s="3">
        <v>-250</v>
      </c>
      <c r="H538" t="s">
        <v>3</v>
      </c>
      <c r="I538" t="s">
        <v>3</v>
      </c>
      <c r="J538" t="s">
        <v>313</v>
      </c>
      <c r="K538" t="s">
        <v>13</v>
      </c>
      <c r="L538" t="s">
        <v>19</v>
      </c>
      <c r="M538" t="s">
        <v>114</v>
      </c>
      <c r="N538" s="2">
        <v>46174</v>
      </c>
    </row>
    <row r="539" spans="1:14" x14ac:dyDescent="0.25">
      <c r="A539" t="s">
        <v>332</v>
      </c>
      <c r="B539" s="2">
        <v>46203</v>
      </c>
      <c r="C539" t="s">
        <v>332</v>
      </c>
      <c r="D539" t="s">
        <v>112</v>
      </c>
      <c r="E539" t="s">
        <v>9</v>
      </c>
      <c r="F539" s="3">
        <v>250</v>
      </c>
      <c r="G539" s="3">
        <v>250</v>
      </c>
      <c r="H539" t="s">
        <v>3</v>
      </c>
      <c r="I539" t="s">
        <v>3</v>
      </c>
      <c r="J539" t="s">
        <v>316</v>
      </c>
      <c r="K539" t="s">
        <v>13</v>
      </c>
      <c r="L539" t="s">
        <v>19</v>
      </c>
      <c r="M539" t="s">
        <v>114</v>
      </c>
      <c r="N539" s="2">
        <v>46203</v>
      </c>
    </row>
    <row r="540" spans="1:14" x14ac:dyDescent="0.25">
      <c r="A540" s="4" t="s">
        <v>224</v>
      </c>
      <c r="B540" s="5"/>
      <c r="C540" s="4" t="s">
        <v>9</v>
      </c>
      <c r="D540" s="4" t="s">
        <v>9</v>
      </c>
      <c r="E540" s="4" t="s">
        <v>9</v>
      </c>
      <c r="F540" s="6">
        <v>0</v>
      </c>
      <c r="G540" s="6">
        <v>0</v>
      </c>
      <c r="H540" s="4" t="s">
        <v>9</v>
      </c>
      <c r="I540" s="4" t="s">
        <v>3</v>
      </c>
      <c r="J540" s="4" t="s">
        <v>9</v>
      </c>
      <c r="K540" s="4" t="s">
        <v>9</v>
      </c>
      <c r="L540" s="4" t="s">
        <v>9</v>
      </c>
      <c r="M540" s="4" t="s">
        <v>9</v>
      </c>
      <c r="N540" s="5"/>
    </row>
    <row r="541" spans="1:14" x14ac:dyDescent="0.25">
      <c r="A541" t="s">
        <v>332</v>
      </c>
      <c r="B541" s="2">
        <v>45140</v>
      </c>
      <c r="C541" t="s">
        <v>332</v>
      </c>
      <c r="D541" t="s">
        <v>112</v>
      </c>
      <c r="E541" t="s">
        <v>9</v>
      </c>
      <c r="F541" s="3">
        <v>-1600</v>
      </c>
      <c r="G541" s="3">
        <v>-1600</v>
      </c>
      <c r="H541" t="s">
        <v>3</v>
      </c>
      <c r="I541" t="s">
        <v>3</v>
      </c>
      <c r="J541" t="s">
        <v>9</v>
      </c>
      <c r="K541" t="s">
        <v>9</v>
      </c>
      <c r="L541" t="s">
        <v>21</v>
      </c>
      <c r="M541" t="s">
        <v>114</v>
      </c>
      <c r="N541" s="2">
        <v>45138</v>
      </c>
    </row>
    <row r="542" spans="1:14" x14ac:dyDescent="0.25">
      <c r="A542" t="s">
        <v>332</v>
      </c>
      <c r="B542" s="2">
        <v>45509</v>
      </c>
      <c r="C542" t="s">
        <v>332</v>
      </c>
      <c r="D542" t="s">
        <v>112</v>
      </c>
      <c r="E542" t="s">
        <v>9</v>
      </c>
      <c r="F542" s="3">
        <v>-600</v>
      </c>
      <c r="G542" s="3">
        <v>-600</v>
      </c>
      <c r="H542" t="s">
        <v>3</v>
      </c>
      <c r="I542" t="s">
        <v>3</v>
      </c>
      <c r="J542" t="s">
        <v>9</v>
      </c>
      <c r="K542" t="s">
        <v>9</v>
      </c>
      <c r="L542" t="s">
        <v>21</v>
      </c>
      <c r="M542" t="s">
        <v>114</v>
      </c>
      <c r="N542" s="2">
        <v>45504</v>
      </c>
    </row>
    <row r="543" spans="1:14" x14ac:dyDescent="0.25">
      <c r="A543" t="s">
        <v>332</v>
      </c>
      <c r="B543" s="2">
        <v>45870</v>
      </c>
      <c r="C543" t="s">
        <v>332</v>
      </c>
      <c r="D543" t="s">
        <v>112</v>
      </c>
      <c r="E543" t="s">
        <v>9</v>
      </c>
      <c r="F543" s="3">
        <v>-1400</v>
      </c>
      <c r="G543" s="3">
        <v>-1400</v>
      </c>
      <c r="H543" t="s">
        <v>3</v>
      </c>
      <c r="I543" t="s">
        <v>3</v>
      </c>
      <c r="J543" t="s">
        <v>9</v>
      </c>
      <c r="K543" t="s">
        <v>9</v>
      </c>
      <c r="L543" t="s">
        <v>21</v>
      </c>
      <c r="M543" t="s">
        <v>114</v>
      </c>
      <c r="N543" s="2">
        <v>45869</v>
      </c>
    </row>
    <row r="544" spans="1:14" x14ac:dyDescent="0.25">
      <c r="A544" t="s">
        <v>332</v>
      </c>
      <c r="B544" s="2">
        <v>45107</v>
      </c>
      <c r="C544" t="s">
        <v>332</v>
      </c>
      <c r="D544" t="s">
        <v>112</v>
      </c>
      <c r="E544" t="s">
        <v>9</v>
      </c>
      <c r="F544" s="3">
        <v>-7900</v>
      </c>
      <c r="G544" s="3">
        <v>-7900</v>
      </c>
      <c r="H544" t="s">
        <v>3</v>
      </c>
      <c r="I544" t="s">
        <v>3</v>
      </c>
      <c r="J544" t="s">
        <v>256</v>
      </c>
      <c r="K544" t="s">
        <v>225</v>
      </c>
      <c r="L544" t="s">
        <v>21</v>
      </c>
      <c r="M544" t="s">
        <v>114</v>
      </c>
      <c r="N544" s="2">
        <v>45108</v>
      </c>
    </row>
    <row r="545" spans="1:14" x14ac:dyDescent="0.25">
      <c r="A545" t="s">
        <v>332</v>
      </c>
      <c r="B545" s="2">
        <v>45138</v>
      </c>
      <c r="C545" t="s">
        <v>332</v>
      </c>
      <c r="D545" t="s">
        <v>112</v>
      </c>
      <c r="E545" t="s">
        <v>9</v>
      </c>
      <c r="F545" s="3">
        <v>8900</v>
      </c>
      <c r="G545" s="3">
        <v>8900</v>
      </c>
      <c r="H545" t="s">
        <v>3</v>
      </c>
      <c r="I545" t="s">
        <v>3</v>
      </c>
      <c r="J545" t="s">
        <v>260</v>
      </c>
      <c r="K545" t="s">
        <v>225</v>
      </c>
      <c r="L545" t="s">
        <v>21</v>
      </c>
      <c r="M545" t="s">
        <v>114</v>
      </c>
      <c r="N545" s="2">
        <v>45138</v>
      </c>
    </row>
    <row r="546" spans="1:14" x14ac:dyDescent="0.25">
      <c r="A546" t="s">
        <v>332</v>
      </c>
      <c r="B546" s="2">
        <v>45138</v>
      </c>
      <c r="C546" t="s">
        <v>332</v>
      </c>
      <c r="D546" t="s">
        <v>112</v>
      </c>
      <c r="E546" t="s">
        <v>9</v>
      </c>
      <c r="F546" s="3">
        <v>600</v>
      </c>
      <c r="G546" s="3">
        <v>600</v>
      </c>
      <c r="H546" t="s">
        <v>3</v>
      </c>
      <c r="I546" t="s">
        <v>3</v>
      </c>
      <c r="J546" t="s">
        <v>339</v>
      </c>
      <c r="K546" t="s">
        <v>225</v>
      </c>
      <c r="L546" t="s">
        <v>21</v>
      </c>
      <c r="M546" t="s">
        <v>114</v>
      </c>
      <c r="N546" s="2">
        <v>45138</v>
      </c>
    </row>
    <row r="547" spans="1:14" x14ac:dyDescent="0.25">
      <c r="A547" t="s">
        <v>332</v>
      </c>
      <c r="B547" s="2">
        <v>45473</v>
      </c>
      <c r="C547" t="s">
        <v>332</v>
      </c>
      <c r="D547" t="s">
        <v>112</v>
      </c>
      <c r="E547" t="s">
        <v>9</v>
      </c>
      <c r="F547" s="3">
        <v>-2800</v>
      </c>
      <c r="G547" s="3">
        <v>-2800</v>
      </c>
      <c r="H547" t="s">
        <v>3</v>
      </c>
      <c r="I547" t="s">
        <v>3</v>
      </c>
      <c r="J547" t="s">
        <v>257</v>
      </c>
      <c r="K547" t="s">
        <v>222</v>
      </c>
      <c r="L547" t="s">
        <v>21</v>
      </c>
      <c r="M547" t="s">
        <v>114</v>
      </c>
      <c r="N547" s="2">
        <v>45474</v>
      </c>
    </row>
    <row r="548" spans="1:14" x14ac:dyDescent="0.25">
      <c r="A548" t="s">
        <v>332</v>
      </c>
      <c r="B548" s="2">
        <v>45473</v>
      </c>
      <c r="C548" t="s">
        <v>332</v>
      </c>
      <c r="D548" t="s">
        <v>112</v>
      </c>
      <c r="E548" t="s">
        <v>9</v>
      </c>
      <c r="F548" s="3">
        <v>-600</v>
      </c>
      <c r="G548" s="3">
        <v>-600</v>
      </c>
      <c r="H548" t="s">
        <v>3</v>
      </c>
      <c r="I548" t="s">
        <v>3</v>
      </c>
      <c r="J548" t="s">
        <v>338</v>
      </c>
      <c r="K548" t="s">
        <v>222</v>
      </c>
      <c r="L548" t="s">
        <v>21</v>
      </c>
      <c r="M548" t="s">
        <v>114</v>
      </c>
      <c r="N548" s="2">
        <v>45474</v>
      </c>
    </row>
    <row r="549" spans="1:14" x14ac:dyDescent="0.25">
      <c r="A549" t="s">
        <v>332</v>
      </c>
      <c r="B549" s="2">
        <v>45504</v>
      </c>
      <c r="C549" t="s">
        <v>332</v>
      </c>
      <c r="D549" t="s">
        <v>112</v>
      </c>
      <c r="E549" t="s">
        <v>9</v>
      </c>
      <c r="F549" s="3">
        <v>3400</v>
      </c>
      <c r="G549" s="3">
        <v>3400</v>
      </c>
      <c r="H549" t="s">
        <v>3</v>
      </c>
      <c r="I549" t="s">
        <v>3</v>
      </c>
      <c r="J549" t="s">
        <v>261</v>
      </c>
      <c r="K549" t="s">
        <v>222</v>
      </c>
      <c r="L549" t="s">
        <v>21</v>
      </c>
      <c r="M549" t="s">
        <v>114</v>
      </c>
      <c r="N549" s="2">
        <v>45504</v>
      </c>
    </row>
    <row r="550" spans="1:14" x14ac:dyDescent="0.25">
      <c r="A550" t="s">
        <v>332</v>
      </c>
      <c r="B550" s="2">
        <v>45504</v>
      </c>
      <c r="C550" t="s">
        <v>332</v>
      </c>
      <c r="D550" t="s">
        <v>112</v>
      </c>
      <c r="E550" t="s">
        <v>9</v>
      </c>
      <c r="F550" s="3">
        <v>600</v>
      </c>
      <c r="G550" s="3">
        <v>600</v>
      </c>
      <c r="H550" t="s">
        <v>3</v>
      </c>
      <c r="I550" t="s">
        <v>3</v>
      </c>
      <c r="J550" t="s">
        <v>340</v>
      </c>
      <c r="K550" t="s">
        <v>222</v>
      </c>
      <c r="L550" t="s">
        <v>21</v>
      </c>
      <c r="M550" t="s">
        <v>114</v>
      </c>
      <c r="N550" s="2">
        <v>45504</v>
      </c>
    </row>
    <row r="551" spans="1:14" x14ac:dyDescent="0.25">
      <c r="A551" t="s">
        <v>332</v>
      </c>
      <c r="B551" s="2">
        <v>45838</v>
      </c>
      <c r="C551" t="s">
        <v>332</v>
      </c>
      <c r="D551" t="s">
        <v>112</v>
      </c>
      <c r="E551" t="s">
        <v>9</v>
      </c>
      <c r="F551" s="3">
        <v>-11800</v>
      </c>
      <c r="G551" s="3">
        <v>-11800</v>
      </c>
      <c r="H551" t="s">
        <v>3</v>
      </c>
      <c r="I551" t="s">
        <v>3</v>
      </c>
      <c r="J551" t="s">
        <v>314</v>
      </c>
      <c r="K551" t="s">
        <v>5</v>
      </c>
      <c r="L551" t="s">
        <v>21</v>
      </c>
      <c r="M551" t="s">
        <v>114</v>
      </c>
      <c r="N551" s="2">
        <v>45839</v>
      </c>
    </row>
    <row r="552" spans="1:14" x14ac:dyDescent="0.25">
      <c r="A552" t="s">
        <v>332</v>
      </c>
      <c r="B552" s="2">
        <v>45869</v>
      </c>
      <c r="C552" t="s">
        <v>332</v>
      </c>
      <c r="D552" t="s">
        <v>112</v>
      </c>
      <c r="E552" t="s">
        <v>9</v>
      </c>
      <c r="F552" s="3">
        <v>13200</v>
      </c>
      <c r="G552" s="3">
        <v>13200</v>
      </c>
      <c r="H552" t="s">
        <v>3</v>
      </c>
      <c r="I552" t="s">
        <v>3</v>
      </c>
      <c r="J552" t="s">
        <v>317</v>
      </c>
      <c r="K552" t="s">
        <v>5</v>
      </c>
      <c r="L552" t="s">
        <v>21</v>
      </c>
      <c r="M552" t="s">
        <v>114</v>
      </c>
      <c r="N552" s="2">
        <v>45869</v>
      </c>
    </row>
    <row r="553" spans="1:14" x14ac:dyDescent="0.25">
      <c r="A553" t="s">
        <v>332</v>
      </c>
      <c r="B553" s="2">
        <v>46203</v>
      </c>
      <c r="C553" t="s">
        <v>332</v>
      </c>
      <c r="D553" t="s">
        <v>112</v>
      </c>
      <c r="E553" t="s">
        <v>9</v>
      </c>
      <c r="F553" s="3">
        <v>-250</v>
      </c>
      <c r="G553" s="3">
        <v>-250</v>
      </c>
      <c r="H553" t="s">
        <v>3</v>
      </c>
      <c r="I553" t="s">
        <v>3</v>
      </c>
      <c r="J553" t="s">
        <v>316</v>
      </c>
      <c r="K553" t="s">
        <v>13</v>
      </c>
      <c r="L553" t="s">
        <v>21</v>
      </c>
      <c r="M553" t="s">
        <v>114</v>
      </c>
      <c r="N553" s="2">
        <v>46204</v>
      </c>
    </row>
    <row r="554" spans="1:14" x14ac:dyDescent="0.25">
      <c r="A554" t="s">
        <v>332</v>
      </c>
      <c r="B554" s="2">
        <v>46234</v>
      </c>
      <c r="C554" t="s">
        <v>332</v>
      </c>
      <c r="D554" t="s">
        <v>112</v>
      </c>
      <c r="E554" t="s">
        <v>9</v>
      </c>
      <c r="F554" s="3">
        <v>250</v>
      </c>
      <c r="G554" s="3">
        <v>250</v>
      </c>
      <c r="H554" t="s">
        <v>3</v>
      </c>
      <c r="I554" t="s">
        <v>3</v>
      </c>
      <c r="J554" t="s">
        <v>341</v>
      </c>
      <c r="K554" t="s">
        <v>13</v>
      </c>
      <c r="L554" t="s">
        <v>21</v>
      </c>
      <c r="M554" t="s">
        <v>114</v>
      </c>
      <c r="N554" s="2">
        <v>46234</v>
      </c>
    </row>
    <row r="555" spans="1:14" x14ac:dyDescent="0.25">
      <c r="A555" s="4" t="s">
        <v>262</v>
      </c>
      <c r="B555" s="5"/>
      <c r="C555" s="4" t="s">
        <v>9</v>
      </c>
      <c r="D555" s="4" t="s">
        <v>9</v>
      </c>
      <c r="E555" s="4" t="s">
        <v>9</v>
      </c>
      <c r="F555" s="6">
        <v>0</v>
      </c>
      <c r="G555" s="6">
        <v>0</v>
      </c>
      <c r="H555" s="4" t="s">
        <v>9</v>
      </c>
      <c r="I555" s="4" t="s">
        <v>3</v>
      </c>
      <c r="J555" s="4" t="s">
        <v>9</v>
      </c>
      <c r="K555" s="4" t="s">
        <v>9</v>
      </c>
      <c r="L555" s="4" t="s">
        <v>9</v>
      </c>
      <c r="M555" s="4" t="s">
        <v>9</v>
      </c>
      <c r="N555" s="5"/>
    </row>
    <row r="556" spans="1:14" x14ac:dyDescent="0.25">
      <c r="A556" t="s">
        <v>332</v>
      </c>
      <c r="B556" s="2">
        <v>45173</v>
      </c>
      <c r="C556" t="s">
        <v>332</v>
      </c>
      <c r="D556" t="s">
        <v>112</v>
      </c>
      <c r="E556" t="s">
        <v>9</v>
      </c>
      <c r="F556" s="3">
        <v>-3100</v>
      </c>
      <c r="G556" s="3">
        <v>-3100</v>
      </c>
      <c r="H556" t="s">
        <v>3</v>
      </c>
      <c r="I556" t="s">
        <v>3</v>
      </c>
      <c r="J556" t="s">
        <v>9</v>
      </c>
      <c r="K556" t="s">
        <v>9</v>
      </c>
      <c r="L556" t="s">
        <v>22</v>
      </c>
      <c r="M556" t="s">
        <v>114</v>
      </c>
      <c r="N556" s="2">
        <v>45169</v>
      </c>
    </row>
    <row r="557" spans="1:14" x14ac:dyDescent="0.25">
      <c r="A557" t="s">
        <v>332</v>
      </c>
      <c r="B557" s="2">
        <v>45539</v>
      </c>
      <c r="C557" t="s">
        <v>332</v>
      </c>
      <c r="D557" t="s">
        <v>112</v>
      </c>
      <c r="E557" t="s">
        <v>9</v>
      </c>
      <c r="F557" s="3">
        <v>-300</v>
      </c>
      <c r="G557" s="3">
        <v>-300</v>
      </c>
      <c r="H557" t="s">
        <v>3</v>
      </c>
      <c r="I557" t="s">
        <v>3</v>
      </c>
      <c r="J557" t="s">
        <v>9</v>
      </c>
      <c r="K557" t="s">
        <v>9</v>
      </c>
      <c r="L557" t="s">
        <v>22</v>
      </c>
      <c r="M557" t="s">
        <v>114</v>
      </c>
      <c r="N557" s="2">
        <v>45535</v>
      </c>
    </row>
    <row r="558" spans="1:14" x14ac:dyDescent="0.25">
      <c r="A558" t="s">
        <v>332</v>
      </c>
      <c r="B558" s="2">
        <v>45901</v>
      </c>
      <c r="C558" t="s">
        <v>332</v>
      </c>
      <c r="D558" t="s">
        <v>112</v>
      </c>
      <c r="E558" t="s">
        <v>9</v>
      </c>
      <c r="F558" s="3">
        <v>-1300</v>
      </c>
      <c r="G558" s="3">
        <v>-1300</v>
      </c>
      <c r="H558" t="s">
        <v>3</v>
      </c>
      <c r="I558" t="s">
        <v>3</v>
      </c>
      <c r="J558" t="s">
        <v>9</v>
      </c>
      <c r="K558" t="s">
        <v>9</v>
      </c>
      <c r="L558" t="s">
        <v>22</v>
      </c>
      <c r="M558" t="s">
        <v>114</v>
      </c>
      <c r="N558" s="2">
        <v>45900</v>
      </c>
    </row>
    <row r="559" spans="1:14" x14ac:dyDescent="0.25">
      <c r="A559" t="s">
        <v>332</v>
      </c>
      <c r="B559" s="2">
        <v>45138</v>
      </c>
      <c r="C559" t="s">
        <v>332</v>
      </c>
      <c r="D559" t="s">
        <v>112</v>
      </c>
      <c r="E559" t="s">
        <v>9</v>
      </c>
      <c r="F559" s="3">
        <v>-8900</v>
      </c>
      <c r="G559" s="3">
        <v>-8900</v>
      </c>
      <c r="H559" t="s">
        <v>3</v>
      </c>
      <c r="I559" t="s">
        <v>3</v>
      </c>
      <c r="J559" t="s">
        <v>260</v>
      </c>
      <c r="K559" t="s">
        <v>225</v>
      </c>
      <c r="L559" t="s">
        <v>22</v>
      </c>
      <c r="M559" t="s">
        <v>114</v>
      </c>
      <c r="N559" s="2">
        <v>45139</v>
      </c>
    </row>
    <row r="560" spans="1:14" x14ac:dyDescent="0.25">
      <c r="A560" t="s">
        <v>332</v>
      </c>
      <c r="B560" s="2">
        <v>45138</v>
      </c>
      <c r="C560" t="s">
        <v>332</v>
      </c>
      <c r="D560" t="s">
        <v>112</v>
      </c>
      <c r="E560" t="s">
        <v>9</v>
      </c>
      <c r="F560" s="3">
        <v>-600</v>
      </c>
      <c r="G560" s="3">
        <v>-600</v>
      </c>
      <c r="H560" t="s">
        <v>3</v>
      </c>
      <c r="I560" t="s">
        <v>3</v>
      </c>
      <c r="J560" t="s">
        <v>339</v>
      </c>
      <c r="K560" t="s">
        <v>225</v>
      </c>
      <c r="L560" t="s">
        <v>22</v>
      </c>
      <c r="M560" t="s">
        <v>114</v>
      </c>
      <c r="N560" s="2">
        <v>45139</v>
      </c>
    </row>
    <row r="561" spans="1:14" x14ac:dyDescent="0.25">
      <c r="A561" t="s">
        <v>332</v>
      </c>
      <c r="B561" s="2">
        <v>45169</v>
      </c>
      <c r="C561" t="s">
        <v>332</v>
      </c>
      <c r="D561" t="s">
        <v>112</v>
      </c>
      <c r="E561" t="s">
        <v>9</v>
      </c>
      <c r="F561" s="3">
        <v>11300</v>
      </c>
      <c r="G561" s="3">
        <v>11300</v>
      </c>
      <c r="H561" t="s">
        <v>3</v>
      </c>
      <c r="I561" t="s">
        <v>3</v>
      </c>
      <c r="J561" t="s">
        <v>265</v>
      </c>
      <c r="K561" t="s">
        <v>225</v>
      </c>
      <c r="L561" t="s">
        <v>22</v>
      </c>
      <c r="M561" t="s">
        <v>114</v>
      </c>
      <c r="N561" s="2">
        <v>45169</v>
      </c>
    </row>
    <row r="562" spans="1:14" x14ac:dyDescent="0.25">
      <c r="A562" t="s">
        <v>332</v>
      </c>
      <c r="B562" s="2">
        <v>45169</v>
      </c>
      <c r="C562" t="s">
        <v>332</v>
      </c>
      <c r="D562" t="s">
        <v>112</v>
      </c>
      <c r="E562" t="s">
        <v>9</v>
      </c>
      <c r="F562" s="3">
        <v>1300</v>
      </c>
      <c r="G562" s="3">
        <v>1300</v>
      </c>
      <c r="H562" t="s">
        <v>3</v>
      </c>
      <c r="I562" t="s">
        <v>3</v>
      </c>
      <c r="J562" t="s">
        <v>342</v>
      </c>
      <c r="K562" t="s">
        <v>225</v>
      </c>
      <c r="L562" t="s">
        <v>22</v>
      </c>
      <c r="M562" t="s">
        <v>114</v>
      </c>
      <c r="N562" s="2">
        <v>45169</v>
      </c>
    </row>
    <row r="563" spans="1:14" x14ac:dyDescent="0.25">
      <c r="A563" t="s">
        <v>332</v>
      </c>
      <c r="B563" s="2">
        <v>45504</v>
      </c>
      <c r="C563" t="s">
        <v>332</v>
      </c>
      <c r="D563" t="s">
        <v>112</v>
      </c>
      <c r="E563" t="s">
        <v>9</v>
      </c>
      <c r="F563" s="3">
        <v>-3400</v>
      </c>
      <c r="G563" s="3">
        <v>-3400</v>
      </c>
      <c r="H563" t="s">
        <v>3</v>
      </c>
      <c r="I563" t="s">
        <v>3</v>
      </c>
      <c r="J563" t="s">
        <v>261</v>
      </c>
      <c r="K563" t="s">
        <v>222</v>
      </c>
      <c r="L563" t="s">
        <v>22</v>
      </c>
      <c r="M563" t="s">
        <v>114</v>
      </c>
      <c r="N563" s="2">
        <v>45505</v>
      </c>
    </row>
    <row r="564" spans="1:14" x14ac:dyDescent="0.25">
      <c r="A564" t="s">
        <v>332</v>
      </c>
      <c r="B564" s="2">
        <v>45504</v>
      </c>
      <c r="C564" t="s">
        <v>332</v>
      </c>
      <c r="D564" t="s">
        <v>112</v>
      </c>
      <c r="E564" t="s">
        <v>9</v>
      </c>
      <c r="F564" s="3">
        <v>-600</v>
      </c>
      <c r="G564" s="3">
        <v>-600</v>
      </c>
      <c r="H564" t="s">
        <v>3</v>
      </c>
      <c r="I564" t="s">
        <v>3</v>
      </c>
      <c r="J564" t="s">
        <v>340</v>
      </c>
      <c r="K564" t="s">
        <v>222</v>
      </c>
      <c r="L564" t="s">
        <v>22</v>
      </c>
      <c r="M564" t="s">
        <v>114</v>
      </c>
      <c r="N564" s="2">
        <v>45505</v>
      </c>
    </row>
    <row r="565" spans="1:14" x14ac:dyDescent="0.25">
      <c r="A565" t="s">
        <v>332</v>
      </c>
      <c r="B565" s="2">
        <v>45535</v>
      </c>
      <c r="C565" t="s">
        <v>332</v>
      </c>
      <c r="D565" t="s">
        <v>112</v>
      </c>
      <c r="E565" t="s">
        <v>9</v>
      </c>
      <c r="F565" s="3">
        <v>3700</v>
      </c>
      <c r="G565" s="3">
        <v>3700</v>
      </c>
      <c r="H565" t="s">
        <v>3</v>
      </c>
      <c r="I565" t="s">
        <v>3</v>
      </c>
      <c r="J565" t="s">
        <v>266</v>
      </c>
      <c r="K565" t="s">
        <v>222</v>
      </c>
      <c r="L565" t="s">
        <v>22</v>
      </c>
      <c r="M565" t="s">
        <v>114</v>
      </c>
      <c r="N565" s="2">
        <v>45535</v>
      </c>
    </row>
    <row r="566" spans="1:14" x14ac:dyDescent="0.25">
      <c r="A566" t="s">
        <v>332</v>
      </c>
      <c r="B566" s="2">
        <v>45535</v>
      </c>
      <c r="C566" t="s">
        <v>332</v>
      </c>
      <c r="D566" t="s">
        <v>112</v>
      </c>
      <c r="E566" t="s">
        <v>9</v>
      </c>
      <c r="F566" s="3">
        <v>600</v>
      </c>
      <c r="G566" s="3">
        <v>600</v>
      </c>
      <c r="H566" t="s">
        <v>3</v>
      </c>
      <c r="I566" t="s">
        <v>3</v>
      </c>
      <c r="J566" t="s">
        <v>343</v>
      </c>
      <c r="K566" t="s">
        <v>222</v>
      </c>
      <c r="L566" t="s">
        <v>22</v>
      </c>
      <c r="M566" t="s">
        <v>114</v>
      </c>
      <c r="N566" s="2">
        <v>45535</v>
      </c>
    </row>
    <row r="567" spans="1:14" x14ac:dyDescent="0.25">
      <c r="A567" t="s">
        <v>332</v>
      </c>
      <c r="B567" s="2">
        <v>45869</v>
      </c>
      <c r="C567" t="s">
        <v>332</v>
      </c>
      <c r="D567" t="s">
        <v>112</v>
      </c>
      <c r="E567" t="s">
        <v>9</v>
      </c>
      <c r="F567" s="3">
        <v>-13200</v>
      </c>
      <c r="G567" s="3">
        <v>-13200</v>
      </c>
      <c r="H567" t="s">
        <v>3</v>
      </c>
      <c r="I567" t="s">
        <v>3</v>
      </c>
      <c r="J567" t="s">
        <v>317</v>
      </c>
      <c r="K567" t="s">
        <v>5</v>
      </c>
      <c r="L567" t="s">
        <v>22</v>
      </c>
      <c r="M567" t="s">
        <v>114</v>
      </c>
      <c r="N567" s="2">
        <v>45870</v>
      </c>
    </row>
    <row r="568" spans="1:14" x14ac:dyDescent="0.25">
      <c r="A568" t="s">
        <v>332</v>
      </c>
      <c r="B568" s="2">
        <v>45900</v>
      </c>
      <c r="C568" t="s">
        <v>332</v>
      </c>
      <c r="D568" t="s">
        <v>112</v>
      </c>
      <c r="E568" t="s">
        <v>9</v>
      </c>
      <c r="F568" s="3">
        <v>14500</v>
      </c>
      <c r="G568" s="3">
        <v>14500</v>
      </c>
      <c r="H568" t="s">
        <v>3</v>
      </c>
      <c r="I568" t="s">
        <v>3</v>
      </c>
      <c r="J568" t="s">
        <v>320</v>
      </c>
      <c r="K568" t="s">
        <v>5</v>
      </c>
      <c r="L568" t="s">
        <v>22</v>
      </c>
      <c r="M568" t="s">
        <v>114</v>
      </c>
      <c r="N568" s="2">
        <v>45900</v>
      </c>
    </row>
    <row r="569" spans="1:14" x14ac:dyDescent="0.25">
      <c r="A569" t="s">
        <v>332</v>
      </c>
      <c r="B569" s="2">
        <v>45900</v>
      </c>
      <c r="C569" t="s">
        <v>332</v>
      </c>
      <c r="D569" t="s">
        <v>112</v>
      </c>
      <c r="E569" t="s">
        <v>9</v>
      </c>
      <c r="F569" s="3">
        <v>-14500</v>
      </c>
      <c r="G569" s="3">
        <v>-14500</v>
      </c>
      <c r="H569" t="s">
        <v>3</v>
      </c>
      <c r="I569" t="s">
        <v>3</v>
      </c>
      <c r="J569" t="s">
        <v>320</v>
      </c>
      <c r="K569" t="s">
        <v>5</v>
      </c>
      <c r="L569" t="s">
        <v>22</v>
      </c>
      <c r="M569" t="s">
        <v>114</v>
      </c>
      <c r="N569" s="2">
        <v>45900</v>
      </c>
    </row>
    <row r="570" spans="1:14" x14ac:dyDescent="0.25">
      <c r="A570" t="s">
        <v>332</v>
      </c>
      <c r="B570" s="2">
        <v>45900</v>
      </c>
      <c r="C570" t="s">
        <v>332</v>
      </c>
      <c r="D570" t="s">
        <v>112</v>
      </c>
      <c r="E570" t="s">
        <v>9</v>
      </c>
      <c r="F570" s="3">
        <v>14400</v>
      </c>
      <c r="G570" s="3">
        <v>14400</v>
      </c>
      <c r="H570" t="s">
        <v>3</v>
      </c>
      <c r="I570" t="s">
        <v>3</v>
      </c>
      <c r="J570" t="s">
        <v>320</v>
      </c>
      <c r="K570" t="s">
        <v>5</v>
      </c>
      <c r="L570" t="s">
        <v>22</v>
      </c>
      <c r="M570" t="s">
        <v>114</v>
      </c>
      <c r="N570" s="2">
        <v>45900</v>
      </c>
    </row>
    <row r="571" spans="1:14" x14ac:dyDescent="0.25">
      <c r="A571" t="s">
        <v>332</v>
      </c>
      <c r="B571" s="2">
        <v>45900</v>
      </c>
      <c r="C571" t="s">
        <v>332</v>
      </c>
      <c r="D571" t="s">
        <v>112</v>
      </c>
      <c r="E571" t="s">
        <v>9</v>
      </c>
      <c r="F571" s="3">
        <v>14500</v>
      </c>
      <c r="G571" s="3">
        <v>14500</v>
      </c>
      <c r="H571" t="s">
        <v>3</v>
      </c>
      <c r="I571" t="s">
        <v>3</v>
      </c>
      <c r="J571" t="s">
        <v>320</v>
      </c>
      <c r="K571" t="s">
        <v>5</v>
      </c>
      <c r="L571" t="s">
        <v>22</v>
      </c>
      <c r="M571" t="s">
        <v>114</v>
      </c>
      <c r="N571" s="2">
        <v>45900</v>
      </c>
    </row>
    <row r="572" spans="1:14" x14ac:dyDescent="0.25">
      <c r="A572" t="s">
        <v>332</v>
      </c>
      <c r="B572" s="2">
        <v>45900</v>
      </c>
      <c r="C572" t="s">
        <v>332</v>
      </c>
      <c r="D572" t="s">
        <v>112</v>
      </c>
      <c r="E572" t="s">
        <v>9</v>
      </c>
      <c r="F572" s="3">
        <v>-14400</v>
      </c>
      <c r="G572" s="3">
        <v>-14400</v>
      </c>
      <c r="H572" t="s">
        <v>3</v>
      </c>
      <c r="I572" t="s">
        <v>3</v>
      </c>
      <c r="J572" t="s">
        <v>320</v>
      </c>
      <c r="K572" t="s">
        <v>5</v>
      </c>
      <c r="L572" t="s">
        <v>22</v>
      </c>
      <c r="M572" t="s">
        <v>114</v>
      </c>
      <c r="N572" s="2">
        <v>45900</v>
      </c>
    </row>
    <row r="573" spans="1:14" x14ac:dyDescent="0.25">
      <c r="A573" s="4" t="s">
        <v>267</v>
      </c>
      <c r="B573" s="5"/>
      <c r="C573" s="4" t="s">
        <v>9</v>
      </c>
      <c r="D573" s="4" t="s">
        <v>9</v>
      </c>
      <c r="E573" s="4" t="s">
        <v>9</v>
      </c>
      <c r="F573" s="6">
        <v>0</v>
      </c>
      <c r="G573" s="6">
        <v>0</v>
      </c>
      <c r="H573" s="4" t="s">
        <v>9</v>
      </c>
      <c r="I573" s="4" t="s">
        <v>3</v>
      </c>
      <c r="J573" s="4" t="s">
        <v>9</v>
      </c>
      <c r="K573" s="4" t="s">
        <v>9</v>
      </c>
      <c r="L573" s="4" t="s">
        <v>9</v>
      </c>
      <c r="M573" s="4" t="s">
        <v>9</v>
      </c>
      <c r="N573" s="5"/>
    </row>
    <row r="574" spans="1:14" x14ac:dyDescent="0.25">
      <c r="A574" t="s">
        <v>332</v>
      </c>
      <c r="B574" s="2">
        <v>45202</v>
      </c>
      <c r="C574" t="s">
        <v>332</v>
      </c>
      <c r="D574" t="s">
        <v>112</v>
      </c>
      <c r="E574" t="s">
        <v>9</v>
      </c>
      <c r="F574" s="3">
        <v>-1800</v>
      </c>
      <c r="G574" s="3">
        <v>-1800</v>
      </c>
      <c r="H574" t="s">
        <v>3</v>
      </c>
      <c r="I574" t="s">
        <v>3</v>
      </c>
      <c r="J574" t="s">
        <v>9</v>
      </c>
      <c r="K574" t="s">
        <v>9</v>
      </c>
      <c r="L574" t="s">
        <v>6</v>
      </c>
      <c r="M574" t="s">
        <v>114</v>
      </c>
      <c r="N574" s="2">
        <v>45199</v>
      </c>
    </row>
    <row r="575" spans="1:14" x14ac:dyDescent="0.25">
      <c r="A575" t="s">
        <v>332</v>
      </c>
      <c r="B575" s="2">
        <v>45567</v>
      </c>
      <c r="C575" t="s">
        <v>332</v>
      </c>
      <c r="D575" t="s">
        <v>112</v>
      </c>
      <c r="E575" t="s">
        <v>9</v>
      </c>
      <c r="F575" s="3">
        <v>-100</v>
      </c>
      <c r="G575" s="3">
        <v>-100</v>
      </c>
      <c r="H575" t="s">
        <v>3</v>
      </c>
      <c r="I575" t="s">
        <v>3</v>
      </c>
      <c r="J575" t="s">
        <v>9</v>
      </c>
      <c r="K575" t="s">
        <v>9</v>
      </c>
      <c r="L575" t="s">
        <v>6</v>
      </c>
      <c r="M575" t="s">
        <v>114</v>
      </c>
      <c r="N575" s="2">
        <v>45565</v>
      </c>
    </row>
    <row r="576" spans="1:14" x14ac:dyDescent="0.25">
      <c r="A576" t="s">
        <v>332</v>
      </c>
      <c r="B576" s="2">
        <v>45932</v>
      </c>
      <c r="C576" t="s">
        <v>332</v>
      </c>
      <c r="D576" t="s">
        <v>112</v>
      </c>
      <c r="E576" t="s">
        <v>9</v>
      </c>
      <c r="F576" s="3">
        <v>-400</v>
      </c>
      <c r="G576" s="3">
        <v>-400</v>
      </c>
      <c r="H576" t="s">
        <v>3</v>
      </c>
      <c r="I576" t="s">
        <v>3</v>
      </c>
      <c r="J576" t="s">
        <v>9</v>
      </c>
      <c r="K576" t="s">
        <v>9</v>
      </c>
      <c r="L576" t="s">
        <v>6</v>
      </c>
      <c r="M576" t="s">
        <v>114</v>
      </c>
      <c r="N576" s="2">
        <v>45930</v>
      </c>
    </row>
    <row r="577" spans="1:14" x14ac:dyDescent="0.25">
      <c r="A577" t="s">
        <v>332</v>
      </c>
      <c r="B577" s="2">
        <v>45169</v>
      </c>
      <c r="C577" t="s">
        <v>332</v>
      </c>
      <c r="D577" t="s">
        <v>112</v>
      </c>
      <c r="E577" t="s">
        <v>9</v>
      </c>
      <c r="F577" s="3">
        <v>-11300</v>
      </c>
      <c r="G577" s="3">
        <v>-11300</v>
      </c>
      <c r="H577" t="s">
        <v>3</v>
      </c>
      <c r="I577" t="s">
        <v>3</v>
      </c>
      <c r="J577" t="s">
        <v>265</v>
      </c>
      <c r="K577" t="s">
        <v>225</v>
      </c>
      <c r="L577" t="s">
        <v>6</v>
      </c>
      <c r="M577" t="s">
        <v>114</v>
      </c>
      <c r="N577" s="2">
        <v>45170</v>
      </c>
    </row>
    <row r="578" spans="1:14" x14ac:dyDescent="0.25">
      <c r="A578" t="s">
        <v>332</v>
      </c>
      <c r="B578" s="2">
        <v>45169</v>
      </c>
      <c r="C578" t="s">
        <v>332</v>
      </c>
      <c r="D578" t="s">
        <v>112</v>
      </c>
      <c r="E578" t="s">
        <v>9</v>
      </c>
      <c r="F578" s="3">
        <v>-1300</v>
      </c>
      <c r="G578" s="3">
        <v>-1300</v>
      </c>
      <c r="H578" t="s">
        <v>3</v>
      </c>
      <c r="I578" t="s">
        <v>3</v>
      </c>
      <c r="J578" t="s">
        <v>342</v>
      </c>
      <c r="K578" t="s">
        <v>225</v>
      </c>
      <c r="L578" t="s">
        <v>6</v>
      </c>
      <c r="M578" t="s">
        <v>114</v>
      </c>
      <c r="N578" s="2">
        <v>45170</v>
      </c>
    </row>
    <row r="579" spans="1:14" x14ac:dyDescent="0.25">
      <c r="A579" t="s">
        <v>332</v>
      </c>
      <c r="B579" s="2">
        <v>45199</v>
      </c>
      <c r="C579" t="s">
        <v>332</v>
      </c>
      <c r="D579" t="s">
        <v>112</v>
      </c>
      <c r="E579" t="s">
        <v>9</v>
      </c>
      <c r="F579" s="3">
        <v>11900</v>
      </c>
      <c r="G579" s="3">
        <v>11900</v>
      </c>
      <c r="H579" t="s">
        <v>3</v>
      </c>
      <c r="I579" t="s">
        <v>3</v>
      </c>
      <c r="J579" t="s">
        <v>270</v>
      </c>
      <c r="K579" t="s">
        <v>225</v>
      </c>
      <c r="L579" t="s">
        <v>6</v>
      </c>
      <c r="M579" t="s">
        <v>114</v>
      </c>
      <c r="N579" s="2">
        <v>45199</v>
      </c>
    </row>
    <row r="580" spans="1:14" x14ac:dyDescent="0.25">
      <c r="A580" t="s">
        <v>332</v>
      </c>
      <c r="B580" s="2">
        <v>45199</v>
      </c>
      <c r="C580" t="s">
        <v>332</v>
      </c>
      <c r="D580" t="s">
        <v>112</v>
      </c>
      <c r="E580" t="s">
        <v>9</v>
      </c>
      <c r="F580" s="3">
        <v>2500</v>
      </c>
      <c r="G580" s="3">
        <v>2500</v>
      </c>
      <c r="H580" t="s">
        <v>3</v>
      </c>
      <c r="I580" t="s">
        <v>3</v>
      </c>
      <c r="J580" t="s">
        <v>344</v>
      </c>
      <c r="K580" t="s">
        <v>225</v>
      </c>
      <c r="L580" t="s">
        <v>6</v>
      </c>
      <c r="M580" t="s">
        <v>114</v>
      </c>
      <c r="N580" s="2">
        <v>45199</v>
      </c>
    </row>
    <row r="581" spans="1:14" x14ac:dyDescent="0.25">
      <c r="A581" t="s">
        <v>332</v>
      </c>
      <c r="B581" s="2">
        <v>45535</v>
      </c>
      <c r="C581" t="s">
        <v>332</v>
      </c>
      <c r="D581" t="s">
        <v>112</v>
      </c>
      <c r="E581" t="s">
        <v>9</v>
      </c>
      <c r="F581" s="3">
        <v>-3700</v>
      </c>
      <c r="G581" s="3">
        <v>-3700</v>
      </c>
      <c r="H581" t="s">
        <v>3</v>
      </c>
      <c r="I581" t="s">
        <v>3</v>
      </c>
      <c r="J581" t="s">
        <v>266</v>
      </c>
      <c r="K581" t="s">
        <v>222</v>
      </c>
      <c r="L581" t="s">
        <v>6</v>
      </c>
      <c r="M581" t="s">
        <v>114</v>
      </c>
      <c r="N581" s="2">
        <v>45536</v>
      </c>
    </row>
    <row r="582" spans="1:14" x14ac:dyDescent="0.25">
      <c r="A582" t="s">
        <v>332</v>
      </c>
      <c r="B582" s="2">
        <v>45535</v>
      </c>
      <c r="C582" t="s">
        <v>332</v>
      </c>
      <c r="D582" t="s">
        <v>112</v>
      </c>
      <c r="E582" t="s">
        <v>9</v>
      </c>
      <c r="F582" s="3">
        <v>-600</v>
      </c>
      <c r="G582" s="3">
        <v>-600</v>
      </c>
      <c r="H582" t="s">
        <v>3</v>
      </c>
      <c r="I582" t="s">
        <v>3</v>
      </c>
      <c r="J582" t="s">
        <v>343</v>
      </c>
      <c r="K582" t="s">
        <v>222</v>
      </c>
      <c r="L582" t="s">
        <v>6</v>
      </c>
      <c r="M582" t="s">
        <v>114</v>
      </c>
      <c r="N582" s="2">
        <v>45536</v>
      </c>
    </row>
    <row r="583" spans="1:14" x14ac:dyDescent="0.25">
      <c r="A583" t="s">
        <v>332</v>
      </c>
      <c r="B583" s="2">
        <v>45565</v>
      </c>
      <c r="C583" t="s">
        <v>332</v>
      </c>
      <c r="D583" t="s">
        <v>112</v>
      </c>
      <c r="E583" t="s">
        <v>9</v>
      </c>
      <c r="F583" s="3">
        <v>3800</v>
      </c>
      <c r="G583" s="3">
        <v>3800</v>
      </c>
      <c r="H583" t="s">
        <v>3</v>
      </c>
      <c r="I583" t="s">
        <v>3</v>
      </c>
      <c r="J583" t="s">
        <v>271</v>
      </c>
      <c r="K583" t="s">
        <v>222</v>
      </c>
      <c r="L583" t="s">
        <v>6</v>
      </c>
      <c r="M583" t="s">
        <v>114</v>
      </c>
      <c r="N583" s="2">
        <v>45565</v>
      </c>
    </row>
    <row r="584" spans="1:14" x14ac:dyDescent="0.25">
      <c r="A584" t="s">
        <v>332</v>
      </c>
      <c r="B584" s="2">
        <v>45565</v>
      </c>
      <c r="C584" t="s">
        <v>332</v>
      </c>
      <c r="D584" t="s">
        <v>112</v>
      </c>
      <c r="E584" t="s">
        <v>9</v>
      </c>
      <c r="F584" s="3">
        <v>600</v>
      </c>
      <c r="G584" s="3">
        <v>600</v>
      </c>
      <c r="H584" t="s">
        <v>3</v>
      </c>
      <c r="I584" t="s">
        <v>3</v>
      </c>
      <c r="J584" t="s">
        <v>345</v>
      </c>
      <c r="K584" t="s">
        <v>222</v>
      </c>
      <c r="L584" t="s">
        <v>6</v>
      </c>
      <c r="M584" t="s">
        <v>114</v>
      </c>
      <c r="N584" s="2">
        <v>45565</v>
      </c>
    </row>
    <row r="585" spans="1:14" x14ac:dyDescent="0.25">
      <c r="A585" t="s">
        <v>332</v>
      </c>
      <c r="B585" s="2">
        <v>45900</v>
      </c>
      <c r="C585" t="s">
        <v>332</v>
      </c>
      <c r="D585" t="s">
        <v>112</v>
      </c>
      <c r="E585" t="s">
        <v>9</v>
      </c>
      <c r="F585" s="3">
        <v>-14500</v>
      </c>
      <c r="G585" s="3">
        <v>-14500</v>
      </c>
      <c r="H585" t="s">
        <v>3</v>
      </c>
      <c r="I585" t="s">
        <v>3</v>
      </c>
      <c r="J585" t="s">
        <v>320</v>
      </c>
      <c r="K585" t="s">
        <v>5</v>
      </c>
      <c r="L585" t="s">
        <v>6</v>
      </c>
      <c r="M585" t="s">
        <v>114</v>
      </c>
      <c r="N585" s="2">
        <v>45901</v>
      </c>
    </row>
    <row r="586" spans="1:14" x14ac:dyDescent="0.25">
      <c r="A586" t="s">
        <v>332</v>
      </c>
      <c r="B586" s="2">
        <v>45900</v>
      </c>
      <c r="C586" t="s">
        <v>332</v>
      </c>
      <c r="D586" t="s">
        <v>112</v>
      </c>
      <c r="E586" t="s">
        <v>9</v>
      </c>
      <c r="F586" s="3">
        <v>14500</v>
      </c>
      <c r="G586" s="3">
        <v>14500</v>
      </c>
      <c r="H586" t="s">
        <v>3</v>
      </c>
      <c r="I586" t="s">
        <v>3</v>
      </c>
      <c r="J586" t="s">
        <v>320</v>
      </c>
      <c r="K586" t="s">
        <v>5</v>
      </c>
      <c r="L586" t="s">
        <v>6</v>
      </c>
      <c r="M586" t="s">
        <v>114</v>
      </c>
      <c r="N586" s="2">
        <v>45901</v>
      </c>
    </row>
    <row r="587" spans="1:14" x14ac:dyDescent="0.25">
      <c r="A587" t="s">
        <v>332</v>
      </c>
      <c r="B587" s="2">
        <v>45900</v>
      </c>
      <c r="C587" t="s">
        <v>332</v>
      </c>
      <c r="D587" t="s">
        <v>112</v>
      </c>
      <c r="E587" t="s">
        <v>9</v>
      </c>
      <c r="F587" s="3">
        <v>-14400</v>
      </c>
      <c r="G587" s="3">
        <v>-14400</v>
      </c>
      <c r="H587" t="s">
        <v>3</v>
      </c>
      <c r="I587" t="s">
        <v>3</v>
      </c>
      <c r="J587" t="s">
        <v>320</v>
      </c>
      <c r="K587" t="s">
        <v>5</v>
      </c>
      <c r="L587" t="s">
        <v>6</v>
      </c>
      <c r="M587" t="s">
        <v>114</v>
      </c>
      <c r="N587" s="2">
        <v>45901</v>
      </c>
    </row>
    <row r="588" spans="1:14" x14ac:dyDescent="0.25">
      <c r="A588" t="s">
        <v>332</v>
      </c>
      <c r="B588" s="2">
        <v>45900</v>
      </c>
      <c r="C588" t="s">
        <v>332</v>
      </c>
      <c r="D588" t="s">
        <v>112</v>
      </c>
      <c r="E588" t="s">
        <v>9</v>
      </c>
      <c r="F588" s="3">
        <v>14400</v>
      </c>
      <c r="G588" s="3">
        <v>14400</v>
      </c>
      <c r="H588" t="s">
        <v>3</v>
      </c>
      <c r="I588" t="s">
        <v>3</v>
      </c>
      <c r="J588" t="s">
        <v>320</v>
      </c>
      <c r="K588" t="s">
        <v>5</v>
      </c>
      <c r="L588" t="s">
        <v>6</v>
      </c>
      <c r="M588" t="s">
        <v>114</v>
      </c>
      <c r="N588" s="2">
        <v>45901</v>
      </c>
    </row>
    <row r="589" spans="1:14" x14ac:dyDescent="0.25">
      <c r="A589" t="s">
        <v>332</v>
      </c>
      <c r="B589" s="2">
        <v>45900</v>
      </c>
      <c r="C589" t="s">
        <v>332</v>
      </c>
      <c r="D589" t="s">
        <v>112</v>
      </c>
      <c r="E589" t="s">
        <v>9</v>
      </c>
      <c r="F589" s="3">
        <v>-14500</v>
      </c>
      <c r="G589" s="3">
        <v>-14500</v>
      </c>
      <c r="H589" t="s">
        <v>3</v>
      </c>
      <c r="I589" t="s">
        <v>3</v>
      </c>
      <c r="J589" t="s">
        <v>320</v>
      </c>
      <c r="K589" t="s">
        <v>5</v>
      </c>
      <c r="L589" t="s">
        <v>6</v>
      </c>
      <c r="M589" t="s">
        <v>114</v>
      </c>
      <c r="N589" s="2">
        <v>45901</v>
      </c>
    </row>
    <row r="590" spans="1:14" x14ac:dyDescent="0.25">
      <c r="A590" t="s">
        <v>332</v>
      </c>
      <c r="B590" s="2">
        <v>45930</v>
      </c>
      <c r="C590" t="s">
        <v>332</v>
      </c>
      <c r="D590" t="s">
        <v>112</v>
      </c>
      <c r="E590" t="s">
        <v>9</v>
      </c>
      <c r="F590" s="3">
        <v>14900</v>
      </c>
      <c r="G590" s="3">
        <v>14900</v>
      </c>
      <c r="H590" t="s">
        <v>3</v>
      </c>
      <c r="I590" t="s">
        <v>3</v>
      </c>
      <c r="J590" t="s">
        <v>323</v>
      </c>
      <c r="K590" t="s">
        <v>5</v>
      </c>
      <c r="L590" t="s">
        <v>6</v>
      </c>
      <c r="M590" t="s">
        <v>114</v>
      </c>
      <c r="N590" s="2">
        <v>45930</v>
      </c>
    </row>
    <row r="591" spans="1:14" x14ac:dyDescent="0.25">
      <c r="A591" s="4" t="s">
        <v>272</v>
      </c>
      <c r="B591" s="5"/>
      <c r="C591" s="4" t="s">
        <v>9</v>
      </c>
      <c r="D591" s="4" t="s">
        <v>9</v>
      </c>
      <c r="E591" s="4" t="s">
        <v>9</v>
      </c>
      <c r="F591" s="6">
        <v>0</v>
      </c>
      <c r="G591" s="6">
        <v>0</v>
      </c>
      <c r="H591" s="4" t="s">
        <v>9</v>
      </c>
      <c r="I591" s="4" t="s">
        <v>3</v>
      </c>
      <c r="J591" s="4" t="s">
        <v>9</v>
      </c>
      <c r="K591" s="4" t="s">
        <v>9</v>
      </c>
      <c r="L591" s="4" t="s">
        <v>9</v>
      </c>
      <c r="M591" s="4" t="s">
        <v>9</v>
      </c>
      <c r="N591" s="5"/>
    </row>
    <row r="592" spans="1:14" x14ac:dyDescent="0.25">
      <c r="A592" t="s">
        <v>332</v>
      </c>
      <c r="B592" s="2">
        <v>45232</v>
      </c>
      <c r="C592" t="s">
        <v>332</v>
      </c>
      <c r="D592" t="s">
        <v>112</v>
      </c>
      <c r="E592" t="s">
        <v>9</v>
      </c>
      <c r="F592" s="3">
        <v>-7700</v>
      </c>
      <c r="G592" s="3">
        <v>-7700</v>
      </c>
      <c r="H592" t="s">
        <v>3</v>
      </c>
      <c r="I592" t="s">
        <v>3</v>
      </c>
      <c r="J592" t="s">
        <v>9</v>
      </c>
      <c r="K592" t="s">
        <v>9</v>
      </c>
      <c r="L592" t="s">
        <v>8</v>
      </c>
      <c r="M592" t="s">
        <v>114</v>
      </c>
      <c r="N592" s="2">
        <v>45230</v>
      </c>
    </row>
    <row r="593" spans="1:14" x14ac:dyDescent="0.25">
      <c r="A593" t="s">
        <v>332</v>
      </c>
      <c r="B593" s="2">
        <v>45601</v>
      </c>
      <c r="C593" t="s">
        <v>332</v>
      </c>
      <c r="D593" t="s">
        <v>112</v>
      </c>
      <c r="E593" t="s">
        <v>9</v>
      </c>
      <c r="F593" s="3">
        <v>-400</v>
      </c>
      <c r="G593" s="3">
        <v>-400</v>
      </c>
      <c r="H593" t="s">
        <v>3</v>
      </c>
      <c r="I593" t="s">
        <v>3</v>
      </c>
      <c r="J593" t="s">
        <v>9</v>
      </c>
      <c r="K593" t="s">
        <v>9</v>
      </c>
      <c r="L593" t="s">
        <v>8</v>
      </c>
      <c r="M593" t="s">
        <v>114</v>
      </c>
      <c r="N593" s="2">
        <v>45596</v>
      </c>
    </row>
    <row r="594" spans="1:14" x14ac:dyDescent="0.25">
      <c r="A594" t="s">
        <v>332</v>
      </c>
      <c r="B594" s="2">
        <v>45965</v>
      </c>
      <c r="C594" t="s">
        <v>332</v>
      </c>
      <c r="D594" t="s">
        <v>112</v>
      </c>
      <c r="E594" t="s">
        <v>9</v>
      </c>
      <c r="F594" s="3">
        <v>-1400</v>
      </c>
      <c r="G594" s="3">
        <v>-1400</v>
      </c>
      <c r="H594" t="s">
        <v>3</v>
      </c>
      <c r="I594" t="s">
        <v>3</v>
      </c>
      <c r="J594" t="s">
        <v>9</v>
      </c>
      <c r="K594" t="s">
        <v>9</v>
      </c>
      <c r="L594" t="s">
        <v>8</v>
      </c>
      <c r="M594" t="s">
        <v>114</v>
      </c>
      <c r="N594" s="2">
        <v>45961</v>
      </c>
    </row>
    <row r="595" spans="1:14" x14ac:dyDescent="0.25">
      <c r="A595" t="s">
        <v>332</v>
      </c>
      <c r="B595" s="2">
        <v>45199</v>
      </c>
      <c r="C595" t="s">
        <v>332</v>
      </c>
      <c r="D595" t="s">
        <v>112</v>
      </c>
      <c r="E595" t="s">
        <v>9</v>
      </c>
      <c r="F595" s="3">
        <v>-11900</v>
      </c>
      <c r="G595" s="3">
        <v>-11900</v>
      </c>
      <c r="H595" t="s">
        <v>3</v>
      </c>
      <c r="I595" t="s">
        <v>3</v>
      </c>
      <c r="J595" t="s">
        <v>270</v>
      </c>
      <c r="K595" t="s">
        <v>225</v>
      </c>
      <c r="L595" t="s">
        <v>8</v>
      </c>
      <c r="M595" t="s">
        <v>114</v>
      </c>
      <c r="N595" s="2">
        <v>45200</v>
      </c>
    </row>
    <row r="596" spans="1:14" x14ac:dyDescent="0.25">
      <c r="A596" t="s">
        <v>332</v>
      </c>
      <c r="B596" s="2">
        <v>45199</v>
      </c>
      <c r="C596" t="s">
        <v>332</v>
      </c>
      <c r="D596" t="s">
        <v>112</v>
      </c>
      <c r="E596" t="s">
        <v>9</v>
      </c>
      <c r="F596" s="3">
        <v>-2500</v>
      </c>
      <c r="G596" s="3">
        <v>-2500</v>
      </c>
      <c r="H596" t="s">
        <v>3</v>
      </c>
      <c r="I596" t="s">
        <v>3</v>
      </c>
      <c r="J596" t="s">
        <v>344</v>
      </c>
      <c r="K596" t="s">
        <v>225</v>
      </c>
      <c r="L596" t="s">
        <v>8</v>
      </c>
      <c r="M596" t="s">
        <v>114</v>
      </c>
      <c r="N596" s="2">
        <v>45200</v>
      </c>
    </row>
    <row r="597" spans="1:14" x14ac:dyDescent="0.25">
      <c r="A597" t="s">
        <v>332</v>
      </c>
      <c r="B597" s="2">
        <v>45230</v>
      </c>
      <c r="C597" t="s">
        <v>332</v>
      </c>
      <c r="D597" t="s">
        <v>112</v>
      </c>
      <c r="E597" t="s">
        <v>9</v>
      </c>
      <c r="F597" s="3">
        <v>18700</v>
      </c>
      <c r="G597" s="3">
        <v>18700</v>
      </c>
      <c r="H597" t="s">
        <v>3</v>
      </c>
      <c r="I597" t="s">
        <v>3</v>
      </c>
      <c r="J597" t="s">
        <v>276</v>
      </c>
      <c r="K597" t="s">
        <v>225</v>
      </c>
      <c r="L597" t="s">
        <v>8</v>
      </c>
      <c r="M597" t="s">
        <v>114</v>
      </c>
      <c r="N597" s="2">
        <v>45230</v>
      </c>
    </row>
    <row r="598" spans="1:14" x14ac:dyDescent="0.25">
      <c r="A598" t="s">
        <v>332</v>
      </c>
      <c r="B598" s="2">
        <v>45230</v>
      </c>
      <c r="C598" t="s">
        <v>332</v>
      </c>
      <c r="D598" t="s">
        <v>112</v>
      </c>
      <c r="E598" t="s">
        <v>9</v>
      </c>
      <c r="F598" s="3">
        <v>3400</v>
      </c>
      <c r="G598" s="3">
        <v>3400</v>
      </c>
      <c r="H598" t="s">
        <v>3</v>
      </c>
      <c r="I598" t="s">
        <v>3</v>
      </c>
      <c r="J598" t="s">
        <v>346</v>
      </c>
      <c r="K598" t="s">
        <v>225</v>
      </c>
      <c r="L598" t="s">
        <v>8</v>
      </c>
      <c r="M598" t="s">
        <v>114</v>
      </c>
      <c r="N598" s="2">
        <v>45230</v>
      </c>
    </row>
    <row r="599" spans="1:14" x14ac:dyDescent="0.25">
      <c r="A599" t="s">
        <v>332</v>
      </c>
      <c r="B599" s="2">
        <v>45565</v>
      </c>
      <c r="C599" t="s">
        <v>332</v>
      </c>
      <c r="D599" t="s">
        <v>112</v>
      </c>
      <c r="E599" t="s">
        <v>9</v>
      </c>
      <c r="F599" s="3">
        <v>-3800</v>
      </c>
      <c r="G599" s="3">
        <v>-3800</v>
      </c>
      <c r="H599" t="s">
        <v>3</v>
      </c>
      <c r="I599" t="s">
        <v>3</v>
      </c>
      <c r="J599" t="s">
        <v>271</v>
      </c>
      <c r="K599" t="s">
        <v>222</v>
      </c>
      <c r="L599" t="s">
        <v>8</v>
      </c>
      <c r="M599" t="s">
        <v>114</v>
      </c>
      <c r="N599" s="2">
        <v>45566</v>
      </c>
    </row>
    <row r="600" spans="1:14" x14ac:dyDescent="0.25">
      <c r="A600" t="s">
        <v>332</v>
      </c>
      <c r="B600" s="2">
        <v>45565</v>
      </c>
      <c r="C600" t="s">
        <v>332</v>
      </c>
      <c r="D600" t="s">
        <v>112</v>
      </c>
      <c r="E600" t="s">
        <v>9</v>
      </c>
      <c r="F600" s="3">
        <v>-600</v>
      </c>
      <c r="G600" s="3">
        <v>-600</v>
      </c>
      <c r="H600" t="s">
        <v>3</v>
      </c>
      <c r="I600" t="s">
        <v>3</v>
      </c>
      <c r="J600" t="s">
        <v>345</v>
      </c>
      <c r="K600" t="s">
        <v>222</v>
      </c>
      <c r="L600" t="s">
        <v>8</v>
      </c>
      <c r="M600" t="s">
        <v>114</v>
      </c>
      <c r="N600" s="2">
        <v>45566</v>
      </c>
    </row>
    <row r="601" spans="1:14" x14ac:dyDescent="0.25">
      <c r="A601" t="s">
        <v>332</v>
      </c>
      <c r="B601" s="2">
        <v>45596</v>
      </c>
      <c r="C601" t="s">
        <v>332</v>
      </c>
      <c r="D601" t="s">
        <v>112</v>
      </c>
      <c r="E601" t="s">
        <v>9</v>
      </c>
      <c r="F601" s="3">
        <v>4200</v>
      </c>
      <c r="G601" s="3">
        <v>4200</v>
      </c>
      <c r="H601" t="s">
        <v>3</v>
      </c>
      <c r="I601" t="s">
        <v>3</v>
      </c>
      <c r="J601" t="s">
        <v>277</v>
      </c>
      <c r="K601" t="s">
        <v>222</v>
      </c>
      <c r="L601" t="s">
        <v>8</v>
      </c>
      <c r="M601" t="s">
        <v>114</v>
      </c>
      <c r="N601" s="2">
        <v>45596</v>
      </c>
    </row>
    <row r="602" spans="1:14" x14ac:dyDescent="0.25">
      <c r="A602" t="s">
        <v>332</v>
      </c>
      <c r="B602" s="2">
        <v>45596</v>
      </c>
      <c r="C602" t="s">
        <v>332</v>
      </c>
      <c r="D602" t="s">
        <v>112</v>
      </c>
      <c r="E602" t="s">
        <v>9</v>
      </c>
      <c r="F602" s="3">
        <v>600</v>
      </c>
      <c r="G602" s="3">
        <v>600</v>
      </c>
      <c r="H602" t="s">
        <v>3</v>
      </c>
      <c r="I602" t="s">
        <v>3</v>
      </c>
      <c r="J602" t="s">
        <v>347</v>
      </c>
      <c r="K602" t="s">
        <v>222</v>
      </c>
      <c r="L602" t="s">
        <v>8</v>
      </c>
      <c r="M602" t="s">
        <v>114</v>
      </c>
      <c r="N602" s="2">
        <v>45596</v>
      </c>
    </row>
    <row r="603" spans="1:14" x14ac:dyDescent="0.25">
      <c r="A603" t="s">
        <v>332</v>
      </c>
      <c r="B603" s="2">
        <v>45930</v>
      </c>
      <c r="C603" t="s">
        <v>332</v>
      </c>
      <c r="D603" t="s">
        <v>112</v>
      </c>
      <c r="E603" t="s">
        <v>9</v>
      </c>
      <c r="F603" s="3">
        <v>-14900</v>
      </c>
      <c r="G603" s="3">
        <v>-14900</v>
      </c>
      <c r="H603" t="s">
        <v>3</v>
      </c>
      <c r="I603" t="s">
        <v>3</v>
      </c>
      <c r="J603" t="s">
        <v>323</v>
      </c>
      <c r="K603" t="s">
        <v>5</v>
      </c>
      <c r="L603" t="s">
        <v>8</v>
      </c>
      <c r="M603" t="s">
        <v>114</v>
      </c>
      <c r="N603" s="2">
        <v>45931</v>
      </c>
    </row>
    <row r="604" spans="1:14" x14ac:dyDescent="0.25">
      <c r="A604" t="s">
        <v>332</v>
      </c>
      <c r="B604" s="2">
        <v>45961</v>
      </c>
      <c r="C604" t="s">
        <v>332</v>
      </c>
      <c r="D604" t="s">
        <v>112</v>
      </c>
      <c r="E604" t="s">
        <v>9</v>
      </c>
      <c r="F604" s="3">
        <v>16300</v>
      </c>
      <c r="G604" s="3">
        <v>16300</v>
      </c>
      <c r="H604" t="s">
        <v>3</v>
      </c>
      <c r="I604" t="s">
        <v>3</v>
      </c>
      <c r="J604" t="s">
        <v>325</v>
      </c>
      <c r="K604" t="s">
        <v>5</v>
      </c>
      <c r="L604" t="s">
        <v>8</v>
      </c>
      <c r="M604" t="s">
        <v>114</v>
      </c>
      <c r="N604" s="2">
        <v>45961</v>
      </c>
    </row>
    <row r="605" spans="1:14" x14ac:dyDescent="0.25">
      <c r="A605" s="4" t="s">
        <v>278</v>
      </c>
      <c r="B605" s="5"/>
      <c r="C605" s="4" t="s">
        <v>9</v>
      </c>
      <c r="D605" s="4" t="s">
        <v>9</v>
      </c>
      <c r="E605" s="4" t="s">
        <v>9</v>
      </c>
      <c r="F605" s="6">
        <v>0</v>
      </c>
      <c r="G605" s="6">
        <v>0</v>
      </c>
      <c r="H605" s="4" t="s">
        <v>9</v>
      </c>
      <c r="I605" s="4" t="s">
        <v>3</v>
      </c>
      <c r="J605" s="4" t="s">
        <v>9</v>
      </c>
      <c r="K605" s="4" t="s">
        <v>9</v>
      </c>
      <c r="L605" s="4" t="s">
        <v>9</v>
      </c>
      <c r="M605" s="4" t="s">
        <v>9</v>
      </c>
      <c r="N605" s="5"/>
    </row>
    <row r="606" spans="1:14" x14ac:dyDescent="0.25">
      <c r="A606" t="s">
        <v>332</v>
      </c>
      <c r="B606" s="2">
        <v>45264</v>
      </c>
      <c r="C606" t="s">
        <v>332</v>
      </c>
      <c r="D606" t="s">
        <v>112</v>
      </c>
      <c r="E606" t="s">
        <v>9</v>
      </c>
      <c r="F606" s="3">
        <v>-700</v>
      </c>
      <c r="G606" s="3">
        <v>-700</v>
      </c>
      <c r="H606" t="s">
        <v>3</v>
      </c>
      <c r="I606" t="s">
        <v>3</v>
      </c>
      <c r="J606" t="s">
        <v>9</v>
      </c>
      <c r="K606" t="s">
        <v>9</v>
      </c>
      <c r="L606" t="s">
        <v>11</v>
      </c>
      <c r="M606" t="s">
        <v>114</v>
      </c>
      <c r="N606" s="2">
        <v>45260</v>
      </c>
    </row>
    <row r="607" spans="1:14" x14ac:dyDescent="0.25">
      <c r="A607" t="s">
        <v>332</v>
      </c>
      <c r="B607" s="2">
        <v>45993</v>
      </c>
      <c r="C607" t="s">
        <v>332</v>
      </c>
      <c r="D607" t="s">
        <v>112</v>
      </c>
      <c r="E607" t="s">
        <v>9</v>
      </c>
      <c r="F607" s="3">
        <v>-500</v>
      </c>
      <c r="G607" s="3">
        <v>-500</v>
      </c>
      <c r="H607" t="s">
        <v>3</v>
      </c>
      <c r="I607" t="s">
        <v>3</v>
      </c>
      <c r="J607" t="s">
        <v>9</v>
      </c>
      <c r="K607" t="s">
        <v>9</v>
      </c>
      <c r="L607" t="s">
        <v>11</v>
      </c>
      <c r="M607" t="s">
        <v>114</v>
      </c>
      <c r="N607" s="2">
        <v>45991</v>
      </c>
    </row>
    <row r="608" spans="1:14" x14ac:dyDescent="0.25">
      <c r="A608" t="s">
        <v>332</v>
      </c>
      <c r="B608" s="2">
        <v>45230</v>
      </c>
      <c r="C608" t="s">
        <v>332</v>
      </c>
      <c r="D608" t="s">
        <v>112</v>
      </c>
      <c r="E608" t="s">
        <v>9</v>
      </c>
      <c r="F608" s="3">
        <v>-18700</v>
      </c>
      <c r="G608" s="3">
        <v>-18700</v>
      </c>
      <c r="H608" t="s">
        <v>3</v>
      </c>
      <c r="I608" t="s">
        <v>3</v>
      </c>
      <c r="J608" t="s">
        <v>276</v>
      </c>
      <c r="K608" t="s">
        <v>225</v>
      </c>
      <c r="L608" t="s">
        <v>11</v>
      </c>
      <c r="M608" t="s">
        <v>114</v>
      </c>
      <c r="N608" s="2">
        <v>45231</v>
      </c>
    </row>
    <row r="609" spans="1:14" x14ac:dyDescent="0.25">
      <c r="A609" t="s">
        <v>332</v>
      </c>
      <c r="B609" s="2">
        <v>45230</v>
      </c>
      <c r="C609" t="s">
        <v>332</v>
      </c>
      <c r="D609" t="s">
        <v>112</v>
      </c>
      <c r="E609" t="s">
        <v>9</v>
      </c>
      <c r="F609" s="3">
        <v>-3400</v>
      </c>
      <c r="G609" s="3">
        <v>-3400</v>
      </c>
      <c r="H609" t="s">
        <v>3</v>
      </c>
      <c r="I609" t="s">
        <v>3</v>
      </c>
      <c r="J609" t="s">
        <v>346</v>
      </c>
      <c r="K609" t="s">
        <v>225</v>
      </c>
      <c r="L609" t="s">
        <v>11</v>
      </c>
      <c r="M609" t="s">
        <v>114</v>
      </c>
      <c r="N609" s="2">
        <v>45231</v>
      </c>
    </row>
    <row r="610" spans="1:14" x14ac:dyDescent="0.25">
      <c r="A610" t="s">
        <v>332</v>
      </c>
      <c r="B610" s="2">
        <v>45260</v>
      </c>
      <c r="C610" t="s">
        <v>332</v>
      </c>
      <c r="D610" t="s">
        <v>112</v>
      </c>
      <c r="E610" t="s">
        <v>9</v>
      </c>
      <c r="F610" s="3">
        <v>18800</v>
      </c>
      <c r="G610" s="3">
        <v>18800</v>
      </c>
      <c r="H610" t="s">
        <v>3</v>
      </c>
      <c r="I610" t="s">
        <v>3</v>
      </c>
      <c r="J610" t="s">
        <v>282</v>
      </c>
      <c r="K610" t="s">
        <v>225</v>
      </c>
      <c r="L610" t="s">
        <v>11</v>
      </c>
      <c r="M610" t="s">
        <v>114</v>
      </c>
      <c r="N610" s="2">
        <v>45260</v>
      </c>
    </row>
    <row r="611" spans="1:14" x14ac:dyDescent="0.25">
      <c r="A611" t="s">
        <v>332</v>
      </c>
      <c r="B611" s="2">
        <v>45260</v>
      </c>
      <c r="C611" t="s">
        <v>332</v>
      </c>
      <c r="D611" t="s">
        <v>112</v>
      </c>
      <c r="E611" t="s">
        <v>9</v>
      </c>
      <c r="F611" s="3">
        <v>4000</v>
      </c>
      <c r="G611" s="3">
        <v>4000</v>
      </c>
      <c r="H611" t="s">
        <v>3</v>
      </c>
      <c r="I611" t="s">
        <v>3</v>
      </c>
      <c r="J611" t="s">
        <v>348</v>
      </c>
      <c r="K611" t="s">
        <v>225</v>
      </c>
      <c r="L611" t="s">
        <v>11</v>
      </c>
      <c r="M611" t="s">
        <v>114</v>
      </c>
      <c r="N611" s="2">
        <v>45260</v>
      </c>
    </row>
    <row r="612" spans="1:14" x14ac:dyDescent="0.25">
      <c r="A612" t="s">
        <v>332</v>
      </c>
      <c r="B612" s="2">
        <v>45596</v>
      </c>
      <c r="C612" t="s">
        <v>332</v>
      </c>
      <c r="D612" t="s">
        <v>112</v>
      </c>
      <c r="E612" t="s">
        <v>9</v>
      </c>
      <c r="F612" s="3">
        <v>-4200</v>
      </c>
      <c r="G612" s="3">
        <v>-4200</v>
      </c>
      <c r="H612" t="s">
        <v>3</v>
      </c>
      <c r="I612" t="s">
        <v>3</v>
      </c>
      <c r="J612" t="s">
        <v>277</v>
      </c>
      <c r="K612" t="s">
        <v>222</v>
      </c>
      <c r="L612" t="s">
        <v>11</v>
      </c>
      <c r="M612" t="s">
        <v>114</v>
      </c>
      <c r="N612" s="2">
        <v>45597</v>
      </c>
    </row>
    <row r="613" spans="1:14" x14ac:dyDescent="0.25">
      <c r="A613" t="s">
        <v>332</v>
      </c>
      <c r="B613" s="2">
        <v>45596</v>
      </c>
      <c r="C613" t="s">
        <v>332</v>
      </c>
      <c r="D613" t="s">
        <v>112</v>
      </c>
      <c r="E613" t="s">
        <v>9</v>
      </c>
      <c r="F613" s="3">
        <v>-600</v>
      </c>
      <c r="G613" s="3">
        <v>-600</v>
      </c>
      <c r="H613" t="s">
        <v>3</v>
      </c>
      <c r="I613" t="s">
        <v>3</v>
      </c>
      <c r="J613" t="s">
        <v>347</v>
      </c>
      <c r="K613" t="s">
        <v>222</v>
      </c>
      <c r="L613" t="s">
        <v>11</v>
      </c>
      <c r="M613" t="s">
        <v>114</v>
      </c>
      <c r="N613" s="2">
        <v>45597</v>
      </c>
    </row>
    <row r="614" spans="1:14" x14ac:dyDescent="0.25">
      <c r="A614" t="s">
        <v>332</v>
      </c>
      <c r="B614" s="2">
        <v>45626</v>
      </c>
      <c r="C614" t="s">
        <v>332</v>
      </c>
      <c r="D614" t="s">
        <v>112</v>
      </c>
      <c r="E614" t="s">
        <v>9</v>
      </c>
      <c r="F614" s="3">
        <v>4200</v>
      </c>
      <c r="G614" s="3">
        <v>4200</v>
      </c>
      <c r="H614" t="s">
        <v>3</v>
      </c>
      <c r="I614" t="s">
        <v>3</v>
      </c>
      <c r="J614" t="s">
        <v>283</v>
      </c>
      <c r="K614" t="s">
        <v>222</v>
      </c>
      <c r="L614" t="s">
        <v>11</v>
      </c>
      <c r="M614" t="s">
        <v>114</v>
      </c>
      <c r="N614" s="2">
        <v>45626</v>
      </c>
    </row>
    <row r="615" spans="1:14" x14ac:dyDescent="0.25">
      <c r="A615" t="s">
        <v>332</v>
      </c>
      <c r="B615" s="2">
        <v>45626</v>
      </c>
      <c r="C615" t="s">
        <v>332</v>
      </c>
      <c r="D615" t="s">
        <v>112</v>
      </c>
      <c r="E615" t="s">
        <v>9</v>
      </c>
      <c r="F615" s="3">
        <v>600</v>
      </c>
      <c r="G615" s="3">
        <v>600</v>
      </c>
      <c r="H615" t="s">
        <v>3</v>
      </c>
      <c r="I615" t="s">
        <v>3</v>
      </c>
      <c r="J615" t="s">
        <v>327</v>
      </c>
      <c r="K615" t="s">
        <v>222</v>
      </c>
      <c r="L615" t="s">
        <v>11</v>
      </c>
      <c r="M615" t="s">
        <v>114</v>
      </c>
      <c r="N615" s="2">
        <v>45626</v>
      </c>
    </row>
    <row r="616" spans="1:14" x14ac:dyDescent="0.25">
      <c r="A616" t="s">
        <v>332</v>
      </c>
      <c r="B616" s="2">
        <v>45961</v>
      </c>
      <c r="C616" t="s">
        <v>332</v>
      </c>
      <c r="D616" t="s">
        <v>112</v>
      </c>
      <c r="E616" t="s">
        <v>9</v>
      </c>
      <c r="F616" s="3">
        <v>-16300</v>
      </c>
      <c r="G616" s="3">
        <v>-16300</v>
      </c>
      <c r="H616" t="s">
        <v>3</v>
      </c>
      <c r="I616" t="s">
        <v>3</v>
      </c>
      <c r="J616" t="s">
        <v>325</v>
      </c>
      <c r="K616" t="s">
        <v>5</v>
      </c>
      <c r="L616" t="s">
        <v>11</v>
      </c>
      <c r="M616" t="s">
        <v>114</v>
      </c>
      <c r="N616" s="2">
        <v>45962</v>
      </c>
    </row>
    <row r="617" spans="1:14" x14ac:dyDescent="0.25">
      <c r="A617" t="s">
        <v>332</v>
      </c>
      <c r="B617" s="2">
        <v>45991</v>
      </c>
      <c r="C617" t="s">
        <v>332</v>
      </c>
      <c r="D617" t="s">
        <v>112</v>
      </c>
      <c r="E617" t="s">
        <v>9</v>
      </c>
      <c r="F617" s="3">
        <v>16800</v>
      </c>
      <c r="G617" s="3">
        <v>16800</v>
      </c>
      <c r="H617" t="s">
        <v>3</v>
      </c>
      <c r="I617" t="s">
        <v>3</v>
      </c>
      <c r="J617" t="s">
        <v>328</v>
      </c>
      <c r="K617" t="s">
        <v>5</v>
      </c>
      <c r="L617" t="s">
        <v>11</v>
      </c>
      <c r="M617" t="s">
        <v>114</v>
      </c>
      <c r="N617" s="2">
        <v>45991</v>
      </c>
    </row>
    <row r="618" spans="1:14" x14ac:dyDescent="0.25">
      <c r="A618" s="4" t="s">
        <v>226</v>
      </c>
      <c r="B618" s="5"/>
      <c r="C618" s="4" t="s">
        <v>9</v>
      </c>
      <c r="D618" s="4" t="s">
        <v>9</v>
      </c>
      <c r="E618" s="4" t="s">
        <v>9</v>
      </c>
      <c r="F618" s="6">
        <v>0</v>
      </c>
      <c r="G618" s="6">
        <v>0</v>
      </c>
      <c r="H618" s="4" t="s">
        <v>9</v>
      </c>
      <c r="I618" s="4" t="s">
        <v>3</v>
      </c>
      <c r="J618" s="4" t="s">
        <v>9</v>
      </c>
      <c r="K618" s="4" t="s">
        <v>9</v>
      </c>
      <c r="L618" s="4" t="s">
        <v>9</v>
      </c>
      <c r="M618" s="4" t="s">
        <v>9</v>
      </c>
      <c r="N618" s="5"/>
    </row>
    <row r="619" spans="1:14" x14ac:dyDescent="0.25">
      <c r="A619" t="s">
        <v>332</v>
      </c>
      <c r="B619" s="2">
        <v>45295</v>
      </c>
      <c r="C619" t="s">
        <v>332</v>
      </c>
      <c r="D619" t="s">
        <v>112</v>
      </c>
      <c r="E619" t="s">
        <v>9</v>
      </c>
      <c r="F619" s="3">
        <v>-2500</v>
      </c>
      <c r="G619" s="3">
        <v>-2500</v>
      </c>
      <c r="H619" t="s">
        <v>3</v>
      </c>
      <c r="I619" t="s">
        <v>3</v>
      </c>
      <c r="J619" t="s">
        <v>9</v>
      </c>
      <c r="K619" t="s">
        <v>9</v>
      </c>
      <c r="L619" t="s">
        <v>12</v>
      </c>
      <c r="M619" t="s">
        <v>114</v>
      </c>
      <c r="N619" s="2">
        <v>45291</v>
      </c>
    </row>
    <row r="620" spans="1:14" x14ac:dyDescent="0.25">
      <c r="A620" t="s">
        <v>332</v>
      </c>
      <c r="B620" s="2">
        <v>45660</v>
      </c>
      <c r="C620" t="s">
        <v>332</v>
      </c>
      <c r="D620" t="s">
        <v>112</v>
      </c>
      <c r="E620" t="s">
        <v>9</v>
      </c>
      <c r="F620" s="3">
        <v>-10550</v>
      </c>
      <c r="G620" s="3">
        <v>-10550</v>
      </c>
      <c r="H620" t="s">
        <v>3</v>
      </c>
      <c r="I620" t="s">
        <v>3</v>
      </c>
      <c r="J620" t="s">
        <v>9</v>
      </c>
      <c r="K620" t="s">
        <v>9</v>
      </c>
      <c r="L620" t="s">
        <v>12</v>
      </c>
      <c r="M620" t="s">
        <v>114</v>
      </c>
      <c r="N620" s="2">
        <v>45657</v>
      </c>
    </row>
    <row r="621" spans="1:14" x14ac:dyDescent="0.25">
      <c r="A621" t="s">
        <v>332</v>
      </c>
      <c r="B621" s="2">
        <v>46028</v>
      </c>
      <c r="C621" t="s">
        <v>332</v>
      </c>
      <c r="D621" t="s">
        <v>112</v>
      </c>
      <c r="E621" t="s">
        <v>9</v>
      </c>
      <c r="F621" s="3">
        <v>-650</v>
      </c>
      <c r="G621" s="3">
        <v>-650</v>
      </c>
      <c r="H621" t="s">
        <v>3</v>
      </c>
      <c r="I621" t="s">
        <v>3</v>
      </c>
      <c r="J621" t="s">
        <v>9</v>
      </c>
      <c r="K621" t="s">
        <v>9</v>
      </c>
      <c r="L621" t="s">
        <v>12</v>
      </c>
      <c r="M621" t="s">
        <v>114</v>
      </c>
      <c r="N621" s="2">
        <v>46022</v>
      </c>
    </row>
    <row r="622" spans="1:14" x14ac:dyDescent="0.25">
      <c r="A622" t="s">
        <v>332</v>
      </c>
      <c r="B622" s="2">
        <v>45260</v>
      </c>
      <c r="C622" t="s">
        <v>332</v>
      </c>
      <c r="D622" t="s">
        <v>112</v>
      </c>
      <c r="E622" t="s">
        <v>9</v>
      </c>
      <c r="F622" s="3">
        <v>-18800</v>
      </c>
      <c r="G622" s="3">
        <v>-18800</v>
      </c>
      <c r="H622" t="s">
        <v>3</v>
      </c>
      <c r="I622" t="s">
        <v>3</v>
      </c>
      <c r="J622" t="s">
        <v>282</v>
      </c>
      <c r="K622" t="s">
        <v>225</v>
      </c>
      <c r="L622" t="s">
        <v>12</v>
      </c>
      <c r="M622" t="s">
        <v>114</v>
      </c>
      <c r="N622" s="2">
        <v>45261</v>
      </c>
    </row>
    <row r="623" spans="1:14" x14ac:dyDescent="0.25">
      <c r="A623" t="s">
        <v>332</v>
      </c>
      <c r="B623" s="2">
        <v>45260</v>
      </c>
      <c r="C623" t="s">
        <v>332</v>
      </c>
      <c r="D623" t="s">
        <v>112</v>
      </c>
      <c r="E623" t="s">
        <v>9</v>
      </c>
      <c r="F623" s="3">
        <v>-4000</v>
      </c>
      <c r="G623" s="3">
        <v>-4000</v>
      </c>
      <c r="H623" t="s">
        <v>3</v>
      </c>
      <c r="I623" t="s">
        <v>3</v>
      </c>
      <c r="J623" t="s">
        <v>348</v>
      </c>
      <c r="K623" t="s">
        <v>225</v>
      </c>
      <c r="L623" t="s">
        <v>12</v>
      </c>
      <c r="M623" t="s">
        <v>114</v>
      </c>
      <c r="N623" s="2">
        <v>45261</v>
      </c>
    </row>
    <row r="624" spans="1:14" x14ac:dyDescent="0.25">
      <c r="A624" t="s">
        <v>332</v>
      </c>
      <c r="B624" s="2">
        <v>45291</v>
      </c>
      <c r="C624" t="s">
        <v>332</v>
      </c>
      <c r="D624" t="s">
        <v>112</v>
      </c>
      <c r="E624" t="s">
        <v>9</v>
      </c>
      <c r="F624" s="3">
        <v>18900</v>
      </c>
      <c r="G624" s="3">
        <v>18900</v>
      </c>
      <c r="H624" t="s">
        <v>3</v>
      </c>
      <c r="I624" t="s">
        <v>3</v>
      </c>
      <c r="J624" t="s">
        <v>291</v>
      </c>
      <c r="K624" t="s">
        <v>225</v>
      </c>
      <c r="L624" t="s">
        <v>12</v>
      </c>
      <c r="M624" t="s">
        <v>114</v>
      </c>
      <c r="N624" s="2">
        <v>45291</v>
      </c>
    </row>
    <row r="625" spans="1:14" x14ac:dyDescent="0.25">
      <c r="A625" t="s">
        <v>332</v>
      </c>
      <c r="B625" s="2">
        <v>45291</v>
      </c>
      <c r="C625" t="s">
        <v>332</v>
      </c>
      <c r="D625" t="s">
        <v>112</v>
      </c>
      <c r="E625" t="s">
        <v>9</v>
      </c>
      <c r="F625" s="3">
        <v>6400</v>
      </c>
      <c r="G625" s="3">
        <v>6400</v>
      </c>
      <c r="H625" t="s">
        <v>3</v>
      </c>
      <c r="I625" t="s">
        <v>3</v>
      </c>
      <c r="J625" t="s">
        <v>349</v>
      </c>
      <c r="K625" t="s">
        <v>225</v>
      </c>
      <c r="L625" t="s">
        <v>12</v>
      </c>
      <c r="M625" t="s">
        <v>114</v>
      </c>
      <c r="N625" s="2">
        <v>45291</v>
      </c>
    </row>
    <row r="626" spans="1:14" x14ac:dyDescent="0.25">
      <c r="A626" t="s">
        <v>332</v>
      </c>
      <c r="B626" s="2">
        <v>45626</v>
      </c>
      <c r="C626" t="s">
        <v>332</v>
      </c>
      <c r="D626" t="s">
        <v>112</v>
      </c>
      <c r="E626" t="s">
        <v>9</v>
      </c>
      <c r="F626" s="3">
        <v>-4200</v>
      </c>
      <c r="G626" s="3">
        <v>-4200</v>
      </c>
      <c r="H626" t="s">
        <v>3</v>
      </c>
      <c r="I626" t="s">
        <v>3</v>
      </c>
      <c r="J626" t="s">
        <v>283</v>
      </c>
      <c r="K626" t="s">
        <v>222</v>
      </c>
      <c r="L626" t="s">
        <v>12</v>
      </c>
      <c r="M626" t="s">
        <v>114</v>
      </c>
      <c r="N626" s="2">
        <v>45627</v>
      </c>
    </row>
    <row r="627" spans="1:14" x14ac:dyDescent="0.25">
      <c r="A627" t="s">
        <v>332</v>
      </c>
      <c r="B627" s="2">
        <v>45626</v>
      </c>
      <c r="C627" t="s">
        <v>332</v>
      </c>
      <c r="D627" t="s">
        <v>112</v>
      </c>
      <c r="E627" t="s">
        <v>9</v>
      </c>
      <c r="F627" s="3">
        <v>-600</v>
      </c>
      <c r="G627" s="3">
        <v>-600</v>
      </c>
      <c r="H627" t="s">
        <v>3</v>
      </c>
      <c r="I627" t="s">
        <v>3</v>
      </c>
      <c r="J627" t="s">
        <v>327</v>
      </c>
      <c r="K627" t="s">
        <v>222</v>
      </c>
      <c r="L627" t="s">
        <v>12</v>
      </c>
      <c r="M627" t="s">
        <v>114</v>
      </c>
      <c r="N627" s="2">
        <v>45627</v>
      </c>
    </row>
    <row r="628" spans="1:14" x14ac:dyDescent="0.25">
      <c r="A628" t="s">
        <v>332</v>
      </c>
      <c r="B628" s="2">
        <v>45657</v>
      </c>
      <c r="C628" t="s">
        <v>332</v>
      </c>
      <c r="D628" t="s">
        <v>112</v>
      </c>
      <c r="E628" t="s">
        <v>9</v>
      </c>
      <c r="F628" s="3">
        <v>14750</v>
      </c>
      <c r="G628" s="3">
        <v>14750</v>
      </c>
      <c r="H628" t="s">
        <v>3</v>
      </c>
      <c r="I628" t="s">
        <v>3</v>
      </c>
      <c r="J628" t="s">
        <v>292</v>
      </c>
      <c r="K628" t="s">
        <v>222</v>
      </c>
      <c r="L628" t="s">
        <v>12</v>
      </c>
      <c r="M628" t="s">
        <v>114</v>
      </c>
      <c r="N628" s="2">
        <v>45657</v>
      </c>
    </row>
    <row r="629" spans="1:14" x14ac:dyDescent="0.25">
      <c r="A629" t="s">
        <v>332</v>
      </c>
      <c r="B629" s="2">
        <v>45657</v>
      </c>
      <c r="C629" t="s">
        <v>332</v>
      </c>
      <c r="D629" t="s">
        <v>112</v>
      </c>
      <c r="E629" t="s">
        <v>9</v>
      </c>
      <c r="F629" s="3">
        <v>600</v>
      </c>
      <c r="G629" s="3">
        <v>600</v>
      </c>
      <c r="H629" t="s">
        <v>3</v>
      </c>
      <c r="I629" t="s">
        <v>3</v>
      </c>
      <c r="J629" t="s">
        <v>330</v>
      </c>
      <c r="K629" t="s">
        <v>222</v>
      </c>
      <c r="L629" t="s">
        <v>12</v>
      </c>
      <c r="M629" t="s">
        <v>114</v>
      </c>
      <c r="N629" s="2">
        <v>45657</v>
      </c>
    </row>
    <row r="630" spans="1:14" x14ac:dyDescent="0.25">
      <c r="A630" t="s">
        <v>332</v>
      </c>
      <c r="B630" s="2">
        <v>45991</v>
      </c>
      <c r="C630" t="s">
        <v>332</v>
      </c>
      <c r="D630" t="s">
        <v>112</v>
      </c>
      <c r="E630" t="s">
        <v>9</v>
      </c>
      <c r="F630" s="3">
        <v>-16800</v>
      </c>
      <c r="G630" s="3">
        <v>-16800</v>
      </c>
      <c r="H630" t="s">
        <v>3</v>
      </c>
      <c r="I630" t="s">
        <v>3</v>
      </c>
      <c r="J630" t="s">
        <v>328</v>
      </c>
      <c r="K630" t="s">
        <v>5</v>
      </c>
      <c r="L630" t="s">
        <v>12</v>
      </c>
      <c r="M630" t="s">
        <v>114</v>
      </c>
      <c r="N630" s="2">
        <v>45992</v>
      </c>
    </row>
    <row r="631" spans="1:14" x14ac:dyDescent="0.25">
      <c r="A631" t="s">
        <v>332</v>
      </c>
      <c r="B631" s="2">
        <v>46022</v>
      </c>
      <c r="C631" t="s">
        <v>332</v>
      </c>
      <c r="D631" t="s">
        <v>112</v>
      </c>
      <c r="E631" t="s">
        <v>9</v>
      </c>
      <c r="F631" s="3">
        <v>17450</v>
      </c>
      <c r="G631" s="3">
        <v>17450</v>
      </c>
      <c r="H631" t="s">
        <v>3</v>
      </c>
      <c r="I631" t="s">
        <v>3</v>
      </c>
      <c r="J631" t="s">
        <v>298</v>
      </c>
      <c r="K631" t="s">
        <v>5</v>
      </c>
      <c r="L631" t="s">
        <v>12</v>
      </c>
      <c r="M631" t="s">
        <v>114</v>
      </c>
      <c r="N631" s="2">
        <v>46022</v>
      </c>
    </row>
    <row r="632" spans="1:14" x14ac:dyDescent="0.25">
      <c r="A632" t="s">
        <v>332</v>
      </c>
      <c r="B632" s="2">
        <v>46022</v>
      </c>
      <c r="C632" t="s">
        <v>332</v>
      </c>
      <c r="D632" t="s">
        <v>112</v>
      </c>
      <c r="E632" t="s">
        <v>9</v>
      </c>
      <c r="F632" s="3">
        <v>17450</v>
      </c>
      <c r="G632" s="3">
        <v>17450</v>
      </c>
      <c r="H632" t="s">
        <v>3</v>
      </c>
      <c r="I632" t="s">
        <v>3</v>
      </c>
      <c r="J632" t="s">
        <v>298</v>
      </c>
      <c r="K632" t="s">
        <v>5</v>
      </c>
      <c r="L632" t="s">
        <v>12</v>
      </c>
      <c r="M632" t="s">
        <v>114</v>
      </c>
      <c r="N632" s="2">
        <v>46022</v>
      </c>
    </row>
    <row r="633" spans="1:14" x14ac:dyDescent="0.25">
      <c r="A633" t="s">
        <v>332</v>
      </c>
      <c r="B633" s="2">
        <v>46022</v>
      </c>
      <c r="C633" t="s">
        <v>332</v>
      </c>
      <c r="D633" t="s">
        <v>112</v>
      </c>
      <c r="E633" t="s">
        <v>9</v>
      </c>
      <c r="F633" s="3">
        <v>-17450</v>
      </c>
      <c r="G633" s="3">
        <v>-17450</v>
      </c>
      <c r="H633" t="s">
        <v>3</v>
      </c>
      <c r="I633" t="s">
        <v>3</v>
      </c>
      <c r="J633" t="s">
        <v>298</v>
      </c>
      <c r="K633" t="s">
        <v>5</v>
      </c>
      <c r="L633" t="s">
        <v>12</v>
      </c>
      <c r="M633" t="s">
        <v>114</v>
      </c>
      <c r="N633" s="2">
        <v>46022</v>
      </c>
    </row>
    <row r="634" spans="1:14" x14ac:dyDescent="0.25">
      <c r="A634" s="4" t="s">
        <v>228</v>
      </c>
      <c r="B634" s="5"/>
      <c r="C634" s="4" t="s">
        <v>9</v>
      </c>
      <c r="D634" s="4" t="s">
        <v>9</v>
      </c>
      <c r="E634" s="4" t="s">
        <v>9</v>
      </c>
      <c r="F634" s="6">
        <v>0</v>
      </c>
      <c r="G634" s="6">
        <v>0</v>
      </c>
      <c r="H634" s="4" t="s">
        <v>9</v>
      </c>
      <c r="I634" s="4" t="s">
        <v>3</v>
      </c>
      <c r="J634" s="4" t="s">
        <v>9</v>
      </c>
      <c r="K634" s="4" t="s">
        <v>9</v>
      </c>
      <c r="L634" s="4" t="s">
        <v>9</v>
      </c>
      <c r="M634" s="4" t="s">
        <v>9</v>
      </c>
      <c r="N634" s="5"/>
    </row>
    <row r="635" spans="1:14" x14ac:dyDescent="0.25">
      <c r="A635" s="4" t="s">
        <v>332</v>
      </c>
      <c r="B635" s="5"/>
      <c r="C635" s="4" t="s">
        <v>9</v>
      </c>
      <c r="D635" s="4" t="s">
        <v>9</v>
      </c>
      <c r="E635" s="4" t="s">
        <v>9</v>
      </c>
      <c r="F635" s="6">
        <v>0</v>
      </c>
      <c r="G635" s="6">
        <v>0</v>
      </c>
      <c r="H635" s="4" t="s">
        <v>9</v>
      </c>
      <c r="I635" s="4" t="s">
        <v>3</v>
      </c>
      <c r="J635" s="4" t="s">
        <v>9</v>
      </c>
      <c r="K635" s="4" t="s">
        <v>9</v>
      </c>
      <c r="L635" s="4" t="s">
        <v>9</v>
      </c>
      <c r="M635" s="4" t="s">
        <v>9</v>
      </c>
      <c r="N635" s="5"/>
    </row>
    <row r="636" spans="1:14" x14ac:dyDescent="0.25">
      <c r="A636" t="s">
        <v>350</v>
      </c>
      <c r="B636" s="2">
        <v>44988</v>
      </c>
      <c r="C636" t="s">
        <v>350</v>
      </c>
      <c r="D636" t="s">
        <v>51</v>
      </c>
      <c r="E636" t="s">
        <v>9</v>
      </c>
      <c r="F636" s="3">
        <v>-80684.77</v>
      </c>
      <c r="G636" s="3">
        <v>-80684.77</v>
      </c>
      <c r="H636" t="s">
        <v>3</v>
      </c>
      <c r="I636" t="s">
        <v>3</v>
      </c>
      <c r="J636" t="s">
        <v>9</v>
      </c>
      <c r="K636" t="s">
        <v>9</v>
      </c>
      <c r="L636" t="s">
        <v>15</v>
      </c>
      <c r="M636" t="s">
        <v>53</v>
      </c>
      <c r="N636" s="2">
        <v>44985</v>
      </c>
    </row>
    <row r="637" spans="1:14" x14ac:dyDescent="0.25">
      <c r="A637" t="s">
        <v>350</v>
      </c>
      <c r="B637" s="2">
        <v>44984</v>
      </c>
      <c r="C637" t="s">
        <v>350</v>
      </c>
      <c r="D637" t="s">
        <v>51</v>
      </c>
      <c r="E637" t="s">
        <v>351</v>
      </c>
      <c r="F637" s="3">
        <v>80684.77</v>
      </c>
      <c r="G637" s="3">
        <v>80684.77</v>
      </c>
      <c r="H637" t="s">
        <v>3</v>
      </c>
      <c r="I637" t="s">
        <v>3</v>
      </c>
      <c r="J637" t="s">
        <v>352</v>
      </c>
      <c r="K637" t="s">
        <v>225</v>
      </c>
      <c r="L637" t="s">
        <v>15</v>
      </c>
      <c r="M637" t="s">
        <v>53</v>
      </c>
      <c r="N637" s="2">
        <v>44984</v>
      </c>
    </row>
    <row r="638" spans="1:14" x14ac:dyDescent="0.25">
      <c r="A638" s="4" t="s">
        <v>239</v>
      </c>
      <c r="B638" s="5"/>
      <c r="C638" s="4" t="s">
        <v>9</v>
      </c>
      <c r="D638" s="4" t="s">
        <v>9</v>
      </c>
      <c r="E638" s="4" t="s">
        <v>9</v>
      </c>
      <c r="F638" s="6">
        <v>0</v>
      </c>
      <c r="G638" s="6">
        <v>0</v>
      </c>
      <c r="H638" s="4" t="s">
        <v>9</v>
      </c>
      <c r="I638" s="4" t="s">
        <v>3</v>
      </c>
      <c r="J638" s="4" t="s">
        <v>9</v>
      </c>
      <c r="K638" s="4" t="s">
        <v>9</v>
      </c>
      <c r="L638" s="4" t="s">
        <v>9</v>
      </c>
      <c r="M638" s="4" t="s">
        <v>9</v>
      </c>
      <c r="N638" s="5"/>
    </row>
    <row r="639" spans="1:14" x14ac:dyDescent="0.25">
      <c r="A639" t="s">
        <v>350</v>
      </c>
      <c r="B639" s="2">
        <v>45749</v>
      </c>
      <c r="C639" t="s">
        <v>350</v>
      </c>
      <c r="D639" t="s">
        <v>99</v>
      </c>
      <c r="E639" t="s">
        <v>9</v>
      </c>
      <c r="F639" s="3">
        <v>-666.83</v>
      </c>
      <c r="G639" s="3">
        <v>-666.83</v>
      </c>
      <c r="H639" t="s">
        <v>3</v>
      </c>
      <c r="I639" t="s">
        <v>3</v>
      </c>
      <c r="J639" t="s">
        <v>9</v>
      </c>
      <c r="K639" t="s">
        <v>9</v>
      </c>
      <c r="L639" t="s">
        <v>16</v>
      </c>
      <c r="M639" t="s">
        <v>102</v>
      </c>
      <c r="N639" s="2">
        <v>45747</v>
      </c>
    </row>
    <row r="640" spans="1:14" x14ac:dyDescent="0.25">
      <c r="A640" t="s">
        <v>350</v>
      </c>
      <c r="B640" s="2">
        <v>45740</v>
      </c>
      <c r="C640" t="s">
        <v>350</v>
      </c>
      <c r="D640" t="s">
        <v>99</v>
      </c>
      <c r="E640" t="s">
        <v>353</v>
      </c>
      <c r="F640" s="3">
        <v>666.83</v>
      </c>
      <c r="G640" s="3">
        <v>666.83</v>
      </c>
      <c r="H640" t="s">
        <v>3</v>
      </c>
      <c r="I640" t="s">
        <v>3</v>
      </c>
      <c r="J640" t="s">
        <v>354</v>
      </c>
      <c r="K640" t="s">
        <v>5</v>
      </c>
      <c r="L640" t="s">
        <v>16</v>
      </c>
      <c r="M640" t="s">
        <v>102</v>
      </c>
      <c r="N640" s="2">
        <v>45740</v>
      </c>
    </row>
    <row r="641" spans="1:14" x14ac:dyDescent="0.25">
      <c r="A641" s="4" t="s">
        <v>244</v>
      </c>
      <c r="B641" s="5"/>
      <c r="C641" s="4" t="s">
        <v>9</v>
      </c>
      <c r="D641" s="4" t="s">
        <v>9</v>
      </c>
      <c r="E641" s="4" t="s">
        <v>9</v>
      </c>
      <c r="F641" s="6">
        <v>0</v>
      </c>
      <c r="G641" s="6">
        <v>0</v>
      </c>
      <c r="H641" s="4" t="s">
        <v>9</v>
      </c>
      <c r="I641" s="4" t="s">
        <v>3</v>
      </c>
      <c r="J641" s="4" t="s">
        <v>9</v>
      </c>
      <c r="K641" s="4" t="s">
        <v>9</v>
      </c>
      <c r="L641" s="4" t="s">
        <v>9</v>
      </c>
      <c r="M641" s="4" t="s">
        <v>9</v>
      </c>
      <c r="N641" s="5"/>
    </row>
    <row r="642" spans="1:14" x14ac:dyDescent="0.25">
      <c r="A642" t="s">
        <v>350</v>
      </c>
      <c r="B642" s="2">
        <v>45810</v>
      </c>
      <c r="C642" t="s">
        <v>350</v>
      </c>
      <c r="D642" t="s">
        <v>99</v>
      </c>
      <c r="E642" t="s">
        <v>9</v>
      </c>
      <c r="F642" s="3">
        <v>-5136</v>
      </c>
      <c r="G642" s="3">
        <v>-5136</v>
      </c>
      <c r="H642" t="s">
        <v>3</v>
      </c>
      <c r="I642" t="s">
        <v>3</v>
      </c>
      <c r="J642" t="s">
        <v>9</v>
      </c>
      <c r="K642" t="s">
        <v>9</v>
      </c>
      <c r="L642" t="s">
        <v>18</v>
      </c>
      <c r="M642" t="s">
        <v>102</v>
      </c>
      <c r="N642" s="2">
        <v>45808</v>
      </c>
    </row>
    <row r="643" spans="1:14" x14ac:dyDescent="0.25">
      <c r="A643" t="s">
        <v>350</v>
      </c>
      <c r="B643" s="2">
        <v>45784</v>
      </c>
      <c r="C643" t="s">
        <v>350</v>
      </c>
      <c r="D643" t="s">
        <v>99</v>
      </c>
      <c r="E643" t="s">
        <v>355</v>
      </c>
      <c r="F643" s="3">
        <v>5136</v>
      </c>
      <c r="G643" s="3">
        <v>5136</v>
      </c>
      <c r="H643" t="s">
        <v>3</v>
      </c>
      <c r="I643" t="s">
        <v>3</v>
      </c>
      <c r="J643" t="s">
        <v>356</v>
      </c>
      <c r="K643" t="s">
        <v>5</v>
      </c>
      <c r="L643" t="s">
        <v>18</v>
      </c>
      <c r="M643" t="s">
        <v>102</v>
      </c>
      <c r="N643" s="2">
        <v>45784</v>
      </c>
    </row>
    <row r="644" spans="1:14" x14ac:dyDescent="0.25">
      <c r="A644" s="4" t="s">
        <v>223</v>
      </c>
      <c r="B644" s="5"/>
      <c r="C644" s="4" t="s">
        <v>9</v>
      </c>
      <c r="D644" s="4" t="s">
        <v>9</v>
      </c>
      <c r="E644" s="4" t="s">
        <v>9</v>
      </c>
      <c r="F644" s="6">
        <v>0</v>
      </c>
      <c r="G644" s="6">
        <v>0</v>
      </c>
      <c r="H644" s="4" t="s">
        <v>9</v>
      </c>
      <c r="I644" s="4" t="s">
        <v>3</v>
      </c>
      <c r="J644" s="4" t="s">
        <v>9</v>
      </c>
      <c r="K644" s="4" t="s">
        <v>9</v>
      </c>
      <c r="L644" s="4" t="s">
        <v>9</v>
      </c>
      <c r="M644" s="4" t="s">
        <v>9</v>
      </c>
      <c r="N644" s="5"/>
    </row>
    <row r="645" spans="1:14" x14ac:dyDescent="0.25">
      <c r="A645" t="s">
        <v>350</v>
      </c>
      <c r="B645" s="2">
        <v>45111</v>
      </c>
      <c r="C645" t="s">
        <v>350</v>
      </c>
      <c r="D645" t="s">
        <v>99</v>
      </c>
      <c r="E645" t="s">
        <v>9</v>
      </c>
      <c r="F645" s="3">
        <v>-4858.6499999999996</v>
      </c>
      <c r="G645" s="3">
        <v>-4858.6499999999996</v>
      </c>
      <c r="H645" t="s">
        <v>3</v>
      </c>
      <c r="I645" t="s">
        <v>3</v>
      </c>
      <c r="J645" t="s">
        <v>9</v>
      </c>
      <c r="K645" t="s">
        <v>9</v>
      </c>
      <c r="L645" t="s">
        <v>19</v>
      </c>
      <c r="M645" t="s">
        <v>102</v>
      </c>
      <c r="N645" s="2">
        <v>45107</v>
      </c>
    </row>
    <row r="646" spans="1:14" x14ac:dyDescent="0.25">
      <c r="A646" t="s">
        <v>350</v>
      </c>
      <c r="B646" s="2">
        <v>45839</v>
      </c>
      <c r="C646" t="s">
        <v>350</v>
      </c>
      <c r="D646" t="s">
        <v>99</v>
      </c>
      <c r="E646" t="s">
        <v>9</v>
      </c>
      <c r="F646" s="3">
        <v>-1661.48</v>
      </c>
      <c r="G646" s="3">
        <v>-1661.48</v>
      </c>
      <c r="H646" t="s">
        <v>3</v>
      </c>
      <c r="I646" t="s">
        <v>3</v>
      </c>
      <c r="J646" t="s">
        <v>9</v>
      </c>
      <c r="K646" t="s">
        <v>9</v>
      </c>
      <c r="L646" t="s">
        <v>19</v>
      </c>
      <c r="M646" t="s">
        <v>102</v>
      </c>
      <c r="N646" s="2">
        <v>45838</v>
      </c>
    </row>
    <row r="647" spans="1:14" x14ac:dyDescent="0.25">
      <c r="A647" t="s">
        <v>350</v>
      </c>
      <c r="B647" s="2">
        <v>45106</v>
      </c>
      <c r="C647" t="s">
        <v>350</v>
      </c>
      <c r="D647" t="s">
        <v>99</v>
      </c>
      <c r="E647" t="s">
        <v>357</v>
      </c>
      <c r="F647" s="3">
        <v>4858.6499999999996</v>
      </c>
      <c r="G647" s="3">
        <v>4858.6499999999996</v>
      </c>
      <c r="H647" t="s">
        <v>3</v>
      </c>
      <c r="I647" t="s">
        <v>3</v>
      </c>
      <c r="J647" t="s">
        <v>358</v>
      </c>
      <c r="K647" t="s">
        <v>225</v>
      </c>
      <c r="L647" t="s">
        <v>19</v>
      </c>
      <c r="M647" t="s">
        <v>102</v>
      </c>
      <c r="N647" s="2">
        <v>45106</v>
      </c>
    </row>
    <row r="648" spans="1:14" x14ac:dyDescent="0.25">
      <c r="A648" t="s">
        <v>350</v>
      </c>
      <c r="B648" s="2">
        <v>45832</v>
      </c>
      <c r="C648" t="s">
        <v>350</v>
      </c>
      <c r="D648" t="s">
        <v>99</v>
      </c>
      <c r="E648" t="s">
        <v>353</v>
      </c>
      <c r="F648" s="3">
        <v>1661.48</v>
      </c>
      <c r="G648" s="3">
        <v>1661.48</v>
      </c>
      <c r="H648" t="s">
        <v>3</v>
      </c>
      <c r="I648" t="s">
        <v>3</v>
      </c>
      <c r="J648" t="s">
        <v>354</v>
      </c>
      <c r="K648" t="s">
        <v>5</v>
      </c>
      <c r="L648" t="s">
        <v>19</v>
      </c>
      <c r="M648" t="s">
        <v>102</v>
      </c>
      <c r="N648" s="2">
        <v>45832</v>
      </c>
    </row>
    <row r="649" spans="1:14" x14ac:dyDescent="0.25">
      <c r="A649" s="4" t="s">
        <v>224</v>
      </c>
      <c r="B649" s="5"/>
      <c r="C649" s="4" t="s">
        <v>9</v>
      </c>
      <c r="D649" s="4" t="s">
        <v>9</v>
      </c>
      <c r="E649" s="4" t="s">
        <v>9</v>
      </c>
      <c r="F649" s="6">
        <v>0</v>
      </c>
      <c r="G649" s="6">
        <v>0</v>
      </c>
      <c r="H649" s="4" t="s">
        <v>9</v>
      </c>
      <c r="I649" s="4" t="s">
        <v>3</v>
      </c>
      <c r="J649" s="4" t="s">
        <v>9</v>
      </c>
      <c r="K649" s="4" t="s">
        <v>9</v>
      </c>
      <c r="L649" s="4" t="s">
        <v>9</v>
      </c>
      <c r="M649" s="4" t="s">
        <v>9</v>
      </c>
      <c r="N649" s="5"/>
    </row>
    <row r="650" spans="1:14" x14ac:dyDescent="0.25">
      <c r="A650" t="s">
        <v>350</v>
      </c>
      <c r="B650" s="2">
        <v>45509</v>
      </c>
      <c r="C650" t="s">
        <v>350</v>
      </c>
      <c r="D650" t="s">
        <v>99</v>
      </c>
      <c r="E650" t="s">
        <v>9</v>
      </c>
      <c r="F650" s="3">
        <v>-8314.3799999999992</v>
      </c>
      <c r="G650" s="3">
        <v>-8314.3799999999992</v>
      </c>
      <c r="H650" t="s">
        <v>3</v>
      </c>
      <c r="I650" t="s">
        <v>3</v>
      </c>
      <c r="J650" t="s">
        <v>9</v>
      </c>
      <c r="K650" t="s">
        <v>9</v>
      </c>
      <c r="L650" t="s">
        <v>21</v>
      </c>
      <c r="M650" t="s">
        <v>102</v>
      </c>
      <c r="N650" s="2">
        <v>45504</v>
      </c>
    </row>
    <row r="651" spans="1:14" x14ac:dyDescent="0.25">
      <c r="A651" t="s">
        <v>350</v>
      </c>
      <c r="B651" s="2">
        <v>45870</v>
      </c>
      <c r="C651" t="s">
        <v>350</v>
      </c>
      <c r="D651" t="s">
        <v>99</v>
      </c>
      <c r="E651" t="s">
        <v>9</v>
      </c>
      <c r="F651" s="3">
        <v>-2893</v>
      </c>
      <c r="G651" s="3">
        <v>-2893</v>
      </c>
      <c r="H651" t="s">
        <v>3</v>
      </c>
      <c r="I651" t="s">
        <v>3</v>
      </c>
      <c r="J651" t="s">
        <v>9</v>
      </c>
      <c r="K651" t="s">
        <v>9</v>
      </c>
      <c r="L651" t="s">
        <v>21</v>
      </c>
      <c r="M651" t="s">
        <v>102</v>
      </c>
      <c r="N651" s="2">
        <v>45869</v>
      </c>
    </row>
    <row r="652" spans="1:14" x14ac:dyDescent="0.25">
      <c r="A652" t="s">
        <v>350</v>
      </c>
      <c r="B652" s="2">
        <v>45477</v>
      </c>
      <c r="C652" t="s">
        <v>350</v>
      </c>
      <c r="D652" t="s">
        <v>99</v>
      </c>
      <c r="E652" t="s">
        <v>359</v>
      </c>
      <c r="F652" s="3">
        <v>5322.74</v>
      </c>
      <c r="G652" s="3">
        <v>5322.74</v>
      </c>
      <c r="H652" t="s">
        <v>3</v>
      </c>
      <c r="I652" t="s">
        <v>3</v>
      </c>
      <c r="J652" t="s">
        <v>360</v>
      </c>
      <c r="K652" t="s">
        <v>222</v>
      </c>
      <c r="L652" t="s">
        <v>21</v>
      </c>
      <c r="M652" t="s">
        <v>102</v>
      </c>
      <c r="N652" s="2">
        <v>45477</v>
      </c>
    </row>
    <row r="653" spans="1:14" x14ac:dyDescent="0.25">
      <c r="A653" t="s">
        <v>350</v>
      </c>
      <c r="B653" s="2">
        <v>45478</v>
      </c>
      <c r="C653" t="s">
        <v>350</v>
      </c>
      <c r="D653" t="s">
        <v>99</v>
      </c>
      <c r="E653" t="s">
        <v>359</v>
      </c>
      <c r="F653" s="3">
        <v>2991.64</v>
      </c>
      <c r="G653" s="3">
        <v>2991.64</v>
      </c>
      <c r="H653" t="s">
        <v>3</v>
      </c>
      <c r="I653" t="s">
        <v>3</v>
      </c>
      <c r="J653" t="s">
        <v>360</v>
      </c>
      <c r="K653" t="s">
        <v>222</v>
      </c>
      <c r="L653" t="s">
        <v>21</v>
      </c>
      <c r="M653" t="s">
        <v>102</v>
      </c>
      <c r="N653" s="2">
        <v>45478</v>
      </c>
    </row>
    <row r="654" spans="1:14" x14ac:dyDescent="0.25">
      <c r="A654" t="s">
        <v>350</v>
      </c>
      <c r="B654" s="2">
        <v>45842</v>
      </c>
      <c r="C654" t="s">
        <v>350</v>
      </c>
      <c r="D654" t="s">
        <v>99</v>
      </c>
      <c r="E654" t="s">
        <v>355</v>
      </c>
      <c r="F654" s="3">
        <v>2893</v>
      </c>
      <c r="G654" s="3">
        <v>2893</v>
      </c>
      <c r="H654" t="s">
        <v>3</v>
      </c>
      <c r="I654" t="s">
        <v>3</v>
      </c>
      <c r="J654" t="s">
        <v>356</v>
      </c>
      <c r="K654" t="s">
        <v>5</v>
      </c>
      <c r="L654" t="s">
        <v>21</v>
      </c>
      <c r="M654" t="s">
        <v>102</v>
      </c>
      <c r="N654" s="2">
        <v>45842</v>
      </c>
    </row>
    <row r="655" spans="1:14" x14ac:dyDescent="0.25">
      <c r="A655" s="4" t="s">
        <v>262</v>
      </c>
      <c r="B655" s="5"/>
      <c r="C655" s="4" t="s">
        <v>9</v>
      </c>
      <c r="D655" s="4" t="s">
        <v>9</v>
      </c>
      <c r="E655" s="4" t="s">
        <v>9</v>
      </c>
      <c r="F655" s="6">
        <v>0</v>
      </c>
      <c r="G655" s="6">
        <v>0</v>
      </c>
      <c r="H655" s="4" t="s">
        <v>9</v>
      </c>
      <c r="I655" s="4" t="s">
        <v>3</v>
      </c>
      <c r="J655" s="4" t="s">
        <v>9</v>
      </c>
      <c r="K655" s="4" t="s">
        <v>9</v>
      </c>
      <c r="L655" s="4" t="s">
        <v>9</v>
      </c>
      <c r="M655" s="4" t="s">
        <v>9</v>
      </c>
      <c r="N655" s="5"/>
    </row>
    <row r="656" spans="1:14" x14ac:dyDescent="0.25">
      <c r="A656" t="s">
        <v>350</v>
      </c>
      <c r="B656" s="2">
        <v>45173</v>
      </c>
      <c r="C656" t="s">
        <v>350</v>
      </c>
      <c r="D656" t="s">
        <v>99</v>
      </c>
      <c r="E656" t="s">
        <v>9</v>
      </c>
      <c r="F656" s="3">
        <v>-669.37</v>
      </c>
      <c r="G656" s="3">
        <v>-669.37</v>
      </c>
      <c r="H656" t="s">
        <v>3</v>
      </c>
      <c r="I656" t="s">
        <v>3</v>
      </c>
      <c r="J656" t="s">
        <v>9</v>
      </c>
      <c r="K656" t="s">
        <v>9</v>
      </c>
      <c r="L656" t="s">
        <v>22</v>
      </c>
      <c r="M656" t="s">
        <v>102</v>
      </c>
      <c r="N656" s="2">
        <v>45169</v>
      </c>
    </row>
    <row r="657" spans="1:14" x14ac:dyDescent="0.25">
      <c r="A657" t="s">
        <v>350</v>
      </c>
      <c r="B657" s="2">
        <v>45539</v>
      </c>
      <c r="C657" t="s">
        <v>350</v>
      </c>
      <c r="D657" t="s">
        <v>99</v>
      </c>
      <c r="E657" t="s">
        <v>9</v>
      </c>
      <c r="F657" s="3">
        <v>-2942.12</v>
      </c>
      <c r="G657" s="3">
        <v>-2942.12</v>
      </c>
      <c r="H657" t="s">
        <v>3</v>
      </c>
      <c r="I657" t="s">
        <v>3</v>
      </c>
      <c r="J657" t="s">
        <v>9</v>
      </c>
      <c r="K657" t="s">
        <v>9</v>
      </c>
      <c r="L657" t="s">
        <v>22</v>
      </c>
      <c r="M657" t="s">
        <v>102</v>
      </c>
      <c r="N657" s="2">
        <v>45535</v>
      </c>
    </row>
    <row r="658" spans="1:14" x14ac:dyDescent="0.25">
      <c r="A658" t="s">
        <v>350</v>
      </c>
      <c r="B658" s="2">
        <v>45539</v>
      </c>
      <c r="C658" t="s">
        <v>350</v>
      </c>
      <c r="D658" t="s">
        <v>51</v>
      </c>
      <c r="E658" t="s">
        <v>9</v>
      </c>
      <c r="F658" s="3">
        <v>-83000</v>
      </c>
      <c r="G658" s="3">
        <v>-83000</v>
      </c>
      <c r="H658" t="s">
        <v>3</v>
      </c>
      <c r="I658" t="s">
        <v>3</v>
      </c>
      <c r="J658" t="s">
        <v>9</v>
      </c>
      <c r="K658" t="s">
        <v>9</v>
      </c>
      <c r="L658" t="s">
        <v>22</v>
      </c>
      <c r="M658" t="s">
        <v>53</v>
      </c>
      <c r="N658" s="2">
        <v>45535</v>
      </c>
    </row>
    <row r="659" spans="1:14" x14ac:dyDescent="0.25">
      <c r="A659" t="s">
        <v>350</v>
      </c>
      <c r="B659" s="2">
        <v>45901</v>
      </c>
      <c r="C659" t="s">
        <v>350</v>
      </c>
      <c r="D659" t="s">
        <v>99</v>
      </c>
      <c r="E659" t="s">
        <v>9</v>
      </c>
      <c r="F659" s="3">
        <v>-7778.71</v>
      </c>
      <c r="G659" s="3">
        <v>-7778.71</v>
      </c>
      <c r="H659" t="s">
        <v>3</v>
      </c>
      <c r="I659" t="s">
        <v>3</v>
      </c>
      <c r="J659" t="s">
        <v>9</v>
      </c>
      <c r="K659" t="s">
        <v>9</v>
      </c>
      <c r="L659" t="s">
        <v>22</v>
      </c>
      <c r="M659" t="s">
        <v>102</v>
      </c>
      <c r="N659" s="2">
        <v>45900</v>
      </c>
    </row>
    <row r="660" spans="1:14" x14ac:dyDescent="0.25">
      <c r="A660" t="s">
        <v>350</v>
      </c>
      <c r="B660" s="2">
        <v>45141</v>
      </c>
      <c r="C660" t="s">
        <v>350</v>
      </c>
      <c r="D660" t="s">
        <v>99</v>
      </c>
      <c r="E660" t="s">
        <v>359</v>
      </c>
      <c r="F660" s="3">
        <v>669.38</v>
      </c>
      <c r="G660" s="3">
        <v>669.38</v>
      </c>
      <c r="H660" t="s">
        <v>3</v>
      </c>
      <c r="I660" t="s">
        <v>3</v>
      </c>
      <c r="J660" t="s">
        <v>361</v>
      </c>
      <c r="K660" t="s">
        <v>225</v>
      </c>
      <c r="L660" t="s">
        <v>22</v>
      </c>
      <c r="M660" t="s">
        <v>102</v>
      </c>
      <c r="N660" s="2">
        <v>45141</v>
      </c>
    </row>
    <row r="661" spans="1:14" x14ac:dyDescent="0.25">
      <c r="A661" t="s">
        <v>350</v>
      </c>
      <c r="B661" s="2">
        <v>45092</v>
      </c>
      <c r="C661" t="s">
        <v>350</v>
      </c>
      <c r="D661" t="s">
        <v>99</v>
      </c>
      <c r="E661" t="s">
        <v>359</v>
      </c>
      <c r="F661" s="3">
        <v>-0.01</v>
      </c>
      <c r="G661" s="3">
        <v>-0.01</v>
      </c>
      <c r="H661" t="s">
        <v>3</v>
      </c>
      <c r="I661" t="s">
        <v>3</v>
      </c>
      <c r="J661" t="s">
        <v>361</v>
      </c>
      <c r="K661" t="s">
        <v>225</v>
      </c>
      <c r="L661" t="s">
        <v>22</v>
      </c>
      <c r="M661" t="s">
        <v>102</v>
      </c>
      <c r="N661" s="2">
        <v>45140</v>
      </c>
    </row>
    <row r="662" spans="1:14" x14ac:dyDescent="0.25">
      <c r="A662" t="s">
        <v>350</v>
      </c>
      <c r="B662" s="2">
        <v>45516</v>
      </c>
      <c r="C662" t="s">
        <v>350</v>
      </c>
      <c r="D662" t="s">
        <v>99</v>
      </c>
      <c r="E662" t="s">
        <v>359</v>
      </c>
      <c r="F662" s="3">
        <v>2942.12</v>
      </c>
      <c r="G662" s="3">
        <v>2942.12</v>
      </c>
      <c r="H662" t="s">
        <v>3</v>
      </c>
      <c r="I662" t="s">
        <v>3</v>
      </c>
      <c r="J662" t="s">
        <v>360</v>
      </c>
      <c r="K662" t="s">
        <v>222</v>
      </c>
      <c r="L662" t="s">
        <v>22</v>
      </c>
      <c r="M662" t="s">
        <v>102</v>
      </c>
      <c r="N662" s="2">
        <v>45516</v>
      </c>
    </row>
    <row r="663" spans="1:14" x14ac:dyDescent="0.25">
      <c r="A663" t="s">
        <v>350</v>
      </c>
      <c r="B663" s="2">
        <v>45531</v>
      </c>
      <c r="C663" t="s">
        <v>350</v>
      </c>
      <c r="D663" t="s">
        <v>51</v>
      </c>
      <c r="E663" t="s">
        <v>9</v>
      </c>
      <c r="F663" s="3">
        <v>83000</v>
      </c>
      <c r="G663" s="3">
        <v>83000</v>
      </c>
      <c r="H663" t="s">
        <v>3</v>
      </c>
      <c r="I663" t="s">
        <v>3</v>
      </c>
      <c r="J663" t="s">
        <v>362</v>
      </c>
      <c r="K663" t="s">
        <v>222</v>
      </c>
      <c r="L663" t="s">
        <v>22</v>
      </c>
      <c r="M663" t="s">
        <v>53</v>
      </c>
      <c r="N663" s="2">
        <v>45531</v>
      </c>
    </row>
    <row r="664" spans="1:14" x14ac:dyDescent="0.25">
      <c r="A664" t="s">
        <v>350</v>
      </c>
      <c r="B664" s="2">
        <v>45883</v>
      </c>
      <c r="C664" t="s">
        <v>350</v>
      </c>
      <c r="D664" t="s">
        <v>99</v>
      </c>
      <c r="E664" t="s">
        <v>355</v>
      </c>
      <c r="F664" s="3">
        <v>1210</v>
      </c>
      <c r="G664" s="3">
        <v>1210</v>
      </c>
      <c r="H664" t="s">
        <v>3</v>
      </c>
      <c r="I664" t="s">
        <v>3</v>
      </c>
      <c r="J664" t="s">
        <v>356</v>
      </c>
      <c r="K664" t="s">
        <v>5</v>
      </c>
      <c r="L664" t="s">
        <v>22</v>
      </c>
      <c r="M664" t="s">
        <v>102</v>
      </c>
      <c r="N664" s="2">
        <v>45883</v>
      </c>
    </row>
    <row r="665" spans="1:14" x14ac:dyDescent="0.25">
      <c r="A665" t="s">
        <v>350</v>
      </c>
      <c r="B665" s="2">
        <v>45887</v>
      </c>
      <c r="C665" t="s">
        <v>350</v>
      </c>
      <c r="D665" t="s">
        <v>99</v>
      </c>
      <c r="E665" t="s">
        <v>353</v>
      </c>
      <c r="F665" s="3">
        <v>474.71</v>
      </c>
      <c r="G665" s="3">
        <v>474.71</v>
      </c>
      <c r="H665" t="s">
        <v>3</v>
      </c>
      <c r="I665" t="s">
        <v>3</v>
      </c>
      <c r="J665" t="s">
        <v>354</v>
      </c>
      <c r="K665" t="s">
        <v>5</v>
      </c>
      <c r="L665" t="s">
        <v>22</v>
      </c>
      <c r="M665" t="s">
        <v>102</v>
      </c>
      <c r="N665" s="2">
        <v>45887</v>
      </c>
    </row>
    <row r="666" spans="1:14" x14ac:dyDescent="0.25">
      <c r="A666" t="s">
        <v>350</v>
      </c>
      <c r="B666" s="2">
        <v>45888</v>
      </c>
      <c r="C666" t="s">
        <v>350</v>
      </c>
      <c r="D666" t="s">
        <v>99</v>
      </c>
      <c r="E666" t="s">
        <v>355</v>
      </c>
      <c r="F666" s="3">
        <v>6094</v>
      </c>
      <c r="G666" s="3">
        <v>6094</v>
      </c>
      <c r="H666" t="s">
        <v>3</v>
      </c>
      <c r="I666" t="s">
        <v>3</v>
      </c>
      <c r="J666" t="s">
        <v>356</v>
      </c>
      <c r="K666" t="s">
        <v>5</v>
      </c>
      <c r="L666" t="s">
        <v>22</v>
      </c>
      <c r="M666" t="s">
        <v>102</v>
      </c>
      <c r="N666" s="2">
        <v>45888</v>
      </c>
    </row>
    <row r="667" spans="1:14" x14ac:dyDescent="0.25">
      <c r="A667" s="4" t="s">
        <v>267</v>
      </c>
      <c r="B667" s="5"/>
      <c r="C667" s="4" t="s">
        <v>9</v>
      </c>
      <c r="D667" s="4" t="s">
        <v>9</v>
      </c>
      <c r="E667" s="4" t="s">
        <v>9</v>
      </c>
      <c r="F667" s="6">
        <v>0</v>
      </c>
      <c r="G667" s="6">
        <v>0</v>
      </c>
      <c r="H667" s="4" t="s">
        <v>9</v>
      </c>
      <c r="I667" s="4" t="s">
        <v>3</v>
      </c>
      <c r="J667" s="4" t="s">
        <v>9</v>
      </c>
      <c r="K667" s="4" t="s">
        <v>9</v>
      </c>
      <c r="L667" s="4" t="s">
        <v>9</v>
      </c>
      <c r="M667" s="4" t="s">
        <v>9</v>
      </c>
      <c r="N667" s="5"/>
    </row>
    <row r="668" spans="1:14" x14ac:dyDescent="0.25">
      <c r="A668" t="s">
        <v>350</v>
      </c>
      <c r="B668" s="2">
        <v>45202</v>
      </c>
      <c r="C668" t="s">
        <v>350</v>
      </c>
      <c r="D668" t="s">
        <v>99</v>
      </c>
      <c r="E668" t="s">
        <v>9</v>
      </c>
      <c r="F668" s="3">
        <v>-5078.1899999999996</v>
      </c>
      <c r="G668" s="3">
        <v>-5078.1899999999996</v>
      </c>
      <c r="H668" t="s">
        <v>3</v>
      </c>
      <c r="I668" t="s">
        <v>3</v>
      </c>
      <c r="J668" t="s">
        <v>9</v>
      </c>
      <c r="K668" t="s">
        <v>9</v>
      </c>
      <c r="L668" t="s">
        <v>6</v>
      </c>
      <c r="M668" t="s">
        <v>102</v>
      </c>
      <c r="N668" s="2">
        <v>45199</v>
      </c>
    </row>
    <row r="669" spans="1:14" x14ac:dyDescent="0.25">
      <c r="A669" t="s">
        <v>350</v>
      </c>
      <c r="B669" s="2">
        <v>45567</v>
      </c>
      <c r="C669" t="s">
        <v>350</v>
      </c>
      <c r="D669" t="s">
        <v>99</v>
      </c>
      <c r="E669" t="s">
        <v>9</v>
      </c>
      <c r="F669" s="3">
        <v>-11603.6</v>
      </c>
      <c r="G669" s="3">
        <v>-11603.6</v>
      </c>
      <c r="H669" t="s">
        <v>3</v>
      </c>
      <c r="I669" t="s">
        <v>3</v>
      </c>
      <c r="J669" t="s">
        <v>9</v>
      </c>
      <c r="K669" t="s">
        <v>9</v>
      </c>
      <c r="L669" t="s">
        <v>6</v>
      </c>
      <c r="M669" t="s">
        <v>102</v>
      </c>
      <c r="N669" s="2">
        <v>45565</v>
      </c>
    </row>
    <row r="670" spans="1:14" x14ac:dyDescent="0.25">
      <c r="A670" t="s">
        <v>350</v>
      </c>
      <c r="B670" s="2">
        <v>45188</v>
      </c>
      <c r="C670" t="s">
        <v>350</v>
      </c>
      <c r="D670" t="s">
        <v>99</v>
      </c>
      <c r="E670" t="s">
        <v>359</v>
      </c>
      <c r="F670" s="3">
        <v>1561.88</v>
      </c>
      <c r="G670" s="3">
        <v>1561.88</v>
      </c>
      <c r="H670" t="s">
        <v>3</v>
      </c>
      <c r="I670" t="s">
        <v>3</v>
      </c>
      <c r="J670" t="s">
        <v>361</v>
      </c>
      <c r="K670" t="s">
        <v>225</v>
      </c>
      <c r="L670" t="s">
        <v>6</v>
      </c>
      <c r="M670" t="s">
        <v>102</v>
      </c>
      <c r="N670" s="2">
        <v>45188</v>
      </c>
    </row>
    <row r="671" spans="1:14" x14ac:dyDescent="0.25">
      <c r="A671" t="s">
        <v>350</v>
      </c>
      <c r="B671" s="2">
        <v>45188</v>
      </c>
      <c r="C671" t="s">
        <v>350</v>
      </c>
      <c r="D671" t="s">
        <v>99</v>
      </c>
      <c r="E671" t="s">
        <v>359</v>
      </c>
      <c r="F671" s="3">
        <v>892.5</v>
      </c>
      <c r="G671" s="3">
        <v>892.5</v>
      </c>
      <c r="H671" t="s">
        <v>3</v>
      </c>
      <c r="I671" t="s">
        <v>3</v>
      </c>
      <c r="J671" t="s">
        <v>361</v>
      </c>
      <c r="K671" t="s">
        <v>225</v>
      </c>
      <c r="L671" t="s">
        <v>6</v>
      </c>
      <c r="M671" t="s">
        <v>102</v>
      </c>
      <c r="N671" s="2">
        <v>45188</v>
      </c>
    </row>
    <row r="672" spans="1:14" x14ac:dyDescent="0.25">
      <c r="A672" t="s">
        <v>350</v>
      </c>
      <c r="B672" s="2">
        <v>45188</v>
      </c>
      <c r="C672" t="s">
        <v>350</v>
      </c>
      <c r="D672" t="s">
        <v>99</v>
      </c>
      <c r="E672" t="s">
        <v>359</v>
      </c>
      <c r="F672" s="3">
        <v>1062.18</v>
      </c>
      <c r="G672" s="3">
        <v>1062.18</v>
      </c>
      <c r="H672" t="s">
        <v>3</v>
      </c>
      <c r="I672" t="s">
        <v>3</v>
      </c>
      <c r="J672" t="s">
        <v>361</v>
      </c>
      <c r="K672" t="s">
        <v>225</v>
      </c>
      <c r="L672" t="s">
        <v>6</v>
      </c>
      <c r="M672" t="s">
        <v>102</v>
      </c>
      <c r="N672" s="2">
        <v>45188</v>
      </c>
    </row>
    <row r="673" spans="1:14" x14ac:dyDescent="0.25">
      <c r="A673" t="s">
        <v>350</v>
      </c>
      <c r="B673" s="2">
        <v>45092</v>
      </c>
      <c r="C673" t="s">
        <v>350</v>
      </c>
      <c r="D673" t="s">
        <v>99</v>
      </c>
      <c r="E673" t="s">
        <v>359</v>
      </c>
      <c r="F673" s="3">
        <v>-0.01</v>
      </c>
      <c r="G673" s="3">
        <v>-0.01</v>
      </c>
      <c r="H673" t="s">
        <v>3</v>
      </c>
      <c r="I673" t="s">
        <v>3</v>
      </c>
      <c r="J673" t="s">
        <v>361</v>
      </c>
      <c r="K673" t="s">
        <v>225</v>
      </c>
      <c r="L673" t="s">
        <v>6</v>
      </c>
      <c r="M673" t="s">
        <v>102</v>
      </c>
      <c r="N673" s="2">
        <v>45173</v>
      </c>
    </row>
    <row r="674" spans="1:14" x14ac:dyDescent="0.25">
      <c r="A674" t="s">
        <v>350</v>
      </c>
      <c r="B674" s="2">
        <v>45195</v>
      </c>
      <c r="C674" t="s">
        <v>350</v>
      </c>
      <c r="D674" t="s">
        <v>99</v>
      </c>
      <c r="E674" t="s">
        <v>359</v>
      </c>
      <c r="F674" s="3">
        <v>1561.64</v>
      </c>
      <c r="G674" s="3">
        <v>1561.64</v>
      </c>
      <c r="H674" t="s">
        <v>3</v>
      </c>
      <c r="I674" t="s">
        <v>3</v>
      </c>
      <c r="J674" t="s">
        <v>361</v>
      </c>
      <c r="K674" t="s">
        <v>225</v>
      </c>
      <c r="L674" t="s">
        <v>6</v>
      </c>
      <c r="M674" t="s">
        <v>102</v>
      </c>
      <c r="N674" s="2">
        <v>45195</v>
      </c>
    </row>
    <row r="675" spans="1:14" x14ac:dyDescent="0.25">
      <c r="A675" t="s">
        <v>350</v>
      </c>
      <c r="B675" s="2">
        <v>45562</v>
      </c>
      <c r="C675" t="s">
        <v>350</v>
      </c>
      <c r="D675" t="s">
        <v>99</v>
      </c>
      <c r="E675" t="s">
        <v>359</v>
      </c>
      <c r="F675" s="3">
        <v>5228.3900000000003</v>
      </c>
      <c r="G675" s="3">
        <v>5228.3900000000003</v>
      </c>
      <c r="H675" t="s">
        <v>3</v>
      </c>
      <c r="I675" t="s">
        <v>3</v>
      </c>
      <c r="J675" t="s">
        <v>360</v>
      </c>
      <c r="K675" t="s">
        <v>222</v>
      </c>
      <c r="L675" t="s">
        <v>6</v>
      </c>
      <c r="M675" t="s">
        <v>102</v>
      </c>
      <c r="N675" s="2">
        <v>45562</v>
      </c>
    </row>
    <row r="676" spans="1:14" x14ac:dyDescent="0.25">
      <c r="A676" t="s">
        <v>350</v>
      </c>
      <c r="B676" s="2">
        <v>45565</v>
      </c>
      <c r="C676" t="s">
        <v>350</v>
      </c>
      <c r="D676" t="s">
        <v>99</v>
      </c>
      <c r="E676" t="s">
        <v>359</v>
      </c>
      <c r="F676" s="3">
        <v>6375.21</v>
      </c>
      <c r="G676" s="3">
        <v>6375.21</v>
      </c>
      <c r="H676" t="s">
        <v>3</v>
      </c>
      <c r="I676" t="s">
        <v>3</v>
      </c>
      <c r="J676" t="s">
        <v>360</v>
      </c>
      <c r="K676" t="s">
        <v>222</v>
      </c>
      <c r="L676" t="s">
        <v>6</v>
      </c>
      <c r="M676" t="s">
        <v>102</v>
      </c>
      <c r="N676" s="2">
        <v>45565</v>
      </c>
    </row>
    <row r="677" spans="1:14" x14ac:dyDescent="0.25">
      <c r="A677" s="4" t="s">
        <v>272</v>
      </c>
      <c r="B677" s="5"/>
      <c r="C677" s="4" t="s">
        <v>9</v>
      </c>
      <c r="D677" s="4" t="s">
        <v>9</v>
      </c>
      <c r="E677" s="4" t="s">
        <v>9</v>
      </c>
      <c r="F677" s="6">
        <v>0</v>
      </c>
      <c r="G677" s="6">
        <v>0</v>
      </c>
      <c r="H677" s="4" t="s">
        <v>9</v>
      </c>
      <c r="I677" s="4" t="s">
        <v>3</v>
      </c>
      <c r="J677" s="4" t="s">
        <v>9</v>
      </c>
      <c r="K677" s="4" t="s">
        <v>9</v>
      </c>
      <c r="L677" s="4" t="s">
        <v>9</v>
      </c>
      <c r="M677" s="4" t="s">
        <v>9</v>
      </c>
      <c r="N677" s="5"/>
    </row>
    <row r="678" spans="1:14" x14ac:dyDescent="0.25">
      <c r="A678" t="s">
        <v>350</v>
      </c>
      <c r="B678" s="2">
        <v>45965</v>
      </c>
      <c r="C678" t="s">
        <v>350</v>
      </c>
      <c r="D678" t="s">
        <v>51</v>
      </c>
      <c r="E678" t="s">
        <v>9</v>
      </c>
      <c r="F678" s="3">
        <v>-87841</v>
      </c>
      <c r="G678" s="3">
        <v>-87841</v>
      </c>
      <c r="H678" t="s">
        <v>3</v>
      </c>
      <c r="I678" t="s">
        <v>3</v>
      </c>
      <c r="J678" t="s">
        <v>9</v>
      </c>
      <c r="K678" t="s">
        <v>9</v>
      </c>
      <c r="L678" t="s">
        <v>8</v>
      </c>
      <c r="M678" t="s">
        <v>53</v>
      </c>
      <c r="N678" s="2">
        <v>45961</v>
      </c>
    </row>
    <row r="679" spans="1:14" x14ac:dyDescent="0.25">
      <c r="A679" t="s">
        <v>350</v>
      </c>
      <c r="B679" s="2">
        <v>45957</v>
      </c>
      <c r="C679" t="s">
        <v>350</v>
      </c>
      <c r="D679" t="s">
        <v>51</v>
      </c>
      <c r="E679" t="s">
        <v>9</v>
      </c>
      <c r="F679" s="3">
        <v>87841</v>
      </c>
      <c r="G679" s="3">
        <v>87841</v>
      </c>
      <c r="H679" t="s">
        <v>3</v>
      </c>
      <c r="I679" t="s">
        <v>3</v>
      </c>
      <c r="J679" t="s">
        <v>363</v>
      </c>
      <c r="K679" t="s">
        <v>5</v>
      </c>
      <c r="L679" t="s">
        <v>8</v>
      </c>
      <c r="M679" t="s">
        <v>53</v>
      </c>
      <c r="N679" s="2">
        <v>45957</v>
      </c>
    </row>
    <row r="680" spans="1:14" x14ac:dyDescent="0.25">
      <c r="A680" s="4" t="s">
        <v>278</v>
      </c>
      <c r="B680" s="5"/>
      <c r="C680" s="4" t="s">
        <v>9</v>
      </c>
      <c r="D680" s="4" t="s">
        <v>9</v>
      </c>
      <c r="E680" s="4" t="s">
        <v>9</v>
      </c>
      <c r="F680" s="6">
        <v>0</v>
      </c>
      <c r="G680" s="6">
        <v>0</v>
      </c>
      <c r="H680" s="4" t="s">
        <v>9</v>
      </c>
      <c r="I680" s="4" t="s">
        <v>3</v>
      </c>
      <c r="J680" s="4" t="s">
        <v>9</v>
      </c>
      <c r="K680" s="4" t="s">
        <v>9</v>
      </c>
      <c r="L680" s="4" t="s">
        <v>9</v>
      </c>
      <c r="M680" s="4" t="s">
        <v>9</v>
      </c>
      <c r="N680" s="5"/>
    </row>
    <row r="681" spans="1:14" x14ac:dyDescent="0.25">
      <c r="A681" t="s">
        <v>350</v>
      </c>
      <c r="B681" s="2">
        <v>45264</v>
      </c>
      <c r="C681" t="s">
        <v>350</v>
      </c>
      <c r="D681" t="s">
        <v>99</v>
      </c>
      <c r="E681" t="s">
        <v>9</v>
      </c>
      <c r="F681" s="3">
        <v>-8496.17</v>
      </c>
      <c r="G681" s="3">
        <v>-8496.17</v>
      </c>
      <c r="H681" t="s">
        <v>3</v>
      </c>
      <c r="I681" t="s">
        <v>3</v>
      </c>
      <c r="J681" t="s">
        <v>9</v>
      </c>
      <c r="K681" t="s">
        <v>9</v>
      </c>
      <c r="L681" t="s">
        <v>11</v>
      </c>
      <c r="M681" t="s">
        <v>102</v>
      </c>
      <c r="N681" s="2">
        <v>45260</v>
      </c>
    </row>
    <row r="682" spans="1:14" x14ac:dyDescent="0.25">
      <c r="A682" t="s">
        <v>350</v>
      </c>
      <c r="B682" s="2">
        <v>45629</v>
      </c>
      <c r="C682" t="s">
        <v>350</v>
      </c>
      <c r="D682" t="s">
        <v>99</v>
      </c>
      <c r="E682" t="s">
        <v>9</v>
      </c>
      <c r="F682" s="3">
        <v>-3953.36</v>
      </c>
      <c r="G682" s="3">
        <v>-3953.36</v>
      </c>
      <c r="H682" t="s">
        <v>3</v>
      </c>
      <c r="I682" t="s">
        <v>3</v>
      </c>
      <c r="J682" t="s">
        <v>9</v>
      </c>
      <c r="K682" t="s">
        <v>9</v>
      </c>
      <c r="L682" t="s">
        <v>11</v>
      </c>
      <c r="M682" t="s">
        <v>102</v>
      </c>
      <c r="N682" s="2">
        <v>45626</v>
      </c>
    </row>
    <row r="683" spans="1:14" x14ac:dyDescent="0.25">
      <c r="A683" t="s">
        <v>350</v>
      </c>
      <c r="B683" s="2">
        <v>45993</v>
      </c>
      <c r="C683" t="s">
        <v>350</v>
      </c>
      <c r="D683" t="s">
        <v>99</v>
      </c>
      <c r="E683" t="s">
        <v>9</v>
      </c>
      <c r="F683" s="3">
        <v>-771.4</v>
      </c>
      <c r="G683" s="3">
        <v>-771.4</v>
      </c>
      <c r="H683" t="s">
        <v>3</v>
      </c>
      <c r="I683" t="s">
        <v>3</v>
      </c>
      <c r="J683" t="s">
        <v>9</v>
      </c>
      <c r="K683" t="s">
        <v>9</v>
      </c>
      <c r="L683" t="s">
        <v>11</v>
      </c>
      <c r="M683" t="s">
        <v>102</v>
      </c>
      <c r="N683" s="2">
        <v>45991</v>
      </c>
    </row>
    <row r="684" spans="1:14" x14ac:dyDescent="0.25">
      <c r="A684" t="s">
        <v>350</v>
      </c>
      <c r="B684" s="2">
        <v>45236</v>
      </c>
      <c r="C684" t="s">
        <v>350</v>
      </c>
      <c r="D684" t="s">
        <v>99</v>
      </c>
      <c r="E684" t="s">
        <v>359</v>
      </c>
      <c r="F684" s="3">
        <v>3386.58</v>
      </c>
      <c r="G684" s="3">
        <v>3386.58</v>
      </c>
      <c r="H684" t="s">
        <v>3</v>
      </c>
      <c r="I684" t="s">
        <v>3</v>
      </c>
      <c r="J684" t="s">
        <v>361</v>
      </c>
      <c r="K684" t="s">
        <v>225</v>
      </c>
      <c r="L684" t="s">
        <v>11</v>
      </c>
      <c r="M684" t="s">
        <v>102</v>
      </c>
      <c r="N684" s="2">
        <v>45236</v>
      </c>
    </row>
    <row r="685" spans="1:14" x14ac:dyDescent="0.25">
      <c r="A685" t="s">
        <v>350</v>
      </c>
      <c r="B685" s="2">
        <v>45189</v>
      </c>
      <c r="C685" t="s">
        <v>350</v>
      </c>
      <c r="D685" t="s">
        <v>99</v>
      </c>
      <c r="E685" t="s">
        <v>359</v>
      </c>
      <c r="F685" s="3">
        <v>0.01</v>
      </c>
      <c r="G685" s="3">
        <v>0.01</v>
      </c>
      <c r="H685" t="s">
        <v>3</v>
      </c>
      <c r="I685" t="s">
        <v>3</v>
      </c>
      <c r="J685" t="s">
        <v>361</v>
      </c>
      <c r="K685" t="s">
        <v>225</v>
      </c>
      <c r="L685" t="s">
        <v>11</v>
      </c>
      <c r="M685" t="s">
        <v>102</v>
      </c>
      <c r="N685" s="2">
        <v>45233</v>
      </c>
    </row>
    <row r="686" spans="1:14" x14ac:dyDescent="0.25">
      <c r="A686" t="s">
        <v>350</v>
      </c>
      <c r="B686" s="2">
        <v>45252</v>
      </c>
      <c r="C686" t="s">
        <v>350</v>
      </c>
      <c r="D686" t="s">
        <v>99</v>
      </c>
      <c r="E686" t="s">
        <v>359</v>
      </c>
      <c r="F686" s="3">
        <v>5109.58</v>
      </c>
      <c r="G686" s="3">
        <v>5109.58</v>
      </c>
      <c r="H686" t="s">
        <v>3</v>
      </c>
      <c r="I686" t="s">
        <v>3</v>
      </c>
      <c r="J686" t="s">
        <v>361</v>
      </c>
      <c r="K686" t="s">
        <v>225</v>
      </c>
      <c r="L686" t="s">
        <v>11</v>
      </c>
      <c r="M686" t="s">
        <v>102</v>
      </c>
      <c r="N686" s="2">
        <v>45252</v>
      </c>
    </row>
    <row r="687" spans="1:14" x14ac:dyDescent="0.25">
      <c r="A687" t="s">
        <v>350</v>
      </c>
      <c r="B687" s="2">
        <v>45611</v>
      </c>
      <c r="C687" t="s">
        <v>350</v>
      </c>
      <c r="D687" t="s">
        <v>99</v>
      </c>
      <c r="E687" t="s">
        <v>359</v>
      </c>
      <c r="F687" s="3">
        <v>3953.36</v>
      </c>
      <c r="G687" s="3">
        <v>3953.36</v>
      </c>
      <c r="H687" t="s">
        <v>3</v>
      </c>
      <c r="I687" t="s">
        <v>3</v>
      </c>
      <c r="J687" t="s">
        <v>360</v>
      </c>
      <c r="K687" t="s">
        <v>222</v>
      </c>
      <c r="L687" t="s">
        <v>11</v>
      </c>
      <c r="M687" t="s">
        <v>102</v>
      </c>
      <c r="N687" s="2">
        <v>45611</v>
      </c>
    </row>
    <row r="688" spans="1:14" x14ac:dyDescent="0.25">
      <c r="A688" t="s">
        <v>350</v>
      </c>
      <c r="B688" s="2">
        <v>45986</v>
      </c>
      <c r="C688" t="s">
        <v>350</v>
      </c>
      <c r="D688" t="s">
        <v>99</v>
      </c>
      <c r="E688" t="s">
        <v>353</v>
      </c>
      <c r="F688" s="3">
        <v>771.4</v>
      </c>
      <c r="G688" s="3">
        <v>771.4</v>
      </c>
      <c r="H688" t="s">
        <v>3</v>
      </c>
      <c r="I688" t="s">
        <v>3</v>
      </c>
      <c r="J688" t="s">
        <v>354</v>
      </c>
      <c r="K688" t="s">
        <v>5</v>
      </c>
      <c r="L688" t="s">
        <v>11</v>
      </c>
      <c r="M688" t="s">
        <v>102</v>
      </c>
      <c r="N688" s="2">
        <v>45986</v>
      </c>
    </row>
    <row r="689" spans="1:14" x14ac:dyDescent="0.25">
      <c r="A689" s="4" t="s">
        <v>226</v>
      </c>
      <c r="B689" s="5"/>
      <c r="C689" s="4" t="s">
        <v>9</v>
      </c>
      <c r="D689" s="4" t="s">
        <v>9</v>
      </c>
      <c r="E689" s="4" t="s">
        <v>9</v>
      </c>
      <c r="F689" s="6">
        <v>0</v>
      </c>
      <c r="G689" s="6">
        <v>0</v>
      </c>
      <c r="H689" s="4" t="s">
        <v>9</v>
      </c>
      <c r="I689" s="4" t="s">
        <v>3</v>
      </c>
      <c r="J689" s="4" t="s">
        <v>9</v>
      </c>
      <c r="K689" s="4" t="s">
        <v>9</v>
      </c>
      <c r="L689" s="4" t="s">
        <v>9</v>
      </c>
      <c r="M689" s="4" t="s">
        <v>9</v>
      </c>
      <c r="N689" s="5"/>
    </row>
    <row r="690" spans="1:14" x14ac:dyDescent="0.25">
      <c r="A690" t="s">
        <v>350</v>
      </c>
      <c r="B690" s="2">
        <v>45295</v>
      </c>
      <c r="C690" t="s">
        <v>350</v>
      </c>
      <c r="D690" t="s">
        <v>51</v>
      </c>
      <c r="E690" t="s">
        <v>9</v>
      </c>
      <c r="F690" s="3">
        <v>-24271.599999999999</v>
      </c>
      <c r="G690" s="3">
        <v>-24271.599999999999</v>
      </c>
      <c r="H690" t="s">
        <v>3</v>
      </c>
      <c r="I690" t="s">
        <v>3</v>
      </c>
      <c r="J690" t="s">
        <v>9</v>
      </c>
      <c r="K690" t="s">
        <v>9</v>
      </c>
      <c r="L690" t="s">
        <v>12</v>
      </c>
      <c r="M690" t="s">
        <v>53</v>
      </c>
      <c r="N690" s="2">
        <v>45291</v>
      </c>
    </row>
    <row r="691" spans="1:14" x14ac:dyDescent="0.25">
      <c r="A691" t="s">
        <v>350</v>
      </c>
      <c r="B691" s="2">
        <v>45295</v>
      </c>
      <c r="C691" t="s">
        <v>350</v>
      </c>
      <c r="D691" t="s">
        <v>99</v>
      </c>
      <c r="E691" t="s">
        <v>9</v>
      </c>
      <c r="F691" s="3">
        <v>-3271.26</v>
      </c>
      <c r="G691" s="3">
        <v>-3271.26</v>
      </c>
      <c r="H691" t="s">
        <v>3</v>
      </c>
      <c r="I691" t="s">
        <v>3</v>
      </c>
      <c r="J691" t="s">
        <v>9</v>
      </c>
      <c r="K691" t="s">
        <v>9</v>
      </c>
      <c r="L691" t="s">
        <v>12</v>
      </c>
      <c r="M691" t="s">
        <v>102</v>
      </c>
      <c r="N691" s="2">
        <v>45291</v>
      </c>
    </row>
    <row r="692" spans="1:14" x14ac:dyDescent="0.25">
      <c r="A692" t="s">
        <v>350</v>
      </c>
      <c r="B692" s="2">
        <v>45660</v>
      </c>
      <c r="C692" t="s">
        <v>350</v>
      </c>
      <c r="D692" t="s">
        <v>99</v>
      </c>
      <c r="E692" t="s">
        <v>9</v>
      </c>
      <c r="F692" s="3">
        <v>-12151.16</v>
      </c>
      <c r="G692" s="3">
        <v>-12151.16</v>
      </c>
      <c r="H692" t="s">
        <v>3</v>
      </c>
      <c r="I692" t="s">
        <v>3</v>
      </c>
      <c r="J692" t="s">
        <v>9</v>
      </c>
      <c r="K692" t="s">
        <v>9</v>
      </c>
      <c r="L692" t="s">
        <v>12</v>
      </c>
      <c r="M692" t="s">
        <v>102</v>
      </c>
      <c r="N692" s="2">
        <v>45657</v>
      </c>
    </row>
    <row r="693" spans="1:14" x14ac:dyDescent="0.25">
      <c r="A693" t="s">
        <v>350</v>
      </c>
      <c r="B693" s="2">
        <v>45267</v>
      </c>
      <c r="C693" t="s">
        <v>350</v>
      </c>
      <c r="D693" t="s">
        <v>99</v>
      </c>
      <c r="E693" t="s">
        <v>359</v>
      </c>
      <c r="F693" s="3">
        <v>2082.98</v>
      </c>
      <c r="G693" s="3">
        <v>2082.98</v>
      </c>
      <c r="H693" t="s">
        <v>3</v>
      </c>
      <c r="I693" t="s">
        <v>3</v>
      </c>
      <c r="J693" t="s">
        <v>361</v>
      </c>
      <c r="K693" t="s">
        <v>225</v>
      </c>
      <c r="L693" t="s">
        <v>12</v>
      </c>
      <c r="M693" t="s">
        <v>102</v>
      </c>
      <c r="N693" s="2">
        <v>45267</v>
      </c>
    </row>
    <row r="694" spans="1:14" x14ac:dyDescent="0.25">
      <c r="A694" t="s">
        <v>350</v>
      </c>
      <c r="B694" s="2">
        <v>45279</v>
      </c>
      <c r="C694" t="s">
        <v>350</v>
      </c>
      <c r="D694" t="s">
        <v>99</v>
      </c>
      <c r="E694" t="s">
        <v>359</v>
      </c>
      <c r="F694" s="3">
        <v>237.66</v>
      </c>
      <c r="G694" s="3">
        <v>237.66</v>
      </c>
      <c r="H694" t="s">
        <v>3</v>
      </c>
      <c r="I694" t="s">
        <v>3</v>
      </c>
      <c r="J694" t="s">
        <v>361</v>
      </c>
      <c r="K694" t="s">
        <v>225</v>
      </c>
      <c r="L694" t="s">
        <v>12</v>
      </c>
      <c r="M694" t="s">
        <v>102</v>
      </c>
      <c r="N694" s="2">
        <v>45279</v>
      </c>
    </row>
    <row r="695" spans="1:14" x14ac:dyDescent="0.25">
      <c r="A695" t="s">
        <v>350</v>
      </c>
      <c r="B695" s="2">
        <v>45281</v>
      </c>
      <c r="C695" t="s">
        <v>350</v>
      </c>
      <c r="D695" t="s">
        <v>99</v>
      </c>
      <c r="E695" t="s">
        <v>359</v>
      </c>
      <c r="F695" s="3">
        <v>950.62</v>
      </c>
      <c r="G695" s="3">
        <v>950.62</v>
      </c>
      <c r="H695" t="s">
        <v>3</v>
      </c>
      <c r="I695" t="s">
        <v>3</v>
      </c>
      <c r="J695" t="s">
        <v>361</v>
      </c>
      <c r="K695" t="s">
        <v>225</v>
      </c>
      <c r="L695" t="s">
        <v>12</v>
      </c>
      <c r="M695" t="s">
        <v>102</v>
      </c>
      <c r="N695" s="2">
        <v>45281</v>
      </c>
    </row>
    <row r="696" spans="1:14" x14ac:dyDescent="0.25">
      <c r="A696" t="s">
        <v>350</v>
      </c>
      <c r="B696" s="2">
        <v>45293</v>
      </c>
      <c r="C696" t="s">
        <v>350</v>
      </c>
      <c r="D696" t="s">
        <v>51</v>
      </c>
      <c r="E696" t="s">
        <v>364</v>
      </c>
      <c r="F696" s="3">
        <v>24271.599999999999</v>
      </c>
      <c r="G696" s="3">
        <v>24271.599999999999</v>
      </c>
      <c r="H696" t="s">
        <v>3</v>
      </c>
      <c r="I696" t="s">
        <v>3</v>
      </c>
      <c r="J696" t="s">
        <v>365</v>
      </c>
      <c r="K696" t="s">
        <v>225</v>
      </c>
      <c r="L696" t="s">
        <v>12</v>
      </c>
      <c r="M696" t="s">
        <v>53</v>
      </c>
      <c r="N696" s="2">
        <v>45291</v>
      </c>
    </row>
    <row r="697" spans="1:14" x14ac:dyDescent="0.25">
      <c r="A697" t="s">
        <v>350</v>
      </c>
      <c r="B697" s="2">
        <v>45637</v>
      </c>
      <c r="C697" t="s">
        <v>350</v>
      </c>
      <c r="D697" t="s">
        <v>99</v>
      </c>
      <c r="E697" t="s">
        <v>359</v>
      </c>
      <c r="F697" s="3">
        <v>9951.16</v>
      </c>
      <c r="G697" s="3">
        <v>9951.16</v>
      </c>
      <c r="H697" t="s">
        <v>3</v>
      </c>
      <c r="I697" t="s">
        <v>3</v>
      </c>
      <c r="J697" t="s">
        <v>360</v>
      </c>
      <c r="K697" t="s">
        <v>222</v>
      </c>
      <c r="L697" t="s">
        <v>12</v>
      </c>
      <c r="M697" t="s">
        <v>102</v>
      </c>
      <c r="N697" s="2">
        <v>45637</v>
      </c>
    </row>
    <row r="698" spans="1:14" x14ac:dyDescent="0.25">
      <c r="A698" t="s">
        <v>350</v>
      </c>
      <c r="B698" s="2">
        <v>45638</v>
      </c>
      <c r="C698" t="s">
        <v>350</v>
      </c>
      <c r="D698" t="s">
        <v>99</v>
      </c>
      <c r="E698" t="s">
        <v>359</v>
      </c>
      <c r="F698" s="3">
        <v>2200</v>
      </c>
      <c r="G698" s="3">
        <v>2200</v>
      </c>
      <c r="H698" t="s">
        <v>3</v>
      </c>
      <c r="I698" t="s">
        <v>3</v>
      </c>
      <c r="J698" t="s">
        <v>360</v>
      </c>
      <c r="K698" t="s">
        <v>222</v>
      </c>
      <c r="L698" t="s">
        <v>12</v>
      </c>
      <c r="M698" t="s">
        <v>102</v>
      </c>
      <c r="N698" s="2">
        <v>45638</v>
      </c>
    </row>
    <row r="699" spans="1:14" x14ac:dyDescent="0.25">
      <c r="A699" s="4" t="s">
        <v>228</v>
      </c>
      <c r="B699" s="5"/>
      <c r="C699" s="4" t="s">
        <v>9</v>
      </c>
      <c r="D699" s="4" t="s">
        <v>9</v>
      </c>
      <c r="E699" s="4" t="s">
        <v>9</v>
      </c>
      <c r="F699" s="6">
        <v>0</v>
      </c>
      <c r="G699" s="6">
        <v>0</v>
      </c>
      <c r="H699" s="4" t="s">
        <v>9</v>
      </c>
      <c r="I699" s="4" t="s">
        <v>3</v>
      </c>
      <c r="J699" s="4" t="s">
        <v>9</v>
      </c>
      <c r="K699" s="4" t="s">
        <v>9</v>
      </c>
      <c r="L699" s="4" t="s">
        <v>9</v>
      </c>
      <c r="M699" s="4" t="s">
        <v>9</v>
      </c>
      <c r="N699" s="5"/>
    </row>
    <row r="700" spans="1:14" x14ac:dyDescent="0.25">
      <c r="A700" s="4" t="s">
        <v>350</v>
      </c>
      <c r="B700" s="5"/>
      <c r="C700" s="4" t="s">
        <v>9</v>
      </c>
      <c r="D700" s="4" t="s">
        <v>9</v>
      </c>
      <c r="E700" s="4" t="s">
        <v>9</v>
      </c>
      <c r="F700" s="6">
        <v>0</v>
      </c>
      <c r="G700" s="6">
        <v>0</v>
      </c>
      <c r="H700" s="4" t="s">
        <v>9</v>
      </c>
      <c r="I700" s="4" t="s">
        <v>3</v>
      </c>
      <c r="J700" s="4" t="s">
        <v>9</v>
      </c>
      <c r="K700" s="4" t="s">
        <v>9</v>
      </c>
      <c r="L700" s="4" t="s">
        <v>9</v>
      </c>
      <c r="M700" s="4" t="s">
        <v>9</v>
      </c>
      <c r="N700" s="5"/>
    </row>
    <row r="701" spans="1:14" x14ac:dyDescent="0.25">
      <c r="A701" t="s">
        <v>366</v>
      </c>
      <c r="B701" s="2">
        <v>46056</v>
      </c>
      <c r="C701" t="s">
        <v>366</v>
      </c>
      <c r="D701" t="s">
        <v>112</v>
      </c>
      <c r="E701" t="s">
        <v>9</v>
      </c>
      <c r="F701" s="3">
        <v>-300</v>
      </c>
      <c r="G701" s="3">
        <v>-300</v>
      </c>
      <c r="H701" t="s">
        <v>3</v>
      </c>
      <c r="I701" t="s">
        <v>3</v>
      </c>
      <c r="J701" t="s">
        <v>9</v>
      </c>
      <c r="K701" t="s">
        <v>9</v>
      </c>
      <c r="L701" t="s">
        <v>14</v>
      </c>
      <c r="M701" t="s">
        <v>114</v>
      </c>
      <c r="N701" s="2">
        <v>46053</v>
      </c>
    </row>
    <row r="702" spans="1:14" x14ac:dyDescent="0.25">
      <c r="A702" t="s">
        <v>366</v>
      </c>
      <c r="B702" s="2">
        <v>46022</v>
      </c>
      <c r="C702" t="s">
        <v>366</v>
      </c>
      <c r="D702" t="s">
        <v>112</v>
      </c>
      <c r="E702" t="s">
        <v>9</v>
      </c>
      <c r="F702" s="3">
        <v>-14100</v>
      </c>
      <c r="G702" s="3">
        <v>-14100</v>
      </c>
      <c r="H702" t="s">
        <v>3</v>
      </c>
      <c r="I702" t="s">
        <v>3</v>
      </c>
      <c r="J702" t="s">
        <v>299</v>
      </c>
      <c r="K702" t="s">
        <v>13</v>
      </c>
      <c r="L702" t="s">
        <v>14</v>
      </c>
      <c r="M702" t="s">
        <v>114</v>
      </c>
      <c r="N702" s="2">
        <v>46023</v>
      </c>
    </row>
    <row r="703" spans="1:14" x14ac:dyDescent="0.25">
      <c r="A703" t="s">
        <v>366</v>
      </c>
      <c r="B703" s="2">
        <v>46023</v>
      </c>
      <c r="C703" t="s">
        <v>366</v>
      </c>
      <c r="D703" t="s">
        <v>112</v>
      </c>
      <c r="E703" t="s">
        <v>9</v>
      </c>
      <c r="F703" s="3">
        <v>14100</v>
      </c>
      <c r="G703" s="3">
        <v>14100</v>
      </c>
      <c r="H703" t="s">
        <v>3</v>
      </c>
      <c r="I703" t="s">
        <v>3</v>
      </c>
      <c r="J703" t="s">
        <v>299</v>
      </c>
      <c r="K703" t="s">
        <v>13</v>
      </c>
      <c r="L703" t="s">
        <v>14</v>
      </c>
      <c r="M703" t="s">
        <v>114</v>
      </c>
      <c r="N703" s="2">
        <v>46023</v>
      </c>
    </row>
    <row r="704" spans="1:14" x14ac:dyDescent="0.25">
      <c r="A704" t="s">
        <v>366</v>
      </c>
      <c r="B704" s="2">
        <v>46053</v>
      </c>
      <c r="C704" t="s">
        <v>366</v>
      </c>
      <c r="D704" t="s">
        <v>112</v>
      </c>
      <c r="E704" t="s">
        <v>9</v>
      </c>
      <c r="F704" s="3">
        <v>300</v>
      </c>
      <c r="G704" s="3">
        <v>300</v>
      </c>
      <c r="H704" t="s">
        <v>3</v>
      </c>
      <c r="I704" t="s">
        <v>3</v>
      </c>
      <c r="J704" t="s">
        <v>367</v>
      </c>
      <c r="K704" t="s">
        <v>13</v>
      </c>
      <c r="L704" t="s">
        <v>14</v>
      </c>
      <c r="M704" t="s">
        <v>114</v>
      </c>
      <c r="N704" s="2">
        <v>46053</v>
      </c>
    </row>
    <row r="705" spans="1:14" x14ac:dyDescent="0.25">
      <c r="A705" s="4" t="s">
        <v>234</v>
      </c>
      <c r="B705" s="5"/>
      <c r="C705" s="4" t="s">
        <v>9</v>
      </c>
      <c r="D705" s="4" t="s">
        <v>9</v>
      </c>
      <c r="E705" s="4" t="s">
        <v>9</v>
      </c>
      <c r="F705" s="6">
        <v>0</v>
      </c>
      <c r="G705" s="6">
        <v>0</v>
      </c>
      <c r="H705" s="4" t="s">
        <v>9</v>
      </c>
      <c r="I705" s="4" t="s">
        <v>3</v>
      </c>
      <c r="J705" s="4" t="s">
        <v>9</v>
      </c>
      <c r="K705" s="4" t="s">
        <v>9</v>
      </c>
      <c r="L705" s="4" t="s">
        <v>9</v>
      </c>
      <c r="M705" s="4" t="s">
        <v>9</v>
      </c>
      <c r="N705" s="5"/>
    </row>
    <row r="706" spans="1:14" x14ac:dyDescent="0.25">
      <c r="A706" t="s">
        <v>366</v>
      </c>
      <c r="B706" s="2">
        <v>46084</v>
      </c>
      <c r="C706" t="s">
        <v>366</v>
      </c>
      <c r="D706" t="s">
        <v>112</v>
      </c>
      <c r="E706" t="s">
        <v>9</v>
      </c>
      <c r="F706" s="3">
        <v>-1000</v>
      </c>
      <c r="G706" s="3">
        <v>-1000</v>
      </c>
      <c r="H706" t="s">
        <v>3</v>
      </c>
      <c r="I706" t="s">
        <v>3</v>
      </c>
      <c r="J706" t="s">
        <v>9</v>
      </c>
      <c r="K706" t="s">
        <v>9</v>
      </c>
      <c r="L706" t="s">
        <v>15</v>
      </c>
      <c r="M706" t="s">
        <v>114</v>
      </c>
      <c r="N706" s="2">
        <v>46081</v>
      </c>
    </row>
    <row r="707" spans="1:14" x14ac:dyDescent="0.25">
      <c r="A707" t="s">
        <v>366</v>
      </c>
      <c r="B707" s="2">
        <v>46054</v>
      </c>
      <c r="C707" t="s">
        <v>366</v>
      </c>
      <c r="D707" t="s">
        <v>112</v>
      </c>
      <c r="E707" t="s">
        <v>9</v>
      </c>
      <c r="F707" s="3">
        <v>-300</v>
      </c>
      <c r="G707" s="3">
        <v>-300</v>
      </c>
      <c r="H707" t="s">
        <v>3</v>
      </c>
      <c r="I707" t="s">
        <v>3</v>
      </c>
      <c r="J707" t="s">
        <v>367</v>
      </c>
      <c r="K707" t="s">
        <v>13</v>
      </c>
      <c r="L707" t="s">
        <v>15</v>
      </c>
      <c r="M707" t="s">
        <v>114</v>
      </c>
      <c r="N707" s="2">
        <v>46054</v>
      </c>
    </row>
    <row r="708" spans="1:14" x14ac:dyDescent="0.25">
      <c r="A708" t="s">
        <v>366</v>
      </c>
      <c r="B708" s="2">
        <v>46054</v>
      </c>
      <c r="C708" t="s">
        <v>366</v>
      </c>
      <c r="D708" t="s">
        <v>112</v>
      </c>
      <c r="E708" t="s">
        <v>9</v>
      </c>
      <c r="F708" s="3">
        <v>300</v>
      </c>
      <c r="G708" s="3">
        <v>300</v>
      </c>
      <c r="H708" t="s">
        <v>3</v>
      </c>
      <c r="I708" t="s">
        <v>3</v>
      </c>
      <c r="J708" t="s">
        <v>367</v>
      </c>
      <c r="K708" t="s">
        <v>13</v>
      </c>
      <c r="L708" t="s">
        <v>15</v>
      </c>
      <c r="M708" t="s">
        <v>114</v>
      </c>
      <c r="N708" s="2">
        <v>46055</v>
      </c>
    </row>
    <row r="709" spans="1:14" x14ac:dyDescent="0.25">
      <c r="A709" t="s">
        <v>366</v>
      </c>
      <c r="B709" s="2">
        <v>46054</v>
      </c>
      <c r="C709" t="s">
        <v>366</v>
      </c>
      <c r="D709" t="s">
        <v>112</v>
      </c>
      <c r="E709" t="s">
        <v>9</v>
      </c>
      <c r="F709" s="3">
        <v>-300</v>
      </c>
      <c r="G709" s="3">
        <v>-300</v>
      </c>
      <c r="H709" t="s">
        <v>3</v>
      </c>
      <c r="I709" t="s">
        <v>3</v>
      </c>
      <c r="J709" t="s">
        <v>367</v>
      </c>
      <c r="K709" t="s">
        <v>13</v>
      </c>
      <c r="L709" t="s">
        <v>15</v>
      </c>
      <c r="M709" t="s">
        <v>114</v>
      </c>
      <c r="N709" s="2">
        <v>46054</v>
      </c>
    </row>
    <row r="710" spans="1:14" x14ac:dyDescent="0.25">
      <c r="A710" t="s">
        <v>366</v>
      </c>
      <c r="B710" s="2">
        <v>46081</v>
      </c>
      <c r="C710" t="s">
        <v>366</v>
      </c>
      <c r="D710" t="s">
        <v>112</v>
      </c>
      <c r="E710" t="s">
        <v>9</v>
      </c>
      <c r="F710" s="3">
        <v>1300</v>
      </c>
      <c r="G710" s="3">
        <v>1300</v>
      </c>
      <c r="H710" t="s">
        <v>3</v>
      </c>
      <c r="I710" t="s">
        <v>3</v>
      </c>
      <c r="J710" t="s">
        <v>368</v>
      </c>
      <c r="K710" t="s">
        <v>13</v>
      </c>
      <c r="L710" t="s">
        <v>15</v>
      </c>
      <c r="M710" t="s">
        <v>114</v>
      </c>
      <c r="N710" s="2">
        <v>46081</v>
      </c>
    </row>
    <row r="711" spans="1:14" x14ac:dyDescent="0.25">
      <c r="A711" s="4" t="s">
        <v>239</v>
      </c>
      <c r="B711" s="5"/>
      <c r="C711" s="4" t="s">
        <v>9</v>
      </c>
      <c r="D711" s="4" t="s">
        <v>9</v>
      </c>
      <c r="E711" s="4" t="s">
        <v>9</v>
      </c>
      <c r="F711" s="6">
        <v>0</v>
      </c>
      <c r="G711" s="6">
        <v>0</v>
      </c>
      <c r="H711" s="4" t="s">
        <v>9</v>
      </c>
      <c r="I711" s="4" t="s">
        <v>3</v>
      </c>
      <c r="J711" s="4" t="s">
        <v>9</v>
      </c>
      <c r="K711" s="4" t="s">
        <v>9</v>
      </c>
      <c r="L711" s="4" t="s">
        <v>9</v>
      </c>
      <c r="M711" s="4" t="s">
        <v>9</v>
      </c>
      <c r="N711" s="5"/>
    </row>
    <row r="712" spans="1:14" x14ac:dyDescent="0.25">
      <c r="A712" t="s">
        <v>366</v>
      </c>
      <c r="B712" s="2">
        <v>45749</v>
      </c>
      <c r="C712" t="s">
        <v>366</v>
      </c>
      <c r="D712" t="s">
        <v>112</v>
      </c>
      <c r="E712" t="s">
        <v>9</v>
      </c>
      <c r="F712" s="3">
        <v>-100</v>
      </c>
      <c r="G712" s="3">
        <v>-100</v>
      </c>
      <c r="H712" t="s">
        <v>3</v>
      </c>
      <c r="I712" t="s">
        <v>3</v>
      </c>
      <c r="J712" t="s">
        <v>9</v>
      </c>
      <c r="K712" t="s">
        <v>9</v>
      </c>
      <c r="L712" t="s">
        <v>16</v>
      </c>
      <c r="M712" t="s">
        <v>114</v>
      </c>
      <c r="N712" s="2">
        <v>45747</v>
      </c>
    </row>
    <row r="713" spans="1:14" x14ac:dyDescent="0.25">
      <c r="A713" t="s">
        <v>366</v>
      </c>
      <c r="B713" s="2">
        <v>46115</v>
      </c>
      <c r="C713" t="s">
        <v>366</v>
      </c>
      <c r="D713" t="s">
        <v>112</v>
      </c>
      <c r="E713" t="s">
        <v>9</v>
      </c>
      <c r="F713" s="3">
        <v>-800</v>
      </c>
      <c r="G713" s="3">
        <v>-800</v>
      </c>
      <c r="H713" t="s">
        <v>3</v>
      </c>
      <c r="I713" t="s">
        <v>3</v>
      </c>
      <c r="J713" t="s">
        <v>9</v>
      </c>
      <c r="K713" t="s">
        <v>9</v>
      </c>
      <c r="L713" t="s">
        <v>16</v>
      </c>
      <c r="M713" t="s">
        <v>114</v>
      </c>
      <c r="N713" s="2">
        <v>46112</v>
      </c>
    </row>
    <row r="714" spans="1:14" x14ac:dyDescent="0.25">
      <c r="A714" t="s">
        <v>366</v>
      </c>
      <c r="B714" s="2">
        <v>45747</v>
      </c>
      <c r="C714" t="s">
        <v>366</v>
      </c>
      <c r="D714" t="s">
        <v>112</v>
      </c>
      <c r="E714" t="s">
        <v>9</v>
      </c>
      <c r="F714" s="3">
        <v>100</v>
      </c>
      <c r="G714" s="3">
        <v>100</v>
      </c>
      <c r="H714" t="s">
        <v>3</v>
      </c>
      <c r="I714" t="s">
        <v>3</v>
      </c>
      <c r="J714" t="s">
        <v>306</v>
      </c>
      <c r="K714" t="s">
        <v>5</v>
      </c>
      <c r="L714" t="s">
        <v>16</v>
      </c>
      <c r="M714" t="s">
        <v>114</v>
      </c>
      <c r="N714" s="2">
        <v>45747</v>
      </c>
    </row>
    <row r="715" spans="1:14" x14ac:dyDescent="0.25">
      <c r="A715" t="s">
        <v>366</v>
      </c>
      <c r="B715" s="2">
        <v>46081</v>
      </c>
      <c r="C715" t="s">
        <v>366</v>
      </c>
      <c r="D715" t="s">
        <v>112</v>
      </c>
      <c r="E715" t="s">
        <v>9</v>
      </c>
      <c r="F715" s="3">
        <v>-1300</v>
      </c>
      <c r="G715" s="3">
        <v>-1300</v>
      </c>
      <c r="H715" t="s">
        <v>3</v>
      </c>
      <c r="I715" t="s">
        <v>3</v>
      </c>
      <c r="J715" t="s">
        <v>368</v>
      </c>
      <c r="K715" t="s">
        <v>13</v>
      </c>
      <c r="L715" t="s">
        <v>16</v>
      </c>
      <c r="M715" t="s">
        <v>114</v>
      </c>
      <c r="N715" s="2">
        <v>46082</v>
      </c>
    </row>
    <row r="716" spans="1:14" x14ac:dyDescent="0.25">
      <c r="A716" t="s">
        <v>366</v>
      </c>
      <c r="B716" s="2">
        <v>46112</v>
      </c>
      <c r="C716" t="s">
        <v>366</v>
      </c>
      <c r="D716" t="s">
        <v>112</v>
      </c>
      <c r="E716" t="s">
        <v>9</v>
      </c>
      <c r="F716" s="3">
        <v>2100</v>
      </c>
      <c r="G716" s="3">
        <v>2100</v>
      </c>
      <c r="H716" t="s">
        <v>3</v>
      </c>
      <c r="I716" t="s">
        <v>3</v>
      </c>
      <c r="J716" t="s">
        <v>369</v>
      </c>
      <c r="K716" t="s">
        <v>13</v>
      </c>
      <c r="L716" t="s">
        <v>16</v>
      </c>
      <c r="M716" t="s">
        <v>114</v>
      </c>
      <c r="N716" s="2">
        <v>46112</v>
      </c>
    </row>
    <row r="717" spans="1:14" x14ac:dyDescent="0.25">
      <c r="A717" s="4" t="s">
        <v>244</v>
      </c>
      <c r="B717" s="5"/>
      <c r="C717" s="4" t="s">
        <v>9</v>
      </c>
      <c r="D717" s="4" t="s">
        <v>9</v>
      </c>
      <c r="E717" s="4" t="s">
        <v>9</v>
      </c>
      <c r="F717" s="6">
        <v>0</v>
      </c>
      <c r="G717" s="6">
        <v>0</v>
      </c>
      <c r="H717" s="4" t="s">
        <v>9</v>
      </c>
      <c r="I717" s="4" t="s">
        <v>3</v>
      </c>
      <c r="J717" s="4" t="s">
        <v>9</v>
      </c>
      <c r="K717" s="4" t="s">
        <v>9</v>
      </c>
      <c r="L717" s="4" t="s">
        <v>9</v>
      </c>
      <c r="M717" s="4" t="s">
        <v>9</v>
      </c>
      <c r="N717" s="5"/>
    </row>
    <row r="718" spans="1:14" x14ac:dyDescent="0.25">
      <c r="A718" t="s">
        <v>366</v>
      </c>
      <c r="B718" s="2">
        <v>45782</v>
      </c>
      <c r="C718" t="s">
        <v>366</v>
      </c>
      <c r="D718" t="s">
        <v>112</v>
      </c>
      <c r="E718" t="s">
        <v>9</v>
      </c>
      <c r="F718" s="3">
        <v>-7000</v>
      </c>
      <c r="G718" s="3">
        <v>-7000</v>
      </c>
      <c r="H718" t="s">
        <v>3</v>
      </c>
      <c r="I718" t="s">
        <v>3</v>
      </c>
      <c r="J718" t="s">
        <v>9</v>
      </c>
      <c r="K718" t="s">
        <v>9</v>
      </c>
      <c r="L718" t="s">
        <v>17</v>
      </c>
      <c r="M718" t="s">
        <v>114</v>
      </c>
      <c r="N718" s="2">
        <v>45777</v>
      </c>
    </row>
    <row r="719" spans="1:14" x14ac:dyDescent="0.25">
      <c r="A719" t="s">
        <v>366</v>
      </c>
      <c r="B719" s="2">
        <v>46147</v>
      </c>
      <c r="C719" t="s">
        <v>366</v>
      </c>
      <c r="D719" t="s">
        <v>112</v>
      </c>
      <c r="E719" t="s">
        <v>9</v>
      </c>
      <c r="F719" s="3">
        <v>-600</v>
      </c>
      <c r="G719" s="3">
        <v>-600</v>
      </c>
      <c r="H719" t="s">
        <v>3</v>
      </c>
      <c r="I719" t="s">
        <v>3</v>
      </c>
      <c r="J719" t="s">
        <v>9</v>
      </c>
      <c r="K719" t="s">
        <v>9</v>
      </c>
      <c r="L719" t="s">
        <v>17</v>
      </c>
      <c r="M719" t="s">
        <v>114</v>
      </c>
      <c r="N719" s="2">
        <v>46142</v>
      </c>
    </row>
    <row r="720" spans="1:14" x14ac:dyDescent="0.25">
      <c r="A720" t="s">
        <v>366</v>
      </c>
      <c r="B720" s="2">
        <v>45747</v>
      </c>
      <c r="C720" t="s">
        <v>366</v>
      </c>
      <c r="D720" t="s">
        <v>112</v>
      </c>
      <c r="E720" t="s">
        <v>9</v>
      </c>
      <c r="F720" s="3">
        <v>-100</v>
      </c>
      <c r="G720" s="3">
        <v>-100</v>
      </c>
      <c r="H720" t="s">
        <v>3</v>
      </c>
      <c r="I720" t="s">
        <v>3</v>
      </c>
      <c r="J720" t="s">
        <v>306</v>
      </c>
      <c r="K720" t="s">
        <v>5</v>
      </c>
      <c r="L720" t="s">
        <v>17</v>
      </c>
      <c r="M720" t="s">
        <v>114</v>
      </c>
      <c r="N720" s="2">
        <v>45748</v>
      </c>
    </row>
    <row r="721" spans="1:14" x14ac:dyDescent="0.25">
      <c r="A721" t="s">
        <v>366</v>
      </c>
      <c r="B721" s="2">
        <v>45777</v>
      </c>
      <c r="C721" t="s">
        <v>366</v>
      </c>
      <c r="D721" t="s">
        <v>112</v>
      </c>
      <c r="E721" t="s">
        <v>9</v>
      </c>
      <c r="F721" s="3">
        <v>7100</v>
      </c>
      <c r="G721" s="3">
        <v>7100</v>
      </c>
      <c r="H721" t="s">
        <v>3</v>
      </c>
      <c r="I721" t="s">
        <v>3</v>
      </c>
      <c r="J721" t="s">
        <v>309</v>
      </c>
      <c r="K721" t="s">
        <v>5</v>
      </c>
      <c r="L721" t="s">
        <v>17</v>
      </c>
      <c r="M721" t="s">
        <v>114</v>
      </c>
      <c r="N721" s="2">
        <v>45777</v>
      </c>
    </row>
    <row r="722" spans="1:14" x14ac:dyDescent="0.25">
      <c r="A722" t="s">
        <v>366</v>
      </c>
      <c r="B722" s="2">
        <v>46112</v>
      </c>
      <c r="C722" t="s">
        <v>366</v>
      </c>
      <c r="D722" t="s">
        <v>112</v>
      </c>
      <c r="E722" t="s">
        <v>9</v>
      </c>
      <c r="F722" s="3">
        <v>-2100</v>
      </c>
      <c r="G722" s="3">
        <v>-2100</v>
      </c>
      <c r="H722" t="s">
        <v>3</v>
      </c>
      <c r="I722" t="s">
        <v>3</v>
      </c>
      <c r="J722" t="s">
        <v>369</v>
      </c>
      <c r="K722" t="s">
        <v>13</v>
      </c>
      <c r="L722" t="s">
        <v>17</v>
      </c>
      <c r="M722" t="s">
        <v>114</v>
      </c>
      <c r="N722" s="2">
        <v>46113</v>
      </c>
    </row>
    <row r="723" spans="1:14" x14ac:dyDescent="0.25">
      <c r="A723" t="s">
        <v>366</v>
      </c>
      <c r="B723" s="2">
        <v>46142</v>
      </c>
      <c r="C723" t="s">
        <v>366</v>
      </c>
      <c r="D723" t="s">
        <v>112</v>
      </c>
      <c r="E723" t="s">
        <v>9</v>
      </c>
      <c r="F723" s="3">
        <v>2700</v>
      </c>
      <c r="G723" s="3">
        <v>2700</v>
      </c>
      <c r="H723" t="s">
        <v>3</v>
      </c>
      <c r="I723" t="s">
        <v>3</v>
      </c>
      <c r="J723" t="s">
        <v>370</v>
      </c>
      <c r="K723" t="s">
        <v>13</v>
      </c>
      <c r="L723" t="s">
        <v>17</v>
      </c>
      <c r="M723" t="s">
        <v>114</v>
      </c>
      <c r="N723" s="2">
        <v>46142</v>
      </c>
    </row>
    <row r="724" spans="1:14" x14ac:dyDescent="0.25">
      <c r="A724" s="4" t="s">
        <v>249</v>
      </c>
      <c r="B724" s="5"/>
      <c r="C724" s="4" t="s">
        <v>9</v>
      </c>
      <c r="D724" s="4" t="s">
        <v>9</v>
      </c>
      <c r="E724" s="4" t="s">
        <v>9</v>
      </c>
      <c r="F724" s="6">
        <v>0</v>
      </c>
      <c r="G724" s="6">
        <v>0</v>
      </c>
      <c r="H724" s="4" t="s">
        <v>9</v>
      </c>
      <c r="I724" s="4" t="s">
        <v>3</v>
      </c>
      <c r="J724" s="4" t="s">
        <v>9</v>
      </c>
      <c r="K724" s="4" t="s">
        <v>9</v>
      </c>
      <c r="L724" s="4" t="s">
        <v>9</v>
      </c>
      <c r="M724" s="4" t="s">
        <v>9</v>
      </c>
      <c r="N724" s="5"/>
    </row>
    <row r="725" spans="1:14" x14ac:dyDescent="0.25">
      <c r="A725" t="s">
        <v>366</v>
      </c>
      <c r="B725" s="2">
        <v>45810</v>
      </c>
      <c r="C725" t="s">
        <v>366</v>
      </c>
      <c r="D725" t="s">
        <v>112</v>
      </c>
      <c r="E725" t="s">
        <v>9</v>
      </c>
      <c r="F725" s="3">
        <v>-900</v>
      </c>
      <c r="G725" s="3">
        <v>-900</v>
      </c>
      <c r="H725" t="s">
        <v>3</v>
      </c>
      <c r="I725" t="s">
        <v>3</v>
      </c>
      <c r="J725" t="s">
        <v>9</v>
      </c>
      <c r="K725" t="s">
        <v>9</v>
      </c>
      <c r="L725" t="s">
        <v>18</v>
      </c>
      <c r="M725" t="s">
        <v>114</v>
      </c>
      <c r="N725" s="2">
        <v>45808</v>
      </c>
    </row>
    <row r="726" spans="1:14" x14ac:dyDescent="0.25">
      <c r="A726" t="s">
        <v>366</v>
      </c>
      <c r="B726" s="2">
        <v>45777</v>
      </c>
      <c r="C726" t="s">
        <v>366</v>
      </c>
      <c r="D726" t="s">
        <v>112</v>
      </c>
      <c r="E726" t="s">
        <v>9</v>
      </c>
      <c r="F726" s="3">
        <v>-7100</v>
      </c>
      <c r="G726" s="3">
        <v>-7100</v>
      </c>
      <c r="H726" t="s">
        <v>3</v>
      </c>
      <c r="I726" t="s">
        <v>3</v>
      </c>
      <c r="J726" t="s">
        <v>309</v>
      </c>
      <c r="K726" t="s">
        <v>5</v>
      </c>
      <c r="L726" t="s">
        <v>18</v>
      </c>
      <c r="M726" t="s">
        <v>114</v>
      </c>
      <c r="N726" s="2">
        <v>45778</v>
      </c>
    </row>
    <row r="727" spans="1:14" x14ac:dyDescent="0.25">
      <c r="A727" t="s">
        <v>366</v>
      </c>
      <c r="B727" s="2">
        <v>45808</v>
      </c>
      <c r="C727" t="s">
        <v>366</v>
      </c>
      <c r="D727" t="s">
        <v>112</v>
      </c>
      <c r="E727" t="s">
        <v>9</v>
      </c>
      <c r="F727" s="3">
        <v>8000</v>
      </c>
      <c r="G727" s="3">
        <v>8000</v>
      </c>
      <c r="H727" t="s">
        <v>3</v>
      </c>
      <c r="I727" t="s">
        <v>3</v>
      </c>
      <c r="J727" t="s">
        <v>312</v>
      </c>
      <c r="K727" t="s">
        <v>5</v>
      </c>
      <c r="L727" t="s">
        <v>18</v>
      </c>
      <c r="M727" t="s">
        <v>114</v>
      </c>
      <c r="N727" s="2">
        <v>45808</v>
      </c>
    </row>
    <row r="728" spans="1:14" x14ac:dyDescent="0.25">
      <c r="A728" t="s">
        <v>366</v>
      </c>
      <c r="B728" s="2">
        <v>46142</v>
      </c>
      <c r="C728" t="s">
        <v>366</v>
      </c>
      <c r="D728" t="s">
        <v>112</v>
      </c>
      <c r="E728" t="s">
        <v>9</v>
      </c>
      <c r="F728" s="3">
        <v>-2700</v>
      </c>
      <c r="G728" s="3">
        <v>-2700</v>
      </c>
      <c r="H728" t="s">
        <v>3</v>
      </c>
      <c r="I728" t="s">
        <v>3</v>
      </c>
      <c r="J728" t="s">
        <v>370</v>
      </c>
      <c r="K728" t="s">
        <v>13</v>
      </c>
      <c r="L728" t="s">
        <v>18</v>
      </c>
      <c r="M728" t="s">
        <v>114</v>
      </c>
      <c r="N728" s="2">
        <v>46143</v>
      </c>
    </row>
    <row r="729" spans="1:14" x14ac:dyDescent="0.25">
      <c r="A729" t="s">
        <v>366</v>
      </c>
      <c r="B729" s="2">
        <v>46173</v>
      </c>
      <c r="C729" t="s">
        <v>366</v>
      </c>
      <c r="D729" t="s">
        <v>112</v>
      </c>
      <c r="E729" t="s">
        <v>9</v>
      </c>
      <c r="F729" s="3">
        <v>2700</v>
      </c>
      <c r="G729" s="3">
        <v>2700</v>
      </c>
      <c r="H729" t="s">
        <v>3</v>
      </c>
      <c r="I729" t="s">
        <v>3</v>
      </c>
      <c r="J729" t="s">
        <v>371</v>
      </c>
      <c r="K729" t="s">
        <v>13</v>
      </c>
      <c r="L729" t="s">
        <v>18</v>
      </c>
      <c r="M729" t="s">
        <v>114</v>
      </c>
      <c r="N729" s="2">
        <v>46173</v>
      </c>
    </row>
    <row r="730" spans="1:14" x14ac:dyDescent="0.25">
      <c r="A730" s="4" t="s">
        <v>223</v>
      </c>
      <c r="B730" s="5"/>
      <c r="C730" s="4" t="s">
        <v>9</v>
      </c>
      <c r="D730" s="4" t="s">
        <v>9</v>
      </c>
      <c r="E730" s="4" t="s">
        <v>9</v>
      </c>
      <c r="F730" s="6">
        <v>0</v>
      </c>
      <c r="G730" s="6">
        <v>0</v>
      </c>
      <c r="H730" s="4" t="s">
        <v>9</v>
      </c>
      <c r="I730" s="4" t="s">
        <v>3</v>
      </c>
      <c r="J730" s="4" t="s">
        <v>9</v>
      </c>
      <c r="K730" s="4" t="s">
        <v>9</v>
      </c>
      <c r="L730" s="4" t="s">
        <v>9</v>
      </c>
      <c r="M730" s="4" t="s">
        <v>9</v>
      </c>
      <c r="N730" s="5"/>
    </row>
    <row r="731" spans="1:14" x14ac:dyDescent="0.25">
      <c r="A731" t="s">
        <v>366</v>
      </c>
      <c r="B731" s="2">
        <v>45839</v>
      </c>
      <c r="C731" t="s">
        <v>366</v>
      </c>
      <c r="D731" t="s">
        <v>112</v>
      </c>
      <c r="E731" t="s">
        <v>9</v>
      </c>
      <c r="F731" s="3">
        <v>-100</v>
      </c>
      <c r="G731" s="3">
        <v>-100</v>
      </c>
      <c r="H731" t="s">
        <v>3</v>
      </c>
      <c r="I731" t="s">
        <v>3</v>
      </c>
      <c r="J731" t="s">
        <v>9</v>
      </c>
      <c r="K731" t="s">
        <v>9</v>
      </c>
      <c r="L731" t="s">
        <v>19</v>
      </c>
      <c r="M731" t="s">
        <v>114</v>
      </c>
      <c r="N731" s="2">
        <v>45838</v>
      </c>
    </row>
    <row r="732" spans="1:14" x14ac:dyDescent="0.25">
      <c r="A732" t="s">
        <v>366</v>
      </c>
      <c r="B732" s="2">
        <v>45808</v>
      </c>
      <c r="C732" t="s">
        <v>366</v>
      </c>
      <c r="D732" t="s">
        <v>112</v>
      </c>
      <c r="E732" t="s">
        <v>9</v>
      </c>
      <c r="F732" s="3">
        <v>-8000</v>
      </c>
      <c r="G732" s="3">
        <v>-8000</v>
      </c>
      <c r="H732" t="s">
        <v>3</v>
      </c>
      <c r="I732" t="s">
        <v>3</v>
      </c>
      <c r="J732" t="s">
        <v>312</v>
      </c>
      <c r="K732" t="s">
        <v>5</v>
      </c>
      <c r="L732" t="s">
        <v>19</v>
      </c>
      <c r="M732" t="s">
        <v>114</v>
      </c>
      <c r="N732" s="2">
        <v>45809</v>
      </c>
    </row>
    <row r="733" spans="1:14" x14ac:dyDescent="0.25">
      <c r="A733" t="s">
        <v>366</v>
      </c>
      <c r="B733" s="2">
        <v>45838</v>
      </c>
      <c r="C733" t="s">
        <v>366</v>
      </c>
      <c r="D733" t="s">
        <v>112</v>
      </c>
      <c r="E733" t="s">
        <v>9</v>
      </c>
      <c r="F733" s="3">
        <v>8100</v>
      </c>
      <c r="G733" s="3">
        <v>8100</v>
      </c>
      <c r="H733" t="s">
        <v>3</v>
      </c>
      <c r="I733" t="s">
        <v>3</v>
      </c>
      <c r="J733" t="s">
        <v>315</v>
      </c>
      <c r="K733" t="s">
        <v>5</v>
      </c>
      <c r="L733" t="s">
        <v>19</v>
      </c>
      <c r="M733" t="s">
        <v>114</v>
      </c>
      <c r="N733" s="2">
        <v>45838</v>
      </c>
    </row>
    <row r="734" spans="1:14" x14ac:dyDescent="0.25">
      <c r="A734" t="s">
        <v>366</v>
      </c>
      <c r="B734" s="2">
        <v>46173</v>
      </c>
      <c r="C734" t="s">
        <v>366</v>
      </c>
      <c r="D734" t="s">
        <v>112</v>
      </c>
      <c r="E734" t="s">
        <v>9</v>
      </c>
      <c r="F734" s="3">
        <v>-2700</v>
      </c>
      <c r="G734" s="3">
        <v>-2700</v>
      </c>
      <c r="H734" t="s">
        <v>3</v>
      </c>
      <c r="I734" t="s">
        <v>3</v>
      </c>
      <c r="J734" t="s">
        <v>371</v>
      </c>
      <c r="K734" t="s">
        <v>13</v>
      </c>
      <c r="L734" t="s">
        <v>19</v>
      </c>
      <c r="M734" t="s">
        <v>114</v>
      </c>
      <c r="N734" s="2">
        <v>46174</v>
      </c>
    </row>
    <row r="735" spans="1:14" x14ac:dyDescent="0.25">
      <c r="A735" t="s">
        <v>366</v>
      </c>
      <c r="B735" s="2">
        <v>46203</v>
      </c>
      <c r="C735" t="s">
        <v>366</v>
      </c>
      <c r="D735" t="s">
        <v>112</v>
      </c>
      <c r="E735" t="s">
        <v>9</v>
      </c>
      <c r="F735" s="3">
        <v>2700</v>
      </c>
      <c r="G735" s="3">
        <v>2700</v>
      </c>
      <c r="H735" t="s">
        <v>3</v>
      </c>
      <c r="I735" t="s">
        <v>3</v>
      </c>
      <c r="J735" t="s">
        <v>372</v>
      </c>
      <c r="K735" t="s">
        <v>13</v>
      </c>
      <c r="L735" t="s">
        <v>19</v>
      </c>
      <c r="M735" t="s">
        <v>114</v>
      </c>
      <c r="N735" s="2">
        <v>46203</v>
      </c>
    </row>
    <row r="736" spans="1:14" x14ac:dyDescent="0.25">
      <c r="A736" s="4" t="s">
        <v>224</v>
      </c>
      <c r="B736" s="5"/>
      <c r="C736" s="4" t="s">
        <v>9</v>
      </c>
      <c r="D736" s="4" t="s">
        <v>9</v>
      </c>
      <c r="E736" s="4" t="s">
        <v>9</v>
      </c>
      <c r="F736" s="6">
        <v>0</v>
      </c>
      <c r="G736" s="6">
        <v>0</v>
      </c>
      <c r="H736" s="4" t="s">
        <v>9</v>
      </c>
      <c r="I736" s="4" t="s">
        <v>3</v>
      </c>
      <c r="J736" s="4" t="s">
        <v>9</v>
      </c>
      <c r="K736" s="4" t="s">
        <v>9</v>
      </c>
      <c r="L736" s="4" t="s">
        <v>9</v>
      </c>
      <c r="M736" s="4" t="s">
        <v>9</v>
      </c>
      <c r="N736" s="5"/>
    </row>
    <row r="737" spans="1:14" x14ac:dyDescent="0.25">
      <c r="A737" t="s">
        <v>366</v>
      </c>
      <c r="B737" s="2">
        <v>45870</v>
      </c>
      <c r="C737" t="s">
        <v>366</v>
      </c>
      <c r="D737" t="s">
        <v>112</v>
      </c>
      <c r="E737" t="s">
        <v>9</v>
      </c>
      <c r="F737" s="3">
        <v>-1300</v>
      </c>
      <c r="G737" s="3">
        <v>-1300</v>
      </c>
      <c r="H737" t="s">
        <v>3</v>
      </c>
      <c r="I737" t="s">
        <v>3</v>
      </c>
      <c r="J737" t="s">
        <v>9</v>
      </c>
      <c r="K737" t="s">
        <v>9</v>
      </c>
      <c r="L737" t="s">
        <v>21</v>
      </c>
      <c r="M737" t="s">
        <v>114</v>
      </c>
      <c r="N737" s="2">
        <v>45869</v>
      </c>
    </row>
    <row r="738" spans="1:14" x14ac:dyDescent="0.25">
      <c r="A738" t="s">
        <v>366</v>
      </c>
      <c r="B738" s="2">
        <v>46239</v>
      </c>
      <c r="C738" t="s">
        <v>366</v>
      </c>
      <c r="D738" t="s">
        <v>112</v>
      </c>
      <c r="E738" t="s">
        <v>9</v>
      </c>
      <c r="F738" s="3">
        <v>2700</v>
      </c>
      <c r="G738" s="3">
        <v>2700</v>
      </c>
      <c r="H738" t="s">
        <v>3</v>
      </c>
      <c r="I738" t="s">
        <v>3</v>
      </c>
      <c r="J738" t="s">
        <v>9</v>
      </c>
      <c r="K738" t="s">
        <v>9</v>
      </c>
      <c r="L738" t="s">
        <v>21</v>
      </c>
      <c r="M738" t="s">
        <v>114</v>
      </c>
      <c r="N738" s="2">
        <v>46234</v>
      </c>
    </row>
    <row r="739" spans="1:14" x14ac:dyDescent="0.25">
      <c r="A739" t="s">
        <v>366</v>
      </c>
      <c r="B739" s="2">
        <v>46239</v>
      </c>
      <c r="C739" t="s">
        <v>366</v>
      </c>
      <c r="D739" t="s">
        <v>112</v>
      </c>
      <c r="E739" t="s">
        <v>9</v>
      </c>
      <c r="F739" s="3">
        <v>-2700</v>
      </c>
      <c r="G739" s="3">
        <v>-2700</v>
      </c>
      <c r="H739" t="s">
        <v>3</v>
      </c>
      <c r="I739" t="s">
        <v>3</v>
      </c>
      <c r="J739" t="s">
        <v>9</v>
      </c>
      <c r="K739" t="s">
        <v>9</v>
      </c>
      <c r="L739" t="s">
        <v>21</v>
      </c>
      <c r="M739" t="s">
        <v>114</v>
      </c>
      <c r="N739" s="2">
        <v>46234</v>
      </c>
    </row>
    <row r="740" spans="1:14" x14ac:dyDescent="0.25">
      <c r="A740" t="s">
        <v>366</v>
      </c>
      <c r="B740" s="2">
        <v>45838</v>
      </c>
      <c r="C740" t="s">
        <v>366</v>
      </c>
      <c r="D740" t="s">
        <v>112</v>
      </c>
      <c r="E740" t="s">
        <v>9</v>
      </c>
      <c r="F740" s="3">
        <v>-8100</v>
      </c>
      <c r="G740" s="3">
        <v>-8100</v>
      </c>
      <c r="H740" t="s">
        <v>3</v>
      </c>
      <c r="I740" t="s">
        <v>3</v>
      </c>
      <c r="J740" t="s">
        <v>315</v>
      </c>
      <c r="K740" t="s">
        <v>5</v>
      </c>
      <c r="L740" t="s">
        <v>21</v>
      </c>
      <c r="M740" t="s">
        <v>114</v>
      </c>
      <c r="N740" s="2">
        <v>45839</v>
      </c>
    </row>
    <row r="741" spans="1:14" x14ac:dyDescent="0.25">
      <c r="A741" t="s">
        <v>366</v>
      </c>
      <c r="B741" s="2">
        <v>45869</v>
      </c>
      <c r="C741" t="s">
        <v>366</v>
      </c>
      <c r="D741" t="s">
        <v>112</v>
      </c>
      <c r="E741" t="s">
        <v>9</v>
      </c>
      <c r="F741" s="3">
        <v>9400</v>
      </c>
      <c r="G741" s="3">
        <v>9400</v>
      </c>
      <c r="H741" t="s">
        <v>3</v>
      </c>
      <c r="I741" t="s">
        <v>3</v>
      </c>
      <c r="J741" t="s">
        <v>318</v>
      </c>
      <c r="K741" t="s">
        <v>5</v>
      </c>
      <c r="L741" t="s">
        <v>21</v>
      </c>
      <c r="M741" t="s">
        <v>114</v>
      </c>
      <c r="N741" s="2">
        <v>45869</v>
      </c>
    </row>
    <row r="742" spans="1:14" x14ac:dyDescent="0.25">
      <c r="A742" t="s">
        <v>366</v>
      </c>
      <c r="B742" s="2">
        <v>46203</v>
      </c>
      <c r="C742" t="s">
        <v>366</v>
      </c>
      <c r="D742" t="s">
        <v>112</v>
      </c>
      <c r="E742" t="s">
        <v>9</v>
      </c>
      <c r="F742" s="3">
        <v>-2700</v>
      </c>
      <c r="G742" s="3">
        <v>-2700</v>
      </c>
      <c r="H742" t="s">
        <v>3</v>
      </c>
      <c r="I742" t="s">
        <v>3</v>
      </c>
      <c r="J742" t="s">
        <v>372</v>
      </c>
      <c r="K742" t="s">
        <v>13</v>
      </c>
      <c r="L742" t="s">
        <v>21</v>
      </c>
      <c r="M742" t="s">
        <v>114</v>
      </c>
      <c r="N742" s="2">
        <v>46204</v>
      </c>
    </row>
    <row r="743" spans="1:14" x14ac:dyDescent="0.25">
      <c r="A743" t="s">
        <v>366</v>
      </c>
      <c r="B743" s="2">
        <v>46234</v>
      </c>
      <c r="C743" t="s">
        <v>366</v>
      </c>
      <c r="D743" t="s">
        <v>112</v>
      </c>
      <c r="E743" t="s">
        <v>9</v>
      </c>
      <c r="F743" s="3">
        <v>2700</v>
      </c>
      <c r="G743" s="3">
        <v>2700</v>
      </c>
      <c r="H743" t="s">
        <v>3</v>
      </c>
      <c r="I743" t="s">
        <v>3</v>
      </c>
      <c r="J743" t="s">
        <v>373</v>
      </c>
      <c r="K743" t="s">
        <v>13</v>
      </c>
      <c r="L743" t="s">
        <v>21</v>
      </c>
      <c r="M743" t="s">
        <v>114</v>
      </c>
      <c r="N743" s="2">
        <v>46234</v>
      </c>
    </row>
    <row r="744" spans="1:14" x14ac:dyDescent="0.25">
      <c r="A744" s="4" t="s">
        <v>262</v>
      </c>
      <c r="B744" s="5"/>
      <c r="C744" s="4" t="s">
        <v>9</v>
      </c>
      <c r="D744" s="4" t="s">
        <v>9</v>
      </c>
      <c r="E744" s="4" t="s">
        <v>9</v>
      </c>
      <c r="F744" s="6">
        <v>0</v>
      </c>
      <c r="G744" s="6">
        <v>0</v>
      </c>
      <c r="H744" s="4" t="s">
        <v>9</v>
      </c>
      <c r="I744" s="4" t="s">
        <v>3</v>
      </c>
      <c r="J744" s="4" t="s">
        <v>9</v>
      </c>
      <c r="K744" s="4" t="s">
        <v>9</v>
      </c>
      <c r="L744" s="4" t="s">
        <v>9</v>
      </c>
      <c r="M744" s="4" t="s">
        <v>9</v>
      </c>
      <c r="N744" s="5"/>
    </row>
    <row r="745" spans="1:14" x14ac:dyDescent="0.25">
      <c r="A745" t="s">
        <v>366</v>
      </c>
      <c r="B745" s="2">
        <v>45901</v>
      </c>
      <c r="C745" t="s">
        <v>366</v>
      </c>
      <c r="D745" t="s">
        <v>112</v>
      </c>
      <c r="E745" t="s">
        <v>9</v>
      </c>
      <c r="F745" s="3">
        <v>-2000</v>
      </c>
      <c r="G745" s="3">
        <v>-2000</v>
      </c>
      <c r="H745" t="s">
        <v>3</v>
      </c>
      <c r="I745" t="s">
        <v>3</v>
      </c>
      <c r="J745" t="s">
        <v>9</v>
      </c>
      <c r="K745" t="s">
        <v>9</v>
      </c>
      <c r="L745" t="s">
        <v>22</v>
      </c>
      <c r="M745" t="s">
        <v>114</v>
      </c>
      <c r="N745" s="2">
        <v>45900</v>
      </c>
    </row>
    <row r="746" spans="1:14" x14ac:dyDescent="0.25">
      <c r="A746" t="s">
        <v>366</v>
      </c>
      <c r="B746" s="2">
        <v>45869</v>
      </c>
      <c r="C746" t="s">
        <v>366</v>
      </c>
      <c r="D746" t="s">
        <v>112</v>
      </c>
      <c r="E746" t="s">
        <v>9</v>
      </c>
      <c r="F746" s="3">
        <v>-9400</v>
      </c>
      <c r="G746" s="3">
        <v>-9400</v>
      </c>
      <c r="H746" t="s">
        <v>3</v>
      </c>
      <c r="I746" t="s">
        <v>3</v>
      </c>
      <c r="J746" t="s">
        <v>318</v>
      </c>
      <c r="K746" t="s">
        <v>5</v>
      </c>
      <c r="L746" t="s">
        <v>22</v>
      </c>
      <c r="M746" t="s">
        <v>114</v>
      </c>
      <c r="N746" s="2">
        <v>45870</v>
      </c>
    </row>
    <row r="747" spans="1:14" x14ac:dyDescent="0.25">
      <c r="A747" t="s">
        <v>366</v>
      </c>
      <c r="B747" s="2">
        <v>45900</v>
      </c>
      <c r="C747" t="s">
        <v>366</v>
      </c>
      <c r="D747" t="s">
        <v>112</v>
      </c>
      <c r="E747" t="s">
        <v>9</v>
      </c>
      <c r="F747" s="3">
        <v>11400</v>
      </c>
      <c r="G747" s="3">
        <v>11400</v>
      </c>
      <c r="H747" t="s">
        <v>3</v>
      </c>
      <c r="I747" t="s">
        <v>3</v>
      </c>
      <c r="J747" t="s">
        <v>321</v>
      </c>
      <c r="K747" t="s">
        <v>5</v>
      </c>
      <c r="L747" t="s">
        <v>22</v>
      </c>
      <c r="M747" t="s">
        <v>114</v>
      </c>
      <c r="N747" s="2">
        <v>45900</v>
      </c>
    </row>
    <row r="748" spans="1:14" x14ac:dyDescent="0.25">
      <c r="A748" t="s">
        <v>366</v>
      </c>
      <c r="B748" s="2">
        <v>45900</v>
      </c>
      <c r="C748" t="s">
        <v>366</v>
      </c>
      <c r="D748" t="s">
        <v>112</v>
      </c>
      <c r="E748" t="s">
        <v>9</v>
      </c>
      <c r="F748" s="3">
        <v>-11400</v>
      </c>
      <c r="G748" s="3">
        <v>-11400</v>
      </c>
      <c r="H748" t="s">
        <v>3</v>
      </c>
      <c r="I748" t="s">
        <v>3</v>
      </c>
      <c r="J748" t="s">
        <v>321</v>
      </c>
      <c r="K748" t="s">
        <v>5</v>
      </c>
      <c r="L748" t="s">
        <v>22</v>
      </c>
      <c r="M748" t="s">
        <v>114</v>
      </c>
      <c r="N748" s="2">
        <v>45900</v>
      </c>
    </row>
    <row r="749" spans="1:14" x14ac:dyDescent="0.25">
      <c r="A749" t="s">
        <v>366</v>
      </c>
      <c r="B749" s="2">
        <v>45900</v>
      </c>
      <c r="C749" t="s">
        <v>366</v>
      </c>
      <c r="D749" t="s">
        <v>112</v>
      </c>
      <c r="E749" t="s">
        <v>9</v>
      </c>
      <c r="F749" s="3">
        <v>11100</v>
      </c>
      <c r="G749" s="3">
        <v>11100</v>
      </c>
      <c r="H749" t="s">
        <v>3</v>
      </c>
      <c r="I749" t="s">
        <v>3</v>
      </c>
      <c r="J749" t="s">
        <v>321</v>
      </c>
      <c r="K749" t="s">
        <v>5</v>
      </c>
      <c r="L749" t="s">
        <v>22</v>
      </c>
      <c r="M749" t="s">
        <v>114</v>
      </c>
      <c r="N749" s="2">
        <v>45900</v>
      </c>
    </row>
    <row r="750" spans="1:14" x14ac:dyDescent="0.25">
      <c r="A750" t="s">
        <v>366</v>
      </c>
      <c r="B750" s="2">
        <v>45900</v>
      </c>
      <c r="C750" t="s">
        <v>366</v>
      </c>
      <c r="D750" t="s">
        <v>112</v>
      </c>
      <c r="E750" t="s">
        <v>9</v>
      </c>
      <c r="F750" s="3">
        <v>11400</v>
      </c>
      <c r="G750" s="3">
        <v>11400</v>
      </c>
      <c r="H750" t="s">
        <v>3</v>
      </c>
      <c r="I750" t="s">
        <v>3</v>
      </c>
      <c r="J750" t="s">
        <v>321</v>
      </c>
      <c r="K750" t="s">
        <v>5</v>
      </c>
      <c r="L750" t="s">
        <v>22</v>
      </c>
      <c r="M750" t="s">
        <v>114</v>
      </c>
      <c r="N750" s="2">
        <v>45900</v>
      </c>
    </row>
    <row r="751" spans="1:14" x14ac:dyDescent="0.25">
      <c r="A751" t="s">
        <v>366</v>
      </c>
      <c r="B751" s="2">
        <v>45900</v>
      </c>
      <c r="C751" t="s">
        <v>366</v>
      </c>
      <c r="D751" t="s">
        <v>112</v>
      </c>
      <c r="E751" t="s">
        <v>9</v>
      </c>
      <c r="F751" s="3">
        <v>-11100</v>
      </c>
      <c r="G751" s="3">
        <v>-11100</v>
      </c>
      <c r="H751" t="s">
        <v>3</v>
      </c>
      <c r="I751" t="s">
        <v>3</v>
      </c>
      <c r="J751" t="s">
        <v>321</v>
      </c>
      <c r="K751" t="s">
        <v>5</v>
      </c>
      <c r="L751" t="s">
        <v>22</v>
      </c>
      <c r="M751" t="s">
        <v>114</v>
      </c>
      <c r="N751" s="2">
        <v>45900</v>
      </c>
    </row>
    <row r="752" spans="1:14" x14ac:dyDescent="0.25">
      <c r="A752" t="s">
        <v>366</v>
      </c>
      <c r="B752" s="2">
        <v>46234</v>
      </c>
      <c r="C752" t="s">
        <v>366</v>
      </c>
      <c r="D752" t="s">
        <v>112</v>
      </c>
      <c r="E752" t="s">
        <v>9</v>
      </c>
      <c r="F752" s="3">
        <v>-2700</v>
      </c>
      <c r="G752" s="3">
        <v>-2700</v>
      </c>
      <c r="H752" t="s">
        <v>3</v>
      </c>
      <c r="I752" t="s">
        <v>3</v>
      </c>
      <c r="J752" t="s">
        <v>373</v>
      </c>
      <c r="K752" t="s">
        <v>13</v>
      </c>
      <c r="L752" t="s">
        <v>22</v>
      </c>
      <c r="M752" t="s">
        <v>114</v>
      </c>
      <c r="N752" s="2">
        <v>46235</v>
      </c>
    </row>
    <row r="753" spans="1:14" x14ac:dyDescent="0.25">
      <c r="A753" t="s">
        <v>366</v>
      </c>
      <c r="B753" s="2">
        <v>46265</v>
      </c>
      <c r="C753" t="s">
        <v>366</v>
      </c>
      <c r="D753" t="s">
        <v>112</v>
      </c>
      <c r="E753" t="s">
        <v>9</v>
      </c>
      <c r="F753" s="3">
        <v>2700</v>
      </c>
      <c r="G753" s="3">
        <v>2700</v>
      </c>
      <c r="H753" t="s">
        <v>3</v>
      </c>
      <c r="I753" t="s">
        <v>3</v>
      </c>
      <c r="J753" t="s">
        <v>374</v>
      </c>
      <c r="K753" t="s">
        <v>13</v>
      </c>
      <c r="L753" t="s">
        <v>22</v>
      </c>
      <c r="M753" t="s">
        <v>114</v>
      </c>
      <c r="N753" s="2">
        <v>46265</v>
      </c>
    </row>
    <row r="754" spans="1:14" x14ac:dyDescent="0.25">
      <c r="A754" s="4" t="s">
        <v>267</v>
      </c>
      <c r="B754" s="5"/>
      <c r="C754" s="4" t="s">
        <v>9</v>
      </c>
      <c r="D754" s="4" t="s">
        <v>9</v>
      </c>
      <c r="E754" s="4" t="s">
        <v>9</v>
      </c>
      <c r="F754" s="6">
        <v>0</v>
      </c>
      <c r="G754" s="6">
        <v>0</v>
      </c>
      <c r="H754" s="4" t="s">
        <v>9</v>
      </c>
      <c r="I754" s="4" t="s">
        <v>3</v>
      </c>
      <c r="J754" s="4" t="s">
        <v>9</v>
      </c>
      <c r="K754" s="4" t="s">
        <v>9</v>
      </c>
      <c r="L754" s="4" t="s">
        <v>9</v>
      </c>
      <c r="M754" s="4" t="s">
        <v>9</v>
      </c>
      <c r="N754" s="5"/>
    </row>
    <row r="755" spans="1:14" x14ac:dyDescent="0.25">
      <c r="A755" t="s">
        <v>366</v>
      </c>
      <c r="B755" s="2">
        <v>45932</v>
      </c>
      <c r="C755" t="s">
        <v>366</v>
      </c>
      <c r="D755" t="s">
        <v>112</v>
      </c>
      <c r="E755" t="s">
        <v>9</v>
      </c>
      <c r="F755" s="3">
        <v>-1100</v>
      </c>
      <c r="G755" s="3">
        <v>-1100</v>
      </c>
      <c r="H755" t="s">
        <v>3</v>
      </c>
      <c r="I755" t="s">
        <v>3</v>
      </c>
      <c r="J755" t="s">
        <v>9</v>
      </c>
      <c r="K755" t="s">
        <v>9</v>
      </c>
      <c r="L755" t="s">
        <v>6</v>
      </c>
      <c r="M755" t="s">
        <v>114</v>
      </c>
      <c r="N755" s="2">
        <v>45930</v>
      </c>
    </row>
    <row r="756" spans="1:14" x14ac:dyDescent="0.25">
      <c r="A756" t="s">
        <v>366</v>
      </c>
      <c r="B756" s="2">
        <v>45900</v>
      </c>
      <c r="C756" t="s">
        <v>366</v>
      </c>
      <c r="D756" t="s">
        <v>112</v>
      </c>
      <c r="E756" t="s">
        <v>9</v>
      </c>
      <c r="F756" s="3">
        <v>-11400</v>
      </c>
      <c r="G756" s="3">
        <v>-11400</v>
      </c>
      <c r="H756" t="s">
        <v>3</v>
      </c>
      <c r="I756" t="s">
        <v>3</v>
      </c>
      <c r="J756" t="s">
        <v>321</v>
      </c>
      <c r="K756" t="s">
        <v>5</v>
      </c>
      <c r="L756" t="s">
        <v>6</v>
      </c>
      <c r="M756" t="s">
        <v>114</v>
      </c>
      <c r="N756" s="2">
        <v>45901</v>
      </c>
    </row>
    <row r="757" spans="1:14" x14ac:dyDescent="0.25">
      <c r="A757" t="s">
        <v>366</v>
      </c>
      <c r="B757" s="2">
        <v>45900</v>
      </c>
      <c r="C757" t="s">
        <v>366</v>
      </c>
      <c r="D757" t="s">
        <v>112</v>
      </c>
      <c r="E757" t="s">
        <v>9</v>
      </c>
      <c r="F757" s="3">
        <v>11400</v>
      </c>
      <c r="G757" s="3">
        <v>11400</v>
      </c>
      <c r="H757" t="s">
        <v>3</v>
      </c>
      <c r="I757" t="s">
        <v>3</v>
      </c>
      <c r="J757" t="s">
        <v>321</v>
      </c>
      <c r="K757" t="s">
        <v>5</v>
      </c>
      <c r="L757" t="s">
        <v>6</v>
      </c>
      <c r="M757" t="s">
        <v>114</v>
      </c>
      <c r="N757" s="2">
        <v>45901</v>
      </c>
    </row>
    <row r="758" spans="1:14" x14ac:dyDescent="0.25">
      <c r="A758" t="s">
        <v>366</v>
      </c>
      <c r="B758" s="2">
        <v>45900</v>
      </c>
      <c r="C758" t="s">
        <v>366</v>
      </c>
      <c r="D758" t="s">
        <v>112</v>
      </c>
      <c r="E758" t="s">
        <v>9</v>
      </c>
      <c r="F758" s="3">
        <v>-11100</v>
      </c>
      <c r="G758" s="3">
        <v>-11100</v>
      </c>
      <c r="H758" t="s">
        <v>3</v>
      </c>
      <c r="I758" t="s">
        <v>3</v>
      </c>
      <c r="J758" t="s">
        <v>321</v>
      </c>
      <c r="K758" t="s">
        <v>5</v>
      </c>
      <c r="L758" t="s">
        <v>6</v>
      </c>
      <c r="M758" t="s">
        <v>114</v>
      </c>
      <c r="N758" s="2">
        <v>45901</v>
      </c>
    </row>
    <row r="759" spans="1:14" x14ac:dyDescent="0.25">
      <c r="A759" t="s">
        <v>366</v>
      </c>
      <c r="B759" s="2">
        <v>45900</v>
      </c>
      <c r="C759" t="s">
        <v>366</v>
      </c>
      <c r="D759" t="s">
        <v>112</v>
      </c>
      <c r="E759" t="s">
        <v>9</v>
      </c>
      <c r="F759" s="3">
        <v>11100</v>
      </c>
      <c r="G759" s="3">
        <v>11100</v>
      </c>
      <c r="H759" t="s">
        <v>3</v>
      </c>
      <c r="I759" t="s">
        <v>3</v>
      </c>
      <c r="J759" t="s">
        <v>321</v>
      </c>
      <c r="K759" t="s">
        <v>5</v>
      </c>
      <c r="L759" t="s">
        <v>6</v>
      </c>
      <c r="M759" t="s">
        <v>114</v>
      </c>
      <c r="N759" s="2">
        <v>45901</v>
      </c>
    </row>
    <row r="760" spans="1:14" x14ac:dyDescent="0.25">
      <c r="A760" t="s">
        <v>366</v>
      </c>
      <c r="B760" s="2">
        <v>45900</v>
      </c>
      <c r="C760" t="s">
        <v>366</v>
      </c>
      <c r="D760" t="s">
        <v>112</v>
      </c>
      <c r="E760" t="s">
        <v>9</v>
      </c>
      <c r="F760" s="3">
        <v>-11400</v>
      </c>
      <c r="G760" s="3">
        <v>-11400</v>
      </c>
      <c r="H760" t="s">
        <v>3</v>
      </c>
      <c r="I760" t="s">
        <v>3</v>
      </c>
      <c r="J760" t="s">
        <v>321</v>
      </c>
      <c r="K760" t="s">
        <v>5</v>
      </c>
      <c r="L760" t="s">
        <v>6</v>
      </c>
      <c r="M760" t="s">
        <v>114</v>
      </c>
      <c r="N760" s="2">
        <v>45901</v>
      </c>
    </row>
    <row r="761" spans="1:14" x14ac:dyDescent="0.25">
      <c r="A761" t="s">
        <v>366</v>
      </c>
      <c r="B761" s="2">
        <v>45930</v>
      </c>
      <c r="C761" t="s">
        <v>366</v>
      </c>
      <c r="D761" t="s">
        <v>112</v>
      </c>
      <c r="E761" t="s">
        <v>9</v>
      </c>
      <c r="F761" s="3">
        <v>12500</v>
      </c>
      <c r="G761" s="3">
        <v>12500</v>
      </c>
      <c r="H761" t="s">
        <v>3</v>
      </c>
      <c r="I761" t="s">
        <v>3</v>
      </c>
      <c r="J761" t="s">
        <v>324</v>
      </c>
      <c r="K761" t="s">
        <v>5</v>
      </c>
      <c r="L761" t="s">
        <v>6</v>
      </c>
      <c r="M761" t="s">
        <v>114</v>
      </c>
      <c r="N761" s="2">
        <v>45930</v>
      </c>
    </row>
    <row r="762" spans="1:14" x14ac:dyDescent="0.25">
      <c r="A762" s="4" t="s">
        <v>272</v>
      </c>
      <c r="B762" s="5"/>
      <c r="C762" s="4" t="s">
        <v>9</v>
      </c>
      <c r="D762" s="4" t="s">
        <v>9</v>
      </c>
      <c r="E762" s="4" t="s">
        <v>9</v>
      </c>
      <c r="F762" s="6">
        <v>0</v>
      </c>
      <c r="G762" s="6">
        <v>0</v>
      </c>
      <c r="H762" s="4" t="s">
        <v>9</v>
      </c>
      <c r="I762" s="4" t="s">
        <v>3</v>
      </c>
      <c r="J762" s="4" t="s">
        <v>9</v>
      </c>
      <c r="K762" s="4" t="s">
        <v>9</v>
      </c>
      <c r="L762" s="4" t="s">
        <v>9</v>
      </c>
      <c r="M762" s="4" t="s">
        <v>9</v>
      </c>
      <c r="N762" s="5"/>
    </row>
    <row r="763" spans="1:14" x14ac:dyDescent="0.25">
      <c r="A763" t="s">
        <v>366</v>
      </c>
      <c r="B763" s="2">
        <v>45965</v>
      </c>
      <c r="C763" t="s">
        <v>366</v>
      </c>
      <c r="D763" t="s">
        <v>112</v>
      </c>
      <c r="E763" t="s">
        <v>9</v>
      </c>
      <c r="F763" s="3">
        <v>-850</v>
      </c>
      <c r="G763" s="3">
        <v>-850</v>
      </c>
      <c r="H763" t="s">
        <v>3</v>
      </c>
      <c r="I763" t="s">
        <v>3</v>
      </c>
      <c r="J763" t="s">
        <v>9</v>
      </c>
      <c r="K763" t="s">
        <v>9</v>
      </c>
      <c r="L763" t="s">
        <v>8</v>
      </c>
      <c r="M763" t="s">
        <v>114</v>
      </c>
      <c r="N763" s="2">
        <v>45961</v>
      </c>
    </row>
    <row r="764" spans="1:14" x14ac:dyDescent="0.25">
      <c r="A764" t="s">
        <v>366</v>
      </c>
      <c r="B764" s="2">
        <v>45930</v>
      </c>
      <c r="C764" t="s">
        <v>366</v>
      </c>
      <c r="D764" t="s">
        <v>112</v>
      </c>
      <c r="E764" t="s">
        <v>9</v>
      </c>
      <c r="F764" s="3">
        <v>-12500</v>
      </c>
      <c r="G764" s="3">
        <v>-12500</v>
      </c>
      <c r="H764" t="s">
        <v>3</v>
      </c>
      <c r="I764" t="s">
        <v>3</v>
      </c>
      <c r="J764" t="s">
        <v>324</v>
      </c>
      <c r="K764" t="s">
        <v>5</v>
      </c>
      <c r="L764" t="s">
        <v>8</v>
      </c>
      <c r="M764" t="s">
        <v>114</v>
      </c>
      <c r="N764" s="2">
        <v>45931</v>
      </c>
    </row>
    <row r="765" spans="1:14" x14ac:dyDescent="0.25">
      <c r="A765" t="s">
        <v>366</v>
      </c>
      <c r="B765" s="2">
        <v>45961</v>
      </c>
      <c r="C765" t="s">
        <v>366</v>
      </c>
      <c r="D765" t="s">
        <v>112</v>
      </c>
      <c r="E765" t="s">
        <v>9</v>
      </c>
      <c r="F765" s="3">
        <v>13350</v>
      </c>
      <c r="G765" s="3">
        <v>13350</v>
      </c>
      <c r="H765" t="s">
        <v>3</v>
      </c>
      <c r="I765" t="s">
        <v>3</v>
      </c>
      <c r="J765" t="s">
        <v>326</v>
      </c>
      <c r="K765" t="s">
        <v>5</v>
      </c>
      <c r="L765" t="s">
        <v>8</v>
      </c>
      <c r="M765" t="s">
        <v>114</v>
      </c>
      <c r="N765" s="2">
        <v>45961</v>
      </c>
    </row>
    <row r="766" spans="1:14" x14ac:dyDescent="0.25">
      <c r="A766" s="4" t="s">
        <v>278</v>
      </c>
      <c r="B766" s="5"/>
      <c r="C766" s="4" t="s">
        <v>9</v>
      </c>
      <c r="D766" s="4" t="s">
        <v>9</v>
      </c>
      <c r="E766" s="4" t="s">
        <v>9</v>
      </c>
      <c r="F766" s="6">
        <v>0</v>
      </c>
      <c r="G766" s="6">
        <v>0</v>
      </c>
      <c r="H766" s="4" t="s">
        <v>9</v>
      </c>
      <c r="I766" s="4" t="s">
        <v>3</v>
      </c>
      <c r="J766" s="4" t="s">
        <v>9</v>
      </c>
      <c r="K766" s="4" t="s">
        <v>9</v>
      </c>
      <c r="L766" s="4" t="s">
        <v>9</v>
      </c>
      <c r="M766" s="4" t="s">
        <v>9</v>
      </c>
      <c r="N766" s="5"/>
    </row>
    <row r="767" spans="1:14" x14ac:dyDescent="0.25">
      <c r="A767" t="s">
        <v>366</v>
      </c>
      <c r="B767" s="2">
        <v>45993</v>
      </c>
      <c r="C767" t="s">
        <v>366</v>
      </c>
      <c r="D767" t="s">
        <v>112</v>
      </c>
      <c r="E767" t="s">
        <v>9</v>
      </c>
      <c r="F767" s="3">
        <v>-750</v>
      </c>
      <c r="G767" s="3">
        <v>-750</v>
      </c>
      <c r="H767" t="s">
        <v>3</v>
      </c>
      <c r="I767" t="s">
        <v>3</v>
      </c>
      <c r="J767" t="s">
        <v>9</v>
      </c>
      <c r="K767" t="s">
        <v>9</v>
      </c>
      <c r="L767" t="s">
        <v>11</v>
      </c>
      <c r="M767" t="s">
        <v>114</v>
      </c>
      <c r="N767" s="2">
        <v>45991</v>
      </c>
    </row>
    <row r="768" spans="1:14" x14ac:dyDescent="0.25">
      <c r="A768" t="s">
        <v>366</v>
      </c>
      <c r="B768" s="2">
        <v>45961</v>
      </c>
      <c r="C768" t="s">
        <v>366</v>
      </c>
      <c r="D768" t="s">
        <v>112</v>
      </c>
      <c r="E768" t="s">
        <v>9</v>
      </c>
      <c r="F768" s="3">
        <v>-13350</v>
      </c>
      <c r="G768" s="3">
        <v>-13350</v>
      </c>
      <c r="H768" t="s">
        <v>3</v>
      </c>
      <c r="I768" t="s">
        <v>3</v>
      </c>
      <c r="J768" t="s">
        <v>326</v>
      </c>
      <c r="K768" t="s">
        <v>5</v>
      </c>
      <c r="L768" t="s">
        <v>11</v>
      </c>
      <c r="M768" t="s">
        <v>114</v>
      </c>
      <c r="N768" s="2">
        <v>45962</v>
      </c>
    </row>
    <row r="769" spans="1:14" x14ac:dyDescent="0.25">
      <c r="A769" t="s">
        <v>366</v>
      </c>
      <c r="B769" s="2">
        <v>45991</v>
      </c>
      <c r="C769" t="s">
        <v>366</v>
      </c>
      <c r="D769" t="s">
        <v>112</v>
      </c>
      <c r="E769" t="s">
        <v>9</v>
      </c>
      <c r="F769" s="3">
        <v>14100</v>
      </c>
      <c r="G769" s="3">
        <v>14100</v>
      </c>
      <c r="H769" t="s">
        <v>3</v>
      </c>
      <c r="I769" t="s">
        <v>3</v>
      </c>
      <c r="J769" t="s">
        <v>329</v>
      </c>
      <c r="K769" t="s">
        <v>5</v>
      </c>
      <c r="L769" t="s">
        <v>11</v>
      </c>
      <c r="M769" t="s">
        <v>114</v>
      </c>
      <c r="N769" s="2">
        <v>45991</v>
      </c>
    </row>
    <row r="770" spans="1:14" x14ac:dyDescent="0.25">
      <c r="A770" s="4" t="s">
        <v>226</v>
      </c>
      <c r="B770" s="5"/>
      <c r="C770" s="4" t="s">
        <v>9</v>
      </c>
      <c r="D770" s="4" t="s">
        <v>9</v>
      </c>
      <c r="E770" s="4" t="s">
        <v>9</v>
      </c>
      <c r="F770" s="6">
        <v>0</v>
      </c>
      <c r="G770" s="6">
        <v>0</v>
      </c>
      <c r="H770" s="4" t="s">
        <v>9</v>
      </c>
      <c r="I770" s="4" t="s">
        <v>3</v>
      </c>
      <c r="J770" s="4" t="s">
        <v>9</v>
      </c>
      <c r="K770" s="4" t="s">
        <v>9</v>
      </c>
      <c r="L770" s="4" t="s">
        <v>9</v>
      </c>
      <c r="M770" s="4" t="s">
        <v>9</v>
      </c>
      <c r="N770" s="5"/>
    </row>
    <row r="771" spans="1:14" x14ac:dyDescent="0.25">
      <c r="A771" t="s">
        <v>366</v>
      </c>
      <c r="B771" s="2">
        <v>45991</v>
      </c>
      <c r="C771" t="s">
        <v>366</v>
      </c>
      <c r="D771" t="s">
        <v>112</v>
      </c>
      <c r="E771" t="s">
        <v>9</v>
      </c>
      <c r="F771" s="3">
        <v>-14100</v>
      </c>
      <c r="G771" s="3">
        <v>-14100</v>
      </c>
      <c r="H771" t="s">
        <v>3</v>
      </c>
      <c r="I771" t="s">
        <v>3</v>
      </c>
      <c r="J771" t="s">
        <v>329</v>
      </c>
      <c r="K771" t="s">
        <v>5</v>
      </c>
      <c r="L771" t="s">
        <v>12</v>
      </c>
      <c r="M771" t="s">
        <v>114</v>
      </c>
      <c r="N771" s="2">
        <v>45992</v>
      </c>
    </row>
    <row r="772" spans="1:14" x14ac:dyDescent="0.25">
      <c r="A772" t="s">
        <v>366</v>
      </c>
      <c r="B772" s="2">
        <v>46022</v>
      </c>
      <c r="C772" t="s">
        <v>366</v>
      </c>
      <c r="D772" t="s">
        <v>112</v>
      </c>
      <c r="E772" t="s">
        <v>9</v>
      </c>
      <c r="F772" s="3">
        <v>14100</v>
      </c>
      <c r="G772" s="3">
        <v>14100</v>
      </c>
      <c r="H772" t="s">
        <v>3</v>
      </c>
      <c r="I772" t="s">
        <v>3</v>
      </c>
      <c r="J772" t="s">
        <v>299</v>
      </c>
      <c r="K772" t="s">
        <v>5</v>
      </c>
      <c r="L772" t="s">
        <v>12</v>
      </c>
      <c r="M772" t="s">
        <v>114</v>
      </c>
      <c r="N772" s="2">
        <v>46022</v>
      </c>
    </row>
    <row r="773" spans="1:14" x14ac:dyDescent="0.25">
      <c r="A773" t="s">
        <v>366</v>
      </c>
      <c r="B773" s="2">
        <v>46022</v>
      </c>
      <c r="C773" t="s">
        <v>366</v>
      </c>
      <c r="D773" t="s">
        <v>112</v>
      </c>
      <c r="E773" t="s">
        <v>9</v>
      </c>
      <c r="F773" s="3">
        <v>14100</v>
      </c>
      <c r="G773" s="3">
        <v>14100</v>
      </c>
      <c r="H773" t="s">
        <v>3</v>
      </c>
      <c r="I773" t="s">
        <v>3</v>
      </c>
      <c r="J773" t="s">
        <v>299</v>
      </c>
      <c r="K773" t="s">
        <v>5</v>
      </c>
      <c r="L773" t="s">
        <v>12</v>
      </c>
      <c r="M773" t="s">
        <v>114</v>
      </c>
      <c r="N773" s="2">
        <v>46022</v>
      </c>
    </row>
    <row r="774" spans="1:14" x14ac:dyDescent="0.25">
      <c r="A774" t="s">
        <v>366</v>
      </c>
      <c r="B774" s="2">
        <v>46022</v>
      </c>
      <c r="C774" t="s">
        <v>366</v>
      </c>
      <c r="D774" t="s">
        <v>112</v>
      </c>
      <c r="E774" t="s">
        <v>9</v>
      </c>
      <c r="F774" s="3">
        <v>-14100</v>
      </c>
      <c r="G774" s="3">
        <v>-14100</v>
      </c>
      <c r="H774" t="s">
        <v>3</v>
      </c>
      <c r="I774" t="s">
        <v>3</v>
      </c>
      <c r="J774" t="s">
        <v>299</v>
      </c>
      <c r="K774" t="s">
        <v>5</v>
      </c>
      <c r="L774" t="s">
        <v>12</v>
      </c>
      <c r="M774" t="s">
        <v>114</v>
      </c>
      <c r="N774" s="2">
        <v>46022</v>
      </c>
    </row>
    <row r="775" spans="1:14" x14ac:dyDescent="0.25">
      <c r="A775" s="4" t="s">
        <v>228</v>
      </c>
      <c r="B775" s="5"/>
      <c r="C775" s="4" t="s">
        <v>9</v>
      </c>
      <c r="D775" s="4" t="s">
        <v>9</v>
      </c>
      <c r="E775" s="4" t="s">
        <v>9</v>
      </c>
      <c r="F775" s="6">
        <v>0</v>
      </c>
      <c r="G775" s="6">
        <v>0</v>
      </c>
      <c r="H775" s="4" t="s">
        <v>9</v>
      </c>
      <c r="I775" s="4" t="s">
        <v>3</v>
      </c>
      <c r="J775" s="4" t="s">
        <v>9</v>
      </c>
      <c r="K775" s="4" t="s">
        <v>9</v>
      </c>
      <c r="L775" s="4" t="s">
        <v>9</v>
      </c>
      <c r="M775" s="4" t="s">
        <v>9</v>
      </c>
      <c r="N775" s="5"/>
    </row>
    <row r="776" spans="1:14" x14ac:dyDescent="0.25">
      <c r="A776" s="4" t="s">
        <v>366</v>
      </c>
      <c r="B776" s="5"/>
      <c r="C776" s="4" t="s">
        <v>9</v>
      </c>
      <c r="D776" s="4" t="s">
        <v>9</v>
      </c>
      <c r="E776" s="4" t="s">
        <v>9</v>
      </c>
      <c r="F776" s="6">
        <v>0</v>
      </c>
      <c r="G776" s="6">
        <v>0</v>
      </c>
      <c r="H776" s="4" t="s">
        <v>9</v>
      </c>
      <c r="I776" s="4" t="s">
        <v>3</v>
      </c>
      <c r="J776" s="4" t="s">
        <v>9</v>
      </c>
      <c r="K776" s="4" t="s">
        <v>9</v>
      </c>
      <c r="L776" s="4" t="s">
        <v>9</v>
      </c>
      <c r="M776" s="4" t="s">
        <v>9</v>
      </c>
      <c r="N776" s="5"/>
    </row>
    <row r="777" spans="1:14" x14ac:dyDescent="0.25">
      <c r="A777" t="s">
        <v>375</v>
      </c>
      <c r="B777" s="2">
        <v>45693</v>
      </c>
      <c r="C777" t="s">
        <v>375</v>
      </c>
      <c r="D777" t="s">
        <v>112</v>
      </c>
      <c r="E777" t="s">
        <v>9</v>
      </c>
      <c r="F777" s="3">
        <v>-11300</v>
      </c>
      <c r="G777" s="3">
        <v>-11300</v>
      </c>
      <c r="H777" t="s">
        <v>3</v>
      </c>
      <c r="I777" t="s">
        <v>3</v>
      </c>
      <c r="J777" t="s">
        <v>9</v>
      </c>
      <c r="K777" t="s">
        <v>9</v>
      </c>
      <c r="L777" t="s">
        <v>14</v>
      </c>
      <c r="M777" t="s">
        <v>114</v>
      </c>
      <c r="N777" s="2">
        <v>45688</v>
      </c>
    </row>
    <row r="778" spans="1:14" x14ac:dyDescent="0.25">
      <c r="A778" t="s">
        <v>375</v>
      </c>
      <c r="B778" s="2">
        <v>46056</v>
      </c>
      <c r="C778" t="s">
        <v>375</v>
      </c>
      <c r="D778" t="s">
        <v>112</v>
      </c>
      <c r="E778" t="s">
        <v>9</v>
      </c>
      <c r="F778" s="3">
        <v>-6150</v>
      </c>
      <c r="G778" s="3">
        <v>-6150</v>
      </c>
      <c r="H778" t="s">
        <v>3</v>
      </c>
      <c r="I778" t="s">
        <v>3</v>
      </c>
      <c r="J778" t="s">
        <v>9</v>
      </c>
      <c r="K778" t="s">
        <v>9</v>
      </c>
      <c r="L778" t="s">
        <v>14</v>
      </c>
      <c r="M778" t="s">
        <v>114</v>
      </c>
      <c r="N778" s="2">
        <v>46053</v>
      </c>
    </row>
    <row r="779" spans="1:14" x14ac:dyDescent="0.25">
      <c r="A779" t="s">
        <v>375</v>
      </c>
      <c r="B779" s="2">
        <v>45688</v>
      </c>
      <c r="C779" t="s">
        <v>375</v>
      </c>
      <c r="D779" t="s">
        <v>112</v>
      </c>
      <c r="E779" t="s">
        <v>9</v>
      </c>
      <c r="F779" s="3">
        <v>11300</v>
      </c>
      <c r="G779" s="3">
        <v>11300</v>
      </c>
      <c r="H779" t="s">
        <v>3</v>
      </c>
      <c r="I779" t="s">
        <v>3</v>
      </c>
      <c r="J779" t="s">
        <v>297</v>
      </c>
      <c r="K779" t="s">
        <v>5</v>
      </c>
      <c r="L779" t="s">
        <v>14</v>
      </c>
      <c r="M779" t="s">
        <v>114</v>
      </c>
      <c r="N779" s="2">
        <v>45688</v>
      </c>
    </row>
    <row r="780" spans="1:14" x14ac:dyDescent="0.25">
      <c r="A780" t="s">
        <v>375</v>
      </c>
      <c r="B780" s="2">
        <v>46022</v>
      </c>
      <c r="C780" t="s">
        <v>375</v>
      </c>
      <c r="D780" t="s">
        <v>112</v>
      </c>
      <c r="E780" t="s">
        <v>9</v>
      </c>
      <c r="F780" s="3">
        <v>-123750</v>
      </c>
      <c r="G780" s="3">
        <v>-123750</v>
      </c>
      <c r="H780" t="s">
        <v>3</v>
      </c>
      <c r="I780" t="s">
        <v>3</v>
      </c>
      <c r="J780" t="s">
        <v>298</v>
      </c>
      <c r="K780" t="s">
        <v>13</v>
      </c>
      <c r="L780" t="s">
        <v>14</v>
      </c>
      <c r="M780" t="s">
        <v>114</v>
      </c>
      <c r="N780" s="2">
        <v>46023</v>
      </c>
    </row>
    <row r="781" spans="1:14" x14ac:dyDescent="0.25">
      <c r="A781" t="s">
        <v>375</v>
      </c>
      <c r="B781" s="2">
        <v>46022</v>
      </c>
      <c r="C781" t="s">
        <v>375</v>
      </c>
      <c r="D781" t="s">
        <v>112</v>
      </c>
      <c r="E781" t="s">
        <v>9</v>
      </c>
      <c r="F781" s="3">
        <v>-900</v>
      </c>
      <c r="G781" s="3">
        <v>-900</v>
      </c>
      <c r="H781" t="s">
        <v>3</v>
      </c>
      <c r="I781" t="s">
        <v>3</v>
      </c>
      <c r="J781" t="s">
        <v>299</v>
      </c>
      <c r="K781" t="s">
        <v>13</v>
      </c>
      <c r="L781" t="s">
        <v>14</v>
      </c>
      <c r="M781" t="s">
        <v>114</v>
      </c>
      <c r="N781" s="2">
        <v>46023</v>
      </c>
    </row>
    <row r="782" spans="1:14" x14ac:dyDescent="0.25">
      <c r="A782" t="s">
        <v>375</v>
      </c>
      <c r="B782" s="2">
        <v>46023</v>
      </c>
      <c r="C782" t="s">
        <v>375</v>
      </c>
      <c r="D782" t="s">
        <v>112</v>
      </c>
      <c r="E782" t="s">
        <v>9</v>
      </c>
      <c r="F782" s="3">
        <v>123750</v>
      </c>
      <c r="G782" s="3">
        <v>123750</v>
      </c>
      <c r="H782" t="s">
        <v>3</v>
      </c>
      <c r="I782" t="s">
        <v>3</v>
      </c>
      <c r="J782" t="s">
        <v>298</v>
      </c>
      <c r="K782" t="s">
        <v>13</v>
      </c>
      <c r="L782" t="s">
        <v>14</v>
      </c>
      <c r="M782" t="s">
        <v>114</v>
      </c>
      <c r="N782" s="2">
        <v>46023</v>
      </c>
    </row>
    <row r="783" spans="1:14" x14ac:dyDescent="0.25">
      <c r="A783" t="s">
        <v>375</v>
      </c>
      <c r="B783" s="2">
        <v>46023</v>
      </c>
      <c r="C783" t="s">
        <v>375</v>
      </c>
      <c r="D783" t="s">
        <v>112</v>
      </c>
      <c r="E783" t="s">
        <v>9</v>
      </c>
      <c r="F783" s="3">
        <v>900</v>
      </c>
      <c r="G783" s="3">
        <v>900</v>
      </c>
      <c r="H783" t="s">
        <v>3</v>
      </c>
      <c r="I783" t="s">
        <v>3</v>
      </c>
      <c r="J783" t="s">
        <v>299</v>
      </c>
      <c r="K783" t="s">
        <v>13</v>
      </c>
      <c r="L783" t="s">
        <v>14</v>
      </c>
      <c r="M783" t="s">
        <v>114</v>
      </c>
      <c r="N783" s="2">
        <v>46023</v>
      </c>
    </row>
    <row r="784" spans="1:14" x14ac:dyDescent="0.25">
      <c r="A784" t="s">
        <v>375</v>
      </c>
      <c r="B784" s="2">
        <v>46053</v>
      </c>
      <c r="C784" t="s">
        <v>375</v>
      </c>
      <c r="D784" t="s">
        <v>112</v>
      </c>
      <c r="E784" t="s">
        <v>9</v>
      </c>
      <c r="F784" s="3">
        <v>6150</v>
      </c>
      <c r="G784" s="3">
        <v>6150</v>
      </c>
      <c r="H784" t="s">
        <v>3</v>
      </c>
      <c r="I784" t="s">
        <v>3</v>
      </c>
      <c r="J784" t="s">
        <v>300</v>
      </c>
      <c r="K784" t="s">
        <v>13</v>
      </c>
      <c r="L784" t="s">
        <v>14</v>
      </c>
      <c r="M784" t="s">
        <v>114</v>
      </c>
      <c r="N784" s="2">
        <v>46053</v>
      </c>
    </row>
    <row r="785" spans="1:14" x14ac:dyDescent="0.25">
      <c r="A785" s="4" t="s">
        <v>234</v>
      </c>
      <c r="B785" s="5"/>
      <c r="C785" s="4" t="s">
        <v>9</v>
      </c>
      <c r="D785" s="4" t="s">
        <v>9</v>
      </c>
      <c r="E785" s="4" t="s">
        <v>9</v>
      </c>
      <c r="F785" s="6">
        <v>0</v>
      </c>
      <c r="G785" s="6">
        <v>0</v>
      </c>
      <c r="H785" s="4" t="s">
        <v>9</v>
      </c>
      <c r="I785" s="4" t="s">
        <v>3</v>
      </c>
      <c r="J785" s="4" t="s">
        <v>9</v>
      </c>
      <c r="K785" s="4" t="s">
        <v>9</v>
      </c>
      <c r="L785" s="4" t="s">
        <v>9</v>
      </c>
      <c r="M785" s="4" t="s">
        <v>9</v>
      </c>
      <c r="N785" s="5"/>
    </row>
    <row r="786" spans="1:14" x14ac:dyDescent="0.25">
      <c r="A786" t="s">
        <v>375</v>
      </c>
      <c r="B786" s="2">
        <v>45720</v>
      </c>
      <c r="C786" t="s">
        <v>375</v>
      </c>
      <c r="D786" t="s">
        <v>112</v>
      </c>
      <c r="E786" t="s">
        <v>9</v>
      </c>
      <c r="F786" s="3">
        <v>-4200</v>
      </c>
      <c r="G786" s="3">
        <v>-4200</v>
      </c>
      <c r="H786" t="s">
        <v>3</v>
      </c>
      <c r="I786" t="s">
        <v>3</v>
      </c>
      <c r="J786" t="s">
        <v>9</v>
      </c>
      <c r="K786" t="s">
        <v>9</v>
      </c>
      <c r="L786" t="s">
        <v>15</v>
      </c>
      <c r="M786" t="s">
        <v>114</v>
      </c>
      <c r="N786" s="2">
        <v>45716</v>
      </c>
    </row>
    <row r="787" spans="1:14" x14ac:dyDescent="0.25">
      <c r="A787" t="s">
        <v>375</v>
      </c>
      <c r="B787" s="2">
        <v>45720</v>
      </c>
      <c r="C787" t="s">
        <v>375</v>
      </c>
      <c r="D787" t="s">
        <v>301</v>
      </c>
      <c r="E787" t="s">
        <v>9</v>
      </c>
      <c r="F787" s="3">
        <v>15500</v>
      </c>
      <c r="G787" s="3">
        <v>15500</v>
      </c>
      <c r="H787" t="s">
        <v>3</v>
      </c>
      <c r="I787" t="s">
        <v>3</v>
      </c>
      <c r="J787" t="s">
        <v>9</v>
      </c>
      <c r="K787" t="s">
        <v>9</v>
      </c>
      <c r="L787" t="s">
        <v>15</v>
      </c>
      <c r="M787" t="s">
        <v>302</v>
      </c>
      <c r="N787" s="2">
        <v>45716</v>
      </c>
    </row>
    <row r="788" spans="1:14" x14ac:dyDescent="0.25">
      <c r="A788" t="s">
        <v>375</v>
      </c>
      <c r="B788" s="2">
        <v>46084</v>
      </c>
      <c r="C788" t="s">
        <v>375</v>
      </c>
      <c r="D788" t="s">
        <v>112</v>
      </c>
      <c r="E788" t="s">
        <v>9</v>
      </c>
      <c r="F788" s="3">
        <v>-8150</v>
      </c>
      <c r="G788" s="3">
        <v>-8150</v>
      </c>
      <c r="H788" t="s">
        <v>3</v>
      </c>
      <c r="I788" t="s">
        <v>3</v>
      </c>
      <c r="J788" t="s">
        <v>9</v>
      </c>
      <c r="K788" t="s">
        <v>9</v>
      </c>
      <c r="L788" t="s">
        <v>15</v>
      </c>
      <c r="M788" t="s">
        <v>114</v>
      </c>
      <c r="N788" s="2">
        <v>46081</v>
      </c>
    </row>
    <row r="789" spans="1:14" x14ac:dyDescent="0.25">
      <c r="A789" t="s">
        <v>375</v>
      </c>
      <c r="B789" s="2">
        <v>45688</v>
      </c>
      <c r="C789" t="s">
        <v>375</v>
      </c>
      <c r="D789" t="s">
        <v>112</v>
      </c>
      <c r="E789" t="s">
        <v>9</v>
      </c>
      <c r="F789" s="3">
        <v>-11300</v>
      </c>
      <c r="G789" s="3">
        <v>-11300</v>
      </c>
      <c r="H789" t="s">
        <v>3</v>
      </c>
      <c r="I789" t="s">
        <v>3</v>
      </c>
      <c r="J789" t="s">
        <v>297</v>
      </c>
      <c r="K789" t="s">
        <v>5</v>
      </c>
      <c r="L789" t="s">
        <v>15</v>
      </c>
      <c r="M789" t="s">
        <v>114</v>
      </c>
      <c r="N789" s="2">
        <v>45689</v>
      </c>
    </row>
    <row r="790" spans="1:14" x14ac:dyDescent="0.25">
      <c r="A790" t="s">
        <v>375</v>
      </c>
      <c r="B790" s="2">
        <v>45716</v>
      </c>
      <c r="C790" t="s">
        <v>375</v>
      </c>
      <c r="D790" t="s">
        <v>112</v>
      </c>
      <c r="E790" t="s">
        <v>9</v>
      </c>
      <c r="F790" s="3">
        <v>15500</v>
      </c>
      <c r="G790" s="3">
        <v>15500</v>
      </c>
      <c r="H790" t="s">
        <v>3</v>
      </c>
      <c r="I790" t="s">
        <v>3</v>
      </c>
      <c r="J790" t="s">
        <v>303</v>
      </c>
      <c r="K790" t="s">
        <v>5</v>
      </c>
      <c r="L790" t="s">
        <v>15</v>
      </c>
      <c r="M790" t="s">
        <v>114</v>
      </c>
      <c r="N790" s="2">
        <v>45716</v>
      </c>
    </row>
    <row r="791" spans="1:14" x14ac:dyDescent="0.25">
      <c r="A791" t="s">
        <v>375</v>
      </c>
      <c r="B791" s="2">
        <v>45716</v>
      </c>
      <c r="C791" t="s">
        <v>375</v>
      </c>
      <c r="D791" t="s">
        <v>112</v>
      </c>
      <c r="E791" t="s">
        <v>9</v>
      </c>
      <c r="F791" s="3">
        <v>-15500</v>
      </c>
      <c r="G791" s="3">
        <v>-15500</v>
      </c>
      <c r="H791" t="s">
        <v>3</v>
      </c>
      <c r="I791" t="s">
        <v>3</v>
      </c>
      <c r="J791" t="s">
        <v>10</v>
      </c>
      <c r="K791" t="s">
        <v>5</v>
      </c>
      <c r="L791" t="s">
        <v>15</v>
      </c>
      <c r="M791" t="s">
        <v>114</v>
      </c>
      <c r="N791" s="2">
        <v>45716</v>
      </c>
    </row>
    <row r="792" spans="1:14" x14ac:dyDescent="0.25">
      <c r="A792" t="s">
        <v>375</v>
      </c>
      <c r="B792" s="2">
        <v>45716</v>
      </c>
      <c r="C792" t="s">
        <v>375</v>
      </c>
      <c r="D792" t="s">
        <v>112</v>
      </c>
      <c r="E792" t="s">
        <v>9</v>
      </c>
      <c r="F792" s="3">
        <v>15500</v>
      </c>
      <c r="G792" s="3">
        <v>15500</v>
      </c>
      <c r="H792" t="s">
        <v>3</v>
      </c>
      <c r="I792" t="s">
        <v>3</v>
      </c>
      <c r="J792" t="s">
        <v>10</v>
      </c>
      <c r="K792" t="s">
        <v>5</v>
      </c>
      <c r="L792" t="s">
        <v>15</v>
      </c>
      <c r="M792" t="s">
        <v>114</v>
      </c>
      <c r="N792" s="2">
        <v>45716</v>
      </c>
    </row>
    <row r="793" spans="1:14" x14ac:dyDescent="0.25">
      <c r="A793" t="s">
        <v>375</v>
      </c>
      <c r="B793" s="2">
        <v>45716</v>
      </c>
      <c r="C793" t="s">
        <v>375</v>
      </c>
      <c r="D793" t="s">
        <v>301</v>
      </c>
      <c r="E793" t="s">
        <v>9</v>
      </c>
      <c r="F793" s="3">
        <v>-15500</v>
      </c>
      <c r="G793" s="3">
        <v>-15500</v>
      </c>
      <c r="H793" t="s">
        <v>3</v>
      </c>
      <c r="I793" t="s">
        <v>3</v>
      </c>
      <c r="J793" t="s">
        <v>10</v>
      </c>
      <c r="K793" t="s">
        <v>5</v>
      </c>
      <c r="L793" t="s">
        <v>15</v>
      </c>
      <c r="M793" t="s">
        <v>302</v>
      </c>
      <c r="N793" s="2">
        <v>45716</v>
      </c>
    </row>
    <row r="794" spans="1:14" x14ac:dyDescent="0.25">
      <c r="A794" t="s">
        <v>375</v>
      </c>
      <c r="B794" s="2">
        <v>46054</v>
      </c>
      <c r="C794" t="s">
        <v>375</v>
      </c>
      <c r="D794" t="s">
        <v>112</v>
      </c>
      <c r="E794" t="s">
        <v>9</v>
      </c>
      <c r="F794" s="3">
        <v>-6150</v>
      </c>
      <c r="G794" s="3">
        <v>-6150</v>
      </c>
      <c r="H794" t="s">
        <v>3</v>
      </c>
      <c r="I794" t="s">
        <v>3</v>
      </c>
      <c r="J794" t="s">
        <v>300</v>
      </c>
      <c r="K794" t="s">
        <v>13</v>
      </c>
      <c r="L794" t="s">
        <v>15</v>
      </c>
      <c r="M794" t="s">
        <v>114</v>
      </c>
      <c r="N794" s="2">
        <v>46054</v>
      </c>
    </row>
    <row r="795" spans="1:14" x14ac:dyDescent="0.25">
      <c r="A795" t="s">
        <v>375</v>
      </c>
      <c r="B795" s="2">
        <v>46054</v>
      </c>
      <c r="C795" t="s">
        <v>375</v>
      </c>
      <c r="D795" t="s">
        <v>112</v>
      </c>
      <c r="E795" t="s">
        <v>9</v>
      </c>
      <c r="F795" s="3">
        <v>6150</v>
      </c>
      <c r="G795" s="3">
        <v>6150</v>
      </c>
      <c r="H795" t="s">
        <v>3</v>
      </c>
      <c r="I795" t="s">
        <v>3</v>
      </c>
      <c r="J795" t="s">
        <v>300</v>
      </c>
      <c r="K795" t="s">
        <v>13</v>
      </c>
      <c r="L795" t="s">
        <v>15</v>
      </c>
      <c r="M795" t="s">
        <v>114</v>
      </c>
      <c r="N795" s="2">
        <v>46055</v>
      </c>
    </row>
    <row r="796" spans="1:14" x14ac:dyDescent="0.25">
      <c r="A796" t="s">
        <v>375</v>
      </c>
      <c r="B796" s="2">
        <v>46054</v>
      </c>
      <c r="C796" t="s">
        <v>375</v>
      </c>
      <c r="D796" t="s">
        <v>112</v>
      </c>
      <c r="E796" t="s">
        <v>9</v>
      </c>
      <c r="F796" s="3">
        <v>-6150</v>
      </c>
      <c r="G796" s="3">
        <v>-6150</v>
      </c>
      <c r="H796" t="s">
        <v>3</v>
      </c>
      <c r="I796" t="s">
        <v>3</v>
      </c>
      <c r="J796" t="s">
        <v>300</v>
      </c>
      <c r="K796" t="s">
        <v>13</v>
      </c>
      <c r="L796" t="s">
        <v>15</v>
      </c>
      <c r="M796" t="s">
        <v>114</v>
      </c>
      <c r="N796" s="2">
        <v>46054</v>
      </c>
    </row>
    <row r="797" spans="1:14" x14ac:dyDescent="0.25">
      <c r="A797" t="s">
        <v>375</v>
      </c>
      <c r="B797" s="2">
        <v>46081</v>
      </c>
      <c r="C797" t="s">
        <v>375</v>
      </c>
      <c r="D797" t="s">
        <v>112</v>
      </c>
      <c r="E797" t="s">
        <v>9</v>
      </c>
      <c r="F797" s="3">
        <v>14300</v>
      </c>
      <c r="G797" s="3">
        <v>14300</v>
      </c>
      <c r="H797" t="s">
        <v>3</v>
      </c>
      <c r="I797" t="s">
        <v>3</v>
      </c>
      <c r="J797" t="s">
        <v>304</v>
      </c>
      <c r="K797" t="s">
        <v>13</v>
      </c>
      <c r="L797" t="s">
        <v>15</v>
      </c>
      <c r="M797" t="s">
        <v>114</v>
      </c>
      <c r="N797" s="2">
        <v>46081</v>
      </c>
    </row>
    <row r="798" spans="1:14" x14ac:dyDescent="0.25">
      <c r="A798" s="4" t="s">
        <v>239</v>
      </c>
      <c r="B798" s="5"/>
      <c r="C798" s="4" t="s">
        <v>9</v>
      </c>
      <c r="D798" s="4" t="s">
        <v>9</v>
      </c>
      <c r="E798" s="4" t="s">
        <v>9</v>
      </c>
      <c r="F798" s="6">
        <v>0</v>
      </c>
      <c r="G798" s="6">
        <v>0</v>
      </c>
      <c r="H798" s="4" t="s">
        <v>9</v>
      </c>
      <c r="I798" s="4" t="s">
        <v>3</v>
      </c>
      <c r="J798" s="4" t="s">
        <v>9</v>
      </c>
      <c r="K798" s="4" t="s">
        <v>9</v>
      </c>
      <c r="L798" s="4" t="s">
        <v>9</v>
      </c>
      <c r="M798" s="4" t="s">
        <v>9</v>
      </c>
      <c r="N798" s="5"/>
    </row>
    <row r="799" spans="1:14" x14ac:dyDescent="0.25">
      <c r="A799" t="s">
        <v>375</v>
      </c>
      <c r="B799" s="2">
        <v>45749</v>
      </c>
      <c r="C799" t="s">
        <v>375</v>
      </c>
      <c r="D799" t="s">
        <v>112</v>
      </c>
      <c r="E799" t="s">
        <v>9</v>
      </c>
      <c r="F799" s="3">
        <v>-10500</v>
      </c>
      <c r="G799" s="3">
        <v>-10500</v>
      </c>
      <c r="H799" t="s">
        <v>3</v>
      </c>
      <c r="I799" t="s">
        <v>3</v>
      </c>
      <c r="J799" t="s">
        <v>9</v>
      </c>
      <c r="K799" t="s">
        <v>9</v>
      </c>
      <c r="L799" t="s">
        <v>16</v>
      </c>
      <c r="M799" t="s">
        <v>114</v>
      </c>
      <c r="N799" s="2">
        <v>45747</v>
      </c>
    </row>
    <row r="800" spans="1:14" x14ac:dyDescent="0.25">
      <c r="A800" t="s">
        <v>375</v>
      </c>
      <c r="B800" s="2">
        <v>45749</v>
      </c>
      <c r="C800" t="s">
        <v>375</v>
      </c>
      <c r="D800" t="s">
        <v>301</v>
      </c>
      <c r="E800" t="s">
        <v>9</v>
      </c>
      <c r="F800" s="3">
        <v>10500</v>
      </c>
      <c r="G800" s="3">
        <v>10500</v>
      </c>
      <c r="H800" t="s">
        <v>3</v>
      </c>
      <c r="I800" t="s">
        <v>3</v>
      </c>
      <c r="J800" t="s">
        <v>9</v>
      </c>
      <c r="K800" t="s">
        <v>9</v>
      </c>
      <c r="L800" t="s">
        <v>16</v>
      </c>
      <c r="M800" t="s">
        <v>302</v>
      </c>
      <c r="N800" s="2">
        <v>45747</v>
      </c>
    </row>
    <row r="801" spans="1:14" x14ac:dyDescent="0.25">
      <c r="A801" t="s">
        <v>375</v>
      </c>
      <c r="B801" s="2">
        <v>46115</v>
      </c>
      <c r="C801" t="s">
        <v>375</v>
      </c>
      <c r="D801" t="s">
        <v>112</v>
      </c>
      <c r="E801" t="s">
        <v>9</v>
      </c>
      <c r="F801" s="3">
        <v>-18400</v>
      </c>
      <c r="G801" s="3">
        <v>-18400</v>
      </c>
      <c r="H801" t="s">
        <v>3</v>
      </c>
      <c r="I801" t="s">
        <v>3</v>
      </c>
      <c r="J801" t="s">
        <v>9</v>
      </c>
      <c r="K801" t="s">
        <v>9</v>
      </c>
      <c r="L801" t="s">
        <v>16</v>
      </c>
      <c r="M801" t="s">
        <v>114</v>
      </c>
      <c r="N801" s="2">
        <v>46112</v>
      </c>
    </row>
    <row r="802" spans="1:14" x14ac:dyDescent="0.25">
      <c r="A802" t="s">
        <v>375</v>
      </c>
      <c r="B802" s="2">
        <v>46115</v>
      </c>
      <c r="C802" t="s">
        <v>375</v>
      </c>
      <c r="D802" t="s">
        <v>301</v>
      </c>
      <c r="E802" t="s">
        <v>9</v>
      </c>
      <c r="F802" s="3">
        <v>32700</v>
      </c>
      <c r="G802" s="3">
        <v>32700</v>
      </c>
      <c r="H802" t="s">
        <v>3</v>
      </c>
      <c r="I802" t="s">
        <v>3</v>
      </c>
      <c r="J802" t="s">
        <v>9</v>
      </c>
      <c r="K802" t="s">
        <v>9</v>
      </c>
      <c r="L802" t="s">
        <v>16</v>
      </c>
      <c r="M802" t="s">
        <v>302</v>
      </c>
      <c r="N802" s="2">
        <v>46112</v>
      </c>
    </row>
    <row r="803" spans="1:14" x14ac:dyDescent="0.25">
      <c r="A803" t="s">
        <v>375</v>
      </c>
      <c r="B803" s="2">
        <v>45717</v>
      </c>
      <c r="C803" t="s">
        <v>375</v>
      </c>
      <c r="D803" t="s">
        <v>112</v>
      </c>
      <c r="E803" t="s">
        <v>9</v>
      </c>
      <c r="F803" s="3">
        <v>-15500</v>
      </c>
      <c r="G803" s="3">
        <v>-15500</v>
      </c>
      <c r="H803" t="s">
        <v>3</v>
      </c>
      <c r="I803" t="s">
        <v>3</v>
      </c>
      <c r="J803" t="s">
        <v>303</v>
      </c>
      <c r="K803" t="s">
        <v>5</v>
      </c>
      <c r="L803" t="s">
        <v>16</v>
      </c>
      <c r="M803" t="s">
        <v>114</v>
      </c>
      <c r="N803" s="2">
        <v>45717</v>
      </c>
    </row>
    <row r="804" spans="1:14" x14ac:dyDescent="0.25">
      <c r="A804" t="s">
        <v>375</v>
      </c>
      <c r="B804" s="2">
        <v>45747</v>
      </c>
      <c r="C804" t="s">
        <v>375</v>
      </c>
      <c r="D804" t="s">
        <v>301</v>
      </c>
      <c r="E804" t="s">
        <v>9</v>
      </c>
      <c r="F804" s="3">
        <v>-10500</v>
      </c>
      <c r="G804" s="3">
        <v>-10500</v>
      </c>
      <c r="H804" t="s">
        <v>3</v>
      </c>
      <c r="I804" t="s">
        <v>3</v>
      </c>
      <c r="J804" t="s">
        <v>10</v>
      </c>
      <c r="K804" t="s">
        <v>5</v>
      </c>
      <c r="L804" t="s">
        <v>16</v>
      </c>
      <c r="M804" t="s">
        <v>302</v>
      </c>
      <c r="N804" s="2">
        <v>45747</v>
      </c>
    </row>
    <row r="805" spans="1:14" x14ac:dyDescent="0.25">
      <c r="A805" t="s">
        <v>375</v>
      </c>
      <c r="B805" s="2">
        <v>45747</v>
      </c>
      <c r="C805" t="s">
        <v>375</v>
      </c>
      <c r="D805" t="s">
        <v>112</v>
      </c>
      <c r="E805" t="s">
        <v>9</v>
      </c>
      <c r="F805" s="3">
        <v>26000</v>
      </c>
      <c r="G805" s="3">
        <v>26000</v>
      </c>
      <c r="H805" t="s">
        <v>3</v>
      </c>
      <c r="I805" t="s">
        <v>3</v>
      </c>
      <c r="J805" t="s">
        <v>305</v>
      </c>
      <c r="K805" t="s">
        <v>5</v>
      </c>
      <c r="L805" t="s">
        <v>16</v>
      </c>
      <c r="M805" t="s">
        <v>114</v>
      </c>
      <c r="N805" s="2">
        <v>45747</v>
      </c>
    </row>
    <row r="806" spans="1:14" x14ac:dyDescent="0.25">
      <c r="A806" t="s">
        <v>375</v>
      </c>
      <c r="B806" s="2">
        <v>46081</v>
      </c>
      <c r="C806" t="s">
        <v>375</v>
      </c>
      <c r="D806" t="s">
        <v>112</v>
      </c>
      <c r="E806" t="s">
        <v>9</v>
      </c>
      <c r="F806" s="3">
        <v>-14300</v>
      </c>
      <c r="G806" s="3">
        <v>-14300</v>
      </c>
      <c r="H806" t="s">
        <v>3</v>
      </c>
      <c r="I806" t="s">
        <v>3</v>
      </c>
      <c r="J806" t="s">
        <v>304</v>
      </c>
      <c r="K806" t="s">
        <v>13</v>
      </c>
      <c r="L806" t="s">
        <v>16</v>
      </c>
      <c r="M806" t="s">
        <v>114</v>
      </c>
      <c r="N806" s="2">
        <v>46082</v>
      </c>
    </row>
    <row r="807" spans="1:14" x14ac:dyDescent="0.25">
      <c r="A807" t="s">
        <v>375</v>
      </c>
      <c r="B807" s="2">
        <v>46112</v>
      </c>
      <c r="C807" t="s">
        <v>375</v>
      </c>
      <c r="D807" t="s">
        <v>112</v>
      </c>
      <c r="E807" t="s">
        <v>9</v>
      </c>
      <c r="F807" s="3">
        <v>32700</v>
      </c>
      <c r="G807" s="3">
        <v>32700</v>
      </c>
      <c r="H807" t="s">
        <v>3</v>
      </c>
      <c r="I807" t="s">
        <v>3</v>
      </c>
      <c r="J807" t="s">
        <v>307</v>
      </c>
      <c r="K807" t="s">
        <v>13</v>
      </c>
      <c r="L807" t="s">
        <v>16</v>
      </c>
      <c r="M807" t="s">
        <v>114</v>
      </c>
      <c r="N807" s="2">
        <v>46112</v>
      </c>
    </row>
    <row r="808" spans="1:14" x14ac:dyDescent="0.25">
      <c r="A808" t="s">
        <v>375</v>
      </c>
      <c r="B808" s="2">
        <v>46112</v>
      </c>
      <c r="C808" t="s">
        <v>375</v>
      </c>
      <c r="D808" t="s">
        <v>301</v>
      </c>
      <c r="E808" t="s">
        <v>9</v>
      </c>
      <c r="F808" s="3">
        <v>-32700</v>
      </c>
      <c r="G808" s="3">
        <v>-32700</v>
      </c>
      <c r="H808" t="s">
        <v>3</v>
      </c>
      <c r="I808" t="s">
        <v>3</v>
      </c>
      <c r="J808" t="s">
        <v>10</v>
      </c>
      <c r="K808" t="s">
        <v>13</v>
      </c>
      <c r="L808" t="s">
        <v>16</v>
      </c>
      <c r="M808" t="s">
        <v>302</v>
      </c>
      <c r="N808" s="2">
        <v>46112</v>
      </c>
    </row>
    <row r="809" spans="1:14" x14ac:dyDescent="0.25">
      <c r="A809" s="4" t="s">
        <v>244</v>
      </c>
      <c r="B809" s="5"/>
      <c r="C809" s="4" t="s">
        <v>9</v>
      </c>
      <c r="D809" s="4" t="s">
        <v>9</v>
      </c>
      <c r="E809" s="4" t="s">
        <v>9</v>
      </c>
      <c r="F809" s="6">
        <v>0</v>
      </c>
      <c r="G809" s="6">
        <v>0</v>
      </c>
      <c r="H809" s="4" t="s">
        <v>9</v>
      </c>
      <c r="I809" s="4" t="s">
        <v>3</v>
      </c>
      <c r="J809" s="4" t="s">
        <v>9</v>
      </c>
      <c r="K809" s="4" t="s">
        <v>9</v>
      </c>
      <c r="L809" s="4" t="s">
        <v>9</v>
      </c>
      <c r="M809" s="4" t="s">
        <v>9</v>
      </c>
      <c r="N809" s="5"/>
    </row>
    <row r="810" spans="1:14" x14ac:dyDescent="0.25">
      <c r="A810" t="s">
        <v>375</v>
      </c>
      <c r="B810" s="2">
        <v>45782</v>
      </c>
      <c r="C810" t="s">
        <v>375</v>
      </c>
      <c r="D810" t="s">
        <v>112</v>
      </c>
      <c r="E810" t="s">
        <v>9</v>
      </c>
      <c r="F810" s="3">
        <v>-4400</v>
      </c>
      <c r="G810" s="3">
        <v>-4400</v>
      </c>
      <c r="H810" t="s">
        <v>3</v>
      </c>
      <c r="I810" t="s">
        <v>3</v>
      </c>
      <c r="J810" t="s">
        <v>9</v>
      </c>
      <c r="K810" t="s">
        <v>9</v>
      </c>
      <c r="L810" t="s">
        <v>17</v>
      </c>
      <c r="M810" t="s">
        <v>114</v>
      </c>
      <c r="N810" s="2">
        <v>45777</v>
      </c>
    </row>
    <row r="811" spans="1:14" x14ac:dyDescent="0.25">
      <c r="A811" t="s">
        <v>375</v>
      </c>
      <c r="B811" s="2">
        <v>45782</v>
      </c>
      <c r="C811" t="s">
        <v>375</v>
      </c>
      <c r="D811" t="s">
        <v>301</v>
      </c>
      <c r="E811" t="s">
        <v>9</v>
      </c>
      <c r="F811" s="3">
        <v>4400</v>
      </c>
      <c r="G811" s="3">
        <v>4400</v>
      </c>
      <c r="H811" t="s">
        <v>3</v>
      </c>
      <c r="I811" t="s">
        <v>3</v>
      </c>
      <c r="J811" t="s">
        <v>9</v>
      </c>
      <c r="K811" t="s">
        <v>9</v>
      </c>
      <c r="L811" t="s">
        <v>17</v>
      </c>
      <c r="M811" t="s">
        <v>302</v>
      </c>
      <c r="N811" s="2">
        <v>45777</v>
      </c>
    </row>
    <row r="812" spans="1:14" x14ac:dyDescent="0.25">
      <c r="A812" t="s">
        <v>375</v>
      </c>
      <c r="B812" s="2">
        <v>46147</v>
      </c>
      <c r="C812" t="s">
        <v>375</v>
      </c>
      <c r="D812" t="s">
        <v>112</v>
      </c>
      <c r="E812" t="s">
        <v>9</v>
      </c>
      <c r="F812" s="3">
        <v>-7150</v>
      </c>
      <c r="G812" s="3">
        <v>-7150</v>
      </c>
      <c r="H812" t="s">
        <v>3</v>
      </c>
      <c r="I812" t="s">
        <v>3</v>
      </c>
      <c r="J812" t="s">
        <v>9</v>
      </c>
      <c r="K812" t="s">
        <v>9</v>
      </c>
      <c r="L812" t="s">
        <v>17</v>
      </c>
      <c r="M812" t="s">
        <v>114</v>
      </c>
      <c r="N812" s="2">
        <v>46142</v>
      </c>
    </row>
    <row r="813" spans="1:14" x14ac:dyDescent="0.25">
      <c r="A813" t="s">
        <v>375</v>
      </c>
      <c r="B813" s="2">
        <v>46147</v>
      </c>
      <c r="C813" t="s">
        <v>375</v>
      </c>
      <c r="D813" t="s">
        <v>301</v>
      </c>
      <c r="E813" t="s">
        <v>9</v>
      </c>
      <c r="F813" s="3">
        <v>7150</v>
      </c>
      <c r="G813" s="3">
        <v>7150</v>
      </c>
      <c r="H813" t="s">
        <v>3</v>
      </c>
      <c r="I813" t="s">
        <v>3</v>
      </c>
      <c r="J813" t="s">
        <v>9</v>
      </c>
      <c r="K813" t="s">
        <v>9</v>
      </c>
      <c r="L813" t="s">
        <v>17</v>
      </c>
      <c r="M813" t="s">
        <v>302</v>
      </c>
      <c r="N813" s="2">
        <v>46142</v>
      </c>
    </row>
    <row r="814" spans="1:14" x14ac:dyDescent="0.25">
      <c r="A814" t="s">
        <v>375</v>
      </c>
      <c r="B814" s="2">
        <v>45747</v>
      </c>
      <c r="C814" t="s">
        <v>375</v>
      </c>
      <c r="D814" t="s">
        <v>112</v>
      </c>
      <c r="E814" t="s">
        <v>9</v>
      </c>
      <c r="F814" s="3">
        <v>-26000</v>
      </c>
      <c r="G814" s="3">
        <v>-26000</v>
      </c>
      <c r="H814" t="s">
        <v>3</v>
      </c>
      <c r="I814" t="s">
        <v>3</v>
      </c>
      <c r="J814" t="s">
        <v>305</v>
      </c>
      <c r="K814" t="s">
        <v>5</v>
      </c>
      <c r="L814" t="s">
        <v>17</v>
      </c>
      <c r="M814" t="s">
        <v>114</v>
      </c>
      <c r="N814" s="2">
        <v>45748</v>
      </c>
    </row>
    <row r="815" spans="1:14" x14ac:dyDescent="0.25">
      <c r="A815" t="s">
        <v>375</v>
      </c>
      <c r="B815" s="2">
        <v>45777</v>
      </c>
      <c r="C815" t="s">
        <v>375</v>
      </c>
      <c r="D815" t="s">
        <v>112</v>
      </c>
      <c r="E815" t="s">
        <v>9</v>
      </c>
      <c r="F815" s="3">
        <v>30400</v>
      </c>
      <c r="G815" s="3">
        <v>30400</v>
      </c>
      <c r="H815" t="s">
        <v>3</v>
      </c>
      <c r="I815" t="s">
        <v>3</v>
      </c>
      <c r="J815" t="s">
        <v>308</v>
      </c>
      <c r="K815" t="s">
        <v>5</v>
      </c>
      <c r="L815" t="s">
        <v>17</v>
      </c>
      <c r="M815" t="s">
        <v>114</v>
      </c>
      <c r="N815" s="2">
        <v>45777</v>
      </c>
    </row>
    <row r="816" spans="1:14" x14ac:dyDescent="0.25">
      <c r="A816" t="s">
        <v>375</v>
      </c>
      <c r="B816" s="2">
        <v>45777</v>
      </c>
      <c r="C816" t="s">
        <v>375</v>
      </c>
      <c r="D816" t="s">
        <v>301</v>
      </c>
      <c r="E816" t="s">
        <v>9</v>
      </c>
      <c r="F816" s="3">
        <v>-4400</v>
      </c>
      <c r="G816" s="3">
        <v>-4400</v>
      </c>
      <c r="H816" t="s">
        <v>3</v>
      </c>
      <c r="I816" t="s">
        <v>3</v>
      </c>
      <c r="J816" t="s">
        <v>10</v>
      </c>
      <c r="K816" t="s">
        <v>5</v>
      </c>
      <c r="L816" t="s">
        <v>17</v>
      </c>
      <c r="M816" t="s">
        <v>302</v>
      </c>
      <c r="N816" s="2">
        <v>45777</v>
      </c>
    </row>
    <row r="817" spans="1:14" x14ac:dyDescent="0.25">
      <c r="A817" t="s">
        <v>375</v>
      </c>
      <c r="B817" s="2">
        <v>46112</v>
      </c>
      <c r="C817" t="s">
        <v>375</v>
      </c>
      <c r="D817" t="s">
        <v>112</v>
      </c>
      <c r="E817" t="s">
        <v>9</v>
      </c>
      <c r="F817" s="3">
        <v>-32700</v>
      </c>
      <c r="G817" s="3">
        <v>-32700</v>
      </c>
      <c r="H817" t="s">
        <v>3</v>
      </c>
      <c r="I817" t="s">
        <v>3</v>
      </c>
      <c r="J817" t="s">
        <v>307</v>
      </c>
      <c r="K817" t="s">
        <v>13</v>
      </c>
      <c r="L817" t="s">
        <v>17</v>
      </c>
      <c r="M817" t="s">
        <v>114</v>
      </c>
      <c r="N817" s="2">
        <v>46113</v>
      </c>
    </row>
    <row r="818" spans="1:14" x14ac:dyDescent="0.25">
      <c r="A818" t="s">
        <v>375</v>
      </c>
      <c r="B818" s="2">
        <v>46142</v>
      </c>
      <c r="C818" t="s">
        <v>375</v>
      </c>
      <c r="D818" t="s">
        <v>112</v>
      </c>
      <c r="E818" t="s">
        <v>9</v>
      </c>
      <c r="F818" s="3">
        <v>39850</v>
      </c>
      <c r="G818" s="3">
        <v>39850</v>
      </c>
      <c r="H818" t="s">
        <v>3</v>
      </c>
      <c r="I818" t="s">
        <v>3</v>
      </c>
      <c r="J818" t="s">
        <v>310</v>
      </c>
      <c r="K818" t="s">
        <v>13</v>
      </c>
      <c r="L818" t="s">
        <v>17</v>
      </c>
      <c r="M818" t="s">
        <v>114</v>
      </c>
      <c r="N818" s="2">
        <v>46142</v>
      </c>
    </row>
    <row r="819" spans="1:14" x14ac:dyDescent="0.25">
      <c r="A819" t="s">
        <v>375</v>
      </c>
      <c r="B819" s="2">
        <v>46142</v>
      </c>
      <c r="C819" t="s">
        <v>375</v>
      </c>
      <c r="D819" t="s">
        <v>301</v>
      </c>
      <c r="E819" t="s">
        <v>9</v>
      </c>
      <c r="F819" s="3">
        <v>-7150</v>
      </c>
      <c r="G819" s="3">
        <v>-7150</v>
      </c>
      <c r="H819" t="s">
        <v>3</v>
      </c>
      <c r="I819" t="s">
        <v>3</v>
      </c>
      <c r="J819" t="s">
        <v>10</v>
      </c>
      <c r="K819" t="s">
        <v>13</v>
      </c>
      <c r="L819" t="s">
        <v>17</v>
      </c>
      <c r="M819" t="s">
        <v>302</v>
      </c>
      <c r="N819" s="2">
        <v>46142</v>
      </c>
    </row>
    <row r="820" spans="1:14" x14ac:dyDescent="0.25">
      <c r="A820" s="4" t="s">
        <v>249</v>
      </c>
      <c r="B820" s="5"/>
      <c r="C820" s="4" t="s">
        <v>9</v>
      </c>
      <c r="D820" s="4" t="s">
        <v>9</v>
      </c>
      <c r="E820" s="4" t="s">
        <v>9</v>
      </c>
      <c r="F820" s="6">
        <v>0</v>
      </c>
      <c r="G820" s="6">
        <v>0</v>
      </c>
      <c r="H820" s="4" t="s">
        <v>9</v>
      </c>
      <c r="I820" s="4" t="s">
        <v>3</v>
      </c>
      <c r="J820" s="4" t="s">
        <v>9</v>
      </c>
      <c r="K820" s="4" t="s">
        <v>9</v>
      </c>
      <c r="L820" s="4" t="s">
        <v>9</v>
      </c>
      <c r="M820" s="4" t="s">
        <v>9</v>
      </c>
      <c r="N820" s="5"/>
    </row>
    <row r="821" spans="1:14" x14ac:dyDescent="0.25">
      <c r="A821" t="s">
        <v>375</v>
      </c>
      <c r="B821" s="2">
        <v>45447</v>
      </c>
      <c r="C821" t="s">
        <v>375</v>
      </c>
      <c r="D821" t="s">
        <v>112</v>
      </c>
      <c r="E821" t="s">
        <v>9</v>
      </c>
      <c r="F821" s="3">
        <v>-13200</v>
      </c>
      <c r="G821" s="3">
        <v>-13200</v>
      </c>
      <c r="H821" t="s">
        <v>3</v>
      </c>
      <c r="I821" t="s">
        <v>3</v>
      </c>
      <c r="J821" t="s">
        <v>9</v>
      </c>
      <c r="K821" t="s">
        <v>9</v>
      </c>
      <c r="L821" t="s">
        <v>18</v>
      </c>
      <c r="M821" t="s">
        <v>114</v>
      </c>
      <c r="N821" s="2">
        <v>45443</v>
      </c>
    </row>
    <row r="822" spans="1:14" x14ac:dyDescent="0.25">
      <c r="A822" t="s">
        <v>375</v>
      </c>
      <c r="B822" s="2">
        <v>45810</v>
      </c>
      <c r="C822" t="s">
        <v>375</v>
      </c>
      <c r="D822" t="s">
        <v>112</v>
      </c>
      <c r="E822" t="s">
        <v>9</v>
      </c>
      <c r="F822" s="3">
        <v>-4600</v>
      </c>
      <c r="G822" s="3">
        <v>-4600</v>
      </c>
      <c r="H822" t="s">
        <v>3</v>
      </c>
      <c r="I822" t="s">
        <v>3</v>
      </c>
      <c r="J822" t="s">
        <v>9</v>
      </c>
      <c r="K822" t="s">
        <v>9</v>
      </c>
      <c r="L822" t="s">
        <v>18</v>
      </c>
      <c r="M822" t="s">
        <v>114</v>
      </c>
      <c r="N822" s="2">
        <v>45808</v>
      </c>
    </row>
    <row r="823" spans="1:14" x14ac:dyDescent="0.25">
      <c r="A823" t="s">
        <v>375</v>
      </c>
      <c r="B823" s="2">
        <v>45810</v>
      </c>
      <c r="C823" t="s">
        <v>375</v>
      </c>
      <c r="D823" t="s">
        <v>301</v>
      </c>
      <c r="E823" t="s">
        <v>9</v>
      </c>
      <c r="F823" s="3">
        <v>4600</v>
      </c>
      <c r="G823" s="3">
        <v>4600</v>
      </c>
      <c r="H823" t="s">
        <v>3</v>
      </c>
      <c r="I823" t="s">
        <v>3</v>
      </c>
      <c r="J823" t="s">
        <v>9</v>
      </c>
      <c r="K823" t="s">
        <v>9</v>
      </c>
      <c r="L823" t="s">
        <v>18</v>
      </c>
      <c r="M823" t="s">
        <v>302</v>
      </c>
      <c r="N823" s="2">
        <v>45808</v>
      </c>
    </row>
    <row r="824" spans="1:14" x14ac:dyDescent="0.25">
      <c r="A824" t="s">
        <v>375</v>
      </c>
      <c r="B824" s="2">
        <v>46175</v>
      </c>
      <c r="C824" t="s">
        <v>375</v>
      </c>
      <c r="D824" t="s">
        <v>112</v>
      </c>
      <c r="E824" t="s">
        <v>9</v>
      </c>
      <c r="F824" s="3">
        <v>-6000</v>
      </c>
      <c r="G824" s="3">
        <v>-6000</v>
      </c>
      <c r="H824" t="s">
        <v>3</v>
      </c>
      <c r="I824" t="s">
        <v>3</v>
      </c>
      <c r="J824" t="s">
        <v>9</v>
      </c>
      <c r="K824" t="s">
        <v>9</v>
      </c>
      <c r="L824" t="s">
        <v>18</v>
      </c>
      <c r="M824" t="s">
        <v>114</v>
      </c>
      <c r="N824" s="2">
        <v>46173</v>
      </c>
    </row>
    <row r="825" spans="1:14" x14ac:dyDescent="0.25">
      <c r="A825" t="s">
        <v>375</v>
      </c>
      <c r="B825" s="2">
        <v>46175</v>
      </c>
      <c r="C825" t="s">
        <v>375</v>
      </c>
      <c r="D825" t="s">
        <v>301</v>
      </c>
      <c r="E825" t="s">
        <v>9</v>
      </c>
      <c r="F825" s="3">
        <v>6000</v>
      </c>
      <c r="G825" s="3">
        <v>6000</v>
      </c>
      <c r="H825" t="s">
        <v>3</v>
      </c>
      <c r="I825" t="s">
        <v>3</v>
      </c>
      <c r="J825" t="s">
        <v>9</v>
      </c>
      <c r="K825" t="s">
        <v>9</v>
      </c>
      <c r="L825" t="s">
        <v>18</v>
      </c>
      <c r="M825" t="s">
        <v>302</v>
      </c>
      <c r="N825" s="2">
        <v>46173</v>
      </c>
    </row>
    <row r="826" spans="1:14" x14ac:dyDescent="0.25">
      <c r="A826" t="s">
        <v>375</v>
      </c>
      <c r="B826" s="2">
        <v>45443</v>
      </c>
      <c r="C826" t="s">
        <v>375</v>
      </c>
      <c r="D826" t="s">
        <v>112</v>
      </c>
      <c r="E826" t="s">
        <v>9</v>
      </c>
      <c r="F826" s="3">
        <v>13200</v>
      </c>
      <c r="G826" s="3">
        <v>13200</v>
      </c>
      <c r="H826" t="s">
        <v>3</v>
      </c>
      <c r="I826" t="s">
        <v>3</v>
      </c>
      <c r="J826" t="s">
        <v>253</v>
      </c>
      <c r="K826" t="s">
        <v>222</v>
      </c>
      <c r="L826" t="s">
        <v>18</v>
      </c>
      <c r="M826" t="s">
        <v>114</v>
      </c>
      <c r="N826" s="2">
        <v>45443</v>
      </c>
    </row>
    <row r="827" spans="1:14" x14ac:dyDescent="0.25">
      <c r="A827" t="s">
        <v>375</v>
      </c>
      <c r="B827" s="2">
        <v>45777</v>
      </c>
      <c r="C827" t="s">
        <v>375</v>
      </c>
      <c r="D827" t="s">
        <v>112</v>
      </c>
      <c r="E827" t="s">
        <v>9</v>
      </c>
      <c r="F827" s="3">
        <v>-30400</v>
      </c>
      <c r="G827" s="3">
        <v>-30400</v>
      </c>
      <c r="H827" t="s">
        <v>3</v>
      </c>
      <c r="I827" t="s">
        <v>3</v>
      </c>
      <c r="J827" t="s">
        <v>308</v>
      </c>
      <c r="K827" t="s">
        <v>5</v>
      </c>
      <c r="L827" t="s">
        <v>18</v>
      </c>
      <c r="M827" t="s">
        <v>114</v>
      </c>
      <c r="N827" s="2">
        <v>45778</v>
      </c>
    </row>
    <row r="828" spans="1:14" x14ac:dyDescent="0.25">
      <c r="A828" t="s">
        <v>375</v>
      </c>
      <c r="B828" s="2">
        <v>45808</v>
      </c>
      <c r="C828" t="s">
        <v>375</v>
      </c>
      <c r="D828" t="s">
        <v>112</v>
      </c>
      <c r="E828" t="s">
        <v>9</v>
      </c>
      <c r="F828" s="3">
        <v>35000</v>
      </c>
      <c r="G828" s="3">
        <v>35000</v>
      </c>
      <c r="H828" t="s">
        <v>3</v>
      </c>
      <c r="I828" t="s">
        <v>3</v>
      </c>
      <c r="J828" t="s">
        <v>311</v>
      </c>
      <c r="K828" t="s">
        <v>5</v>
      </c>
      <c r="L828" t="s">
        <v>18</v>
      </c>
      <c r="M828" t="s">
        <v>114</v>
      </c>
      <c r="N828" s="2">
        <v>45808</v>
      </c>
    </row>
    <row r="829" spans="1:14" x14ac:dyDescent="0.25">
      <c r="A829" t="s">
        <v>375</v>
      </c>
      <c r="B829" s="2">
        <v>45808</v>
      </c>
      <c r="C829" t="s">
        <v>375</v>
      </c>
      <c r="D829" t="s">
        <v>301</v>
      </c>
      <c r="E829" t="s">
        <v>9</v>
      </c>
      <c r="F829" s="3">
        <v>-4600</v>
      </c>
      <c r="G829" s="3">
        <v>-4600</v>
      </c>
      <c r="H829" t="s">
        <v>3</v>
      </c>
      <c r="I829" t="s">
        <v>3</v>
      </c>
      <c r="J829" t="s">
        <v>10</v>
      </c>
      <c r="K829" t="s">
        <v>5</v>
      </c>
      <c r="L829" t="s">
        <v>18</v>
      </c>
      <c r="M829" t="s">
        <v>302</v>
      </c>
      <c r="N829" s="2">
        <v>45808</v>
      </c>
    </row>
    <row r="830" spans="1:14" x14ac:dyDescent="0.25">
      <c r="A830" t="s">
        <v>375</v>
      </c>
      <c r="B830" s="2">
        <v>46142</v>
      </c>
      <c r="C830" t="s">
        <v>375</v>
      </c>
      <c r="D830" t="s">
        <v>112</v>
      </c>
      <c r="E830" t="s">
        <v>9</v>
      </c>
      <c r="F830" s="3">
        <v>-39850</v>
      </c>
      <c r="G830" s="3">
        <v>-39850</v>
      </c>
      <c r="H830" t="s">
        <v>3</v>
      </c>
      <c r="I830" t="s">
        <v>3</v>
      </c>
      <c r="J830" t="s">
        <v>310</v>
      </c>
      <c r="K830" t="s">
        <v>13</v>
      </c>
      <c r="L830" t="s">
        <v>18</v>
      </c>
      <c r="M830" t="s">
        <v>114</v>
      </c>
      <c r="N830" s="2">
        <v>46143</v>
      </c>
    </row>
    <row r="831" spans="1:14" x14ac:dyDescent="0.25">
      <c r="A831" t="s">
        <v>375</v>
      </c>
      <c r="B831" s="2">
        <v>46173</v>
      </c>
      <c r="C831" t="s">
        <v>375</v>
      </c>
      <c r="D831" t="s">
        <v>112</v>
      </c>
      <c r="E831" t="s">
        <v>9</v>
      </c>
      <c r="F831" s="3">
        <v>45850</v>
      </c>
      <c r="G831" s="3">
        <v>45850</v>
      </c>
      <c r="H831" t="s">
        <v>3</v>
      </c>
      <c r="I831" t="s">
        <v>3</v>
      </c>
      <c r="J831" t="s">
        <v>313</v>
      </c>
      <c r="K831" t="s">
        <v>13</v>
      </c>
      <c r="L831" t="s">
        <v>18</v>
      </c>
      <c r="M831" t="s">
        <v>114</v>
      </c>
      <c r="N831" s="2">
        <v>46173</v>
      </c>
    </row>
    <row r="832" spans="1:14" x14ac:dyDescent="0.25">
      <c r="A832" t="s">
        <v>375</v>
      </c>
      <c r="B832" s="2">
        <v>46173</v>
      </c>
      <c r="C832" t="s">
        <v>375</v>
      </c>
      <c r="D832" t="s">
        <v>301</v>
      </c>
      <c r="E832" t="s">
        <v>9</v>
      </c>
      <c r="F832" s="3">
        <v>-6000</v>
      </c>
      <c r="G832" s="3">
        <v>-6000</v>
      </c>
      <c r="H832" t="s">
        <v>3</v>
      </c>
      <c r="I832" t="s">
        <v>3</v>
      </c>
      <c r="J832" t="s">
        <v>10</v>
      </c>
      <c r="K832" t="s">
        <v>13</v>
      </c>
      <c r="L832" t="s">
        <v>18</v>
      </c>
      <c r="M832" t="s">
        <v>302</v>
      </c>
      <c r="N832" s="2">
        <v>46173</v>
      </c>
    </row>
    <row r="833" spans="1:14" x14ac:dyDescent="0.25">
      <c r="A833" s="4" t="s">
        <v>223</v>
      </c>
      <c r="B833" s="5"/>
      <c r="C833" s="4" t="s">
        <v>9</v>
      </c>
      <c r="D833" s="4" t="s">
        <v>9</v>
      </c>
      <c r="E833" s="4" t="s">
        <v>9</v>
      </c>
      <c r="F833" s="6">
        <v>0</v>
      </c>
      <c r="G833" s="6">
        <v>0</v>
      </c>
      <c r="H833" s="4" t="s">
        <v>9</v>
      </c>
      <c r="I833" s="4" t="s">
        <v>3</v>
      </c>
      <c r="J833" s="4" t="s">
        <v>9</v>
      </c>
      <c r="K833" s="4" t="s">
        <v>9</v>
      </c>
      <c r="L833" s="4" t="s">
        <v>9</v>
      </c>
      <c r="M833" s="4" t="s">
        <v>9</v>
      </c>
      <c r="N833" s="5"/>
    </row>
    <row r="834" spans="1:14" x14ac:dyDescent="0.25">
      <c r="A834" t="s">
        <v>375</v>
      </c>
      <c r="B834" s="2">
        <v>45475</v>
      </c>
      <c r="C834" t="s">
        <v>375</v>
      </c>
      <c r="D834" t="s">
        <v>112</v>
      </c>
      <c r="E834" t="s">
        <v>9</v>
      </c>
      <c r="F834" s="3">
        <v>-700</v>
      </c>
      <c r="G834" s="3">
        <v>-700</v>
      </c>
      <c r="H834" t="s">
        <v>3</v>
      </c>
      <c r="I834" t="s">
        <v>3</v>
      </c>
      <c r="J834" t="s">
        <v>9</v>
      </c>
      <c r="K834" t="s">
        <v>9</v>
      </c>
      <c r="L834" t="s">
        <v>19</v>
      </c>
      <c r="M834" t="s">
        <v>114</v>
      </c>
      <c r="N834" s="2">
        <v>45473</v>
      </c>
    </row>
    <row r="835" spans="1:14" x14ac:dyDescent="0.25">
      <c r="A835" t="s">
        <v>375</v>
      </c>
      <c r="B835" s="2">
        <v>45839</v>
      </c>
      <c r="C835" t="s">
        <v>375</v>
      </c>
      <c r="D835" t="s">
        <v>112</v>
      </c>
      <c r="E835" t="s">
        <v>9</v>
      </c>
      <c r="F835" s="3">
        <v>-12200</v>
      </c>
      <c r="G835" s="3">
        <v>-12200</v>
      </c>
      <c r="H835" t="s">
        <v>3</v>
      </c>
      <c r="I835" t="s">
        <v>3</v>
      </c>
      <c r="J835" t="s">
        <v>9</v>
      </c>
      <c r="K835" t="s">
        <v>9</v>
      </c>
      <c r="L835" t="s">
        <v>19</v>
      </c>
      <c r="M835" t="s">
        <v>114</v>
      </c>
      <c r="N835" s="2">
        <v>45838</v>
      </c>
    </row>
    <row r="836" spans="1:14" x14ac:dyDescent="0.25">
      <c r="A836" t="s">
        <v>375</v>
      </c>
      <c r="B836" s="2">
        <v>45839</v>
      </c>
      <c r="C836" t="s">
        <v>375</v>
      </c>
      <c r="D836" t="s">
        <v>301</v>
      </c>
      <c r="E836" t="s">
        <v>9</v>
      </c>
      <c r="F836" s="3">
        <v>12200</v>
      </c>
      <c r="G836" s="3">
        <v>12200</v>
      </c>
      <c r="H836" t="s">
        <v>3</v>
      </c>
      <c r="I836" t="s">
        <v>3</v>
      </c>
      <c r="J836" t="s">
        <v>9</v>
      </c>
      <c r="K836" t="s">
        <v>9</v>
      </c>
      <c r="L836" t="s">
        <v>19</v>
      </c>
      <c r="M836" t="s">
        <v>302</v>
      </c>
      <c r="N836" s="2">
        <v>45838</v>
      </c>
    </row>
    <row r="837" spans="1:14" x14ac:dyDescent="0.25">
      <c r="A837" t="s">
        <v>375</v>
      </c>
      <c r="B837" s="2">
        <v>46205</v>
      </c>
      <c r="C837" t="s">
        <v>375</v>
      </c>
      <c r="D837" t="s">
        <v>112</v>
      </c>
      <c r="E837" t="s">
        <v>9</v>
      </c>
      <c r="F837" s="3">
        <v>-7450.56</v>
      </c>
      <c r="G837" s="3">
        <v>-7450.56</v>
      </c>
      <c r="H837" t="s">
        <v>3</v>
      </c>
      <c r="I837" t="s">
        <v>3</v>
      </c>
      <c r="J837" t="s">
        <v>9</v>
      </c>
      <c r="K837" t="s">
        <v>9</v>
      </c>
      <c r="L837" t="s">
        <v>19</v>
      </c>
      <c r="M837" t="s">
        <v>114</v>
      </c>
      <c r="N837" s="2">
        <v>46203</v>
      </c>
    </row>
    <row r="838" spans="1:14" x14ac:dyDescent="0.25">
      <c r="A838" t="s">
        <v>375</v>
      </c>
      <c r="B838" s="2">
        <v>46205</v>
      </c>
      <c r="C838" t="s">
        <v>375</v>
      </c>
      <c r="D838" t="s">
        <v>301</v>
      </c>
      <c r="E838" t="s">
        <v>9</v>
      </c>
      <c r="F838" s="3">
        <v>7450.56</v>
      </c>
      <c r="G838" s="3">
        <v>7450.56</v>
      </c>
      <c r="H838" t="s">
        <v>3</v>
      </c>
      <c r="I838" t="s">
        <v>3</v>
      </c>
      <c r="J838" t="s">
        <v>9</v>
      </c>
      <c r="K838" t="s">
        <v>9</v>
      </c>
      <c r="L838" t="s">
        <v>19</v>
      </c>
      <c r="M838" t="s">
        <v>302</v>
      </c>
      <c r="N838" s="2">
        <v>46203</v>
      </c>
    </row>
    <row r="839" spans="1:14" x14ac:dyDescent="0.25">
      <c r="A839" t="s">
        <v>375</v>
      </c>
      <c r="B839" s="2">
        <v>45443</v>
      </c>
      <c r="C839" t="s">
        <v>375</v>
      </c>
      <c r="D839" t="s">
        <v>112</v>
      </c>
      <c r="E839" t="s">
        <v>9</v>
      </c>
      <c r="F839" s="3">
        <v>-13200</v>
      </c>
      <c r="G839" s="3">
        <v>-13200</v>
      </c>
      <c r="H839" t="s">
        <v>3</v>
      </c>
      <c r="I839" t="s">
        <v>3</v>
      </c>
      <c r="J839" t="s">
        <v>253</v>
      </c>
      <c r="K839" t="s">
        <v>222</v>
      </c>
      <c r="L839" t="s">
        <v>19</v>
      </c>
      <c r="M839" t="s">
        <v>114</v>
      </c>
      <c r="N839" s="2">
        <v>45444</v>
      </c>
    </row>
    <row r="840" spans="1:14" x14ac:dyDescent="0.25">
      <c r="A840" t="s">
        <v>375</v>
      </c>
      <c r="B840" s="2">
        <v>45473</v>
      </c>
      <c r="C840" t="s">
        <v>375</v>
      </c>
      <c r="D840" t="s">
        <v>112</v>
      </c>
      <c r="E840" t="s">
        <v>9</v>
      </c>
      <c r="F840" s="3">
        <v>13900</v>
      </c>
      <c r="G840" s="3">
        <v>13900</v>
      </c>
      <c r="H840" t="s">
        <v>3</v>
      </c>
      <c r="I840" t="s">
        <v>3</v>
      </c>
      <c r="J840" t="s">
        <v>257</v>
      </c>
      <c r="K840" t="s">
        <v>222</v>
      </c>
      <c r="L840" t="s">
        <v>19</v>
      </c>
      <c r="M840" t="s">
        <v>114</v>
      </c>
      <c r="N840" s="2">
        <v>45473</v>
      </c>
    </row>
    <row r="841" spans="1:14" x14ac:dyDescent="0.25">
      <c r="A841" t="s">
        <v>375</v>
      </c>
      <c r="B841" s="2">
        <v>45808</v>
      </c>
      <c r="C841" t="s">
        <v>375</v>
      </c>
      <c r="D841" t="s">
        <v>112</v>
      </c>
      <c r="E841" t="s">
        <v>9</v>
      </c>
      <c r="F841" s="3">
        <v>-35000</v>
      </c>
      <c r="G841" s="3">
        <v>-35000</v>
      </c>
      <c r="H841" t="s">
        <v>3</v>
      </c>
      <c r="I841" t="s">
        <v>3</v>
      </c>
      <c r="J841" t="s">
        <v>311</v>
      </c>
      <c r="K841" t="s">
        <v>5</v>
      </c>
      <c r="L841" t="s">
        <v>19</v>
      </c>
      <c r="M841" t="s">
        <v>114</v>
      </c>
      <c r="N841" s="2">
        <v>45809</v>
      </c>
    </row>
    <row r="842" spans="1:14" x14ac:dyDescent="0.25">
      <c r="A842" t="s">
        <v>375</v>
      </c>
      <c r="B842" s="2">
        <v>45838</v>
      </c>
      <c r="C842" t="s">
        <v>375</v>
      </c>
      <c r="D842" t="s">
        <v>112</v>
      </c>
      <c r="E842" t="s">
        <v>9</v>
      </c>
      <c r="F842" s="3">
        <v>47200</v>
      </c>
      <c r="G842" s="3">
        <v>47200</v>
      </c>
      <c r="H842" t="s">
        <v>3</v>
      </c>
      <c r="I842" t="s">
        <v>3</v>
      </c>
      <c r="J842" t="s">
        <v>314</v>
      </c>
      <c r="K842" t="s">
        <v>5</v>
      </c>
      <c r="L842" t="s">
        <v>19</v>
      </c>
      <c r="M842" t="s">
        <v>114</v>
      </c>
      <c r="N842" s="2">
        <v>45838</v>
      </c>
    </row>
    <row r="843" spans="1:14" x14ac:dyDescent="0.25">
      <c r="A843" t="s">
        <v>375</v>
      </c>
      <c r="B843" s="2">
        <v>45838</v>
      </c>
      <c r="C843" t="s">
        <v>375</v>
      </c>
      <c r="D843" t="s">
        <v>301</v>
      </c>
      <c r="E843" t="s">
        <v>9</v>
      </c>
      <c r="F843" s="3">
        <v>-12200</v>
      </c>
      <c r="G843" s="3">
        <v>-12200</v>
      </c>
      <c r="H843" t="s">
        <v>3</v>
      </c>
      <c r="I843" t="s">
        <v>3</v>
      </c>
      <c r="J843" t="s">
        <v>10</v>
      </c>
      <c r="K843" t="s">
        <v>5</v>
      </c>
      <c r="L843" t="s">
        <v>19</v>
      </c>
      <c r="M843" t="s">
        <v>302</v>
      </c>
      <c r="N843" s="2">
        <v>45838</v>
      </c>
    </row>
    <row r="844" spans="1:14" x14ac:dyDescent="0.25">
      <c r="A844" t="s">
        <v>375</v>
      </c>
      <c r="B844" s="2">
        <v>46173</v>
      </c>
      <c r="C844" t="s">
        <v>375</v>
      </c>
      <c r="D844" t="s">
        <v>112</v>
      </c>
      <c r="E844" t="s">
        <v>9</v>
      </c>
      <c r="F844" s="3">
        <v>-45850</v>
      </c>
      <c r="G844" s="3">
        <v>-45850</v>
      </c>
      <c r="H844" t="s">
        <v>3</v>
      </c>
      <c r="I844" t="s">
        <v>3</v>
      </c>
      <c r="J844" t="s">
        <v>313</v>
      </c>
      <c r="K844" t="s">
        <v>13</v>
      </c>
      <c r="L844" t="s">
        <v>19</v>
      </c>
      <c r="M844" t="s">
        <v>114</v>
      </c>
      <c r="N844" s="2">
        <v>46174</v>
      </c>
    </row>
    <row r="845" spans="1:14" x14ac:dyDescent="0.25">
      <c r="A845" t="s">
        <v>375</v>
      </c>
      <c r="B845" s="2">
        <v>46203</v>
      </c>
      <c r="C845" t="s">
        <v>375</v>
      </c>
      <c r="D845" t="s">
        <v>112</v>
      </c>
      <c r="E845" t="s">
        <v>9</v>
      </c>
      <c r="F845" s="3">
        <v>53300.56</v>
      </c>
      <c r="G845" s="3">
        <v>53300.56</v>
      </c>
      <c r="H845" t="s">
        <v>3</v>
      </c>
      <c r="I845" t="s">
        <v>3</v>
      </c>
      <c r="J845" t="s">
        <v>316</v>
      </c>
      <c r="K845" t="s">
        <v>13</v>
      </c>
      <c r="L845" t="s">
        <v>19</v>
      </c>
      <c r="M845" t="s">
        <v>114</v>
      </c>
      <c r="N845" s="2">
        <v>46203</v>
      </c>
    </row>
    <row r="846" spans="1:14" x14ac:dyDescent="0.25">
      <c r="A846" t="s">
        <v>375</v>
      </c>
      <c r="B846" s="2">
        <v>46203</v>
      </c>
      <c r="C846" t="s">
        <v>375</v>
      </c>
      <c r="D846" t="s">
        <v>301</v>
      </c>
      <c r="E846" t="s">
        <v>9</v>
      </c>
      <c r="F846" s="3">
        <v>-7450.56</v>
      </c>
      <c r="G846" s="3">
        <v>-7450.56</v>
      </c>
      <c r="H846" t="s">
        <v>3</v>
      </c>
      <c r="I846" t="s">
        <v>3</v>
      </c>
      <c r="J846" t="s">
        <v>10</v>
      </c>
      <c r="K846" t="s">
        <v>13</v>
      </c>
      <c r="L846" t="s">
        <v>19</v>
      </c>
      <c r="M846" t="s">
        <v>302</v>
      </c>
      <c r="N846" s="2">
        <v>46203</v>
      </c>
    </row>
    <row r="847" spans="1:14" x14ac:dyDescent="0.25">
      <c r="A847" s="4" t="s">
        <v>224</v>
      </c>
      <c r="B847" s="5"/>
      <c r="C847" s="4" t="s">
        <v>9</v>
      </c>
      <c r="D847" s="4" t="s">
        <v>9</v>
      </c>
      <c r="E847" s="4" t="s">
        <v>9</v>
      </c>
      <c r="F847" s="6">
        <v>0</v>
      </c>
      <c r="G847" s="6">
        <v>0</v>
      </c>
      <c r="H847" s="4" t="s">
        <v>9</v>
      </c>
      <c r="I847" s="4" t="s">
        <v>3</v>
      </c>
      <c r="J847" s="4" t="s">
        <v>9</v>
      </c>
      <c r="K847" s="4" t="s">
        <v>9</v>
      </c>
      <c r="L847" s="4" t="s">
        <v>9</v>
      </c>
      <c r="M847" s="4" t="s">
        <v>9</v>
      </c>
      <c r="N847" s="5"/>
    </row>
    <row r="848" spans="1:14" x14ac:dyDescent="0.25">
      <c r="A848" t="s">
        <v>375</v>
      </c>
      <c r="B848" s="2">
        <v>45509</v>
      </c>
      <c r="C848" t="s">
        <v>375</v>
      </c>
      <c r="D848" t="s">
        <v>112</v>
      </c>
      <c r="E848" t="s">
        <v>9</v>
      </c>
      <c r="F848" s="3">
        <v>-6000</v>
      </c>
      <c r="G848" s="3">
        <v>-6000</v>
      </c>
      <c r="H848" t="s">
        <v>3</v>
      </c>
      <c r="I848" t="s">
        <v>3</v>
      </c>
      <c r="J848" t="s">
        <v>9</v>
      </c>
      <c r="K848" t="s">
        <v>9</v>
      </c>
      <c r="L848" t="s">
        <v>21</v>
      </c>
      <c r="M848" t="s">
        <v>114</v>
      </c>
      <c r="N848" s="2">
        <v>45504</v>
      </c>
    </row>
    <row r="849" spans="1:14" x14ac:dyDescent="0.25">
      <c r="A849" t="s">
        <v>375</v>
      </c>
      <c r="B849" s="2">
        <v>45870</v>
      </c>
      <c r="C849" t="s">
        <v>375</v>
      </c>
      <c r="D849" t="s">
        <v>112</v>
      </c>
      <c r="E849" t="s">
        <v>9</v>
      </c>
      <c r="F849" s="3">
        <v>-2700</v>
      </c>
      <c r="G849" s="3">
        <v>-2700</v>
      </c>
      <c r="H849" t="s">
        <v>3</v>
      </c>
      <c r="I849" t="s">
        <v>3</v>
      </c>
      <c r="J849" t="s">
        <v>9</v>
      </c>
      <c r="K849" t="s">
        <v>9</v>
      </c>
      <c r="L849" t="s">
        <v>21</v>
      </c>
      <c r="M849" t="s">
        <v>114</v>
      </c>
      <c r="N849" s="2">
        <v>45869</v>
      </c>
    </row>
    <row r="850" spans="1:14" x14ac:dyDescent="0.25">
      <c r="A850" t="s">
        <v>375</v>
      </c>
      <c r="B850" s="2">
        <v>45870</v>
      </c>
      <c r="C850" t="s">
        <v>375</v>
      </c>
      <c r="D850" t="s">
        <v>301</v>
      </c>
      <c r="E850" t="s">
        <v>9</v>
      </c>
      <c r="F850" s="3">
        <v>2700</v>
      </c>
      <c r="G850" s="3">
        <v>2700</v>
      </c>
      <c r="H850" t="s">
        <v>3</v>
      </c>
      <c r="I850" t="s">
        <v>3</v>
      </c>
      <c r="J850" t="s">
        <v>9</v>
      </c>
      <c r="K850" t="s">
        <v>9</v>
      </c>
      <c r="L850" t="s">
        <v>21</v>
      </c>
      <c r="M850" t="s">
        <v>302</v>
      </c>
      <c r="N850" s="2">
        <v>45869</v>
      </c>
    </row>
    <row r="851" spans="1:14" x14ac:dyDescent="0.25">
      <c r="A851" t="s">
        <v>375</v>
      </c>
      <c r="B851" s="2">
        <v>46239</v>
      </c>
      <c r="C851" t="s">
        <v>375</v>
      </c>
      <c r="D851" t="s">
        <v>112</v>
      </c>
      <c r="E851" t="s">
        <v>9</v>
      </c>
      <c r="F851" s="3">
        <v>53300.56</v>
      </c>
      <c r="G851" s="3">
        <v>53300.56</v>
      </c>
      <c r="H851" t="s">
        <v>3</v>
      </c>
      <c r="I851" t="s">
        <v>3</v>
      </c>
      <c r="J851" t="s">
        <v>9</v>
      </c>
      <c r="K851" t="s">
        <v>9</v>
      </c>
      <c r="L851" t="s">
        <v>21</v>
      </c>
      <c r="M851" t="s">
        <v>114</v>
      </c>
      <c r="N851" s="2">
        <v>46234</v>
      </c>
    </row>
    <row r="852" spans="1:14" x14ac:dyDescent="0.25">
      <c r="A852" t="s">
        <v>375</v>
      </c>
      <c r="B852" s="2">
        <v>46239</v>
      </c>
      <c r="C852" t="s">
        <v>375</v>
      </c>
      <c r="D852" t="s">
        <v>112</v>
      </c>
      <c r="E852" t="s">
        <v>9</v>
      </c>
      <c r="F852" s="3">
        <v>-60900</v>
      </c>
      <c r="G852" s="3">
        <v>-60900</v>
      </c>
      <c r="H852" t="s">
        <v>3</v>
      </c>
      <c r="I852" t="s">
        <v>3</v>
      </c>
      <c r="J852" t="s">
        <v>9</v>
      </c>
      <c r="K852" t="s">
        <v>9</v>
      </c>
      <c r="L852" t="s">
        <v>21</v>
      </c>
      <c r="M852" t="s">
        <v>114</v>
      </c>
      <c r="N852" s="2">
        <v>46234</v>
      </c>
    </row>
    <row r="853" spans="1:14" x14ac:dyDescent="0.25">
      <c r="A853" t="s">
        <v>375</v>
      </c>
      <c r="B853" s="2">
        <v>45473</v>
      </c>
      <c r="C853" t="s">
        <v>375</v>
      </c>
      <c r="D853" t="s">
        <v>112</v>
      </c>
      <c r="E853" t="s">
        <v>9</v>
      </c>
      <c r="F853" s="3">
        <v>-13900</v>
      </c>
      <c r="G853" s="3">
        <v>-13900</v>
      </c>
      <c r="H853" t="s">
        <v>3</v>
      </c>
      <c r="I853" t="s">
        <v>3</v>
      </c>
      <c r="J853" t="s">
        <v>257</v>
      </c>
      <c r="K853" t="s">
        <v>222</v>
      </c>
      <c r="L853" t="s">
        <v>21</v>
      </c>
      <c r="M853" t="s">
        <v>114</v>
      </c>
      <c r="N853" s="2">
        <v>45474</v>
      </c>
    </row>
    <row r="854" spans="1:14" x14ac:dyDescent="0.25">
      <c r="A854" t="s">
        <v>375</v>
      </c>
      <c r="B854" s="2">
        <v>45504</v>
      </c>
      <c r="C854" t="s">
        <v>375</v>
      </c>
      <c r="D854" t="s">
        <v>112</v>
      </c>
      <c r="E854" t="s">
        <v>9</v>
      </c>
      <c r="F854" s="3">
        <v>19900</v>
      </c>
      <c r="G854" s="3">
        <v>19900</v>
      </c>
      <c r="H854" t="s">
        <v>3</v>
      </c>
      <c r="I854" t="s">
        <v>3</v>
      </c>
      <c r="J854" t="s">
        <v>261</v>
      </c>
      <c r="K854" t="s">
        <v>222</v>
      </c>
      <c r="L854" t="s">
        <v>21</v>
      </c>
      <c r="M854" t="s">
        <v>114</v>
      </c>
      <c r="N854" s="2">
        <v>45504</v>
      </c>
    </row>
    <row r="855" spans="1:14" x14ac:dyDescent="0.25">
      <c r="A855" t="s">
        <v>375</v>
      </c>
      <c r="B855" s="2">
        <v>45838</v>
      </c>
      <c r="C855" t="s">
        <v>375</v>
      </c>
      <c r="D855" t="s">
        <v>112</v>
      </c>
      <c r="E855" t="s">
        <v>9</v>
      </c>
      <c r="F855" s="3">
        <v>-47200</v>
      </c>
      <c r="G855" s="3">
        <v>-47200</v>
      </c>
      <c r="H855" t="s">
        <v>3</v>
      </c>
      <c r="I855" t="s">
        <v>3</v>
      </c>
      <c r="J855" t="s">
        <v>314</v>
      </c>
      <c r="K855" t="s">
        <v>5</v>
      </c>
      <c r="L855" t="s">
        <v>21</v>
      </c>
      <c r="M855" t="s">
        <v>114</v>
      </c>
      <c r="N855" s="2">
        <v>45839</v>
      </c>
    </row>
    <row r="856" spans="1:14" x14ac:dyDescent="0.25">
      <c r="A856" t="s">
        <v>375</v>
      </c>
      <c r="B856" s="2">
        <v>45869</v>
      </c>
      <c r="C856" t="s">
        <v>375</v>
      </c>
      <c r="D856" t="s">
        <v>112</v>
      </c>
      <c r="E856" t="s">
        <v>9</v>
      </c>
      <c r="F856" s="3">
        <v>49900</v>
      </c>
      <c r="G856" s="3">
        <v>49900</v>
      </c>
      <c r="H856" t="s">
        <v>3</v>
      </c>
      <c r="I856" t="s">
        <v>3</v>
      </c>
      <c r="J856" t="s">
        <v>317</v>
      </c>
      <c r="K856" t="s">
        <v>5</v>
      </c>
      <c r="L856" t="s">
        <v>21</v>
      </c>
      <c r="M856" t="s">
        <v>114</v>
      </c>
      <c r="N856" s="2">
        <v>45869</v>
      </c>
    </row>
    <row r="857" spans="1:14" x14ac:dyDescent="0.25">
      <c r="A857" t="s">
        <v>375</v>
      </c>
      <c r="B857" s="2">
        <v>45869</v>
      </c>
      <c r="C857" t="s">
        <v>375</v>
      </c>
      <c r="D857" t="s">
        <v>301</v>
      </c>
      <c r="E857" t="s">
        <v>9</v>
      </c>
      <c r="F857" s="3">
        <v>-2700</v>
      </c>
      <c r="G857" s="3">
        <v>-2700</v>
      </c>
      <c r="H857" t="s">
        <v>3</v>
      </c>
      <c r="I857" t="s">
        <v>3</v>
      </c>
      <c r="J857" t="s">
        <v>10</v>
      </c>
      <c r="K857" t="s">
        <v>5</v>
      </c>
      <c r="L857" t="s">
        <v>21</v>
      </c>
      <c r="M857" t="s">
        <v>302</v>
      </c>
      <c r="N857" s="2">
        <v>45869</v>
      </c>
    </row>
    <row r="858" spans="1:14" x14ac:dyDescent="0.25">
      <c r="A858" t="s">
        <v>375</v>
      </c>
      <c r="B858" s="2">
        <v>46203</v>
      </c>
      <c r="C858" t="s">
        <v>375</v>
      </c>
      <c r="D858" t="s">
        <v>112</v>
      </c>
      <c r="E858" t="s">
        <v>9</v>
      </c>
      <c r="F858" s="3">
        <v>-53300.56</v>
      </c>
      <c r="G858" s="3">
        <v>-53300.56</v>
      </c>
      <c r="H858" t="s">
        <v>3</v>
      </c>
      <c r="I858" t="s">
        <v>3</v>
      </c>
      <c r="J858" t="s">
        <v>316</v>
      </c>
      <c r="K858" t="s">
        <v>13</v>
      </c>
      <c r="L858" t="s">
        <v>21</v>
      </c>
      <c r="M858" t="s">
        <v>114</v>
      </c>
      <c r="N858" s="2">
        <v>46204</v>
      </c>
    </row>
    <row r="859" spans="1:14" x14ac:dyDescent="0.25">
      <c r="A859" t="s">
        <v>375</v>
      </c>
      <c r="B859" s="2">
        <v>46234</v>
      </c>
      <c r="C859" t="s">
        <v>375</v>
      </c>
      <c r="D859" t="s">
        <v>112</v>
      </c>
      <c r="E859" t="s">
        <v>9</v>
      </c>
      <c r="F859" s="3">
        <v>60900</v>
      </c>
      <c r="G859" s="3">
        <v>60900</v>
      </c>
      <c r="H859" t="s">
        <v>3</v>
      </c>
      <c r="I859" t="s">
        <v>3</v>
      </c>
      <c r="J859" t="s">
        <v>319</v>
      </c>
      <c r="K859" t="s">
        <v>13</v>
      </c>
      <c r="L859" t="s">
        <v>21</v>
      </c>
      <c r="M859" t="s">
        <v>114</v>
      </c>
      <c r="N859" s="2">
        <v>46234</v>
      </c>
    </row>
    <row r="860" spans="1:14" x14ac:dyDescent="0.25">
      <c r="A860" s="4" t="s">
        <v>262</v>
      </c>
      <c r="B860" s="5"/>
      <c r="C860" s="4" t="s">
        <v>9</v>
      </c>
      <c r="D860" s="4" t="s">
        <v>9</v>
      </c>
      <c r="E860" s="4" t="s">
        <v>9</v>
      </c>
      <c r="F860" s="6">
        <v>0</v>
      </c>
      <c r="G860" s="6">
        <v>0</v>
      </c>
      <c r="H860" s="4" t="s">
        <v>9</v>
      </c>
      <c r="I860" s="4" t="s">
        <v>3</v>
      </c>
      <c r="J860" s="4" t="s">
        <v>9</v>
      </c>
      <c r="K860" s="4" t="s">
        <v>9</v>
      </c>
      <c r="L860" s="4" t="s">
        <v>9</v>
      </c>
      <c r="M860" s="4" t="s">
        <v>9</v>
      </c>
      <c r="N860" s="5"/>
    </row>
    <row r="861" spans="1:14" x14ac:dyDescent="0.25">
      <c r="A861" t="s">
        <v>375</v>
      </c>
      <c r="B861" s="2">
        <v>45539</v>
      </c>
      <c r="C861" t="s">
        <v>375</v>
      </c>
      <c r="D861" t="s">
        <v>112</v>
      </c>
      <c r="E861" t="s">
        <v>9</v>
      </c>
      <c r="F861" s="3">
        <v>-8150</v>
      </c>
      <c r="G861" s="3">
        <v>-8150</v>
      </c>
      <c r="H861" t="s">
        <v>3</v>
      </c>
      <c r="I861" t="s">
        <v>3</v>
      </c>
      <c r="J861" t="s">
        <v>9</v>
      </c>
      <c r="K861" t="s">
        <v>9</v>
      </c>
      <c r="L861" t="s">
        <v>22</v>
      </c>
      <c r="M861" t="s">
        <v>114</v>
      </c>
      <c r="N861" s="2">
        <v>45535</v>
      </c>
    </row>
    <row r="862" spans="1:14" x14ac:dyDescent="0.25">
      <c r="A862" t="s">
        <v>375</v>
      </c>
      <c r="B862" s="2">
        <v>45901</v>
      </c>
      <c r="C862" t="s">
        <v>375</v>
      </c>
      <c r="D862" t="s">
        <v>112</v>
      </c>
      <c r="E862" t="s">
        <v>9</v>
      </c>
      <c r="F862" s="3">
        <v>-13400</v>
      </c>
      <c r="G862" s="3">
        <v>-13400</v>
      </c>
      <c r="H862" t="s">
        <v>3</v>
      </c>
      <c r="I862" t="s">
        <v>3</v>
      </c>
      <c r="J862" t="s">
        <v>9</v>
      </c>
      <c r="K862" t="s">
        <v>9</v>
      </c>
      <c r="L862" t="s">
        <v>22</v>
      </c>
      <c r="M862" t="s">
        <v>114</v>
      </c>
      <c r="N862" s="2">
        <v>45900</v>
      </c>
    </row>
    <row r="863" spans="1:14" x14ac:dyDescent="0.25">
      <c r="A863" t="s">
        <v>375</v>
      </c>
      <c r="B863" s="2">
        <v>45901</v>
      </c>
      <c r="C863" t="s">
        <v>375</v>
      </c>
      <c r="D863" t="s">
        <v>301</v>
      </c>
      <c r="E863" t="s">
        <v>9</v>
      </c>
      <c r="F863" s="3">
        <v>13400</v>
      </c>
      <c r="G863" s="3">
        <v>13400</v>
      </c>
      <c r="H863" t="s">
        <v>3</v>
      </c>
      <c r="I863" t="s">
        <v>3</v>
      </c>
      <c r="J863" t="s">
        <v>9</v>
      </c>
      <c r="K863" t="s">
        <v>9</v>
      </c>
      <c r="L863" t="s">
        <v>22</v>
      </c>
      <c r="M863" t="s">
        <v>302</v>
      </c>
      <c r="N863" s="2">
        <v>45900</v>
      </c>
    </row>
    <row r="864" spans="1:14" x14ac:dyDescent="0.25">
      <c r="A864" t="s">
        <v>375</v>
      </c>
      <c r="B864" s="2">
        <v>45903</v>
      </c>
      <c r="C864" t="s">
        <v>375</v>
      </c>
      <c r="D864" t="s">
        <v>112</v>
      </c>
      <c r="E864" t="s">
        <v>9</v>
      </c>
      <c r="F864" s="3">
        <v>-1000</v>
      </c>
      <c r="G864" s="3">
        <v>-1000</v>
      </c>
      <c r="H864" t="s">
        <v>3</v>
      </c>
      <c r="I864" t="s">
        <v>3</v>
      </c>
      <c r="J864" t="s">
        <v>9</v>
      </c>
      <c r="K864" t="s">
        <v>9</v>
      </c>
      <c r="L864" t="s">
        <v>22</v>
      </c>
      <c r="M864" t="s">
        <v>114</v>
      </c>
      <c r="N864" s="2">
        <v>45900</v>
      </c>
    </row>
    <row r="865" spans="1:14" x14ac:dyDescent="0.25">
      <c r="A865" t="s">
        <v>375</v>
      </c>
      <c r="B865" s="2">
        <v>46267</v>
      </c>
      <c r="C865" t="s">
        <v>375</v>
      </c>
      <c r="D865" t="s">
        <v>112</v>
      </c>
      <c r="E865" t="s">
        <v>9</v>
      </c>
      <c r="F865" s="3">
        <v>-3200</v>
      </c>
      <c r="G865" s="3">
        <v>-3200</v>
      </c>
      <c r="H865" t="s">
        <v>3</v>
      </c>
      <c r="I865" t="s">
        <v>3</v>
      </c>
      <c r="J865" t="s">
        <v>9</v>
      </c>
      <c r="K865" t="s">
        <v>9</v>
      </c>
      <c r="L865" t="s">
        <v>22</v>
      </c>
      <c r="M865" t="s">
        <v>114</v>
      </c>
      <c r="N865" s="2">
        <v>46265</v>
      </c>
    </row>
    <row r="866" spans="1:14" x14ac:dyDescent="0.25">
      <c r="A866" t="s">
        <v>375</v>
      </c>
      <c r="B866" s="2">
        <v>45504</v>
      </c>
      <c r="C866" t="s">
        <v>375</v>
      </c>
      <c r="D866" t="s">
        <v>112</v>
      </c>
      <c r="E866" t="s">
        <v>9</v>
      </c>
      <c r="F866" s="3">
        <v>-19900</v>
      </c>
      <c r="G866" s="3">
        <v>-19900</v>
      </c>
      <c r="H866" t="s">
        <v>3</v>
      </c>
      <c r="I866" t="s">
        <v>3</v>
      </c>
      <c r="J866" t="s">
        <v>261</v>
      </c>
      <c r="K866" t="s">
        <v>222</v>
      </c>
      <c r="L866" t="s">
        <v>22</v>
      </c>
      <c r="M866" t="s">
        <v>114</v>
      </c>
      <c r="N866" s="2">
        <v>45505</v>
      </c>
    </row>
    <row r="867" spans="1:14" x14ac:dyDescent="0.25">
      <c r="A867" t="s">
        <v>375</v>
      </c>
      <c r="B867" s="2">
        <v>45535</v>
      </c>
      <c r="C867" t="s">
        <v>375</v>
      </c>
      <c r="D867" t="s">
        <v>112</v>
      </c>
      <c r="E867" t="s">
        <v>9</v>
      </c>
      <c r="F867" s="3">
        <v>28050</v>
      </c>
      <c r="G867" s="3">
        <v>28050</v>
      </c>
      <c r="H867" t="s">
        <v>3</v>
      </c>
      <c r="I867" t="s">
        <v>3</v>
      </c>
      <c r="J867" t="s">
        <v>266</v>
      </c>
      <c r="K867" t="s">
        <v>222</v>
      </c>
      <c r="L867" t="s">
        <v>22</v>
      </c>
      <c r="M867" t="s">
        <v>114</v>
      </c>
      <c r="N867" s="2">
        <v>45535</v>
      </c>
    </row>
    <row r="868" spans="1:14" x14ac:dyDescent="0.25">
      <c r="A868" t="s">
        <v>375</v>
      </c>
      <c r="B868" s="2">
        <v>45869</v>
      </c>
      <c r="C868" t="s">
        <v>375</v>
      </c>
      <c r="D868" t="s">
        <v>112</v>
      </c>
      <c r="E868" t="s">
        <v>9</v>
      </c>
      <c r="F868" s="3">
        <v>-49900</v>
      </c>
      <c r="G868" s="3">
        <v>-49900</v>
      </c>
      <c r="H868" t="s">
        <v>3</v>
      </c>
      <c r="I868" t="s">
        <v>3</v>
      </c>
      <c r="J868" t="s">
        <v>317</v>
      </c>
      <c r="K868" t="s">
        <v>5</v>
      </c>
      <c r="L868" t="s">
        <v>22</v>
      </c>
      <c r="M868" t="s">
        <v>114</v>
      </c>
      <c r="N868" s="2">
        <v>45870</v>
      </c>
    </row>
    <row r="869" spans="1:14" x14ac:dyDescent="0.25">
      <c r="A869" t="s">
        <v>375</v>
      </c>
      <c r="B869" s="2">
        <v>45900</v>
      </c>
      <c r="C869" t="s">
        <v>375</v>
      </c>
      <c r="D869" t="s">
        <v>112</v>
      </c>
      <c r="E869" t="s">
        <v>9</v>
      </c>
      <c r="F869" s="3">
        <v>63300</v>
      </c>
      <c r="G869" s="3">
        <v>63300</v>
      </c>
      <c r="H869" t="s">
        <v>3</v>
      </c>
      <c r="I869" t="s">
        <v>3</v>
      </c>
      <c r="J869" t="s">
        <v>320</v>
      </c>
      <c r="K869" t="s">
        <v>5</v>
      </c>
      <c r="L869" t="s">
        <v>22</v>
      </c>
      <c r="M869" t="s">
        <v>114</v>
      </c>
      <c r="N869" s="2">
        <v>45900</v>
      </c>
    </row>
    <row r="870" spans="1:14" x14ac:dyDescent="0.25">
      <c r="A870" t="s">
        <v>375</v>
      </c>
      <c r="B870" s="2">
        <v>45900</v>
      </c>
      <c r="C870" t="s">
        <v>375</v>
      </c>
      <c r="D870" t="s">
        <v>301</v>
      </c>
      <c r="E870" t="s">
        <v>9</v>
      </c>
      <c r="F870" s="3">
        <v>-13400</v>
      </c>
      <c r="G870" s="3">
        <v>-13400</v>
      </c>
      <c r="H870" t="s">
        <v>3</v>
      </c>
      <c r="I870" t="s">
        <v>3</v>
      </c>
      <c r="J870" t="s">
        <v>10</v>
      </c>
      <c r="K870" t="s">
        <v>5</v>
      </c>
      <c r="L870" t="s">
        <v>22</v>
      </c>
      <c r="M870" t="s">
        <v>302</v>
      </c>
      <c r="N870" s="2">
        <v>45900</v>
      </c>
    </row>
    <row r="871" spans="1:14" x14ac:dyDescent="0.25">
      <c r="A871" t="s">
        <v>375</v>
      </c>
      <c r="B871" s="2">
        <v>45900</v>
      </c>
      <c r="C871" t="s">
        <v>375</v>
      </c>
      <c r="D871" t="s">
        <v>112</v>
      </c>
      <c r="E871" t="s">
        <v>9</v>
      </c>
      <c r="F871" s="3">
        <v>-63300</v>
      </c>
      <c r="G871" s="3">
        <v>-63300</v>
      </c>
      <c r="H871" t="s">
        <v>3</v>
      </c>
      <c r="I871" t="s">
        <v>3</v>
      </c>
      <c r="J871" t="s">
        <v>320</v>
      </c>
      <c r="K871" t="s">
        <v>5</v>
      </c>
      <c r="L871" t="s">
        <v>22</v>
      </c>
      <c r="M871" t="s">
        <v>114</v>
      </c>
      <c r="N871" s="2">
        <v>45900</v>
      </c>
    </row>
    <row r="872" spans="1:14" x14ac:dyDescent="0.25">
      <c r="A872" t="s">
        <v>375</v>
      </c>
      <c r="B872" s="2">
        <v>45900</v>
      </c>
      <c r="C872" t="s">
        <v>375</v>
      </c>
      <c r="D872" t="s">
        <v>112</v>
      </c>
      <c r="E872" t="s">
        <v>9</v>
      </c>
      <c r="F872" s="3">
        <v>58000</v>
      </c>
      <c r="G872" s="3">
        <v>58000</v>
      </c>
      <c r="H872" t="s">
        <v>3</v>
      </c>
      <c r="I872" t="s">
        <v>3</v>
      </c>
      <c r="J872" t="s">
        <v>320</v>
      </c>
      <c r="K872" t="s">
        <v>5</v>
      </c>
      <c r="L872" t="s">
        <v>22</v>
      </c>
      <c r="M872" t="s">
        <v>114</v>
      </c>
      <c r="N872" s="2">
        <v>45900</v>
      </c>
    </row>
    <row r="873" spans="1:14" x14ac:dyDescent="0.25">
      <c r="A873" t="s">
        <v>375</v>
      </c>
      <c r="B873" s="2">
        <v>45900</v>
      </c>
      <c r="C873" t="s">
        <v>375</v>
      </c>
      <c r="D873" t="s">
        <v>112</v>
      </c>
      <c r="E873" t="s">
        <v>9</v>
      </c>
      <c r="F873" s="3">
        <v>64300</v>
      </c>
      <c r="G873" s="3">
        <v>64300</v>
      </c>
      <c r="H873" t="s">
        <v>3</v>
      </c>
      <c r="I873" t="s">
        <v>3</v>
      </c>
      <c r="J873" t="s">
        <v>320</v>
      </c>
      <c r="K873" t="s">
        <v>5</v>
      </c>
      <c r="L873" t="s">
        <v>22</v>
      </c>
      <c r="M873" t="s">
        <v>114</v>
      </c>
      <c r="N873" s="2">
        <v>45900</v>
      </c>
    </row>
    <row r="874" spans="1:14" x14ac:dyDescent="0.25">
      <c r="A874" t="s">
        <v>375</v>
      </c>
      <c r="B874" s="2">
        <v>45900</v>
      </c>
      <c r="C874" t="s">
        <v>375</v>
      </c>
      <c r="D874" t="s">
        <v>112</v>
      </c>
      <c r="E874" t="s">
        <v>9</v>
      </c>
      <c r="F874" s="3">
        <v>-58000</v>
      </c>
      <c r="G874" s="3">
        <v>-58000</v>
      </c>
      <c r="H874" t="s">
        <v>3</v>
      </c>
      <c r="I874" t="s">
        <v>3</v>
      </c>
      <c r="J874" t="s">
        <v>320</v>
      </c>
      <c r="K874" t="s">
        <v>5</v>
      </c>
      <c r="L874" t="s">
        <v>22</v>
      </c>
      <c r="M874" t="s">
        <v>114</v>
      </c>
      <c r="N874" s="2">
        <v>45900</v>
      </c>
    </row>
    <row r="875" spans="1:14" x14ac:dyDescent="0.25">
      <c r="A875" t="s">
        <v>375</v>
      </c>
      <c r="B875" s="2">
        <v>46234</v>
      </c>
      <c r="C875" t="s">
        <v>375</v>
      </c>
      <c r="D875" t="s">
        <v>112</v>
      </c>
      <c r="E875" t="s">
        <v>9</v>
      </c>
      <c r="F875" s="3">
        <v>-60900</v>
      </c>
      <c r="G875" s="3">
        <v>-60900</v>
      </c>
      <c r="H875" t="s">
        <v>3</v>
      </c>
      <c r="I875" t="s">
        <v>3</v>
      </c>
      <c r="J875" t="s">
        <v>319</v>
      </c>
      <c r="K875" t="s">
        <v>13</v>
      </c>
      <c r="L875" t="s">
        <v>22</v>
      </c>
      <c r="M875" t="s">
        <v>114</v>
      </c>
      <c r="N875" s="2">
        <v>46235</v>
      </c>
    </row>
    <row r="876" spans="1:14" x14ac:dyDescent="0.25">
      <c r="A876" t="s">
        <v>375</v>
      </c>
      <c r="B876" s="2">
        <v>46265</v>
      </c>
      <c r="C876" t="s">
        <v>375</v>
      </c>
      <c r="D876" t="s">
        <v>112</v>
      </c>
      <c r="E876" t="s">
        <v>9</v>
      </c>
      <c r="F876" s="3">
        <v>64100</v>
      </c>
      <c r="G876" s="3">
        <v>64100</v>
      </c>
      <c r="H876" t="s">
        <v>3</v>
      </c>
      <c r="I876" t="s">
        <v>3</v>
      </c>
      <c r="J876" t="s">
        <v>322</v>
      </c>
      <c r="K876" t="s">
        <v>13</v>
      </c>
      <c r="L876" t="s">
        <v>22</v>
      </c>
      <c r="M876" t="s">
        <v>114</v>
      </c>
      <c r="N876" s="2">
        <v>46265</v>
      </c>
    </row>
    <row r="877" spans="1:14" x14ac:dyDescent="0.25">
      <c r="A877" s="4" t="s">
        <v>267</v>
      </c>
      <c r="B877" s="5"/>
      <c r="C877" s="4" t="s">
        <v>9</v>
      </c>
      <c r="D877" s="4" t="s">
        <v>9</v>
      </c>
      <c r="E877" s="4" t="s">
        <v>9</v>
      </c>
      <c r="F877" s="6">
        <v>0</v>
      </c>
      <c r="G877" s="6">
        <v>0</v>
      </c>
      <c r="H877" s="4" t="s">
        <v>9</v>
      </c>
      <c r="I877" s="4" t="s">
        <v>3</v>
      </c>
      <c r="J877" s="4" t="s">
        <v>9</v>
      </c>
      <c r="K877" s="4" t="s">
        <v>9</v>
      </c>
      <c r="L877" s="4" t="s">
        <v>9</v>
      </c>
      <c r="M877" s="4" t="s">
        <v>9</v>
      </c>
      <c r="N877" s="5"/>
    </row>
    <row r="878" spans="1:14" x14ac:dyDescent="0.25">
      <c r="A878" t="s">
        <v>375</v>
      </c>
      <c r="B878" s="2">
        <v>45567</v>
      </c>
      <c r="C878" t="s">
        <v>375</v>
      </c>
      <c r="D878" t="s">
        <v>112</v>
      </c>
      <c r="E878" t="s">
        <v>9</v>
      </c>
      <c r="F878" s="3">
        <v>-9300</v>
      </c>
      <c r="G878" s="3">
        <v>-9300</v>
      </c>
      <c r="H878" t="s">
        <v>3</v>
      </c>
      <c r="I878" t="s">
        <v>3</v>
      </c>
      <c r="J878" t="s">
        <v>9</v>
      </c>
      <c r="K878" t="s">
        <v>9</v>
      </c>
      <c r="L878" t="s">
        <v>6</v>
      </c>
      <c r="M878" t="s">
        <v>114</v>
      </c>
      <c r="N878" s="2">
        <v>45565</v>
      </c>
    </row>
    <row r="879" spans="1:14" x14ac:dyDescent="0.25">
      <c r="A879" t="s">
        <v>375</v>
      </c>
      <c r="B879" s="2">
        <v>45932</v>
      </c>
      <c r="C879" t="s">
        <v>375</v>
      </c>
      <c r="D879" t="s">
        <v>112</v>
      </c>
      <c r="E879" t="s">
        <v>9</v>
      </c>
      <c r="F879" s="3">
        <v>-19500</v>
      </c>
      <c r="G879" s="3">
        <v>-19500</v>
      </c>
      <c r="H879" t="s">
        <v>3</v>
      </c>
      <c r="I879" t="s">
        <v>3</v>
      </c>
      <c r="J879" t="s">
        <v>9</v>
      </c>
      <c r="K879" t="s">
        <v>9</v>
      </c>
      <c r="L879" t="s">
        <v>6</v>
      </c>
      <c r="M879" t="s">
        <v>114</v>
      </c>
      <c r="N879" s="2">
        <v>45930</v>
      </c>
    </row>
    <row r="880" spans="1:14" x14ac:dyDescent="0.25">
      <c r="A880" t="s">
        <v>375</v>
      </c>
      <c r="B880" s="2">
        <v>45932</v>
      </c>
      <c r="C880" t="s">
        <v>375</v>
      </c>
      <c r="D880" t="s">
        <v>301</v>
      </c>
      <c r="E880" t="s">
        <v>9</v>
      </c>
      <c r="F880" s="3">
        <v>20500</v>
      </c>
      <c r="G880" s="3">
        <v>20500</v>
      </c>
      <c r="H880" t="s">
        <v>3</v>
      </c>
      <c r="I880" t="s">
        <v>3</v>
      </c>
      <c r="J880" t="s">
        <v>9</v>
      </c>
      <c r="K880" t="s">
        <v>9</v>
      </c>
      <c r="L880" t="s">
        <v>6</v>
      </c>
      <c r="M880" t="s">
        <v>302</v>
      </c>
      <c r="N880" s="2">
        <v>45930</v>
      </c>
    </row>
    <row r="881" spans="1:14" x14ac:dyDescent="0.25">
      <c r="A881" t="s">
        <v>375</v>
      </c>
      <c r="B881" s="2">
        <v>45535</v>
      </c>
      <c r="C881" t="s">
        <v>375</v>
      </c>
      <c r="D881" t="s">
        <v>112</v>
      </c>
      <c r="E881" t="s">
        <v>9</v>
      </c>
      <c r="F881" s="3">
        <v>-28050</v>
      </c>
      <c r="G881" s="3">
        <v>-28050</v>
      </c>
      <c r="H881" t="s">
        <v>3</v>
      </c>
      <c r="I881" t="s">
        <v>3</v>
      </c>
      <c r="J881" t="s">
        <v>266</v>
      </c>
      <c r="K881" t="s">
        <v>222</v>
      </c>
      <c r="L881" t="s">
        <v>6</v>
      </c>
      <c r="M881" t="s">
        <v>114</v>
      </c>
      <c r="N881" s="2">
        <v>45536</v>
      </c>
    </row>
    <row r="882" spans="1:14" x14ac:dyDescent="0.25">
      <c r="A882" t="s">
        <v>375</v>
      </c>
      <c r="B882" s="2">
        <v>45565</v>
      </c>
      <c r="C882" t="s">
        <v>375</v>
      </c>
      <c r="D882" t="s">
        <v>112</v>
      </c>
      <c r="E882" t="s">
        <v>9</v>
      </c>
      <c r="F882" s="3">
        <v>37350</v>
      </c>
      <c r="G882" s="3">
        <v>37350</v>
      </c>
      <c r="H882" t="s">
        <v>3</v>
      </c>
      <c r="I882" t="s">
        <v>3</v>
      </c>
      <c r="J882" t="s">
        <v>271</v>
      </c>
      <c r="K882" t="s">
        <v>222</v>
      </c>
      <c r="L882" t="s">
        <v>6</v>
      </c>
      <c r="M882" t="s">
        <v>114</v>
      </c>
      <c r="N882" s="2">
        <v>45565</v>
      </c>
    </row>
    <row r="883" spans="1:14" x14ac:dyDescent="0.25">
      <c r="A883" t="s">
        <v>375</v>
      </c>
      <c r="B883" s="2">
        <v>45900</v>
      </c>
      <c r="C883" t="s">
        <v>375</v>
      </c>
      <c r="D883" t="s">
        <v>112</v>
      </c>
      <c r="E883" t="s">
        <v>9</v>
      </c>
      <c r="F883" s="3">
        <v>-63300</v>
      </c>
      <c r="G883" s="3">
        <v>-63300</v>
      </c>
      <c r="H883" t="s">
        <v>3</v>
      </c>
      <c r="I883" t="s">
        <v>3</v>
      </c>
      <c r="J883" t="s">
        <v>320</v>
      </c>
      <c r="K883" t="s">
        <v>5</v>
      </c>
      <c r="L883" t="s">
        <v>6</v>
      </c>
      <c r="M883" t="s">
        <v>114</v>
      </c>
      <c r="N883" s="2">
        <v>45901</v>
      </c>
    </row>
    <row r="884" spans="1:14" x14ac:dyDescent="0.25">
      <c r="A884" t="s">
        <v>375</v>
      </c>
      <c r="B884" s="2">
        <v>45900</v>
      </c>
      <c r="C884" t="s">
        <v>375</v>
      </c>
      <c r="D884" t="s">
        <v>112</v>
      </c>
      <c r="E884" t="s">
        <v>9</v>
      </c>
      <c r="F884" s="3">
        <v>63300</v>
      </c>
      <c r="G884" s="3">
        <v>63300</v>
      </c>
      <c r="H884" t="s">
        <v>3</v>
      </c>
      <c r="I884" t="s">
        <v>3</v>
      </c>
      <c r="J884" t="s">
        <v>320</v>
      </c>
      <c r="K884" t="s">
        <v>5</v>
      </c>
      <c r="L884" t="s">
        <v>6</v>
      </c>
      <c r="M884" t="s">
        <v>114</v>
      </c>
      <c r="N884" s="2">
        <v>45901</v>
      </c>
    </row>
    <row r="885" spans="1:14" x14ac:dyDescent="0.25">
      <c r="A885" t="s">
        <v>375</v>
      </c>
      <c r="B885" s="2">
        <v>45900</v>
      </c>
      <c r="C885" t="s">
        <v>375</v>
      </c>
      <c r="D885" t="s">
        <v>112</v>
      </c>
      <c r="E885" t="s">
        <v>9</v>
      </c>
      <c r="F885" s="3">
        <v>-58000</v>
      </c>
      <c r="G885" s="3">
        <v>-58000</v>
      </c>
      <c r="H885" t="s">
        <v>3</v>
      </c>
      <c r="I885" t="s">
        <v>3</v>
      </c>
      <c r="J885" t="s">
        <v>320</v>
      </c>
      <c r="K885" t="s">
        <v>5</v>
      </c>
      <c r="L885" t="s">
        <v>6</v>
      </c>
      <c r="M885" t="s">
        <v>114</v>
      </c>
      <c r="N885" s="2">
        <v>45901</v>
      </c>
    </row>
    <row r="886" spans="1:14" x14ac:dyDescent="0.25">
      <c r="A886" t="s">
        <v>375</v>
      </c>
      <c r="B886" s="2">
        <v>45900</v>
      </c>
      <c r="C886" t="s">
        <v>375</v>
      </c>
      <c r="D886" t="s">
        <v>112</v>
      </c>
      <c r="E886" t="s">
        <v>9</v>
      </c>
      <c r="F886" s="3">
        <v>58000</v>
      </c>
      <c r="G886" s="3">
        <v>58000</v>
      </c>
      <c r="H886" t="s">
        <v>3</v>
      </c>
      <c r="I886" t="s">
        <v>3</v>
      </c>
      <c r="J886" t="s">
        <v>320</v>
      </c>
      <c r="K886" t="s">
        <v>5</v>
      </c>
      <c r="L886" t="s">
        <v>6</v>
      </c>
      <c r="M886" t="s">
        <v>114</v>
      </c>
      <c r="N886" s="2">
        <v>45901</v>
      </c>
    </row>
    <row r="887" spans="1:14" x14ac:dyDescent="0.25">
      <c r="A887" t="s">
        <v>375</v>
      </c>
      <c r="B887" s="2">
        <v>45900</v>
      </c>
      <c r="C887" t="s">
        <v>375</v>
      </c>
      <c r="D887" t="s">
        <v>112</v>
      </c>
      <c r="E887" t="s">
        <v>9</v>
      </c>
      <c r="F887" s="3">
        <v>-64300</v>
      </c>
      <c r="G887" s="3">
        <v>-64300</v>
      </c>
      <c r="H887" t="s">
        <v>3</v>
      </c>
      <c r="I887" t="s">
        <v>3</v>
      </c>
      <c r="J887" t="s">
        <v>320</v>
      </c>
      <c r="K887" t="s">
        <v>5</v>
      </c>
      <c r="L887" t="s">
        <v>6</v>
      </c>
      <c r="M887" t="s">
        <v>114</v>
      </c>
      <c r="N887" s="2">
        <v>45901</v>
      </c>
    </row>
    <row r="888" spans="1:14" x14ac:dyDescent="0.25">
      <c r="A888" t="s">
        <v>375</v>
      </c>
      <c r="B888" s="2">
        <v>45930</v>
      </c>
      <c r="C888" t="s">
        <v>375</v>
      </c>
      <c r="D888" t="s">
        <v>112</v>
      </c>
      <c r="E888" t="s">
        <v>9</v>
      </c>
      <c r="F888" s="3">
        <v>83800</v>
      </c>
      <c r="G888" s="3">
        <v>83800</v>
      </c>
      <c r="H888" t="s">
        <v>3</v>
      </c>
      <c r="I888" t="s">
        <v>3</v>
      </c>
      <c r="J888" t="s">
        <v>323</v>
      </c>
      <c r="K888" t="s">
        <v>5</v>
      </c>
      <c r="L888" t="s">
        <v>6</v>
      </c>
      <c r="M888" t="s">
        <v>114</v>
      </c>
      <c r="N888" s="2">
        <v>45930</v>
      </c>
    </row>
    <row r="889" spans="1:14" x14ac:dyDescent="0.25">
      <c r="A889" t="s">
        <v>375</v>
      </c>
      <c r="B889" s="2">
        <v>45930</v>
      </c>
      <c r="C889" t="s">
        <v>375</v>
      </c>
      <c r="D889" t="s">
        <v>301</v>
      </c>
      <c r="E889" t="s">
        <v>9</v>
      </c>
      <c r="F889" s="3">
        <v>-20500</v>
      </c>
      <c r="G889" s="3">
        <v>-20500</v>
      </c>
      <c r="H889" t="s">
        <v>3</v>
      </c>
      <c r="I889" t="s">
        <v>3</v>
      </c>
      <c r="J889" t="s">
        <v>10</v>
      </c>
      <c r="K889" t="s">
        <v>5</v>
      </c>
      <c r="L889" t="s">
        <v>6</v>
      </c>
      <c r="M889" t="s">
        <v>302</v>
      </c>
      <c r="N889" s="2">
        <v>45930</v>
      </c>
    </row>
    <row r="890" spans="1:14" x14ac:dyDescent="0.25">
      <c r="A890" s="4" t="s">
        <v>272</v>
      </c>
      <c r="B890" s="5"/>
      <c r="C890" s="4" t="s">
        <v>9</v>
      </c>
      <c r="D890" s="4" t="s">
        <v>9</v>
      </c>
      <c r="E890" s="4" t="s">
        <v>9</v>
      </c>
      <c r="F890" s="6">
        <v>0</v>
      </c>
      <c r="G890" s="6">
        <v>0</v>
      </c>
      <c r="H890" s="4" t="s">
        <v>9</v>
      </c>
      <c r="I890" s="4" t="s">
        <v>3</v>
      </c>
      <c r="J890" s="4" t="s">
        <v>9</v>
      </c>
      <c r="K890" s="4" t="s">
        <v>9</v>
      </c>
      <c r="L890" s="4" t="s">
        <v>9</v>
      </c>
      <c r="M890" s="4" t="s">
        <v>9</v>
      </c>
      <c r="N890" s="5"/>
    </row>
    <row r="891" spans="1:14" x14ac:dyDescent="0.25">
      <c r="A891" t="s">
        <v>375</v>
      </c>
      <c r="B891" s="2">
        <v>45601</v>
      </c>
      <c r="C891" t="s">
        <v>375</v>
      </c>
      <c r="D891" t="s">
        <v>112</v>
      </c>
      <c r="E891" t="s">
        <v>9</v>
      </c>
      <c r="F891" s="3">
        <v>-7700</v>
      </c>
      <c r="G891" s="3">
        <v>-7700</v>
      </c>
      <c r="H891" t="s">
        <v>3</v>
      </c>
      <c r="I891" t="s">
        <v>3</v>
      </c>
      <c r="J891" t="s">
        <v>9</v>
      </c>
      <c r="K891" t="s">
        <v>9</v>
      </c>
      <c r="L891" t="s">
        <v>8</v>
      </c>
      <c r="M891" t="s">
        <v>114</v>
      </c>
      <c r="N891" s="2">
        <v>45596</v>
      </c>
    </row>
    <row r="892" spans="1:14" x14ac:dyDescent="0.25">
      <c r="A892" t="s">
        <v>375</v>
      </c>
      <c r="B892" s="2">
        <v>45965</v>
      </c>
      <c r="C892" t="s">
        <v>375</v>
      </c>
      <c r="D892" t="s">
        <v>112</v>
      </c>
      <c r="E892" t="s">
        <v>9</v>
      </c>
      <c r="F892" s="3">
        <v>-12450</v>
      </c>
      <c r="G892" s="3">
        <v>-12450</v>
      </c>
      <c r="H892" t="s">
        <v>3</v>
      </c>
      <c r="I892" t="s">
        <v>3</v>
      </c>
      <c r="J892" t="s">
        <v>9</v>
      </c>
      <c r="K892" t="s">
        <v>9</v>
      </c>
      <c r="L892" t="s">
        <v>8</v>
      </c>
      <c r="M892" t="s">
        <v>114</v>
      </c>
      <c r="N892" s="2">
        <v>45961</v>
      </c>
    </row>
    <row r="893" spans="1:14" x14ac:dyDescent="0.25">
      <c r="A893" t="s">
        <v>375</v>
      </c>
      <c r="B893" s="2">
        <v>45965</v>
      </c>
      <c r="C893" t="s">
        <v>375</v>
      </c>
      <c r="D893" t="s">
        <v>301</v>
      </c>
      <c r="E893" t="s">
        <v>9</v>
      </c>
      <c r="F893" s="3">
        <v>12450</v>
      </c>
      <c r="G893" s="3">
        <v>12450</v>
      </c>
      <c r="H893" t="s">
        <v>3</v>
      </c>
      <c r="I893" t="s">
        <v>3</v>
      </c>
      <c r="J893" t="s">
        <v>9</v>
      </c>
      <c r="K893" t="s">
        <v>9</v>
      </c>
      <c r="L893" t="s">
        <v>8</v>
      </c>
      <c r="M893" t="s">
        <v>302</v>
      </c>
      <c r="N893" s="2">
        <v>45961</v>
      </c>
    </row>
    <row r="894" spans="1:14" x14ac:dyDescent="0.25">
      <c r="A894" t="s">
        <v>375</v>
      </c>
      <c r="B894" s="2">
        <v>45565</v>
      </c>
      <c r="C894" t="s">
        <v>375</v>
      </c>
      <c r="D894" t="s">
        <v>112</v>
      </c>
      <c r="E894" t="s">
        <v>9</v>
      </c>
      <c r="F894" s="3">
        <v>-37350</v>
      </c>
      <c r="G894" s="3">
        <v>-37350</v>
      </c>
      <c r="H894" t="s">
        <v>3</v>
      </c>
      <c r="I894" t="s">
        <v>3</v>
      </c>
      <c r="J894" t="s">
        <v>271</v>
      </c>
      <c r="K894" t="s">
        <v>222</v>
      </c>
      <c r="L894" t="s">
        <v>8</v>
      </c>
      <c r="M894" t="s">
        <v>114</v>
      </c>
      <c r="N894" s="2">
        <v>45566</v>
      </c>
    </row>
    <row r="895" spans="1:14" x14ac:dyDescent="0.25">
      <c r="A895" t="s">
        <v>375</v>
      </c>
      <c r="B895" s="2">
        <v>45596</v>
      </c>
      <c r="C895" t="s">
        <v>375</v>
      </c>
      <c r="D895" t="s">
        <v>112</v>
      </c>
      <c r="E895" t="s">
        <v>9</v>
      </c>
      <c r="F895" s="3">
        <v>45050</v>
      </c>
      <c r="G895" s="3">
        <v>45050</v>
      </c>
      <c r="H895" t="s">
        <v>3</v>
      </c>
      <c r="I895" t="s">
        <v>3</v>
      </c>
      <c r="J895" t="s">
        <v>277</v>
      </c>
      <c r="K895" t="s">
        <v>222</v>
      </c>
      <c r="L895" t="s">
        <v>8</v>
      </c>
      <c r="M895" t="s">
        <v>114</v>
      </c>
      <c r="N895" s="2">
        <v>45596</v>
      </c>
    </row>
    <row r="896" spans="1:14" x14ac:dyDescent="0.25">
      <c r="A896" t="s">
        <v>375</v>
      </c>
      <c r="B896" s="2">
        <v>45930</v>
      </c>
      <c r="C896" t="s">
        <v>375</v>
      </c>
      <c r="D896" t="s">
        <v>112</v>
      </c>
      <c r="E896" t="s">
        <v>9</v>
      </c>
      <c r="F896" s="3">
        <v>-83800</v>
      </c>
      <c r="G896" s="3">
        <v>-83800</v>
      </c>
      <c r="H896" t="s">
        <v>3</v>
      </c>
      <c r="I896" t="s">
        <v>3</v>
      </c>
      <c r="J896" t="s">
        <v>323</v>
      </c>
      <c r="K896" t="s">
        <v>5</v>
      </c>
      <c r="L896" t="s">
        <v>8</v>
      </c>
      <c r="M896" t="s">
        <v>114</v>
      </c>
      <c r="N896" s="2">
        <v>45931</v>
      </c>
    </row>
    <row r="897" spans="1:14" x14ac:dyDescent="0.25">
      <c r="A897" t="s">
        <v>375</v>
      </c>
      <c r="B897" s="2">
        <v>45961</v>
      </c>
      <c r="C897" t="s">
        <v>375</v>
      </c>
      <c r="D897" t="s">
        <v>112</v>
      </c>
      <c r="E897" t="s">
        <v>9</v>
      </c>
      <c r="F897" s="3">
        <v>95650</v>
      </c>
      <c r="G897" s="3">
        <v>95650</v>
      </c>
      <c r="H897" t="s">
        <v>3</v>
      </c>
      <c r="I897" t="s">
        <v>3</v>
      </c>
      <c r="J897" t="s">
        <v>325</v>
      </c>
      <c r="K897" t="s">
        <v>5</v>
      </c>
      <c r="L897" t="s">
        <v>8</v>
      </c>
      <c r="M897" t="s">
        <v>114</v>
      </c>
      <c r="N897" s="2">
        <v>45961</v>
      </c>
    </row>
    <row r="898" spans="1:14" x14ac:dyDescent="0.25">
      <c r="A898" t="s">
        <v>375</v>
      </c>
      <c r="B898" s="2">
        <v>45961</v>
      </c>
      <c r="C898" t="s">
        <v>375</v>
      </c>
      <c r="D898" t="s">
        <v>112</v>
      </c>
      <c r="E898" t="s">
        <v>9</v>
      </c>
      <c r="F898" s="3">
        <v>600</v>
      </c>
      <c r="G898" s="3">
        <v>600</v>
      </c>
      <c r="H898" t="s">
        <v>3</v>
      </c>
      <c r="I898" t="s">
        <v>3</v>
      </c>
      <c r="J898" t="s">
        <v>326</v>
      </c>
      <c r="K898" t="s">
        <v>5</v>
      </c>
      <c r="L898" t="s">
        <v>8</v>
      </c>
      <c r="M898" t="s">
        <v>114</v>
      </c>
      <c r="N898" s="2">
        <v>45961</v>
      </c>
    </row>
    <row r="899" spans="1:14" x14ac:dyDescent="0.25">
      <c r="A899" t="s">
        <v>375</v>
      </c>
      <c r="B899" s="2">
        <v>45961</v>
      </c>
      <c r="C899" t="s">
        <v>375</v>
      </c>
      <c r="D899" t="s">
        <v>301</v>
      </c>
      <c r="E899" t="s">
        <v>9</v>
      </c>
      <c r="F899" s="3">
        <v>-12450</v>
      </c>
      <c r="G899" s="3">
        <v>-12450</v>
      </c>
      <c r="H899" t="s">
        <v>3</v>
      </c>
      <c r="I899" t="s">
        <v>3</v>
      </c>
      <c r="J899" t="s">
        <v>10</v>
      </c>
      <c r="K899" t="s">
        <v>5</v>
      </c>
      <c r="L899" t="s">
        <v>8</v>
      </c>
      <c r="M899" t="s">
        <v>302</v>
      </c>
      <c r="N899" s="2">
        <v>45961</v>
      </c>
    </row>
    <row r="900" spans="1:14" x14ac:dyDescent="0.25">
      <c r="A900" s="4" t="s">
        <v>278</v>
      </c>
      <c r="B900" s="5"/>
      <c r="C900" s="4" t="s">
        <v>9</v>
      </c>
      <c r="D900" s="4" t="s">
        <v>9</v>
      </c>
      <c r="E900" s="4" t="s">
        <v>9</v>
      </c>
      <c r="F900" s="6">
        <v>0</v>
      </c>
      <c r="G900" s="6">
        <v>0</v>
      </c>
      <c r="H900" s="4" t="s">
        <v>9</v>
      </c>
      <c r="I900" s="4" t="s">
        <v>3</v>
      </c>
      <c r="J900" s="4" t="s">
        <v>9</v>
      </c>
      <c r="K900" s="4" t="s">
        <v>9</v>
      </c>
      <c r="L900" s="4" t="s">
        <v>9</v>
      </c>
      <c r="M900" s="4" t="s">
        <v>9</v>
      </c>
      <c r="N900" s="5"/>
    </row>
    <row r="901" spans="1:14" x14ac:dyDescent="0.25">
      <c r="A901" t="s">
        <v>375</v>
      </c>
      <c r="B901" s="2">
        <v>45629</v>
      </c>
      <c r="C901" t="s">
        <v>375</v>
      </c>
      <c r="D901" t="s">
        <v>112</v>
      </c>
      <c r="E901" t="s">
        <v>9</v>
      </c>
      <c r="F901" s="3">
        <v>34450</v>
      </c>
      <c r="G901" s="3">
        <v>34450</v>
      </c>
      <c r="H901" t="s">
        <v>3</v>
      </c>
      <c r="I901" t="s">
        <v>3</v>
      </c>
      <c r="J901" t="s">
        <v>9</v>
      </c>
      <c r="K901" t="s">
        <v>9</v>
      </c>
      <c r="L901" t="s">
        <v>11</v>
      </c>
      <c r="M901" t="s">
        <v>114</v>
      </c>
      <c r="N901" s="2">
        <v>45626</v>
      </c>
    </row>
    <row r="902" spans="1:14" x14ac:dyDescent="0.25">
      <c r="A902" t="s">
        <v>375</v>
      </c>
      <c r="B902" s="2">
        <v>45993</v>
      </c>
      <c r="C902" t="s">
        <v>375</v>
      </c>
      <c r="D902" t="s">
        <v>112</v>
      </c>
      <c r="E902" t="s">
        <v>9</v>
      </c>
      <c r="F902" s="3">
        <v>-14400</v>
      </c>
      <c r="G902" s="3">
        <v>-14400</v>
      </c>
      <c r="H902" t="s">
        <v>3</v>
      </c>
      <c r="I902" t="s">
        <v>3</v>
      </c>
      <c r="J902" t="s">
        <v>9</v>
      </c>
      <c r="K902" t="s">
        <v>9</v>
      </c>
      <c r="L902" t="s">
        <v>11</v>
      </c>
      <c r="M902" t="s">
        <v>114</v>
      </c>
      <c r="N902" s="2">
        <v>45991</v>
      </c>
    </row>
    <row r="903" spans="1:14" x14ac:dyDescent="0.25">
      <c r="A903" t="s">
        <v>375</v>
      </c>
      <c r="B903" s="2">
        <v>45993</v>
      </c>
      <c r="C903" t="s">
        <v>375</v>
      </c>
      <c r="D903" t="s">
        <v>301</v>
      </c>
      <c r="E903" t="s">
        <v>9</v>
      </c>
      <c r="F903" s="3">
        <v>14400</v>
      </c>
      <c r="G903" s="3">
        <v>14400</v>
      </c>
      <c r="H903" t="s">
        <v>3</v>
      </c>
      <c r="I903" t="s">
        <v>3</v>
      </c>
      <c r="J903" t="s">
        <v>9</v>
      </c>
      <c r="K903" t="s">
        <v>9</v>
      </c>
      <c r="L903" t="s">
        <v>11</v>
      </c>
      <c r="M903" t="s">
        <v>302</v>
      </c>
      <c r="N903" s="2">
        <v>45991</v>
      </c>
    </row>
    <row r="904" spans="1:14" x14ac:dyDescent="0.25">
      <c r="A904" t="s">
        <v>375</v>
      </c>
      <c r="B904" s="2">
        <v>45596</v>
      </c>
      <c r="C904" t="s">
        <v>375</v>
      </c>
      <c r="D904" t="s">
        <v>112</v>
      </c>
      <c r="E904" t="s">
        <v>9</v>
      </c>
      <c r="F904" s="3">
        <v>-45050</v>
      </c>
      <c r="G904" s="3">
        <v>-45050</v>
      </c>
      <c r="H904" t="s">
        <v>3</v>
      </c>
      <c r="I904" t="s">
        <v>3</v>
      </c>
      <c r="J904" t="s">
        <v>277</v>
      </c>
      <c r="K904" t="s">
        <v>222</v>
      </c>
      <c r="L904" t="s">
        <v>11</v>
      </c>
      <c r="M904" t="s">
        <v>114</v>
      </c>
      <c r="N904" s="2">
        <v>45597</v>
      </c>
    </row>
    <row r="905" spans="1:14" x14ac:dyDescent="0.25">
      <c r="A905" t="s">
        <v>375</v>
      </c>
      <c r="B905" s="2">
        <v>45626</v>
      </c>
      <c r="C905" t="s">
        <v>375</v>
      </c>
      <c r="D905" t="s">
        <v>112</v>
      </c>
      <c r="E905" t="s">
        <v>9</v>
      </c>
      <c r="F905" s="3">
        <v>-44550</v>
      </c>
      <c r="G905" s="3">
        <v>-44550</v>
      </c>
      <c r="H905" t="s">
        <v>3</v>
      </c>
      <c r="I905" t="s">
        <v>3</v>
      </c>
      <c r="J905" t="s">
        <v>10</v>
      </c>
      <c r="K905" t="s">
        <v>222</v>
      </c>
      <c r="L905" t="s">
        <v>11</v>
      </c>
      <c r="M905" t="s">
        <v>114</v>
      </c>
      <c r="N905" s="2">
        <v>45626</v>
      </c>
    </row>
    <row r="906" spans="1:14" x14ac:dyDescent="0.25">
      <c r="A906" t="s">
        <v>375</v>
      </c>
      <c r="B906" s="2">
        <v>45626</v>
      </c>
      <c r="C906" t="s">
        <v>375</v>
      </c>
      <c r="D906" t="s">
        <v>112</v>
      </c>
      <c r="E906" t="s">
        <v>9</v>
      </c>
      <c r="F906" s="3">
        <v>55150</v>
      </c>
      <c r="G906" s="3">
        <v>55150</v>
      </c>
      <c r="H906" t="s">
        <v>3</v>
      </c>
      <c r="I906" t="s">
        <v>3</v>
      </c>
      <c r="J906" t="s">
        <v>283</v>
      </c>
      <c r="K906" t="s">
        <v>222</v>
      </c>
      <c r="L906" t="s">
        <v>11</v>
      </c>
      <c r="M906" t="s">
        <v>114</v>
      </c>
      <c r="N906" s="2">
        <v>45626</v>
      </c>
    </row>
    <row r="907" spans="1:14" x14ac:dyDescent="0.25">
      <c r="A907" t="s">
        <v>375</v>
      </c>
      <c r="B907" s="2">
        <v>45961</v>
      </c>
      <c r="C907" t="s">
        <v>375</v>
      </c>
      <c r="D907" t="s">
        <v>112</v>
      </c>
      <c r="E907" t="s">
        <v>9</v>
      </c>
      <c r="F907" s="3">
        <v>-95650</v>
      </c>
      <c r="G907" s="3">
        <v>-95650</v>
      </c>
      <c r="H907" t="s">
        <v>3</v>
      </c>
      <c r="I907" t="s">
        <v>3</v>
      </c>
      <c r="J907" t="s">
        <v>325</v>
      </c>
      <c r="K907" t="s">
        <v>5</v>
      </c>
      <c r="L907" t="s">
        <v>11</v>
      </c>
      <c r="M907" t="s">
        <v>114</v>
      </c>
      <c r="N907" s="2">
        <v>45962</v>
      </c>
    </row>
    <row r="908" spans="1:14" x14ac:dyDescent="0.25">
      <c r="A908" t="s">
        <v>375</v>
      </c>
      <c r="B908" s="2">
        <v>45961</v>
      </c>
      <c r="C908" t="s">
        <v>375</v>
      </c>
      <c r="D908" t="s">
        <v>112</v>
      </c>
      <c r="E908" t="s">
        <v>9</v>
      </c>
      <c r="F908" s="3">
        <v>-600</v>
      </c>
      <c r="G908" s="3">
        <v>-600</v>
      </c>
      <c r="H908" t="s">
        <v>3</v>
      </c>
      <c r="I908" t="s">
        <v>3</v>
      </c>
      <c r="J908" t="s">
        <v>326</v>
      </c>
      <c r="K908" t="s">
        <v>5</v>
      </c>
      <c r="L908" t="s">
        <v>11</v>
      </c>
      <c r="M908" t="s">
        <v>114</v>
      </c>
      <c r="N908" s="2">
        <v>45962</v>
      </c>
    </row>
    <row r="909" spans="1:14" x14ac:dyDescent="0.25">
      <c r="A909" t="s">
        <v>375</v>
      </c>
      <c r="B909" s="2">
        <v>45991</v>
      </c>
      <c r="C909" t="s">
        <v>375</v>
      </c>
      <c r="D909" t="s">
        <v>112</v>
      </c>
      <c r="E909" t="s">
        <v>9</v>
      </c>
      <c r="F909" s="3">
        <v>110050</v>
      </c>
      <c r="G909" s="3">
        <v>110050</v>
      </c>
      <c r="H909" t="s">
        <v>3</v>
      </c>
      <c r="I909" t="s">
        <v>3</v>
      </c>
      <c r="J909" t="s">
        <v>328</v>
      </c>
      <c r="K909" t="s">
        <v>5</v>
      </c>
      <c r="L909" t="s">
        <v>11</v>
      </c>
      <c r="M909" t="s">
        <v>114</v>
      </c>
      <c r="N909" s="2">
        <v>45991</v>
      </c>
    </row>
    <row r="910" spans="1:14" x14ac:dyDescent="0.25">
      <c r="A910" t="s">
        <v>375</v>
      </c>
      <c r="B910" s="2">
        <v>45991</v>
      </c>
      <c r="C910" t="s">
        <v>375</v>
      </c>
      <c r="D910" t="s">
        <v>112</v>
      </c>
      <c r="E910" t="s">
        <v>9</v>
      </c>
      <c r="F910" s="3">
        <v>600</v>
      </c>
      <c r="G910" s="3">
        <v>600</v>
      </c>
      <c r="H910" t="s">
        <v>3</v>
      </c>
      <c r="I910" t="s">
        <v>3</v>
      </c>
      <c r="J910" t="s">
        <v>329</v>
      </c>
      <c r="K910" t="s">
        <v>5</v>
      </c>
      <c r="L910" t="s">
        <v>11</v>
      </c>
      <c r="M910" t="s">
        <v>114</v>
      </c>
      <c r="N910" s="2">
        <v>45991</v>
      </c>
    </row>
    <row r="911" spans="1:14" x14ac:dyDescent="0.25">
      <c r="A911" t="s">
        <v>375</v>
      </c>
      <c r="B911" s="2">
        <v>45991</v>
      </c>
      <c r="C911" t="s">
        <v>375</v>
      </c>
      <c r="D911" t="s">
        <v>301</v>
      </c>
      <c r="E911" t="s">
        <v>9</v>
      </c>
      <c r="F911" s="3">
        <v>-14400</v>
      </c>
      <c r="G911" s="3">
        <v>-14400</v>
      </c>
      <c r="H911" t="s">
        <v>3</v>
      </c>
      <c r="I911" t="s">
        <v>3</v>
      </c>
      <c r="J911" t="s">
        <v>10</v>
      </c>
      <c r="K911" t="s">
        <v>5</v>
      </c>
      <c r="L911" t="s">
        <v>11</v>
      </c>
      <c r="M911" t="s">
        <v>302</v>
      </c>
      <c r="N911" s="2">
        <v>45991</v>
      </c>
    </row>
    <row r="912" spans="1:14" x14ac:dyDescent="0.25">
      <c r="A912" s="4" t="s">
        <v>226</v>
      </c>
      <c r="B912" s="5"/>
      <c r="C912" s="4" t="s">
        <v>9</v>
      </c>
      <c r="D912" s="4" t="s">
        <v>9</v>
      </c>
      <c r="E912" s="4" t="s">
        <v>9</v>
      </c>
      <c r="F912" s="6">
        <v>0</v>
      </c>
      <c r="G912" s="6">
        <v>0</v>
      </c>
      <c r="H912" s="4" t="s">
        <v>9</v>
      </c>
      <c r="I912" s="4" t="s">
        <v>3</v>
      </c>
      <c r="J912" s="4" t="s">
        <v>9</v>
      </c>
      <c r="K912" s="4" t="s">
        <v>9</v>
      </c>
      <c r="L912" s="4" t="s">
        <v>9</v>
      </c>
      <c r="M912" s="4" t="s">
        <v>9</v>
      </c>
      <c r="N912" s="5"/>
    </row>
    <row r="913" spans="1:14" x14ac:dyDescent="0.25">
      <c r="A913" t="s">
        <v>375</v>
      </c>
      <c r="B913" s="2">
        <v>45660</v>
      </c>
      <c r="C913" t="s">
        <v>375</v>
      </c>
      <c r="D913" t="s">
        <v>112</v>
      </c>
      <c r="E913" t="s">
        <v>9</v>
      </c>
      <c r="F913" s="3">
        <v>3800</v>
      </c>
      <c r="G913" s="3">
        <v>3800</v>
      </c>
      <c r="H913" t="s">
        <v>3</v>
      </c>
      <c r="I913" t="s">
        <v>3</v>
      </c>
      <c r="J913" t="s">
        <v>9</v>
      </c>
      <c r="K913" t="s">
        <v>9</v>
      </c>
      <c r="L913" t="s">
        <v>12</v>
      </c>
      <c r="M913" t="s">
        <v>114</v>
      </c>
      <c r="N913" s="2">
        <v>45657</v>
      </c>
    </row>
    <row r="914" spans="1:14" x14ac:dyDescent="0.25">
      <c r="A914" t="s">
        <v>375</v>
      </c>
      <c r="B914" s="2">
        <v>46028</v>
      </c>
      <c r="C914" t="s">
        <v>375</v>
      </c>
      <c r="D914" t="s">
        <v>112</v>
      </c>
      <c r="E914" t="s">
        <v>9</v>
      </c>
      <c r="F914" s="3">
        <v>-58000</v>
      </c>
      <c r="G914" s="3">
        <v>-58000</v>
      </c>
      <c r="H914" t="s">
        <v>3</v>
      </c>
      <c r="I914" t="s">
        <v>3</v>
      </c>
      <c r="J914" t="s">
        <v>9</v>
      </c>
      <c r="K914" t="s">
        <v>9</v>
      </c>
      <c r="L914" t="s">
        <v>12</v>
      </c>
      <c r="M914" t="s">
        <v>114</v>
      </c>
      <c r="N914" s="2">
        <v>46022</v>
      </c>
    </row>
    <row r="915" spans="1:14" x14ac:dyDescent="0.25">
      <c r="A915" t="s">
        <v>375</v>
      </c>
      <c r="B915" s="2">
        <v>46028</v>
      </c>
      <c r="C915" t="s">
        <v>375</v>
      </c>
      <c r="D915" t="s">
        <v>301</v>
      </c>
      <c r="E915" t="s">
        <v>9</v>
      </c>
      <c r="F915" s="3">
        <v>14000</v>
      </c>
      <c r="G915" s="3">
        <v>14000</v>
      </c>
      <c r="H915" t="s">
        <v>3</v>
      </c>
      <c r="I915" t="s">
        <v>3</v>
      </c>
      <c r="J915" t="s">
        <v>9</v>
      </c>
      <c r="K915" t="s">
        <v>9</v>
      </c>
      <c r="L915" t="s">
        <v>12</v>
      </c>
      <c r="M915" t="s">
        <v>302</v>
      </c>
      <c r="N915" s="2">
        <v>46022</v>
      </c>
    </row>
    <row r="916" spans="1:14" x14ac:dyDescent="0.25">
      <c r="A916" t="s">
        <v>375</v>
      </c>
      <c r="B916" s="2">
        <v>45626</v>
      </c>
      <c r="C916" t="s">
        <v>375</v>
      </c>
      <c r="D916" t="s">
        <v>112</v>
      </c>
      <c r="E916" t="s">
        <v>9</v>
      </c>
      <c r="F916" s="3">
        <v>-55150</v>
      </c>
      <c r="G916" s="3">
        <v>-55150</v>
      </c>
      <c r="H916" t="s">
        <v>3</v>
      </c>
      <c r="I916" t="s">
        <v>3</v>
      </c>
      <c r="J916" t="s">
        <v>283</v>
      </c>
      <c r="K916" t="s">
        <v>222</v>
      </c>
      <c r="L916" t="s">
        <v>12</v>
      </c>
      <c r="M916" t="s">
        <v>114</v>
      </c>
      <c r="N916" s="2">
        <v>45627</v>
      </c>
    </row>
    <row r="917" spans="1:14" x14ac:dyDescent="0.25">
      <c r="A917" t="s">
        <v>375</v>
      </c>
      <c r="B917" s="2">
        <v>45657</v>
      </c>
      <c r="C917" t="s">
        <v>375</v>
      </c>
      <c r="D917" t="s">
        <v>112</v>
      </c>
      <c r="E917" t="s">
        <v>9</v>
      </c>
      <c r="F917" s="3">
        <v>-16300</v>
      </c>
      <c r="G917" s="3">
        <v>-16300</v>
      </c>
      <c r="H917" t="s">
        <v>3</v>
      </c>
      <c r="I917" t="s">
        <v>3</v>
      </c>
      <c r="J917" t="s">
        <v>10</v>
      </c>
      <c r="K917" t="s">
        <v>222</v>
      </c>
      <c r="L917" t="s">
        <v>12</v>
      </c>
      <c r="M917" t="s">
        <v>114</v>
      </c>
      <c r="N917" s="2">
        <v>45657</v>
      </c>
    </row>
    <row r="918" spans="1:14" x14ac:dyDescent="0.25">
      <c r="A918" t="s">
        <v>375</v>
      </c>
      <c r="B918" s="2">
        <v>45657</v>
      </c>
      <c r="C918" t="s">
        <v>375</v>
      </c>
      <c r="D918" t="s">
        <v>112</v>
      </c>
      <c r="E918" t="s">
        <v>9</v>
      </c>
      <c r="F918" s="3">
        <v>67650</v>
      </c>
      <c r="G918" s="3">
        <v>67650</v>
      </c>
      <c r="H918" t="s">
        <v>3</v>
      </c>
      <c r="I918" t="s">
        <v>3</v>
      </c>
      <c r="J918" t="s">
        <v>292</v>
      </c>
      <c r="K918" t="s">
        <v>222</v>
      </c>
      <c r="L918" t="s">
        <v>12</v>
      </c>
      <c r="M918" t="s">
        <v>114</v>
      </c>
      <c r="N918" s="2">
        <v>45657</v>
      </c>
    </row>
    <row r="919" spans="1:14" x14ac:dyDescent="0.25">
      <c r="A919" t="s">
        <v>375</v>
      </c>
      <c r="B919" s="2">
        <v>45991</v>
      </c>
      <c r="C919" t="s">
        <v>375</v>
      </c>
      <c r="D919" t="s">
        <v>112</v>
      </c>
      <c r="E919" t="s">
        <v>9</v>
      </c>
      <c r="F919" s="3">
        <v>-110050</v>
      </c>
      <c r="G919" s="3">
        <v>-110050</v>
      </c>
      <c r="H919" t="s">
        <v>3</v>
      </c>
      <c r="I919" t="s">
        <v>3</v>
      </c>
      <c r="J919" t="s">
        <v>328</v>
      </c>
      <c r="K919" t="s">
        <v>5</v>
      </c>
      <c r="L919" t="s">
        <v>12</v>
      </c>
      <c r="M919" t="s">
        <v>114</v>
      </c>
      <c r="N919" s="2">
        <v>45992</v>
      </c>
    </row>
    <row r="920" spans="1:14" x14ac:dyDescent="0.25">
      <c r="A920" t="s">
        <v>375</v>
      </c>
      <c r="B920" s="2">
        <v>45991</v>
      </c>
      <c r="C920" t="s">
        <v>375</v>
      </c>
      <c r="D920" t="s">
        <v>112</v>
      </c>
      <c r="E920" t="s">
        <v>9</v>
      </c>
      <c r="F920" s="3">
        <v>-600</v>
      </c>
      <c r="G920" s="3">
        <v>-600</v>
      </c>
      <c r="H920" t="s">
        <v>3</v>
      </c>
      <c r="I920" t="s">
        <v>3</v>
      </c>
      <c r="J920" t="s">
        <v>329</v>
      </c>
      <c r="K920" t="s">
        <v>5</v>
      </c>
      <c r="L920" t="s">
        <v>12</v>
      </c>
      <c r="M920" t="s">
        <v>114</v>
      </c>
      <c r="N920" s="2">
        <v>45992</v>
      </c>
    </row>
    <row r="921" spans="1:14" x14ac:dyDescent="0.25">
      <c r="A921" t="s">
        <v>375</v>
      </c>
      <c r="B921" s="2">
        <v>46022</v>
      </c>
      <c r="C921" t="s">
        <v>375</v>
      </c>
      <c r="D921" t="s">
        <v>112</v>
      </c>
      <c r="E921" t="s">
        <v>9</v>
      </c>
      <c r="F921" s="3">
        <v>30000</v>
      </c>
      <c r="G921" s="3">
        <v>30000</v>
      </c>
      <c r="H921" t="s">
        <v>3</v>
      </c>
      <c r="I921" t="s">
        <v>3</v>
      </c>
      <c r="J921" t="s">
        <v>376</v>
      </c>
      <c r="K921" t="s">
        <v>5</v>
      </c>
      <c r="L921" t="s">
        <v>12</v>
      </c>
      <c r="M921" t="s">
        <v>114</v>
      </c>
      <c r="N921" s="2">
        <v>46022</v>
      </c>
    </row>
    <row r="922" spans="1:14" x14ac:dyDescent="0.25">
      <c r="A922" t="s">
        <v>375</v>
      </c>
      <c r="B922" s="2">
        <v>46022</v>
      </c>
      <c r="C922" t="s">
        <v>375</v>
      </c>
      <c r="D922" t="s">
        <v>112</v>
      </c>
      <c r="E922" t="s">
        <v>9</v>
      </c>
      <c r="F922" s="3">
        <v>123750</v>
      </c>
      <c r="G922" s="3">
        <v>123750</v>
      </c>
      <c r="H922" t="s">
        <v>3</v>
      </c>
      <c r="I922" t="s">
        <v>3</v>
      </c>
      <c r="J922" t="s">
        <v>298</v>
      </c>
      <c r="K922" t="s">
        <v>5</v>
      </c>
      <c r="L922" t="s">
        <v>12</v>
      </c>
      <c r="M922" t="s">
        <v>114</v>
      </c>
      <c r="N922" s="2">
        <v>46022</v>
      </c>
    </row>
    <row r="923" spans="1:14" x14ac:dyDescent="0.25">
      <c r="A923" t="s">
        <v>375</v>
      </c>
      <c r="B923" s="2">
        <v>46022</v>
      </c>
      <c r="C923" t="s">
        <v>375</v>
      </c>
      <c r="D923" t="s">
        <v>112</v>
      </c>
      <c r="E923" t="s">
        <v>9</v>
      </c>
      <c r="F923" s="3">
        <v>900</v>
      </c>
      <c r="G923" s="3">
        <v>900</v>
      </c>
      <c r="H923" t="s">
        <v>3</v>
      </c>
      <c r="I923" t="s">
        <v>3</v>
      </c>
      <c r="J923" t="s">
        <v>299</v>
      </c>
      <c r="K923" t="s">
        <v>5</v>
      </c>
      <c r="L923" t="s">
        <v>12</v>
      </c>
      <c r="M923" t="s">
        <v>114</v>
      </c>
      <c r="N923" s="2">
        <v>46022</v>
      </c>
    </row>
    <row r="924" spans="1:14" x14ac:dyDescent="0.25">
      <c r="A924" t="s">
        <v>375</v>
      </c>
      <c r="B924" s="2">
        <v>46022</v>
      </c>
      <c r="C924" t="s">
        <v>375</v>
      </c>
      <c r="D924" t="s">
        <v>301</v>
      </c>
      <c r="E924" t="s">
        <v>9</v>
      </c>
      <c r="F924" s="3">
        <v>-14000</v>
      </c>
      <c r="G924" s="3">
        <v>-14000</v>
      </c>
      <c r="H924" t="s">
        <v>3</v>
      </c>
      <c r="I924" t="s">
        <v>3</v>
      </c>
      <c r="J924" t="s">
        <v>10</v>
      </c>
      <c r="K924" t="s">
        <v>5</v>
      </c>
      <c r="L924" t="s">
        <v>12</v>
      </c>
      <c r="M924" t="s">
        <v>302</v>
      </c>
      <c r="N924" s="2">
        <v>46022</v>
      </c>
    </row>
    <row r="925" spans="1:14" x14ac:dyDescent="0.25">
      <c r="A925" t="s">
        <v>375</v>
      </c>
      <c r="B925" s="2">
        <v>45992</v>
      </c>
      <c r="C925" t="s">
        <v>375</v>
      </c>
      <c r="D925" t="s">
        <v>112</v>
      </c>
      <c r="E925" t="s">
        <v>9</v>
      </c>
      <c r="F925" s="3">
        <v>14000</v>
      </c>
      <c r="G925" s="3">
        <v>14000</v>
      </c>
      <c r="H925" t="s">
        <v>3</v>
      </c>
      <c r="I925" t="s">
        <v>3</v>
      </c>
      <c r="J925" t="s">
        <v>376</v>
      </c>
      <c r="K925" t="s">
        <v>5</v>
      </c>
      <c r="L925" t="s">
        <v>12</v>
      </c>
      <c r="M925" t="s">
        <v>114</v>
      </c>
      <c r="N925" s="2">
        <v>45992</v>
      </c>
    </row>
    <row r="926" spans="1:14" x14ac:dyDescent="0.25">
      <c r="A926" t="s">
        <v>375</v>
      </c>
      <c r="B926" s="2">
        <v>46022</v>
      </c>
      <c r="C926" t="s">
        <v>375</v>
      </c>
      <c r="D926" t="s">
        <v>112</v>
      </c>
      <c r="E926" t="s">
        <v>9</v>
      </c>
      <c r="F926" s="3">
        <v>123750</v>
      </c>
      <c r="G926" s="3">
        <v>123750</v>
      </c>
      <c r="H926" t="s">
        <v>3</v>
      </c>
      <c r="I926" t="s">
        <v>3</v>
      </c>
      <c r="J926" t="s">
        <v>298</v>
      </c>
      <c r="K926" t="s">
        <v>5</v>
      </c>
      <c r="L926" t="s">
        <v>12</v>
      </c>
      <c r="M926" t="s">
        <v>114</v>
      </c>
      <c r="N926" s="2">
        <v>46022</v>
      </c>
    </row>
    <row r="927" spans="1:14" x14ac:dyDescent="0.25">
      <c r="A927" t="s">
        <v>375</v>
      </c>
      <c r="B927" s="2">
        <v>46022</v>
      </c>
      <c r="C927" t="s">
        <v>375</v>
      </c>
      <c r="D927" t="s">
        <v>112</v>
      </c>
      <c r="E927" t="s">
        <v>9</v>
      </c>
      <c r="F927" s="3">
        <v>900</v>
      </c>
      <c r="G927" s="3">
        <v>900</v>
      </c>
      <c r="H927" t="s">
        <v>3</v>
      </c>
      <c r="I927" t="s">
        <v>3</v>
      </c>
      <c r="J927" t="s">
        <v>299</v>
      </c>
      <c r="K927" t="s">
        <v>5</v>
      </c>
      <c r="L927" t="s">
        <v>12</v>
      </c>
      <c r="M927" t="s">
        <v>114</v>
      </c>
      <c r="N927" s="2">
        <v>46022</v>
      </c>
    </row>
    <row r="928" spans="1:14" x14ac:dyDescent="0.25">
      <c r="A928" t="s">
        <v>375</v>
      </c>
      <c r="B928" s="2">
        <v>46022</v>
      </c>
      <c r="C928" t="s">
        <v>375</v>
      </c>
      <c r="D928" t="s">
        <v>112</v>
      </c>
      <c r="E928" t="s">
        <v>9</v>
      </c>
      <c r="F928" s="3">
        <v>-123750</v>
      </c>
      <c r="G928" s="3">
        <v>-123750</v>
      </c>
      <c r="H928" t="s">
        <v>3</v>
      </c>
      <c r="I928" t="s">
        <v>3</v>
      </c>
      <c r="J928" t="s">
        <v>298</v>
      </c>
      <c r="K928" t="s">
        <v>5</v>
      </c>
      <c r="L928" t="s">
        <v>12</v>
      </c>
      <c r="M928" t="s">
        <v>114</v>
      </c>
      <c r="N928" s="2">
        <v>46022</v>
      </c>
    </row>
    <row r="929" spans="1:14" x14ac:dyDescent="0.25">
      <c r="A929" t="s">
        <v>375</v>
      </c>
      <c r="B929" s="2">
        <v>46022</v>
      </c>
      <c r="C929" t="s">
        <v>375</v>
      </c>
      <c r="D929" t="s">
        <v>112</v>
      </c>
      <c r="E929" t="s">
        <v>9</v>
      </c>
      <c r="F929" s="3">
        <v>-900</v>
      </c>
      <c r="G929" s="3">
        <v>-900</v>
      </c>
      <c r="H929" t="s">
        <v>3</v>
      </c>
      <c r="I929" t="s">
        <v>3</v>
      </c>
      <c r="J929" t="s">
        <v>299</v>
      </c>
      <c r="K929" t="s">
        <v>5</v>
      </c>
      <c r="L929" t="s">
        <v>12</v>
      </c>
      <c r="M929" t="s">
        <v>114</v>
      </c>
      <c r="N929" s="2">
        <v>46022</v>
      </c>
    </row>
    <row r="930" spans="1:14" x14ac:dyDescent="0.25">
      <c r="A930" s="4" t="s">
        <v>228</v>
      </c>
      <c r="B930" s="5"/>
      <c r="C930" s="4" t="s">
        <v>9</v>
      </c>
      <c r="D930" s="4" t="s">
        <v>9</v>
      </c>
      <c r="E930" s="4" t="s">
        <v>9</v>
      </c>
      <c r="F930" s="6">
        <v>0</v>
      </c>
      <c r="G930" s="6">
        <v>0</v>
      </c>
      <c r="H930" s="4" t="s">
        <v>9</v>
      </c>
      <c r="I930" s="4" t="s">
        <v>3</v>
      </c>
      <c r="J930" s="4" t="s">
        <v>9</v>
      </c>
      <c r="K930" s="4" t="s">
        <v>9</v>
      </c>
      <c r="L930" s="4" t="s">
        <v>9</v>
      </c>
      <c r="M930" s="4" t="s">
        <v>9</v>
      </c>
      <c r="N930" s="5"/>
    </row>
    <row r="931" spans="1:14" x14ac:dyDescent="0.25">
      <c r="A931" s="4" t="s">
        <v>375</v>
      </c>
      <c r="B931" s="5"/>
      <c r="C931" s="4" t="s">
        <v>9</v>
      </c>
      <c r="D931" s="4" t="s">
        <v>9</v>
      </c>
      <c r="E931" s="4" t="s">
        <v>9</v>
      </c>
      <c r="F931" s="6">
        <v>0</v>
      </c>
      <c r="G931" s="6">
        <v>0</v>
      </c>
      <c r="H931" s="4" t="s">
        <v>9</v>
      </c>
      <c r="I931" s="4" t="s">
        <v>3</v>
      </c>
      <c r="J931" s="4" t="s">
        <v>9</v>
      </c>
      <c r="K931" s="4" t="s">
        <v>9</v>
      </c>
      <c r="L931" s="4" t="s">
        <v>9</v>
      </c>
      <c r="M931" s="4" t="s">
        <v>9</v>
      </c>
      <c r="N931" s="5"/>
    </row>
    <row r="932" spans="1:14" x14ac:dyDescent="0.25">
      <c r="A932" t="s">
        <v>377</v>
      </c>
      <c r="B932" s="2">
        <v>46084</v>
      </c>
      <c r="C932" t="s">
        <v>377</v>
      </c>
      <c r="D932" t="s">
        <v>51</v>
      </c>
      <c r="E932" t="s">
        <v>9</v>
      </c>
      <c r="F932" s="3">
        <v>-10791.67</v>
      </c>
      <c r="G932" s="3">
        <v>-10791.67</v>
      </c>
      <c r="H932" t="s">
        <v>3</v>
      </c>
      <c r="I932" t="s">
        <v>3</v>
      </c>
      <c r="J932" t="s">
        <v>9</v>
      </c>
      <c r="K932" t="s">
        <v>9</v>
      </c>
      <c r="L932" t="s">
        <v>15</v>
      </c>
      <c r="M932" t="s">
        <v>53</v>
      </c>
      <c r="N932" s="2">
        <v>46081</v>
      </c>
    </row>
    <row r="933" spans="1:14" x14ac:dyDescent="0.25">
      <c r="A933" t="s">
        <v>377</v>
      </c>
      <c r="B933" s="2">
        <v>46065</v>
      </c>
      <c r="C933" t="s">
        <v>377</v>
      </c>
      <c r="D933" t="s">
        <v>51</v>
      </c>
      <c r="E933" t="s">
        <v>9</v>
      </c>
      <c r="F933" s="3">
        <v>10791.67</v>
      </c>
      <c r="G933" s="3">
        <v>10791.67</v>
      </c>
      <c r="H933" t="s">
        <v>3</v>
      </c>
      <c r="I933" t="s">
        <v>3</v>
      </c>
      <c r="J933" t="s">
        <v>378</v>
      </c>
      <c r="K933" t="s">
        <v>13</v>
      </c>
      <c r="L933" t="s">
        <v>15</v>
      </c>
      <c r="M933" t="s">
        <v>53</v>
      </c>
      <c r="N933" s="2">
        <v>46065</v>
      </c>
    </row>
    <row r="934" spans="1:14" x14ac:dyDescent="0.25">
      <c r="A934" s="4" t="s">
        <v>239</v>
      </c>
      <c r="B934" s="5"/>
      <c r="C934" s="4" t="s">
        <v>9</v>
      </c>
      <c r="D934" s="4" t="s">
        <v>9</v>
      </c>
      <c r="E934" s="4" t="s">
        <v>9</v>
      </c>
      <c r="F934" s="6">
        <v>0</v>
      </c>
      <c r="G934" s="6">
        <v>0</v>
      </c>
      <c r="H934" s="4" t="s">
        <v>9</v>
      </c>
      <c r="I934" s="4" t="s">
        <v>3</v>
      </c>
      <c r="J934" s="4" t="s">
        <v>9</v>
      </c>
      <c r="K934" s="4" t="s">
        <v>9</v>
      </c>
      <c r="L934" s="4" t="s">
        <v>9</v>
      </c>
      <c r="M934" s="4" t="s">
        <v>9</v>
      </c>
      <c r="N934" s="5"/>
    </row>
    <row r="935" spans="1:14" x14ac:dyDescent="0.25">
      <c r="A935" t="s">
        <v>377</v>
      </c>
      <c r="B935" s="2">
        <v>46028</v>
      </c>
      <c r="C935" t="s">
        <v>377</v>
      </c>
      <c r="D935" t="s">
        <v>99</v>
      </c>
      <c r="E935" t="s">
        <v>9</v>
      </c>
      <c r="F935" s="3">
        <v>-12500</v>
      </c>
      <c r="G935" s="3">
        <v>-12500</v>
      </c>
      <c r="H935" t="s">
        <v>3</v>
      </c>
      <c r="I935" t="s">
        <v>3</v>
      </c>
      <c r="J935" t="s">
        <v>9</v>
      </c>
      <c r="K935" t="s">
        <v>9</v>
      </c>
      <c r="L935" t="s">
        <v>12</v>
      </c>
      <c r="M935" t="s">
        <v>102</v>
      </c>
      <c r="N935" s="2">
        <v>46022</v>
      </c>
    </row>
    <row r="936" spans="1:14" x14ac:dyDescent="0.25">
      <c r="A936" t="s">
        <v>377</v>
      </c>
      <c r="B936" s="2">
        <v>46020</v>
      </c>
      <c r="C936" t="s">
        <v>377</v>
      </c>
      <c r="D936" t="s">
        <v>99</v>
      </c>
      <c r="E936" t="s">
        <v>147</v>
      </c>
      <c r="F936" s="3">
        <v>12500</v>
      </c>
      <c r="G936" s="3">
        <v>12500</v>
      </c>
      <c r="H936" t="s">
        <v>3</v>
      </c>
      <c r="I936" t="s">
        <v>3</v>
      </c>
      <c r="J936" t="s">
        <v>379</v>
      </c>
      <c r="K936" t="s">
        <v>5</v>
      </c>
      <c r="L936" t="s">
        <v>12</v>
      </c>
      <c r="M936" t="s">
        <v>102</v>
      </c>
      <c r="N936" s="2">
        <v>46020</v>
      </c>
    </row>
    <row r="937" spans="1:14" x14ac:dyDescent="0.25">
      <c r="A937" s="4" t="s">
        <v>228</v>
      </c>
      <c r="B937" s="5"/>
      <c r="C937" s="4" t="s">
        <v>9</v>
      </c>
      <c r="D937" s="4" t="s">
        <v>9</v>
      </c>
      <c r="E937" s="4" t="s">
        <v>9</v>
      </c>
      <c r="F937" s="6">
        <v>0</v>
      </c>
      <c r="G937" s="6">
        <v>0</v>
      </c>
      <c r="H937" s="4" t="s">
        <v>9</v>
      </c>
      <c r="I937" s="4" t="s">
        <v>3</v>
      </c>
      <c r="J937" s="4" t="s">
        <v>9</v>
      </c>
      <c r="K937" s="4" t="s">
        <v>9</v>
      </c>
      <c r="L937" s="4" t="s">
        <v>9</v>
      </c>
      <c r="M937" s="4" t="s">
        <v>9</v>
      </c>
      <c r="N937" s="5"/>
    </row>
    <row r="938" spans="1:14" x14ac:dyDescent="0.25">
      <c r="A938" s="4" t="s">
        <v>377</v>
      </c>
      <c r="B938" s="5"/>
      <c r="C938" s="4" t="s">
        <v>9</v>
      </c>
      <c r="D938" s="4" t="s">
        <v>9</v>
      </c>
      <c r="E938" s="4" t="s">
        <v>9</v>
      </c>
      <c r="F938" s="6">
        <v>0</v>
      </c>
      <c r="G938" s="6">
        <v>0</v>
      </c>
      <c r="H938" s="4" t="s">
        <v>9</v>
      </c>
      <c r="I938" s="4" t="s">
        <v>3</v>
      </c>
      <c r="J938" s="4" t="s">
        <v>9</v>
      </c>
      <c r="K938" s="4" t="s">
        <v>9</v>
      </c>
      <c r="L938" s="4" t="s">
        <v>9</v>
      </c>
      <c r="M938" s="4" t="s">
        <v>9</v>
      </c>
      <c r="N938" s="5"/>
    </row>
    <row r="939" spans="1:14" x14ac:dyDescent="0.25">
      <c r="A939" t="s">
        <v>380</v>
      </c>
      <c r="B939" s="2">
        <v>45693</v>
      </c>
      <c r="C939" t="s">
        <v>380</v>
      </c>
      <c r="D939" t="s">
        <v>112</v>
      </c>
      <c r="E939" t="s">
        <v>9</v>
      </c>
      <c r="F939" s="3">
        <v>-400</v>
      </c>
      <c r="G939" s="3">
        <v>-400</v>
      </c>
      <c r="H939" t="s">
        <v>3</v>
      </c>
      <c r="I939" t="s">
        <v>3</v>
      </c>
      <c r="J939" t="s">
        <v>9</v>
      </c>
      <c r="K939" t="s">
        <v>9</v>
      </c>
      <c r="L939" t="s">
        <v>14</v>
      </c>
      <c r="M939" t="s">
        <v>114</v>
      </c>
      <c r="N939" s="2">
        <v>45688</v>
      </c>
    </row>
    <row r="940" spans="1:14" x14ac:dyDescent="0.25">
      <c r="A940" t="s">
        <v>380</v>
      </c>
      <c r="B940" s="2">
        <v>45688</v>
      </c>
      <c r="C940" t="s">
        <v>380</v>
      </c>
      <c r="D940" t="s">
        <v>112</v>
      </c>
      <c r="E940" t="s">
        <v>9</v>
      </c>
      <c r="F940" s="3">
        <v>400</v>
      </c>
      <c r="G940" s="3">
        <v>400</v>
      </c>
      <c r="H940" t="s">
        <v>3</v>
      </c>
      <c r="I940" t="s">
        <v>3</v>
      </c>
      <c r="J940" t="s">
        <v>297</v>
      </c>
      <c r="K940" t="s">
        <v>5</v>
      </c>
      <c r="L940" t="s">
        <v>14</v>
      </c>
      <c r="M940" t="s">
        <v>114</v>
      </c>
      <c r="N940" s="2">
        <v>45688</v>
      </c>
    </row>
    <row r="941" spans="1:14" x14ac:dyDescent="0.25">
      <c r="A941" t="s">
        <v>380</v>
      </c>
      <c r="B941" s="2">
        <v>46022</v>
      </c>
      <c r="C941" t="s">
        <v>380</v>
      </c>
      <c r="D941" t="s">
        <v>112</v>
      </c>
      <c r="E941" t="s">
        <v>9</v>
      </c>
      <c r="F941" s="3">
        <v>-4450</v>
      </c>
      <c r="G941" s="3">
        <v>-4450</v>
      </c>
      <c r="H941" t="s">
        <v>3</v>
      </c>
      <c r="I941" t="s">
        <v>3</v>
      </c>
      <c r="J941" t="s">
        <v>298</v>
      </c>
      <c r="K941" t="s">
        <v>13</v>
      </c>
      <c r="L941" t="s">
        <v>14</v>
      </c>
      <c r="M941" t="s">
        <v>114</v>
      </c>
      <c r="N941" s="2">
        <v>46023</v>
      </c>
    </row>
    <row r="942" spans="1:14" x14ac:dyDescent="0.25">
      <c r="A942" t="s">
        <v>380</v>
      </c>
      <c r="B942" s="2">
        <v>46022</v>
      </c>
      <c r="C942" t="s">
        <v>380</v>
      </c>
      <c r="D942" t="s">
        <v>112</v>
      </c>
      <c r="E942" t="s">
        <v>9</v>
      </c>
      <c r="F942" s="3">
        <v>-4601</v>
      </c>
      <c r="G942" s="3">
        <v>-4601</v>
      </c>
      <c r="H942" t="s">
        <v>3</v>
      </c>
      <c r="I942" t="s">
        <v>3</v>
      </c>
      <c r="J942" t="s">
        <v>381</v>
      </c>
      <c r="K942" t="s">
        <v>13</v>
      </c>
      <c r="L942" t="s">
        <v>14</v>
      </c>
      <c r="M942" t="s">
        <v>114</v>
      </c>
      <c r="N942" s="2">
        <v>46023</v>
      </c>
    </row>
    <row r="943" spans="1:14" x14ac:dyDescent="0.25">
      <c r="A943" t="s">
        <v>380</v>
      </c>
      <c r="B943" s="2">
        <v>46023</v>
      </c>
      <c r="C943" t="s">
        <v>380</v>
      </c>
      <c r="D943" t="s">
        <v>112</v>
      </c>
      <c r="E943" t="s">
        <v>9</v>
      </c>
      <c r="F943" s="3">
        <v>4450</v>
      </c>
      <c r="G943" s="3">
        <v>4450</v>
      </c>
      <c r="H943" t="s">
        <v>3</v>
      </c>
      <c r="I943" t="s">
        <v>3</v>
      </c>
      <c r="J943" t="s">
        <v>298</v>
      </c>
      <c r="K943" t="s">
        <v>13</v>
      </c>
      <c r="L943" t="s">
        <v>14</v>
      </c>
      <c r="M943" t="s">
        <v>114</v>
      </c>
      <c r="N943" s="2">
        <v>46023</v>
      </c>
    </row>
    <row r="944" spans="1:14" x14ac:dyDescent="0.25">
      <c r="A944" t="s">
        <v>380</v>
      </c>
      <c r="B944" s="2">
        <v>46023</v>
      </c>
      <c r="C944" t="s">
        <v>380</v>
      </c>
      <c r="D944" t="s">
        <v>112</v>
      </c>
      <c r="E944" t="s">
        <v>9</v>
      </c>
      <c r="F944" s="3">
        <v>4601</v>
      </c>
      <c r="G944" s="3">
        <v>4601</v>
      </c>
      <c r="H944" t="s">
        <v>3</v>
      </c>
      <c r="I944" t="s">
        <v>3</v>
      </c>
      <c r="J944" t="s">
        <v>381</v>
      </c>
      <c r="K944" t="s">
        <v>13</v>
      </c>
      <c r="L944" t="s">
        <v>14</v>
      </c>
      <c r="M944" t="s">
        <v>114</v>
      </c>
      <c r="N944" s="2">
        <v>46023</v>
      </c>
    </row>
    <row r="945" spans="1:14" x14ac:dyDescent="0.25">
      <c r="A945" s="4" t="s">
        <v>234</v>
      </c>
      <c r="B945" s="5"/>
      <c r="C945" s="4" t="s">
        <v>9</v>
      </c>
      <c r="D945" s="4" t="s">
        <v>9</v>
      </c>
      <c r="E945" s="4" t="s">
        <v>9</v>
      </c>
      <c r="F945" s="6">
        <v>0</v>
      </c>
      <c r="G945" s="6">
        <v>0</v>
      </c>
      <c r="H945" s="4" t="s">
        <v>9</v>
      </c>
      <c r="I945" s="4" t="s">
        <v>3</v>
      </c>
      <c r="J945" s="4" t="s">
        <v>9</v>
      </c>
      <c r="K945" s="4" t="s">
        <v>9</v>
      </c>
      <c r="L945" s="4" t="s">
        <v>9</v>
      </c>
      <c r="M945" s="4" t="s">
        <v>9</v>
      </c>
      <c r="N945" s="5"/>
    </row>
    <row r="946" spans="1:14" x14ac:dyDescent="0.25">
      <c r="A946" t="s">
        <v>380</v>
      </c>
      <c r="B946" s="2">
        <v>45720</v>
      </c>
      <c r="C946" t="s">
        <v>380</v>
      </c>
      <c r="D946" t="s">
        <v>112</v>
      </c>
      <c r="E946" t="s">
        <v>9</v>
      </c>
      <c r="F946" s="3">
        <v>-750</v>
      </c>
      <c r="G946" s="3">
        <v>-750</v>
      </c>
      <c r="H946" t="s">
        <v>3</v>
      </c>
      <c r="I946" t="s">
        <v>3</v>
      </c>
      <c r="J946" t="s">
        <v>9</v>
      </c>
      <c r="K946" t="s">
        <v>9</v>
      </c>
      <c r="L946" t="s">
        <v>15</v>
      </c>
      <c r="M946" t="s">
        <v>114</v>
      </c>
      <c r="N946" s="2">
        <v>45716</v>
      </c>
    </row>
    <row r="947" spans="1:14" x14ac:dyDescent="0.25">
      <c r="A947" t="s">
        <v>380</v>
      </c>
      <c r="B947" s="2">
        <v>46084</v>
      </c>
      <c r="C947" t="s">
        <v>380</v>
      </c>
      <c r="D947" t="s">
        <v>112</v>
      </c>
      <c r="E947" t="s">
        <v>9</v>
      </c>
      <c r="F947" s="3">
        <v>-100</v>
      </c>
      <c r="G947" s="3">
        <v>-100</v>
      </c>
      <c r="H947" t="s">
        <v>3</v>
      </c>
      <c r="I947" t="s">
        <v>3</v>
      </c>
      <c r="J947" t="s">
        <v>9</v>
      </c>
      <c r="K947" t="s">
        <v>9</v>
      </c>
      <c r="L947" t="s">
        <v>15</v>
      </c>
      <c r="M947" t="s">
        <v>114</v>
      </c>
      <c r="N947" s="2">
        <v>46081</v>
      </c>
    </row>
    <row r="948" spans="1:14" x14ac:dyDescent="0.25">
      <c r="A948" t="s">
        <v>380</v>
      </c>
      <c r="B948" s="2">
        <v>45688</v>
      </c>
      <c r="C948" t="s">
        <v>380</v>
      </c>
      <c r="D948" t="s">
        <v>112</v>
      </c>
      <c r="E948" t="s">
        <v>9</v>
      </c>
      <c r="F948" s="3">
        <v>-400</v>
      </c>
      <c r="G948" s="3">
        <v>-400</v>
      </c>
      <c r="H948" t="s">
        <v>3</v>
      </c>
      <c r="I948" t="s">
        <v>3</v>
      </c>
      <c r="J948" t="s">
        <v>297</v>
      </c>
      <c r="K948" t="s">
        <v>5</v>
      </c>
      <c r="L948" t="s">
        <v>15</v>
      </c>
      <c r="M948" t="s">
        <v>114</v>
      </c>
      <c r="N948" s="2">
        <v>45689</v>
      </c>
    </row>
    <row r="949" spans="1:14" x14ac:dyDescent="0.25">
      <c r="A949" t="s">
        <v>380</v>
      </c>
      <c r="B949" s="2">
        <v>45716</v>
      </c>
      <c r="C949" t="s">
        <v>380</v>
      </c>
      <c r="D949" t="s">
        <v>112</v>
      </c>
      <c r="E949" t="s">
        <v>9</v>
      </c>
      <c r="F949" s="3">
        <v>1150</v>
      </c>
      <c r="G949" s="3">
        <v>1150</v>
      </c>
      <c r="H949" t="s">
        <v>3</v>
      </c>
      <c r="I949" t="s">
        <v>3</v>
      </c>
      <c r="J949" t="s">
        <v>303</v>
      </c>
      <c r="K949" t="s">
        <v>5</v>
      </c>
      <c r="L949" t="s">
        <v>15</v>
      </c>
      <c r="M949" t="s">
        <v>114</v>
      </c>
      <c r="N949" s="2">
        <v>45716</v>
      </c>
    </row>
    <row r="950" spans="1:14" x14ac:dyDescent="0.25">
      <c r="A950" t="s">
        <v>380</v>
      </c>
      <c r="B950" s="2">
        <v>46081</v>
      </c>
      <c r="C950" t="s">
        <v>380</v>
      </c>
      <c r="D950" t="s">
        <v>112</v>
      </c>
      <c r="E950" t="s">
        <v>9</v>
      </c>
      <c r="F950" s="3">
        <v>100</v>
      </c>
      <c r="G950" s="3">
        <v>100</v>
      </c>
      <c r="H950" t="s">
        <v>3</v>
      </c>
      <c r="I950" t="s">
        <v>3</v>
      </c>
      <c r="J950" t="s">
        <v>304</v>
      </c>
      <c r="K950" t="s">
        <v>13</v>
      </c>
      <c r="L950" t="s">
        <v>15</v>
      </c>
      <c r="M950" t="s">
        <v>114</v>
      </c>
      <c r="N950" s="2">
        <v>46081</v>
      </c>
    </row>
    <row r="951" spans="1:14" x14ac:dyDescent="0.25">
      <c r="A951" s="4" t="s">
        <v>239</v>
      </c>
      <c r="B951" s="5"/>
      <c r="C951" s="4" t="s">
        <v>9</v>
      </c>
      <c r="D951" s="4" t="s">
        <v>9</v>
      </c>
      <c r="E951" s="4" t="s">
        <v>9</v>
      </c>
      <c r="F951" s="6">
        <v>0</v>
      </c>
      <c r="G951" s="6">
        <v>0</v>
      </c>
      <c r="H951" s="4" t="s">
        <v>9</v>
      </c>
      <c r="I951" s="4" t="s">
        <v>3</v>
      </c>
      <c r="J951" s="4" t="s">
        <v>9</v>
      </c>
      <c r="K951" s="4" t="s">
        <v>9</v>
      </c>
      <c r="L951" s="4" t="s">
        <v>9</v>
      </c>
      <c r="M951" s="4" t="s">
        <v>9</v>
      </c>
      <c r="N951" s="5"/>
    </row>
    <row r="952" spans="1:14" x14ac:dyDescent="0.25">
      <c r="A952" t="s">
        <v>380</v>
      </c>
      <c r="B952" s="2">
        <v>45749</v>
      </c>
      <c r="C952" t="s">
        <v>380</v>
      </c>
      <c r="D952" t="s">
        <v>112</v>
      </c>
      <c r="E952" t="s">
        <v>9</v>
      </c>
      <c r="F952" s="3">
        <v>-250</v>
      </c>
      <c r="G952" s="3">
        <v>-250</v>
      </c>
      <c r="H952" t="s">
        <v>3</v>
      </c>
      <c r="I952" t="s">
        <v>3</v>
      </c>
      <c r="J952" t="s">
        <v>9</v>
      </c>
      <c r="K952" t="s">
        <v>9</v>
      </c>
      <c r="L952" t="s">
        <v>16</v>
      </c>
      <c r="M952" t="s">
        <v>114</v>
      </c>
      <c r="N952" s="2">
        <v>45747</v>
      </c>
    </row>
    <row r="953" spans="1:14" x14ac:dyDescent="0.25">
      <c r="A953" t="s">
        <v>380</v>
      </c>
      <c r="B953" s="2">
        <v>46115</v>
      </c>
      <c r="C953" t="s">
        <v>380</v>
      </c>
      <c r="D953" t="s">
        <v>112</v>
      </c>
      <c r="E953" t="s">
        <v>9</v>
      </c>
      <c r="F953" s="3">
        <v>-500</v>
      </c>
      <c r="G953" s="3">
        <v>-500</v>
      </c>
      <c r="H953" t="s">
        <v>3</v>
      </c>
      <c r="I953" t="s">
        <v>3</v>
      </c>
      <c r="J953" t="s">
        <v>9</v>
      </c>
      <c r="K953" t="s">
        <v>9</v>
      </c>
      <c r="L953" t="s">
        <v>16</v>
      </c>
      <c r="M953" t="s">
        <v>114</v>
      </c>
      <c r="N953" s="2">
        <v>46112</v>
      </c>
    </row>
    <row r="954" spans="1:14" x14ac:dyDescent="0.25">
      <c r="A954" t="s">
        <v>380</v>
      </c>
      <c r="B954" s="2">
        <v>45717</v>
      </c>
      <c r="C954" t="s">
        <v>380</v>
      </c>
      <c r="D954" t="s">
        <v>112</v>
      </c>
      <c r="E954" t="s">
        <v>9</v>
      </c>
      <c r="F954" s="3">
        <v>-1150</v>
      </c>
      <c r="G954" s="3">
        <v>-1150</v>
      </c>
      <c r="H954" t="s">
        <v>3</v>
      </c>
      <c r="I954" t="s">
        <v>3</v>
      </c>
      <c r="J954" t="s">
        <v>303</v>
      </c>
      <c r="K954" t="s">
        <v>5</v>
      </c>
      <c r="L954" t="s">
        <v>16</v>
      </c>
      <c r="M954" t="s">
        <v>114</v>
      </c>
      <c r="N954" s="2">
        <v>45717</v>
      </c>
    </row>
    <row r="955" spans="1:14" x14ac:dyDescent="0.25">
      <c r="A955" t="s">
        <v>380</v>
      </c>
      <c r="B955" s="2">
        <v>45747</v>
      </c>
      <c r="C955" t="s">
        <v>380</v>
      </c>
      <c r="D955" t="s">
        <v>112</v>
      </c>
      <c r="E955" t="s">
        <v>9</v>
      </c>
      <c r="F955" s="3">
        <v>1400</v>
      </c>
      <c r="G955" s="3">
        <v>1400</v>
      </c>
      <c r="H955" t="s">
        <v>3</v>
      </c>
      <c r="I955" t="s">
        <v>3</v>
      </c>
      <c r="J955" t="s">
        <v>305</v>
      </c>
      <c r="K955" t="s">
        <v>5</v>
      </c>
      <c r="L955" t="s">
        <v>16</v>
      </c>
      <c r="M955" t="s">
        <v>114</v>
      </c>
      <c r="N955" s="2">
        <v>45747</v>
      </c>
    </row>
    <row r="956" spans="1:14" x14ac:dyDescent="0.25">
      <c r="A956" t="s">
        <v>380</v>
      </c>
      <c r="B956" s="2">
        <v>46081</v>
      </c>
      <c r="C956" t="s">
        <v>380</v>
      </c>
      <c r="D956" t="s">
        <v>112</v>
      </c>
      <c r="E956" t="s">
        <v>9</v>
      </c>
      <c r="F956" s="3">
        <v>-100</v>
      </c>
      <c r="G956" s="3">
        <v>-100</v>
      </c>
      <c r="H956" t="s">
        <v>3</v>
      </c>
      <c r="I956" t="s">
        <v>3</v>
      </c>
      <c r="J956" t="s">
        <v>304</v>
      </c>
      <c r="K956" t="s">
        <v>13</v>
      </c>
      <c r="L956" t="s">
        <v>16</v>
      </c>
      <c r="M956" t="s">
        <v>114</v>
      </c>
      <c r="N956" s="2">
        <v>46082</v>
      </c>
    </row>
    <row r="957" spans="1:14" x14ac:dyDescent="0.25">
      <c r="A957" t="s">
        <v>380</v>
      </c>
      <c r="B957" s="2">
        <v>46112</v>
      </c>
      <c r="C957" t="s">
        <v>380</v>
      </c>
      <c r="D957" t="s">
        <v>112</v>
      </c>
      <c r="E957" t="s">
        <v>9</v>
      </c>
      <c r="F957" s="3">
        <v>600</v>
      </c>
      <c r="G957" s="3">
        <v>600</v>
      </c>
      <c r="H957" t="s">
        <v>3</v>
      </c>
      <c r="I957" t="s">
        <v>3</v>
      </c>
      <c r="J957" t="s">
        <v>307</v>
      </c>
      <c r="K957" t="s">
        <v>13</v>
      </c>
      <c r="L957" t="s">
        <v>16</v>
      </c>
      <c r="M957" t="s">
        <v>114</v>
      </c>
      <c r="N957" s="2">
        <v>46112</v>
      </c>
    </row>
    <row r="958" spans="1:14" x14ac:dyDescent="0.25">
      <c r="A958" s="4" t="s">
        <v>244</v>
      </c>
      <c r="B958" s="5"/>
      <c r="C958" s="4" t="s">
        <v>9</v>
      </c>
      <c r="D958" s="4" t="s">
        <v>9</v>
      </c>
      <c r="E958" s="4" t="s">
        <v>9</v>
      </c>
      <c r="F958" s="6">
        <v>0</v>
      </c>
      <c r="G958" s="6">
        <v>0</v>
      </c>
      <c r="H958" s="4" t="s">
        <v>9</v>
      </c>
      <c r="I958" s="4" t="s">
        <v>3</v>
      </c>
      <c r="J958" s="4" t="s">
        <v>9</v>
      </c>
      <c r="K958" s="4" t="s">
        <v>9</v>
      </c>
      <c r="L958" s="4" t="s">
        <v>9</v>
      </c>
      <c r="M958" s="4" t="s">
        <v>9</v>
      </c>
      <c r="N958" s="5"/>
    </row>
    <row r="959" spans="1:14" x14ac:dyDescent="0.25">
      <c r="A959" t="s">
        <v>380</v>
      </c>
      <c r="B959" s="2">
        <v>45415</v>
      </c>
      <c r="C959" t="s">
        <v>380</v>
      </c>
      <c r="D959" t="s">
        <v>112</v>
      </c>
      <c r="E959" t="s">
        <v>9</v>
      </c>
      <c r="F959" s="3">
        <v>-150</v>
      </c>
      <c r="G959" s="3">
        <v>-150</v>
      </c>
      <c r="H959" t="s">
        <v>3</v>
      </c>
      <c r="I959" t="s">
        <v>3</v>
      </c>
      <c r="J959" t="s">
        <v>9</v>
      </c>
      <c r="K959" t="s">
        <v>9</v>
      </c>
      <c r="L959" t="s">
        <v>17</v>
      </c>
      <c r="M959" t="s">
        <v>114</v>
      </c>
      <c r="N959" s="2">
        <v>45412</v>
      </c>
    </row>
    <row r="960" spans="1:14" x14ac:dyDescent="0.25">
      <c r="A960" t="s">
        <v>380</v>
      </c>
      <c r="B960" s="2">
        <v>45782</v>
      </c>
      <c r="C960" t="s">
        <v>380</v>
      </c>
      <c r="D960" t="s">
        <v>112</v>
      </c>
      <c r="E960" t="s">
        <v>9</v>
      </c>
      <c r="F960" s="3">
        <v>-500</v>
      </c>
      <c r="G960" s="3">
        <v>-500</v>
      </c>
      <c r="H960" t="s">
        <v>3</v>
      </c>
      <c r="I960" t="s">
        <v>3</v>
      </c>
      <c r="J960" t="s">
        <v>9</v>
      </c>
      <c r="K960" t="s">
        <v>9</v>
      </c>
      <c r="L960" t="s">
        <v>17</v>
      </c>
      <c r="M960" t="s">
        <v>114</v>
      </c>
      <c r="N960" s="2">
        <v>45777</v>
      </c>
    </row>
    <row r="961" spans="1:14" x14ac:dyDescent="0.25">
      <c r="A961" t="s">
        <v>380</v>
      </c>
      <c r="B961" s="2">
        <v>46147</v>
      </c>
      <c r="C961" t="s">
        <v>380</v>
      </c>
      <c r="D961" t="s">
        <v>112</v>
      </c>
      <c r="E961" t="s">
        <v>9</v>
      </c>
      <c r="F961" s="3">
        <v>-500</v>
      </c>
      <c r="G961" s="3">
        <v>-500</v>
      </c>
      <c r="H961" t="s">
        <v>3</v>
      </c>
      <c r="I961" t="s">
        <v>3</v>
      </c>
      <c r="J961" t="s">
        <v>9</v>
      </c>
      <c r="K961" t="s">
        <v>9</v>
      </c>
      <c r="L961" t="s">
        <v>17</v>
      </c>
      <c r="M961" t="s">
        <v>114</v>
      </c>
      <c r="N961" s="2">
        <v>46142</v>
      </c>
    </row>
    <row r="962" spans="1:14" x14ac:dyDescent="0.25">
      <c r="A962" t="s">
        <v>380</v>
      </c>
      <c r="B962" s="2">
        <v>45412</v>
      </c>
      <c r="C962" t="s">
        <v>380</v>
      </c>
      <c r="D962" t="s">
        <v>112</v>
      </c>
      <c r="E962" t="s">
        <v>9</v>
      </c>
      <c r="F962" s="3">
        <v>150</v>
      </c>
      <c r="G962" s="3">
        <v>150</v>
      </c>
      <c r="H962" t="s">
        <v>3</v>
      </c>
      <c r="I962" t="s">
        <v>3</v>
      </c>
      <c r="J962" t="s">
        <v>248</v>
      </c>
      <c r="K962" t="s">
        <v>222</v>
      </c>
      <c r="L962" t="s">
        <v>17</v>
      </c>
      <c r="M962" t="s">
        <v>114</v>
      </c>
      <c r="N962" s="2">
        <v>45412</v>
      </c>
    </row>
    <row r="963" spans="1:14" x14ac:dyDescent="0.25">
      <c r="A963" t="s">
        <v>380</v>
      </c>
      <c r="B963" s="2">
        <v>45747</v>
      </c>
      <c r="C963" t="s">
        <v>380</v>
      </c>
      <c r="D963" t="s">
        <v>112</v>
      </c>
      <c r="E963" t="s">
        <v>9</v>
      </c>
      <c r="F963" s="3">
        <v>-1400</v>
      </c>
      <c r="G963" s="3">
        <v>-1400</v>
      </c>
      <c r="H963" t="s">
        <v>3</v>
      </c>
      <c r="I963" t="s">
        <v>3</v>
      </c>
      <c r="J963" t="s">
        <v>305</v>
      </c>
      <c r="K963" t="s">
        <v>5</v>
      </c>
      <c r="L963" t="s">
        <v>17</v>
      </c>
      <c r="M963" t="s">
        <v>114</v>
      </c>
      <c r="N963" s="2">
        <v>45748</v>
      </c>
    </row>
    <row r="964" spans="1:14" x14ac:dyDescent="0.25">
      <c r="A964" t="s">
        <v>380</v>
      </c>
      <c r="B964" s="2">
        <v>45777</v>
      </c>
      <c r="C964" t="s">
        <v>380</v>
      </c>
      <c r="D964" t="s">
        <v>112</v>
      </c>
      <c r="E964" t="s">
        <v>9</v>
      </c>
      <c r="F964" s="3">
        <v>1900</v>
      </c>
      <c r="G964" s="3">
        <v>1900</v>
      </c>
      <c r="H964" t="s">
        <v>3</v>
      </c>
      <c r="I964" t="s">
        <v>3</v>
      </c>
      <c r="J964" t="s">
        <v>308</v>
      </c>
      <c r="K964" t="s">
        <v>5</v>
      </c>
      <c r="L964" t="s">
        <v>17</v>
      </c>
      <c r="M964" t="s">
        <v>114</v>
      </c>
      <c r="N964" s="2">
        <v>45777</v>
      </c>
    </row>
    <row r="965" spans="1:14" x14ac:dyDescent="0.25">
      <c r="A965" t="s">
        <v>380</v>
      </c>
      <c r="B965" s="2">
        <v>46112</v>
      </c>
      <c r="C965" t="s">
        <v>380</v>
      </c>
      <c r="D965" t="s">
        <v>112</v>
      </c>
      <c r="E965" t="s">
        <v>9</v>
      </c>
      <c r="F965" s="3">
        <v>-600</v>
      </c>
      <c r="G965" s="3">
        <v>-600</v>
      </c>
      <c r="H965" t="s">
        <v>3</v>
      </c>
      <c r="I965" t="s">
        <v>3</v>
      </c>
      <c r="J965" t="s">
        <v>307</v>
      </c>
      <c r="K965" t="s">
        <v>13</v>
      </c>
      <c r="L965" t="s">
        <v>17</v>
      </c>
      <c r="M965" t="s">
        <v>114</v>
      </c>
      <c r="N965" s="2">
        <v>46113</v>
      </c>
    </row>
    <row r="966" spans="1:14" x14ac:dyDescent="0.25">
      <c r="A966" t="s">
        <v>380</v>
      </c>
      <c r="B966" s="2">
        <v>46142</v>
      </c>
      <c r="C966" t="s">
        <v>380</v>
      </c>
      <c r="D966" t="s">
        <v>112</v>
      </c>
      <c r="E966" t="s">
        <v>9</v>
      </c>
      <c r="F966" s="3">
        <v>1100</v>
      </c>
      <c r="G966" s="3">
        <v>1100</v>
      </c>
      <c r="H966" t="s">
        <v>3</v>
      </c>
      <c r="I966" t="s">
        <v>3</v>
      </c>
      <c r="J966" t="s">
        <v>310</v>
      </c>
      <c r="K966" t="s">
        <v>13</v>
      </c>
      <c r="L966" t="s">
        <v>17</v>
      </c>
      <c r="M966" t="s">
        <v>114</v>
      </c>
      <c r="N966" s="2">
        <v>46142</v>
      </c>
    </row>
    <row r="967" spans="1:14" x14ac:dyDescent="0.25">
      <c r="A967" s="4" t="s">
        <v>249</v>
      </c>
      <c r="B967" s="5"/>
      <c r="C967" s="4" t="s">
        <v>9</v>
      </c>
      <c r="D967" s="4" t="s">
        <v>9</v>
      </c>
      <c r="E967" s="4" t="s">
        <v>9</v>
      </c>
      <c r="F967" s="6">
        <v>0</v>
      </c>
      <c r="G967" s="6">
        <v>0</v>
      </c>
      <c r="H967" s="4" t="s">
        <v>9</v>
      </c>
      <c r="I967" s="4" t="s">
        <v>3</v>
      </c>
      <c r="J967" s="4" t="s">
        <v>9</v>
      </c>
      <c r="K967" s="4" t="s">
        <v>9</v>
      </c>
      <c r="L967" s="4" t="s">
        <v>9</v>
      </c>
      <c r="M967" s="4" t="s">
        <v>9</v>
      </c>
      <c r="N967" s="5"/>
    </row>
    <row r="968" spans="1:14" x14ac:dyDescent="0.25">
      <c r="A968" t="s">
        <v>380</v>
      </c>
      <c r="B968" s="2">
        <v>45447</v>
      </c>
      <c r="C968" t="s">
        <v>380</v>
      </c>
      <c r="D968" t="s">
        <v>112</v>
      </c>
      <c r="E968" t="s">
        <v>9</v>
      </c>
      <c r="F968" s="3">
        <v>-150</v>
      </c>
      <c r="G968" s="3">
        <v>-150</v>
      </c>
      <c r="H968" t="s">
        <v>3</v>
      </c>
      <c r="I968" t="s">
        <v>3</v>
      </c>
      <c r="J968" t="s">
        <v>9</v>
      </c>
      <c r="K968" t="s">
        <v>9</v>
      </c>
      <c r="L968" t="s">
        <v>18</v>
      </c>
      <c r="M968" t="s">
        <v>114</v>
      </c>
      <c r="N968" s="2">
        <v>45443</v>
      </c>
    </row>
    <row r="969" spans="1:14" x14ac:dyDescent="0.25">
      <c r="A969" t="s">
        <v>380</v>
      </c>
      <c r="B969" s="2">
        <v>45810</v>
      </c>
      <c r="C969" t="s">
        <v>380</v>
      </c>
      <c r="D969" t="s">
        <v>112</v>
      </c>
      <c r="E969" t="s">
        <v>9</v>
      </c>
      <c r="F969" s="3">
        <v>-200</v>
      </c>
      <c r="G969" s="3">
        <v>-200</v>
      </c>
      <c r="H969" t="s">
        <v>3</v>
      </c>
      <c r="I969" t="s">
        <v>3</v>
      </c>
      <c r="J969" t="s">
        <v>9</v>
      </c>
      <c r="K969" t="s">
        <v>9</v>
      </c>
      <c r="L969" t="s">
        <v>18</v>
      </c>
      <c r="M969" t="s">
        <v>114</v>
      </c>
      <c r="N969" s="2">
        <v>45808</v>
      </c>
    </row>
    <row r="970" spans="1:14" x14ac:dyDescent="0.25">
      <c r="A970" t="s">
        <v>380</v>
      </c>
      <c r="B970" s="2">
        <v>46175</v>
      </c>
      <c r="C970" t="s">
        <v>380</v>
      </c>
      <c r="D970" t="s">
        <v>112</v>
      </c>
      <c r="E970" t="s">
        <v>9</v>
      </c>
      <c r="F970" s="3">
        <v>-250</v>
      </c>
      <c r="G970" s="3">
        <v>-250</v>
      </c>
      <c r="H970" t="s">
        <v>3</v>
      </c>
      <c r="I970" t="s">
        <v>3</v>
      </c>
      <c r="J970" t="s">
        <v>9</v>
      </c>
      <c r="K970" t="s">
        <v>9</v>
      </c>
      <c r="L970" t="s">
        <v>18</v>
      </c>
      <c r="M970" t="s">
        <v>114</v>
      </c>
      <c r="N970" s="2">
        <v>46173</v>
      </c>
    </row>
    <row r="971" spans="1:14" x14ac:dyDescent="0.25">
      <c r="A971" t="s">
        <v>380</v>
      </c>
      <c r="B971" s="2">
        <v>45412</v>
      </c>
      <c r="C971" t="s">
        <v>380</v>
      </c>
      <c r="D971" t="s">
        <v>112</v>
      </c>
      <c r="E971" t="s">
        <v>9</v>
      </c>
      <c r="F971" s="3">
        <v>-150</v>
      </c>
      <c r="G971" s="3">
        <v>-150</v>
      </c>
      <c r="H971" t="s">
        <v>3</v>
      </c>
      <c r="I971" t="s">
        <v>3</v>
      </c>
      <c r="J971" t="s">
        <v>248</v>
      </c>
      <c r="K971" t="s">
        <v>222</v>
      </c>
      <c r="L971" t="s">
        <v>18</v>
      </c>
      <c r="M971" t="s">
        <v>114</v>
      </c>
      <c r="N971" s="2">
        <v>45413</v>
      </c>
    </row>
    <row r="972" spans="1:14" x14ac:dyDescent="0.25">
      <c r="A972" t="s">
        <v>380</v>
      </c>
      <c r="B972" s="2">
        <v>45443</v>
      </c>
      <c r="C972" t="s">
        <v>380</v>
      </c>
      <c r="D972" t="s">
        <v>112</v>
      </c>
      <c r="E972" t="s">
        <v>9</v>
      </c>
      <c r="F972" s="3">
        <v>300</v>
      </c>
      <c r="G972" s="3">
        <v>300</v>
      </c>
      <c r="H972" t="s">
        <v>3</v>
      </c>
      <c r="I972" t="s">
        <v>3</v>
      </c>
      <c r="J972" t="s">
        <v>253</v>
      </c>
      <c r="K972" t="s">
        <v>222</v>
      </c>
      <c r="L972" t="s">
        <v>18</v>
      </c>
      <c r="M972" t="s">
        <v>114</v>
      </c>
      <c r="N972" s="2">
        <v>45443</v>
      </c>
    </row>
    <row r="973" spans="1:14" x14ac:dyDescent="0.25">
      <c r="A973" t="s">
        <v>380</v>
      </c>
      <c r="B973" s="2">
        <v>45777</v>
      </c>
      <c r="C973" t="s">
        <v>380</v>
      </c>
      <c r="D973" t="s">
        <v>112</v>
      </c>
      <c r="E973" t="s">
        <v>9</v>
      </c>
      <c r="F973" s="3">
        <v>-1900</v>
      </c>
      <c r="G973" s="3">
        <v>-1900</v>
      </c>
      <c r="H973" t="s">
        <v>3</v>
      </c>
      <c r="I973" t="s">
        <v>3</v>
      </c>
      <c r="J973" t="s">
        <v>308</v>
      </c>
      <c r="K973" t="s">
        <v>5</v>
      </c>
      <c r="L973" t="s">
        <v>18</v>
      </c>
      <c r="M973" t="s">
        <v>114</v>
      </c>
      <c r="N973" s="2">
        <v>45778</v>
      </c>
    </row>
    <row r="974" spans="1:14" x14ac:dyDescent="0.25">
      <c r="A974" t="s">
        <v>380</v>
      </c>
      <c r="B974" s="2">
        <v>45808</v>
      </c>
      <c r="C974" t="s">
        <v>380</v>
      </c>
      <c r="D974" t="s">
        <v>112</v>
      </c>
      <c r="E974" t="s">
        <v>9</v>
      </c>
      <c r="F974" s="3">
        <v>2100</v>
      </c>
      <c r="G974" s="3">
        <v>2100</v>
      </c>
      <c r="H974" t="s">
        <v>3</v>
      </c>
      <c r="I974" t="s">
        <v>3</v>
      </c>
      <c r="J974" t="s">
        <v>311</v>
      </c>
      <c r="K974" t="s">
        <v>5</v>
      </c>
      <c r="L974" t="s">
        <v>18</v>
      </c>
      <c r="M974" t="s">
        <v>114</v>
      </c>
      <c r="N974" s="2">
        <v>45808</v>
      </c>
    </row>
    <row r="975" spans="1:14" x14ac:dyDescent="0.25">
      <c r="A975" t="s">
        <v>380</v>
      </c>
      <c r="B975" s="2">
        <v>46142</v>
      </c>
      <c r="C975" t="s">
        <v>380</v>
      </c>
      <c r="D975" t="s">
        <v>112</v>
      </c>
      <c r="E975" t="s">
        <v>9</v>
      </c>
      <c r="F975" s="3">
        <v>-1100</v>
      </c>
      <c r="G975" s="3">
        <v>-1100</v>
      </c>
      <c r="H975" t="s">
        <v>3</v>
      </c>
      <c r="I975" t="s">
        <v>3</v>
      </c>
      <c r="J975" t="s">
        <v>310</v>
      </c>
      <c r="K975" t="s">
        <v>13</v>
      </c>
      <c r="L975" t="s">
        <v>18</v>
      </c>
      <c r="M975" t="s">
        <v>114</v>
      </c>
      <c r="N975" s="2">
        <v>46143</v>
      </c>
    </row>
    <row r="976" spans="1:14" x14ac:dyDescent="0.25">
      <c r="A976" t="s">
        <v>380</v>
      </c>
      <c r="B976" s="2">
        <v>46173</v>
      </c>
      <c r="C976" t="s">
        <v>380</v>
      </c>
      <c r="D976" t="s">
        <v>112</v>
      </c>
      <c r="E976" t="s">
        <v>9</v>
      </c>
      <c r="F976" s="3">
        <v>1350</v>
      </c>
      <c r="G976" s="3">
        <v>1350</v>
      </c>
      <c r="H976" t="s">
        <v>3</v>
      </c>
      <c r="I976" t="s">
        <v>3</v>
      </c>
      <c r="J976" t="s">
        <v>313</v>
      </c>
      <c r="K976" t="s">
        <v>13</v>
      </c>
      <c r="L976" t="s">
        <v>18</v>
      </c>
      <c r="M976" t="s">
        <v>114</v>
      </c>
      <c r="N976" s="2">
        <v>46173</v>
      </c>
    </row>
    <row r="977" spans="1:14" x14ac:dyDescent="0.25">
      <c r="A977" s="4" t="s">
        <v>223</v>
      </c>
      <c r="B977" s="5"/>
      <c r="C977" s="4" t="s">
        <v>9</v>
      </c>
      <c r="D977" s="4" t="s">
        <v>9</v>
      </c>
      <c r="E977" s="4" t="s">
        <v>9</v>
      </c>
      <c r="F977" s="6">
        <v>0</v>
      </c>
      <c r="G977" s="6">
        <v>0</v>
      </c>
      <c r="H977" s="4" t="s">
        <v>9</v>
      </c>
      <c r="I977" s="4" t="s">
        <v>3</v>
      </c>
      <c r="J977" s="4" t="s">
        <v>9</v>
      </c>
      <c r="K977" s="4" t="s">
        <v>9</v>
      </c>
      <c r="L977" s="4" t="s">
        <v>9</v>
      </c>
      <c r="M977" s="4" t="s">
        <v>9</v>
      </c>
      <c r="N977" s="5"/>
    </row>
    <row r="978" spans="1:14" x14ac:dyDescent="0.25">
      <c r="A978" t="s">
        <v>380</v>
      </c>
      <c r="B978" s="2">
        <v>45475</v>
      </c>
      <c r="C978" t="s">
        <v>380</v>
      </c>
      <c r="D978" t="s">
        <v>112</v>
      </c>
      <c r="E978" t="s">
        <v>9</v>
      </c>
      <c r="F978" s="3">
        <v>-400</v>
      </c>
      <c r="G978" s="3">
        <v>-400</v>
      </c>
      <c r="H978" t="s">
        <v>3</v>
      </c>
      <c r="I978" t="s">
        <v>3</v>
      </c>
      <c r="J978" t="s">
        <v>9</v>
      </c>
      <c r="K978" t="s">
        <v>9</v>
      </c>
      <c r="L978" t="s">
        <v>19</v>
      </c>
      <c r="M978" t="s">
        <v>114</v>
      </c>
      <c r="N978" s="2">
        <v>45473</v>
      </c>
    </row>
    <row r="979" spans="1:14" x14ac:dyDescent="0.25">
      <c r="A979" t="s">
        <v>380</v>
      </c>
      <c r="B979" s="2">
        <v>45839</v>
      </c>
      <c r="C979" t="s">
        <v>380</v>
      </c>
      <c r="D979" t="s">
        <v>112</v>
      </c>
      <c r="E979" t="s">
        <v>9</v>
      </c>
      <c r="F979" s="3">
        <v>-200</v>
      </c>
      <c r="G979" s="3">
        <v>-200</v>
      </c>
      <c r="H979" t="s">
        <v>3</v>
      </c>
      <c r="I979" t="s">
        <v>3</v>
      </c>
      <c r="J979" t="s">
        <v>9</v>
      </c>
      <c r="K979" t="s">
        <v>9</v>
      </c>
      <c r="L979" t="s">
        <v>19</v>
      </c>
      <c r="M979" t="s">
        <v>114</v>
      </c>
      <c r="N979" s="2">
        <v>45838</v>
      </c>
    </row>
    <row r="980" spans="1:14" x14ac:dyDescent="0.25">
      <c r="A980" t="s">
        <v>380</v>
      </c>
      <c r="B980" s="2">
        <v>46205</v>
      </c>
      <c r="C980" t="s">
        <v>380</v>
      </c>
      <c r="D980" t="s">
        <v>112</v>
      </c>
      <c r="E980" t="s">
        <v>9</v>
      </c>
      <c r="F980" s="3">
        <v>-50</v>
      </c>
      <c r="G980" s="3">
        <v>-50</v>
      </c>
      <c r="H980" t="s">
        <v>3</v>
      </c>
      <c r="I980" t="s">
        <v>3</v>
      </c>
      <c r="J980" t="s">
        <v>9</v>
      </c>
      <c r="K980" t="s">
        <v>9</v>
      </c>
      <c r="L980" t="s">
        <v>19</v>
      </c>
      <c r="M980" t="s">
        <v>114</v>
      </c>
      <c r="N980" s="2">
        <v>46203</v>
      </c>
    </row>
    <row r="981" spans="1:14" x14ac:dyDescent="0.25">
      <c r="A981" t="s">
        <v>380</v>
      </c>
      <c r="B981" s="2">
        <v>45443</v>
      </c>
      <c r="C981" t="s">
        <v>380</v>
      </c>
      <c r="D981" t="s">
        <v>112</v>
      </c>
      <c r="E981" t="s">
        <v>9</v>
      </c>
      <c r="F981" s="3">
        <v>-300</v>
      </c>
      <c r="G981" s="3">
        <v>-300</v>
      </c>
      <c r="H981" t="s">
        <v>3</v>
      </c>
      <c r="I981" t="s">
        <v>3</v>
      </c>
      <c r="J981" t="s">
        <v>253</v>
      </c>
      <c r="K981" t="s">
        <v>222</v>
      </c>
      <c r="L981" t="s">
        <v>19</v>
      </c>
      <c r="M981" t="s">
        <v>114</v>
      </c>
      <c r="N981" s="2">
        <v>45444</v>
      </c>
    </row>
    <row r="982" spans="1:14" x14ac:dyDescent="0.25">
      <c r="A982" t="s">
        <v>380</v>
      </c>
      <c r="B982" s="2">
        <v>45473</v>
      </c>
      <c r="C982" t="s">
        <v>380</v>
      </c>
      <c r="D982" t="s">
        <v>112</v>
      </c>
      <c r="E982" t="s">
        <v>9</v>
      </c>
      <c r="F982" s="3">
        <v>700</v>
      </c>
      <c r="G982" s="3">
        <v>700</v>
      </c>
      <c r="H982" t="s">
        <v>3</v>
      </c>
      <c r="I982" t="s">
        <v>3</v>
      </c>
      <c r="J982" t="s">
        <v>257</v>
      </c>
      <c r="K982" t="s">
        <v>222</v>
      </c>
      <c r="L982" t="s">
        <v>19</v>
      </c>
      <c r="M982" t="s">
        <v>114</v>
      </c>
      <c r="N982" s="2">
        <v>45473</v>
      </c>
    </row>
    <row r="983" spans="1:14" x14ac:dyDescent="0.25">
      <c r="A983" t="s">
        <v>380</v>
      </c>
      <c r="B983" s="2">
        <v>45808</v>
      </c>
      <c r="C983" t="s">
        <v>380</v>
      </c>
      <c r="D983" t="s">
        <v>112</v>
      </c>
      <c r="E983" t="s">
        <v>9</v>
      </c>
      <c r="F983" s="3">
        <v>-2100</v>
      </c>
      <c r="G983" s="3">
        <v>-2100</v>
      </c>
      <c r="H983" t="s">
        <v>3</v>
      </c>
      <c r="I983" t="s">
        <v>3</v>
      </c>
      <c r="J983" t="s">
        <v>311</v>
      </c>
      <c r="K983" t="s">
        <v>5</v>
      </c>
      <c r="L983" t="s">
        <v>19</v>
      </c>
      <c r="M983" t="s">
        <v>114</v>
      </c>
      <c r="N983" s="2">
        <v>45809</v>
      </c>
    </row>
    <row r="984" spans="1:14" x14ac:dyDescent="0.25">
      <c r="A984" t="s">
        <v>380</v>
      </c>
      <c r="B984" s="2">
        <v>45838</v>
      </c>
      <c r="C984" t="s">
        <v>380</v>
      </c>
      <c r="D984" t="s">
        <v>112</v>
      </c>
      <c r="E984" t="s">
        <v>9</v>
      </c>
      <c r="F984" s="3">
        <v>2300</v>
      </c>
      <c r="G984" s="3">
        <v>2300</v>
      </c>
      <c r="H984" t="s">
        <v>3</v>
      </c>
      <c r="I984" t="s">
        <v>3</v>
      </c>
      <c r="J984" t="s">
        <v>314</v>
      </c>
      <c r="K984" t="s">
        <v>5</v>
      </c>
      <c r="L984" t="s">
        <v>19</v>
      </c>
      <c r="M984" t="s">
        <v>114</v>
      </c>
      <c r="N984" s="2">
        <v>45838</v>
      </c>
    </row>
    <row r="985" spans="1:14" x14ac:dyDescent="0.25">
      <c r="A985" t="s">
        <v>380</v>
      </c>
      <c r="B985" s="2">
        <v>46173</v>
      </c>
      <c r="C985" t="s">
        <v>380</v>
      </c>
      <c r="D985" t="s">
        <v>112</v>
      </c>
      <c r="E985" t="s">
        <v>9</v>
      </c>
      <c r="F985" s="3">
        <v>-1350</v>
      </c>
      <c r="G985" s="3">
        <v>-1350</v>
      </c>
      <c r="H985" t="s">
        <v>3</v>
      </c>
      <c r="I985" t="s">
        <v>3</v>
      </c>
      <c r="J985" t="s">
        <v>313</v>
      </c>
      <c r="K985" t="s">
        <v>13</v>
      </c>
      <c r="L985" t="s">
        <v>19</v>
      </c>
      <c r="M985" t="s">
        <v>114</v>
      </c>
      <c r="N985" s="2">
        <v>46174</v>
      </c>
    </row>
    <row r="986" spans="1:14" x14ac:dyDescent="0.25">
      <c r="A986" t="s">
        <v>380</v>
      </c>
      <c r="B986" s="2">
        <v>46203</v>
      </c>
      <c r="C986" t="s">
        <v>380</v>
      </c>
      <c r="D986" t="s">
        <v>112</v>
      </c>
      <c r="E986" t="s">
        <v>9</v>
      </c>
      <c r="F986" s="3">
        <v>1400</v>
      </c>
      <c r="G986" s="3">
        <v>1400</v>
      </c>
      <c r="H986" t="s">
        <v>3</v>
      </c>
      <c r="I986" t="s">
        <v>3</v>
      </c>
      <c r="J986" t="s">
        <v>316</v>
      </c>
      <c r="K986" t="s">
        <v>13</v>
      </c>
      <c r="L986" t="s">
        <v>19</v>
      </c>
      <c r="M986" t="s">
        <v>114</v>
      </c>
      <c r="N986" s="2">
        <v>46203</v>
      </c>
    </row>
    <row r="987" spans="1:14" x14ac:dyDescent="0.25">
      <c r="A987" s="4" t="s">
        <v>224</v>
      </c>
      <c r="B987" s="5"/>
      <c r="C987" s="4" t="s">
        <v>9</v>
      </c>
      <c r="D987" s="4" t="s">
        <v>9</v>
      </c>
      <c r="E987" s="4" t="s">
        <v>9</v>
      </c>
      <c r="F987" s="6">
        <v>0</v>
      </c>
      <c r="G987" s="6">
        <v>0</v>
      </c>
      <c r="H987" s="4" t="s">
        <v>9</v>
      </c>
      <c r="I987" s="4" t="s">
        <v>3</v>
      </c>
      <c r="J987" s="4" t="s">
        <v>9</v>
      </c>
      <c r="K987" s="4" t="s">
        <v>9</v>
      </c>
      <c r="L987" s="4" t="s">
        <v>9</v>
      </c>
      <c r="M987" s="4" t="s">
        <v>9</v>
      </c>
      <c r="N987" s="5"/>
    </row>
    <row r="988" spans="1:14" x14ac:dyDescent="0.25">
      <c r="A988" t="s">
        <v>380</v>
      </c>
      <c r="B988" s="2">
        <v>45509</v>
      </c>
      <c r="C988" t="s">
        <v>380</v>
      </c>
      <c r="D988" t="s">
        <v>112</v>
      </c>
      <c r="E988" t="s">
        <v>9</v>
      </c>
      <c r="F988" s="3">
        <v>-350</v>
      </c>
      <c r="G988" s="3">
        <v>-350</v>
      </c>
      <c r="H988" t="s">
        <v>3</v>
      </c>
      <c r="I988" t="s">
        <v>3</v>
      </c>
      <c r="J988" t="s">
        <v>9</v>
      </c>
      <c r="K988" t="s">
        <v>9</v>
      </c>
      <c r="L988" t="s">
        <v>21</v>
      </c>
      <c r="M988" t="s">
        <v>114</v>
      </c>
      <c r="N988" s="2">
        <v>45504</v>
      </c>
    </row>
    <row r="989" spans="1:14" x14ac:dyDescent="0.25">
      <c r="A989" t="s">
        <v>380</v>
      </c>
      <c r="B989" s="2">
        <v>45870</v>
      </c>
      <c r="C989" t="s">
        <v>380</v>
      </c>
      <c r="D989" t="s">
        <v>112</v>
      </c>
      <c r="E989" t="s">
        <v>9</v>
      </c>
      <c r="F989" s="3">
        <v>-1912</v>
      </c>
      <c r="G989" s="3">
        <v>-1912</v>
      </c>
      <c r="H989" t="s">
        <v>3</v>
      </c>
      <c r="I989" t="s">
        <v>3</v>
      </c>
      <c r="J989" t="s">
        <v>9</v>
      </c>
      <c r="K989" t="s">
        <v>9</v>
      </c>
      <c r="L989" t="s">
        <v>21</v>
      </c>
      <c r="M989" t="s">
        <v>114</v>
      </c>
      <c r="N989" s="2">
        <v>45869</v>
      </c>
    </row>
    <row r="990" spans="1:14" x14ac:dyDescent="0.25">
      <c r="A990" t="s">
        <v>380</v>
      </c>
      <c r="B990" s="2">
        <v>46239</v>
      </c>
      <c r="C990" t="s">
        <v>380</v>
      </c>
      <c r="D990" t="s">
        <v>112</v>
      </c>
      <c r="E990" t="s">
        <v>9</v>
      </c>
      <c r="F990" s="3">
        <v>1400</v>
      </c>
      <c r="G990" s="3">
        <v>1400</v>
      </c>
      <c r="H990" t="s">
        <v>3</v>
      </c>
      <c r="I990" t="s">
        <v>3</v>
      </c>
      <c r="J990" t="s">
        <v>9</v>
      </c>
      <c r="K990" t="s">
        <v>9</v>
      </c>
      <c r="L990" t="s">
        <v>21</v>
      </c>
      <c r="M990" t="s">
        <v>114</v>
      </c>
      <c r="N990" s="2">
        <v>46234</v>
      </c>
    </row>
    <row r="991" spans="1:14" x14ac:dyDescent="0.25">
      <c r="A991" t="s">
        <v>380</v>
      </c>
      <c r="B991" s="2">
        <v>46239</v>
      </c>
      <c r="C991" t="s">
        <v>380</v>
      </c>
      <c r="D991" t="s">
        <v>112</v>
      </c>
      <c r="E991" t="s">
        <v>9</v>
      </c>
      <c r="F991" s="3">
        <v>-1400</v>
      </c>
      <c r="G991" s="3">
        <v>-1400</v>
      </c>
      <c r="H991" t="s">
        <v>3</v>
      </c>
      <c r="I991" t="s">
        <v>3</v>
      </c>
      <c r="J991" t="s">
        <v>9</v>
      </c>
      <c r="K991" t="s">
        <v>9</v>
      </c>
      <c r="L991" t="s">
        <v>21</v>
      </c>
      <c r="M991" t="s">
        <v>114</v>
      </c>
      <c r="N991" s="2">
        <v>46234</v>
      </c>
    </row>
    <row r="992" spans="1:14" x14ac:dyDescent="0.25">
      <c r="A992" t="s">
        <v>380</v>
      </c>
      <c r="B992" s="2">
        <v>45473</v>
      </c>
      <c r="C992" t="s">
        <v>380</v>
      </c>
      <c r="D992" t="s">
        <v>112</v>
      </c>
      <c r="E992" t="s">
        <v>9</v>
      </c>
      <c r="F992" s="3">
        <v>-700</v>
      </c>
      <c r="G992" s="3">
        <v>-700</v>
      </c>
      <c r="H992" t="s">
        <v>3</v>
      </c>
      <c r="I992" t="s">
        <v>3</v>
      </c>
      <c r="J992" t="s">
        <v>257</v>
      </c>
      <c r="K992" t="s">
        <v>222</v>
      </c>
      <c r="L992" t="s">
        <v>21</v>
      </c>
      <c r="M992" t="s">
        <v>114</v>
      </c>
      <c r="N992" s="2">
        <v>45474</v>
      </c>
    </row>
    <row r="993" spans="1:14" x14ac:dyDescent="0.25">
      <c r="A993" t="s">
        <v>380</v>
      </c>
      <c r="B993" s="2">
        <v>45504</v>
      </c>
      <c r="C993" t="s">
        <v>380</v>
      </c>
      <c r="D993" t="s">
        <v>112</v>
      </c>
      <c r="E993" t="s">
        <v>9</v>
      </c>
      <c r="F993" s="3">
        <v>1050</v>
      </c>
      <c r="G993" s="3">
        <v>1050</v>
      </c>
      <c r="H993" t="s">
        <v>3</v>
      </c>
      <c r="I993" t="s">
        <v>3</v>
      </c>
      <c r="J993" t="s">
        <v>261</v>
      </c>
      <c r="K993" t="s">
        <v>222</v>
      </c>
      <c r="L993" t="s">
        <v>21</v>
      </c>
      <c r="M993" t="s">
        <v>114</v>
      </c>
      <c r="N993" s="2">
        <v>45504</v>
      </c>
    </row>
    <row r="994" spans="1:14" x14ac:dyDescent="0.25">
      <c r="A994" t="s">
        <v>380</v>
      </c>
      <c r="B994" s="2">
        <v>45838</v>
      </c>
      <c r="C994" t="s">
        <v>380</v>
      </c>
      <c r="D994" t="s">
        <v>112</v>
      </c>
      <c r="E994" t="s">
        <v>9</v>
      </c>
      <c r="F994" s="3">
        <v>-2300</v>
      </c>
      <c r="G994" s="3">
        <v>-2300</v>
      </c>
      <c r="H994" t="s">
        <v>3</v>
      </c>
      <c r="I994" t="s">
        <v>3</v>
      </c>
      <c r="J994" t="s">
        <v>314</v>
      </c>
      <c r="K994" t="s">
        <v>5</v>
      </c>
      <c r="L994" t="s">
        <v>21</v>
      </c>
      <c r="M994" t="s">
        <v>114</v>
      </c>
      <c r="N994" s="2">
        <v>45839</v>
      </c>
    </row>
    <row r="995" spans="1:14" x14ac:dyDescent="0.25">
      <c r="A995" t="s">
        <v>380</v>
      </c>
      <c r="B995" s="2">
        <v>45869</v>
      </c>
      <c r="C995" t="s">
        <v>380</v>
      </c>
      <c r="D995" t="s">
        <v>112</v>
      </c>
      <c r="E995" t="s">
        <v>9</v>
      </c>
      <c r="F995" s="3">
        <v>2750</v>
      </c>
      <c r="G995" s="3">
        <v>2750</v>
      </c>
      <c r="H995" t="s">
        <v>3</v>
      </c>
      <c r="I995" t="s">
        <v>3</v>
      </c>
      <c r="J995" t="s">
        <v>317</v>
      </c>
      <c r="K995" t="s">
        <v>5</v>
      </c>
      <c r="L995" t="s">
        <v>21</v>
      </c>
      <c r="M995" t="s">
        <v>114</v>
      </c>
      <c r="N995" s="2">
        <v>45869</v>
      </c>
    </row>
    <row r="996" spans="1:14" x14ac:dyDescent="0.25">
      <c r="A996" t="s">
        <v>380</v>
      </c>
      <c r="B996" s="2">
        <v>45869</v>
      </c>
      <c r="C996" t="s">
        <v>380</v>
      </c>
      <c r="D996" t="s">
        <v>112</v>
      </c>
      <c r="E996" t="s">
        <v>9</v>
      </c>
      <c r="F996" s="3">
        <v>1462</v>
      </c>
      <c r="G996" s="3">
        <v>1462</v>
      </c>
      <c r="H996" t="s">
        <v>3</v>
      </c>
      <c r="I996" t="s">
        <v>3</v>
      </c>
      <c r="J996" t="s">
        <v>382</v>
      </c>
      <c r="K996" t="s">
        <v>5</v>
      </c>
      <c r="L996" t="s">
        <v>21</v>
      </c>
      <c r="M996" t="s">
        <v>114</v>
      </c>
      <c r="N996" s="2">
        <v>45869</v>
      </c>
    </row>
    <row r="997" spans="1:14" x14ac:dyDescent="0.25">
      <c r="A997" t="s">
        <v>380</v>
      </c>
      <c r="B997" s="2">
        <v>46203</v>
      </c>
      <c r="C997" t="s">
        <v>380</v>
      </c>
      <c r="D997" t="s">
        <v>112</v>
      </c>
      <c r="E997" t="s">
        <v>9</v>
      </c>
      <c r="F997" s="3">
        <v>-1400</v>
      </c>
      <c r="G997" s="3">
        <v>-1400</v>
      </c>
      <c r="H997" t="s">
        <v>3</v>
      </c>
      <c r="I997" t="s">
        <v>3</v>
      </c>
      <c r="J997" t="s">
        <v>316</v>
      </c>
      <c r="K997" t="s">
        <v>13</v>
      </c>
      <c r="L997" t="s">
        <v>21</v>
      </c>
      <c r="M997" t="s">
        <v>114</v>
      </c>
      <c r="N997" s="2">
        <v>46204</v>
      </c>
    </row>
    <row r="998" spans="1:14" x14ac:dyDescent="0.25">
      <c r="A998" t="s">
        <v>380</v>
      </c>
      <c r="B998" s="2">
        <v>46234</v>
      </c>
      <c r="C998" t="s">
        <v>380</v>
      </c>
      <c r="D998" t="s">
        <v>112</v>
      </c>
      <c r="E998" t="s">
        <v>9</v>
      </c>
      <c r="F998" s="3">
        <v>1400</v>
      </c>
      <c r="G998" s="3">
        <v>1400</v>
      </c>
      <c r="H998" t="s">
        <v>3</v>
      </c>
      <c r="I998" t="s">
        <v>3</v>
      </c>
      <c r="J998" t="s">
        <v>319</v>
      </c>
      <c r="K998" t="s">
        <v>13</v>
      </c>
      <c r="L998" t="s">
        <v>21</v>
      </c>
      <c r="M998" t="s">
        <v>114</v>
      </c>
      <c r="N998" s="2">
        <v>46234</v>
      </c>
    </row>
    <row r="999" spans="1:14" x14ac:dyDescent="0.25">
      <c r="A999" s="4" t="s">
        <v>262</v>
      </c>
      <c r="B999" s="5"/>
      <c r="C999" s="4" t="s">
        <v>9</v>
      </c>
      <c r="D999" s="4" t="s">
        <v>9</v>
      </c>
      <c r="E999" s="4" t="s">
        <v>9</v>
      </c>
      <c r="F999" s="6">
        <v>0</v>
      </c>
      <c r="G999" s="6">
        <v>0</v>
      </c>
      <c r="H999" s="4" t="s">
        <v>9</v>
      </c>
      <c r="I999" s="4" t="s">
        <v>3</v>
      </c>
      <c r="J999" s="4" t="s">
        <v>9</v>
      </c>
      <c r="K999" s="4" t="s">
        <v>9</v>
      </c>
      <c r="L999" s="4" t="s">
        <v>9</v>
      </c>
      <c r="M999" s="4" t="s">
        <v>9</v>
      </c>
      <c r="N999" s="5"/>
    </row>
    <row r="1000" spans="1:14" x14ac:dyDescent="0.25">
      <c r="A1000" t="s">
        <v>380</v>
      </c>
      <c r="B1000" s="2">
        <v>45539</v>
      </c>
      <c r="C1000" t="s">
        <v>380</v>
      </c>
      <c r="D1000" t="s">
        <v>112</v>
      </c>
      <c r="E1000" t="s">
        <v>9</v>
      </c>
      <c r="F1000" s="3">
        <v>-550</v>
      </c>
      <c r="G1000" s="3">
        <v>-550</v>
      </c>
      <c r="H1000" t="s">
        <v>3</v>
      </c>
      <c r="I1000" t="s">
        <v>3</v>
      </c>
      <c r="J1000" t="s">
        <v>9</v>
      </c>
      <c r="K1000" t="s">
        <v>9</v>
      </c>
      <c r="L1000" t="s">
        <v>22</v>
      </c>
      <c r="M1000" t="s">
        <v>114</v>
      </c>
      <c r="N1000" s="2">
        <v>45535</v>
      </c>
    </row>
    <row r="1001" spans="1:14" x14ac:dyDescent="0.25">
      <c r="A1001" t="s">
        <v>380</v>
      </c>
      <c r="B1001" s="2">
        <v>45901</v>
      </c>
      <c r="C1001" t="s">
        <v>380</v>
      </c>
      <c r="D1001" t="s">
        <v>112</v>
      </c>
      <c r="E1001" t="s">
        <v>9</v>
      </c>
      <c r="F1001" s="3">
        <v>-1803</v>
      </c>
      <c r="G1001" s="3">
        <v>-1803</v>
      </c>
      <c r="H1001" t="s">
        <v>3</v>
      </c>
      <c r="I1001" t="s">
        <v>3</v>
      </c>
      <c r="J1001" t="s">
        <v>9</v>
      </c>
      <c r="K1001" t="s">
        <v>9</v>
      </c>
      <c r="L1001" t="s">
        <v>22</v>
      </c>
      <c r="M1001" t="s">
        <v>114</v>
      </c>
      <c r="N1001" s="2">
        <v>45900</v>
      </c>
    </row>
    <row r="1002" spans="1:14" x14ac:dyDescent="0.25">
      <c r="A1002" t="s">
        <v>380</v>
      </c>
      <c r="B1002" s="2">
        <v>45504</v>
      </c>
      <c r="C1002" t="s">
        <v>380</v>
      </c>
      <c r="D1002" t="s">
        <v>112</v>
      </c>
      <c r="E1002" t="s">
        <v>9</v>
      </c>
      <c r="F1002" s="3">
        <v>-1050</v>
      </c>
      <c r="G1002" s="3">
        <v>-1050</v>
      </c>
      <c r="H1002" t="s">
        <v>3</v>
      </c>
      <c r="I1002" t="s">
        <v>3</v>
      </c>
      <c r="J1002" t="s">
        <v>261</v>
      </c>
      <c r="K1002" t="s">
        <v>222</v>
      </c>
      <c r="L1002" t="s">
        <v>22</v>
      </c>
      <c r="M1002" t="s">
        <v>114</v>
      </c>
      <c r="N1002" s="2">
        <v>45505</v>
      </c>
    </row>
    <row r="1003" spans="1:14" x14ac:dyDescent="0.25">
      <c r="A1003" t="s">
        <v>380</v>
      </c>
      <c r="B1003" s="2">
        <v>45535</v>
      </c>
      <c r="C1003" t="s">
        <v>380</v>
      </c>
      <c r="D1003" t="s">
        <v>112</v>
      </c>
      <c r="E1003" t="s">
        <v>9</v>
      </c>
      <c r="F1003" s="3">
        <v>1600</v>
      </c>
      <c r="G1003" s="3">
        <v>1600</v>
      </c>
      <c r="H1003" t="s">
        <v>3</v>
      </c>
      <c r="I1003" t="s">
        <v>3</v>
      </c>
      <c r="J1003" t="s">
        <v>266</v>
      </c>
      <c r="K1003" t="s">
        <v>222</v>
      </c>
      <c r="L1003" t="s">
        <v>22</v>
      </c>
      <c r="M1003" t="s">
        <v>114</v>
      </c>
      <c r="N1003" s="2">
        <v>45535</v>
      </c>
    </row>
    <row r="1004" spans="1:14" x14ac:dyDescent="0.25">
      <c r="A1004" t="s">
        <v>380</v>
      </c>
      <c r="B1004" s="2">
        <v>45869</v>
      </c>
      <c r="C1004" t="s">
        <v>380</v>
      </c>
      <c r="D1004" t="s">
        <v>112</v>
      </c>
      <c r="E1004" t="s">
        <v>9</v>
      </c>
      <c r="F1004" s="3">
        <v>-2750</v>
      </c>
      <c r="G1004" s="3">
        <v>-2750</v>
      </c>
      <c r="H1004" t="s">
        <v>3</v>
      </c>
      <c r="I1004" t="s">
        <v>3</v>
      </c>
      <c r="J1004" t="s">
        <v>317</v>
      </c>
      <c r="K1004" t="s">
        <v>5</v>
      </c>
      <c r="L1004" t="s">
        <v>22</v>
      </c>
      <c r="M1004" t="s">
        <v>114</v>
      </c>
      <c r="N1004" s="2">
        <v>45870</v>
      </c>
    </row>
    <row r="1005" spans="1:14" x14ac:dyDescent="0.25">
      <c r="A1005" t="s">
        <v>380</v>
      </c>
      <c r="B1005" s="2">
        <v>45869</v>
      </c>
      <c r="C1005" t="s">
        <v>380</v>
      </c>
      <c r="D1005" t="s">
        <v>112</v>
      </c>
      <c r="E1005" t="s">
        <v>9</v>
      </c>
      <c r="F1005" s="3">
        <v>-1462</v>
      </c>
      <c r="G1005" s="3">
        <v>-1462</v>
      </c>
      <c r="H1005" t="s">
        <v>3</v>
      </c>
      <c r="I1005" t="s">
        <v>3</v>
      </c>
      <c r="J1005" t="s">
        <v>382</v>
      </c>
      <c r="K1005" t="s">
        <v>5</v>
      </c>
      <c r="L1005" t="s">
        <v>22</v>
      </c>
      <c r="M1005" t="s">
        <v>114</v>
      </c>
      <c r="N1005" s="2">
        <v>45870</v>
      </c>
    </row>
    <row r="1006" spans="1:14" x14ac:dyDescent="0.25">
      <c r="A1006" t="s">
        <v>380</v>
      </c>
      <c r="B1006" s="2">
        <v>45900</v>
      </c>
      <c r="C1006" t="s">
        <v>380</v>
      </c>
      <c r="D1006" t="s">
        <v>112</v>
      </c>
      <c r="E1006" t="s">
        <v>9</v>
      </c>
      <c r="F1006" s="3">
        <v>3650</v>
      </c>
      <c r="G1006" s="3">
        <v>3650</v>
      </c>
      <c r="H1006" t="s">
        <v>3</v>
      </c>
      <c r="I1006" t="s">
        <v>3</v>
      </c>
      <c r="J1006" t="s">
        <v>320</v>
      </c>
      <c r="K1006" t="s">
        <v>5</v>
      </c>
      <c r="L1006" t="s">
        <v>22</v>
      </c>
      <c r="M1006" t="s">
        <v>114</v>
      </c>
      <c r="N1006" s="2">
        <v>45900</v>
      </c>
    </row>
    <row r="1007" spans="1:14" x14ac:dyDescent="0.25">
      <c r="A1007" t="s">
        <v>380</v>
      </c>
      <c r="B1007" s="2">
        <v>45900</v>
      </c>
      <c r="C1007" t="s">
        <v>380</v>
      </c>
      <c r="D1007" t="s">
        <v>112</v>
      </c>
      <c r="E1007" t="s">
        <v>9</v>
      </c>
      <c r="F1007" s="3">
        <v>2365</v>
      </c>
      <c r="G1007" s="3">
        <v>2365</v>
      </c>
      <c r="H1007" t="s">
        <v>3</v>
      </c>
      <c r="I1007" t="s">
        <v>3</v>
      </c>
      <c r="J1007" t="s">
        <v>383</v>
      </c>
      <c r="K1007" t="s">
        <v>5</v>
      </c>
      <c r="L1007" t="s">
        <v>22</v>
      </c>
      <c r="M1007" t="s">
        <v>114</v>
      </c>
      <c r="N1007" s="2">
        <v>45900</v>
      </c>
    </row>
    <row r="1008" spans="1:14" x14ac:dyDescent="0.25">
      <c r="A1008" t="s">
        <v>380</v>
      </c>
      <c r="B1008" s="2">
        <v>45900</v>
      </c>
      <c r="C1008" t="s">
        <v>380</v>
      </c>
      <c r="D1008" t="s">
        <v>112</v>
      </c>
      <c r="E1008" t="s">
        <v>9</v>
      </c>
      <c r="F1008" s="3">
        <v>-3650</v>
      </c>
      <c r="G1008" s="3">
        <v>-3650</v>
      </c>
      <c r="H1008" t="s">
        <v>3</v>
      </c>
      <c r="I1008" t="s">
        <v>3</v>
      </c>
      <c r="J1008" t="s">
        <v>320</v>
      </c>
      <c r="K1008" t="s">
        <v>5</v>
      </c>
      <c r="L1008" t="s">
        <v>22</v>
      </c>
      <c r="M1008" t="s">
        <v>114</v>
      </c>
      <c r="N1008" s="2">
        <v>45900</v>
      </c>
    </row>
    <row r="1009" spans="1:14" x14ac:dyDescent="0.25">
      <c r="A1009" t="s">
        <v>380</v>
      </c>
      <c r="B1009" s="2">
        <v>45900</v>
      </c>
      <c r="C1009" t="s">
        <v>380</v>
      </c>
      <c r="D1009" t="s">
        <v>112</v>
      </c>
      <c r="E1009" t="s">
        <v>9</v>
      </c>
      <c r="F1009" s="3">
        <v>-2365</v>
      </c>
      <c r="G1009" s="3">
        <v>-2365</v>
      </c>
      <c r="H1009" t="s">
        <v>3</v>
      </c>
      <c r="I1009" t="s">
        <v>3</v>
      </c>
      <c r="J1009" t="s">
        <v>383</v>
      </c>
      <c r="K1009" t="s">
        <v>5</v>
      </c>
      <c r="L1009" t="s">
        <v>22</v>
      </c>
      <c r="M1009" t="s">
        <v>114</v>
      </c>
      <c r="N1009" s="2">
        <v>45900</v>
      </c>
    </row>
    <row r="1010" spans="1:14" x14ac:dyDescent="0.25">
      <c r="A1010" t="s">
        <v>380</v>
      </c>
      <c r="B1010" s="2">
        <v>45900</v>
      </c>
      <c r="C1010" t="s">
        <v>380</v>
      </c>
      <c r="D1010" t="s">
        <v>112</v>
      </c>
      <c r="E1010" t="s">
        <v>9</v>
      </c>
      <c r="F1010" s="3">
        <v>3650</v>
      </c>
      <c r="G1010" s="3">
        <v>3650</v>
      </c>
      <c r="H1010" t="s">
        <v>3</v>
      </c>
      <c r="I1010" t="s">
        <v>3</v>
      </c>
      <c r="J1010" t="s">
        <v>320</v>
      </c>
      <c r="K1010" t="s">
        <v>5</v>
      </c>
      <c r="L1010" t="s">
        <v>22</v>
      </c>
      <c r="M1010" t="s">
        <v>114</v>
      </c>
      <c r="N1010" s="2">
        <v>45900</v>
      </c>
    </row>
    <row r="1011" spans="1:14" x14ac:dyDescent="0.25">
      <c r="A1011" t="s">
        <v>380</v>
      </c>
      <c r="B1011" s="2">
        <v>45900</v>
      </c>
      <c r="C1011" t="s">
        <v>380</v>
      </c>
      <c r="D1011" t="s">
        <v>112</v>
      </c>
      <c r="E1011" t="s">
        <v>9</v>
      </c>
      <c r="F1011" s="3">
        <v>2408</v>
      </c>
      <c r="G1011" s="3">
        <v>2408</v>
      </c>
      <c r="H1011" t="s">
        <v>3</v>
      </c>
      <c r="I1011" t="s">
        <v>3</v>
      </c>
      <c r="J1011" t="s">
        <v>383</v>
      </c>
      <c r="K1011" t="s">
        <v>5</v>
      </c>
      <c r="L1011" t="s">
        <v>22</v>
      </c>
      <c r="M1011" t="s">
        <v>114</v>
      </c>
      <c r="N1011" s="2">
        <v>45900</v>
      </c>
    </row>
    <row r="1012" spans="1:14" x14ac:dyDescent="0.25">
      <c r="A1012" t="s">
        <v>380</v>
      </c>
      <c r="B1012" s="2">
        <v>45900</v>
      </c>
      <c r="C1012" t="s">
        <v>380</v>
      </c>
      <c r="D1012" t="s">
        <v>112</v>
      </c>
      <c r="E1012" t="s">
        <v>9</v>
      </c>
      <c r="F1012" s="3">
        <v>3650</v>
      </c>
      <c r="G1012" s="3">
        <v>3650</v>
      </c>
      <c r="H1012" t="s">
        <v>3</v>
      </c>
      <c r="I1012" t="s">
        <v>3</v>
      </c>
      <c r="J1012" t="s">
        <v>320</v>
      </c>
      <c r="K1012" t="s">
        <v>5</v>
      </c>
      <c r="L1012" t="s">
        <v>22</v>
      </c>
      <c r="M1012" t="s">
        <v>114</v>
      </c>
      <c r="N1012" s="2">
        <v>45900</v>
      </c>
    </row>
    <row r="1013" spans="1:14" x14ac:dyDescent="0.25">
      <c r="A1013" t="s">
        <v>380</v>
      </c>
      <c r="B1013" s="2">
        <v>45900</v>
      </c>
      <c r="C1013" t="s">
        <v>380</v>
      </c>
      <c r="D1013" t="s">
        <v>112</v>
      </c>
      <c r="E1013" t="s">
        <v>9</v>
      </c>
      <c r="F1013" s="3">
        <v>2365</v>
      </c>
      <c r="G1013" s="3">
        <v>2365</v>
      </c>
      <c r="H1013" t="s">
        <v>3</v>
      </c>
      <c r="I1013" t="s">
        <v>3</v>
      </c>
      <c r="J1013" t="s">
        <v>383</v>
      </c>
      <c r="K1013" t="s">
        <v>5</v>
      </c>
      <c r="L1013" t="s">
        <v>22</v>
      </c>
      <c r="M1013" t="s">
        <v>114</v>
      </c>
      <c r="N1013" s="2">
        <v>45900</v>
      </c>
    </row>
    <row r="1014" spans="1:14" x14ac:dyDescent="0.25">
      <c r="A1014" t="s">
        <v>380</v>
      </c>
      <c r="B1014" s="2">
        <v>45900</v>
      </c>
      <c r="C1014" t="s">
        <v>380</v>
      </c>
      <c r="D1014" t="s">
        <v>112</v>
      </c>
      <c r="E1014" t="s">
        <v>9</v>
      </c>
      <c r="F1014" s="3">
        <v>-3650</v>
      </c>
      <c r="G1014" s="3">
        <v>-3650</v>
      </c>
      <c r="H1014" t="s">
        <v>3</v>
      </c>
      <c r="I1014" t="s">
        <v>3</v>
      </c>
      <c r="J1014" t="s">
        <v>320</v>
      </c>
      <c r="K1014" t="s">
        <v>5</v>
      </c>
      <c r="L1014" t="s">
        <v>22</v>
      </c>
      <c r="M1014" t="s">
        <v>114</v>
      </c>
      <c r="N1014" s="2">
        <v>45900</v>
      </c>
    </row>
    <row r="1015" spans="1:14" x14ac:dyDescent="0.25">
      <c r="A1015" t="s">
        <v>380</v>
      </c>
      <c r="B1015" s="2">
        <v>45900</v>
      </c>
      <c r="C1015" t="s">
        <v>380</v>
      </c>
      <c r="D1015" t="s">
        <v>112</v>
      </c>
      <c r="E1015" t="s">
        <v>9</v>
      </c>
      <c r="F1015" s="3">
        <v>-2408</v>
      </c>
      <c r="G1015" s="3">
        <v>-2408</v>
      </c>
      <c r="H1015" t="s">
        <v>3</v>
      </c>
      <c r="I1015" t="s">
        <v>3</v>
      </c>
      <c r="J1015" t="s">
        <v>383</v>
      </c>
      <c r="K1015" t="s">
        <v>5</v>
      </c>
      <c r="L1015" t="s">
        <v>22</v>
      </c>
      <c r="M1015" t="s">
        <v>114</v>
      </c>
      <c r="N1015" s="2">
        <v>45900</v>
      </c>
    </row>
    <row r="1016" spans="1:14" x14ac:dyDescent="0.25">
      <c r="A1016" t="s">
        <v>380</v>
      </c>
      <c r="B1016" s="2">
        <v>46234</v>
      </c>
      <c r="C1016" t="s">
        <v>380</v>
      </c>
      <c r="D1016" t="s">
        <v>112</v>
      </c>
      <c r="E1016" t="s">
        <v>9</v>
      </c>
      <c r="F1016" s="3">
        <v>-1400</v>
      </c>
      <c r="G1016" s="3">
        <v>-1400</v>
      </c>
      <c r="H1016" t="s">
        <v>3</v>
      </c>
      <c r="I1016" t="s">
        <v>3</v>
      </c>
      <c r="J1016" t="s">
        <v>319</v>
      </c>
      <c r="K1016" t="s">
        <v>13</v>
      </c>
      <c r="L1016" t="s">
        <v>22</v>
      </c>
      <c r="M1016" t="s">
        <v>114</v>
      </c>
      <c r="N1016" s="2">
        <v>46235</v>
      </c>
    </row>
    <row r="1017" spans="1:14" x14ac:dyDescent="0.25">
      <c r="A1017" t="s">
        <v>380</v>
      </c>
      <c r="B1017" s="2">
        <v>46265</v>
      </c>
      <c r="C1017" t="s">
        <v>380</v>
      </c>
      <c r="D1017" t="s">
        <v>112</v>
      </c>
      <c r="E1017" t="s">
        <v>9</v>
      </c>
      <c r="F1017" s="3">
        <v>1400</v>
      </c>
      <c r="G1017" s="3">
        <v>1400</v>
      </c>
      <c r="H1017" t="s">
        <v>3</v>
      </c>
      <c r="I1017" t="s">
        <v>3</v>
      </c>
      <c r="J1017" t="s">
        <v>322</v>
      </c>
      <c r="K1017" t="s">
        <v>13</v>
      </c>
      <c r="L1017" t="s">
        <v>22</v>
      </c>
      <c r="M1017" t="s">
        <v>114</v>
      </c>
      <c r="N1017" s="2">
        <v>46265</v>
      </c>
    </row>
    <row r="1018" spans="1:14" x14ac:dyDescent="0.25">
      <c r="A1018" s="4" t="s">
        <v>267</v>
      </c>
      <c r="B1018" s="5"/>
      <c r="C1018" s="4" t="s">
        <v>9</v>
      </c>
      <c r="D1018" s="4" t="s">
        <v>9</v>
      </c>
      <c r="E1018" s="4" t="s">
        <v>9</v>
      </c>
      <c r="F1018" s="6">
        <v>0</v>
      </c>
      <c r="G1018" s="6">
        <v>0</v>
      </c>
      <c r="H1018" s="4" t="s">
        <v>9</v>
      </c>
      <c r="I1018" s="4" t="s">
        <v>3</v>
      </c>
      <c r="J1018" s="4" t="s">
        <v>9</v>
      </c>
      <c r="K1018" s="4" t="s">
        <v>9</v>
      </c>
      <c r="L1018" s="4" t="s">
        <v>9</v>
      </c>
      <c r="M1018" s="4" t="s">
        <v>9</v>
      </c>
      <c r="N1018" s="5"/>
    </row>
    <row r="1019" spans="1:14" x14ac:dyDescent="0.25">
      <c r="A1019" t="s">
        <v>380</v>
      </c>
      <c r="B1019" s="2">
        <v>45567</v>
      </c>
      <c r="C1019" t="s">
        <v>380</v>
      </c>
      <c r="D1019" t="s">
        <v>112</v>
      </c>
      <c r="E1019" t="s">
        <v>9</v>
      </c>
      <c r="F1019" s="3">
        <v>-4150</v>
      </c>
      <c r="G1019" s="3">
        <v>-4150</v>
      </c>
      <c r="H1019" t="s">
        <v>3</v>
      </c>
      <c r="I1019" t="s">
        <v>3</v>
      </c>
      <c r="J1019" t="s">
        <v>9</v>
      </c>
      <c r="K1019" t="s">
        <v>9</v>
      </c>
      <c r="L1019" t="s">
        <v>6</v>
      </c>
      <c r="M1019" t="s">
        <v>114</v>
      </c>
      <c r="N1019" s="2">
        <v>45565</v>
      </c>
    </row>
    <row r="1020" spans="1:14" x14ac:dyDescent="0.25">
      <c r="A1020" t="s">
        <v>380</v>
      </c>
      <c r="B1020" s="2">
        <v>45932</v>
      </c>
      <c r="C1020" t="s">
        <v>380</v>
      </c>
      <c r="D1020" t="s">
        <v>112</v>
      </c>
      <c r="E1020" t="s">
        <v>9</v>
      </c>
      <c r="F1020" s="3">
        <v>-817</v>
      </c>
      <c r="G1020" s="3">
        <v>-817</v>
      </c>
      <c r="H1020" t="s">
        <v>3</v>
      </c>
      <c r="I1020" t="s">
        <v>3</v>
      </c>
      <c r="J1020" t="s">
        <v>9</v>
      </c>
      <c r="K1020" t="s">
        <v>9</v>
      </c>
      <c r="L1020" t="s">
        <v>6</v>
      </c>
      <c r="M1020" t="s">
        <v>114</v>
      </c>
      <c r="N1020" s="2">
        <v>45930</v>
      </c>
    </row>
    <row r="1021" spans="1:14" x14ac:dyDescent="0.25">
      <c r="A1021" t="s">
        <v>380</v>
      </c>
      <c r="B1021" s="2">
        <v>45535</v>
      </c>
      <c r="C1021" t="s">
        <v>380</v>
      </c>
      <c r="D1021" t="s">
        <v>112</v>
      </c>
      <c r="E1021" t="s">
        <v>9</v>
      </c>
      <c r="F1021" s="3">
        <v>-1600</v>
      </c>
      <c r="G1021" s="3">
        <v>-1600</v>
      </c>
      <c r="H1021" t="s">
        <v>3</v>
      </c>
      <c r="I1021" t="s">
        <v>3</v>
      </c>
      <c r="J1021" t="s">
        <v>266</v>
      </c>
      <c r="K1021" t="s">
        <v>222</v>
      </c>
      <c r="L1021" t="s">
        <v>6</v>
      </c>
      <c r="M1021" t="s">
        <v>114</v>
      </c>
      <c r="N1021" s="2">
        <v>45536</v>
      </c>
    </row>
    <row r="1022" spans="1:14" x14ac:dyDescent="0.25">
      <c r="A1022" t="s">
        <v>380</v>
      </c>
      <c r="B1022" s="2">
        <v>45565</v>
      </c>
      <c r="C1022" t="s">
        <v>380</v>
      </c>
      <c r="D1022" t="s">
        <v>112</v>
      </c>
      <c r="E1022" t="s">
        <v>9</v>
      </c>
      <c r="F1022" s="3">
        <v>5750</v>
      </c>
      <c r="G1022" s="3">
        <v>5750</v>
      </c>
      <c r="H1022" t="s">
        <v>3</v>
      </c>
      <c r="I1022" t="s">
        <v>3</v>
      </c>
      <c r="J1022" t="s">
        <v>271</v>
      </c>
      <c r="K1022" t="s">
        <v>222</v>
      </c>
      <c r="L1022" t="s">
        <v>6</v>
      </c>
      <c r="M1022" t="s">
        <v>114</v>
      </c>
      <c r="N1022" s="2">
        <v>45565</v>
      </c>
    </row>
    <row r="1023" spans="1:14" x14ac:dyDescent="0.25">
      <c r="A1023" t="s">
        <v>380</v>
      </c>
      <c r="B1023" s="2">
        <v>45900</v>
      </c>
      <c r="C1023" t="s">
        <v>380</v>
      </c>
      <c r="D1023" t="s">
        <v>112</v>
      </c>
      <c r="E1023" t="s">
        <v>9</v>
      </c>
      <c r="F1023" s="3">
        <v>-3650</v>
      </c>
      <c r="G1023" s="3">
        <v>-3650</v>
      </c>
      <c r="H1023" t="s">
        <v>3</v>
      </c>
      <c r="I1023" t="s">
        <v>3</v>
      </c>
      <c r="J1023" t="s">
        <v>320</v>
      </c>
      <c r="K1023" t="s">
        <v>5</v>
      </c>
      <c r="L1023" t="s">
        <v>6</v>
      </c>
      <c r="M1023" t="s">
        <v>114</v>
      </c>
      <c r="N1023" s="2">
        <v>45901</v>
      </c>
    </row>
    <row r="1024" spans="1:14" x14ac:dyDescent="0.25">
      <c r="A1024" t="s">
        <v>380</v>
      </c>
      <c r="B1024" s="2">
        <v>45900</v>
      </c>
      <c r="C1024" t="s">
        <v>380</v>
      </c>
      <c r="D1024" t="s">
        <v>112</v>
      </c>
      <c r="E1024" t="s">
        <v>9</v>
      </c>
      <c r="F1024" s="3">
        <v>-2365</v>
      </c>
      <c r="G1024" s="3">
        <v>-2365</v>
      </c>
      <c r="H1024" t="s">
        <v>3</v>
      </c>
      <c r="I1024" t="s">
        <v>3</v>
      </c>
      <c r="J1024" t="s">
        <v>383</v>
      </c>
      <c r="K1024" t="s">
        <v>5</v>
      </c>
      <c r="L1024" t="s">
        <v>6</v>
      </c>
      <c r="M1024" t="s">
        <v>114</v>
      </c>
      <c r="N1024" s="2">
        <v>45901</v>
      </c>
    </row>
    <row r="1025" spans="1:14" x14ac:dyDescent="0.25">
      <c r="A1025" t="s">
        <v>380</v>
      </c>
      <c r="B1025" s="2">
        <v>45900</v>
      </c>
      <c r="C1025" t="s">
        <v>380</v>
      </c>
      <c r="D1025" t="s">
        <v>112</v>
      </c>
      <c r="E1025" t="s">
        <v>9</v>
      </c>
      <c r="F1025" s="3">
        <v>3650</v>
      </c>
      <c r="G1025" s="3">
        <v>3650</v>
      </c>
      <c r="H1025" t="s">
        <v>3</v>
      </c>
      <c r="I1025" t="s">
        <v>3</v>
      </c>
      <c r="J1025" t="s">
        <v>320</v>
      </c>
      <c r="K1025" t="s">
        <v>5</v>
      </c>
      <c r="L1025" t="s">
        <v>6</v>
      </c>
      <c r="M1025" t="s">
        <v>114</v>
      </c>
      <c r="N1025" s="2">
        <v>45901</v>
      </c>
    </row>
    <row r="1026" spans="1:14" x14ac:dyDescent="0.25">
      <c r="A1026" t="s">
        <v>380</v>
      </c>
      <c r="B1026" s="2">
        <v>45900</v>
      </c>
      <c r="C1026" t="s">
        <v>380</v>
      </c>
      <c r="D1026" t="s">
        <v>112</v>
      </c>
      <c r="E1026" t="s">
        <v>9</v>
      </c>
      <c r="F1026" s="3">
        <v>2365</v>
      </c>
      <c r="G1026" s="3">
        <v>2365</v>
      </c>
      <c r="H1026" t="s">
        <v>3</v>
      </c>
      <c r="I1026" t="s">
        <v>3</v>
      </c>
      <c r="J1026" t="s">
        <v>383</v>
      </c>
      <c r="K1026" t="s">
        <v>5</v>
      </c>
      <c r="L1026" t="s">
        <v>6</v>
      </c>
      <c r="M1026" t="s">
        <v>114</v>
      </c>
      <c r="N1026" s="2">
        <v>45901</v>
      </c>
    </row>
    <row r="1027" spans="1:14" x14ac:dyDescent="0.25">
      <c r="A1027" t="s">
        <v>380</v>
      </c>
      <c r="B1027" s="2">
        <v>45900</v>
      </c>
      <c r="C1027" t="s">
        <v>380</v>
      </c>
      <c r="D1027" t="s">
        <v>112</v>
      </c>
      <c r="E1027" t="s">
        <v>9</v>
      </c>
      <c r="F1027" s="3">
        <v>-3650</v>
      </c>
      <c r="G1027" s="3">
        <v>-3650</v>
      </c>
      <c r="H1027" t="s">
        <v>3</v>
      </c>
      <c r="I1027" t="s">
        <v>3</v>
      </c>
      <c r="J1027" t="s">
        <v>320</v>
      </c>
      <c r="K1027" t="s">
        <v>5</v>
      </c>
      <c r="L1027" t="s">
        <v>6</v>
      </c>
      <c r="M1027" t="s">
        <v>114</v>
      </c>
      <c r="N1027" s="2">
        <v>45901</v>
      </c>
    </row>
    <row r="1028" spans="1:14" x14ac:dyDescent="0.25">
      <c r="A1028" t="s">
        <v>380</v>
      </c>
      <c r="B1028" s="2">
        <v>45900</v>
      </c>
      <c r="C1028" t="s">
        <v>380</v>
      </c>
      <c r="D1028" t="s">
        <v>112</v>
      </c>
      <c r="E1028" t="s">
        <v>9</v>
      </c>
      <c r="F1028" s="3">
        <v>-2408</v>
      </c>
      <c r="G1028" s="3">
        <v>-2408</v>
      </c>
      <c r="H1028" t="s">
        <v>3</v>
      </c>
      <c r="I1028" t="s">
        <v>3</v>
      </c>
      <c r="J1028" t="s">
        <v>383</v>
      </c>
      <c r="K1028" t="s">
        <v>5</v>
      </c>
      <c r="L1028" t="s">
        <v>6</v>
      </c>
      <c r="M1028" t="s">
        <v>114</v>
      </c>
      <c r="N1028" s="2">
        <v>45901</v>
      </c>
    </row>
    <row r="1029" spans="1:14" x14ac:dyDescent="0.25">
      <c r="A1029" t="s">
        <v>380</v>
      </c>
      <c r="B1029" s="2">
        <v>45900</v>
      </c>
      <c r="C1029" t="s">
        <v>380</v>
      </c>
      <c r="D1029" t="s">
        <v>112</v>
      </c>
      <c r="E1029" t="s">
        <v>9</v>
      </c>
      <c r="F1029" s="3">
        <v>3650</v>
      </c>
      <c r="G1029" s="3">
        <v>3650</v>
      </c>
      <c r="H1029" t="s">
        <v>3</v>
      </c>
      <c r="I1029" t="s">
        <v>3</v>
      </c>
      <c r="J1029" t="s">
        <v>320</v>
      </c>
      <c r="K1029" t="s">
        <v>5</v>
      </c>
      <c r="L1029" t="s">
        <v>6</v>
      </c>
      <c r="M1029" t="s">
        <v>114</v>
      </c>
      <c r="N1029" s="2">
        <v>45901</v>
      </c>
    </row>
    <row r="1030" spans="1:14" x14ac:dyDescent="0.25">
      <c r="A1030" t="s">
        <v>380</v>
      </c>
      <c r="B1030" s="2">
        <v>45900</v>
      </c>
      <c r="C1030" t="s">
        <v>380</v>
      </c>
      <c r="D1030" t="s">
        <v>112</v>
      </c>
      <c r="E1030" t="s">
        <v>9</v>
      </c>
      <c r="F1030" s="3">
        <v>2408</v>
      </c>
      <c r="G1030" s="3">
        <v>2408</v>
      </c>
      <c r="H1030" t="s">
        <v>3</v>
      </c>
      <c r="I1030" t="s">
        <v>3</v>
      </c>
      <c r="J1030" t="s">
        <v>383</v>
      </c>
      <c r="K1030" t="s">
        <v>5</v>
      </c>
      <c r="L1030" t="s">
        <v>6</v>
      </c>
      <c r="M1030" t="s">
        <v>114</v>
      </c>
      <c r="N1030" s="2">
        <v>45901</v>
      </c>
    </row>
    <row r="1031" spans="1:14" x14ac:dyDescent="0.25">
      <c r="A1031" t="s">
        <v>380</v>
      </c>
      <c r="B1031" s="2">
        <v>45900</v>
      </c>
      <c r="C1031" t="s">
        <v>380</v>
      </c>
      <c r="D1031" t="s">
        <v>112</v>
      </c>
      <c r="E1031" t="s">
        <v>9</v>
      </c>
      <c r="F1031" s="3">
        <v>-3650</v>
      </c>
      <c r="G1031" s="3">
        <v>-3650</v>
      </c>
      <c r="H1031" t="s">
        <v>3</v>
      </c>
      <c r="I1031" t="s">
        <v>3</v>
      </c>
      <c r="J1031" t="s">
        <v>320</v>
      </c>
      <c r="K1031" t="s">
        <v>5</v>
      </c>
      <c r="L1031" t="s">
        <v>6</v>
      </c>
      <c r="M1031" t="s">
        <v>114</v>
      </c>
      <c r="N1031" s="2">
        <v>45901</v>
      </c>
    </row>
    <row r="1032" spans="1:14" x14ac:dyDescent="0.25">
      <c r="A1032" t="s">
        <v>380</v>
      </c>
      <c r="B1032" s="2">
        <v>45900</v>
      </c>
      <c r="C1032" t="s">
        <v>380</v>
      </c>
      <c r="D1032" t="s">
        <v>112</v>
      </c>
      <c r="E1032" t="s">
        <v>9</v>
      </c>
      <c r="F1032" s="3">
        <v>-2365</v>
      </c>
      <c r="G1032" s="3">
        <v>-2365</v>
      </c>
      <c r="H1032" t="s">
        <v>3</v>
      </c>
      <c r="I1032" t="s">
        <v>3</v>
      </c>
      <c r="J1032" t="s">
        <v>383</v>
      </c>
      <c r="K1032" t="s">
        <v>5</v>
      </c>
      <c r="L1032" t="s">
        <v>6</v>
      </c>
      <c r="M1032" t="s">
        <v>114</v>
      </c>
      <c r="N1032" s="2">
        <v>45901</v>
      </c>
    </row>
    <row r="1033" spans="1:14" x14ac:dyDescent="0.25">
      <c r="A1033" t="s">
        <v>380</v>
      </c>
      <c r="B1033" s="2">
        <v>45930</v>
      </c>
      <c r="C1033" t="s">
        <v>380</v>
      </c>
      <c r="D1033" t="s">
        <v>112</v>
      </c>
      <c r="E1033" t="s">
        <v>9</v>
      </c>
      <c r="F1033" s="3">
        <v>3650</v>
      </c>
      <c r="G1033" s="3">
        <v>3650</v>
      </c>
      <c r="H1033" t="s">
        <v>3</v>
      </c>
      <c r="I1033" t="s">
        <v>3</v>
      </c>
      <c r="J1033" t="s">
        <v>323</v>
      </c>
      <c r="K1033" t="s">
        <v>5</v>
      </c>
      <c r="L1033" t="s">
        <v>6</v>
      </c>
      <c r="M1033" t="s">
        <v>114</v>
      </c>
      <c r="N1033" s="2">
        <v>45930</v>
      </c>
    </row>
    <row r="1034" spans="1:14" x14ac:dyDescent="0.25">
      <c r="A1034" t="s">
        <v>380</v>
      </c>
      <c r="B1034" s="2">
        <v>45930</v>
      </c>
      <c r="C1034" t="s">
        <v>380</v>
      </c>
      <c r="D1034" t="s">
        <v>112</v>
      </c>
      <c r="E1034" t="s">
        <v>9</v>
      </c>
      <c r="F1034" s="3">
        <v>3182</v>
      </c>
      <c r="G1034" s="3">
        <v>3182</v>
      </c>
      <c r="H1034" t="s">
        <v>3</v>
      </c>
      <c r="I1034" t="s">
        <v>3</v>
      </c>
      <c r="J1034" t="s">
        <v>384</v>
      </c>
      <c r="K1034" t="s">
        <v>5</v>
      </c>
      <c r="L1034" t="s">
        <v>6</v>
      </c>
      <c r="M1034" t="s">
        <v>114</v>
      </c>
      <c r="N1034" s="2">
        <v>45930</v>
      </c>
    </row>
    <row r="1035" spans="1:14" x14ac:dyDescent="0.25">
      <c r="A1035" s="4" t="s">
        <v>272</v>
      </c>
      <c r="B1035" s="5"/>
      <c r="C1035" s="4" t="s">
        <v>9</v>
      </c>
      <c r="D1035" s="4" t="s">
        <v>9</v>
      </c>
      <c r="E1035" s="4" t="s">
        <v>9</v>
      </c>
      <c r="F1035" s="6">
        <v>0</v>
      </c>
      <c r="G1035" s="6">
        <v>0</v>
      </c>
      <c r="H1035" s="4" t="s">
        <v>9</v>
      </c>
      <c r="I1035" s="4" t="s">
        <v>3</v>
      </c>
      <c r="J1035" s="4" t="s">
        <v>9</v>
      </c>
      <c r="K1035" s="4" t="s">
        <v>9</v>
      </c>
      <c r="L1035" s="4" t="s">
        <v>9</v>
      </c>
      <c r="M1035" s="4" t="s">
        <v>9</v>
      </c>
      <c r="N1035" s="5"/>
    </row>
    <row r="1036" spans="1:14" x14ac:dyDescent="0.25">
      <c r="A1036" t="s">
        <v>380</v>
      </c>
      <c r="B1036" s="2">
        <v>45601</v>
      </c>
      <c r="C1036" t="s">
        <v>380</v>
      </c>
      <c r="D1036" t="s">
        <v>112</v>
      </c>
      <c r="E1036" t="s">
        <v>9</v>
      </c>
      <c r="F1036" s="3">
        <v>-2275</v>
      </c>
      <c r="G1036" s="3">
        <v>-2275</v>
      </c>
      <c r="H1036" t="s">
        <v>3</v>
      </c>
      <c r="I1036" t="s">
        <v>3</v>
      </c>
      <c r="J1036" t="s">
        <v>9</v>
      </c>
      <c r="K1036" t="s">
        <v>9</v>
      </c>
      <c r="L1036" t="s">
        <v>8</v>
      </c>
      <c r="M1036" t="s">
        <v>114</v>
      </c>
      <c r="N1036" s="2">
        <v>45596</v>
      </c>
    </row>
    <row r="1037" spans="1:14" x14ac:dyDescent="0.25">
      <c r="A1037" t="s">
        <v>380</v>
      </c>
      <c r="B1037" s="2">
        <v>45965</v>
      </c>
      <c r="C1037" t="s">
        <v>380</v>
      </c>
      <c r="D1037" t="s">
        <v>112</v>
      </c>
      <c r="E1037" t="s">
        <v>9</v>
      </c>
      <c r="F1037" s="3">
        <v>-1288</v>
      </c>
      <c r="G1037" s="3">
        <v>-1288</v>
      </c>
      <c r="H1037" t="s">
        <v>3</v>
      </c>
      <c r="I1037" t="s">
        <v>3</v>
      </c>
      <c r="J1037" t="s">
        <v>9</v>
      </c>
      <c r="K1037" t="s">
        <v>9</v>
      </c>
      <c r="L1037" t="s">
        <v>8</v>
      </c>
      <c r="M1037" t="s">
        <v>114</v>
      </c>
      <c r="N1037" s="2">
        <v>45961</v>
      </c>
    </row>
    <row r="1038" spans="1:14" x14ac:dyDescent="0.25">
      <c r="A1038" t="s">
        <v>380</v>
      </c>
      <c r="B1038" s="2">
        <v>45565</v>
      </c>
      <c r="C1038" t="s">
        <v>380</v>
      </c>
      <c r="D1038" t="s">
        <v>112</v>
      </c>
      <c r="E1038" t="s">
        <v>9</v>
      </c>
      <c r="F1038" s="3">
        <v>-5750</v>
      </c>
      <c r="G1038" s="3">
        <v>-5750</v>
      </c>
      <c r="H1038" t="s">
        <v>3</v>
      </c>
      <c r="I1038" t="s">
        <v>3</v>
      </c>
      <c r="J1038" t="s">
        <v>271</v>
      </c>
      <c r="K1038" t="s">
        <v>222</v>
      </c>
      <c r="L1038" t="s">
        <v>8</v>
      </c>
      <c r="M1038" t="s">
        <v>114</v>
      </c>
      <c r="N1038" s="2">
        <v>45566</v>
      </c>
    </row>
    <row r="1039" spans="1:14" x14ac:dyDescent="0.25">
      <c r="A1039" t="s">
        <v>380</v>
      </c>
      <c r="B1039" s="2">
        <v>45596</v>
      </c>
      <c r="C1039" t="s">
        <v>380</v>
      </c>
      <c r="D1039" t="s">
        <v>112</v>
      </c>
      <c r="E1039" t="s">
        <v>9</v>
      </c>
      <c r="F1039" s="3">
        <v>8025</v>
      </c>
      <c r="G1039" s="3">
        <v>8025</v>
      </c>
      <c r="H1039" t="s">
        <v>3</v>
      </c>
      <c r="I1039" t="s">
        <v>3</v>
      </c>
      <c r="J1039" t="s">
        <v>277</v>
      </c>
      <c r="K1039" t="s">
        <v>222</v>
      </c>
      <c r="L1039" t="s">
        <v>8</v>
      </c>
      <c r="M1039" t="s">
        <v>114</v>
      </c>
      <c r="N1039" s="2">
        <v>45596</v>
      </c>
    </row>
    <row r="1040" spans="1:14" x14ac:dyDescent="0.25">
      <c r="A1040" t="s">
        <v>380</v>
      </c>
      <c r="B1040" s="2">
        <v>45930</v>
      </c>
      <c r="C1040" t="s">
        <v>380</v>
      </c>
      <c r="D1040" t="s">
        <v>112</v>
      </c>
      <c r="E1040" t="s">
        <v>9</v>
      </c>
      <c r="F1040" s="3">
        <v>-3650</v>
      </c>
      <c r="G1040" s="3">
        <v>-3650</v>
      </c>
      <c r="H1040" t="s">
        <v>3</v>
      </c>
      <c r="I1040" t="s">
        <v>3</v>
      </c>
      <c r="J1040" t="s">
        <v>323</v>
      </c>
      <c r="K1040" t="s">
        <v>5</v>
      </c>
      <c r="L1040" t="s">
        <v>8</v>
      </c>
      <c r="M1040" t="s">
        <v>114</v>
      </c>
      <c r="N1040" s="2">
        <v>45931</v>
      </c>
    </row>
    <row r="1041" spans="1:14" x14ac:dyDescent="0.25">
      <c r="A1041" t="s">
        <v>380</v>
      </c>
      <c r="B1041" s="2">
        <v>45930</v>
      </c>
      <c r="C1041" t="s">
        <v>380</v>
      </c>
      <c r="D1041" t="s">
        <v>112</v>
      </c>
      <c r="E1041" t="s">
        <v>9</v>
      </c>
      <c r="F1041" s="3">
        <v>-3182</v>
      </c>
      <c r="G1041" s="3">
        <v>-3182</v>
      </c>
      <c r="H1041" t="s">
        <v>3</v>
      </c>
      <c r="I1041" t="s">
        <v>3</v>
      </c>
      <c r="J1041" t="s">
        <v>384</v>
      </c>
      <c r="K1041" t="s">
        <v>5</v>
      </c>
      <c r="L1041" t="s">
        <v>8</v>
      </c>
      <c r="M1041" t="s">
        <v>114</v>
      </c>
      <c r="N1041" s="2">
        <v>45931</v>
      </c>
    </row>
    <row r="1042" spans="1:14" x14ac:dyDescent="0.25">
      <c r="A1042" t="s">
        <v>380</v>
      </c>
      <c r="B1042" s="2">
        <v>45961</v>
      </c>
      <c r="C1042" t="s">
        <v>380</v>
      </c>
      <c r="D1042" t="s">
        <v>112</v>
      </c>
      <c r="E1042" t="s">
        <v>9</v>
      </c>
      <c r="F1042" s="3">
        <v>4250</v>
      </c>
      <c r="G1042" s="3">
        <v>4250</v>
      </c>
      <c r="H1042" t="s">
        <v>3</v>
      </c>
      <c r="I1042" t="s">
        <v>3</v>
      </c>
      <c r="J1042" t="s">
        <v>325</v>
      </c>
      <c r="K1042" t="s">
        <v>5</v>
      </c>
      <c r="L1042" t="s">
        <v>8</v>
      </c>
      <c r="M1042" t="s">
        <v>114</v>
      </c>
      <c r="N1042" s="2">
        <v>45961</v>
      </c>
    </row>
    <row r="1043" spans="1:14" x14ac:dyDescent="0.25">
      <c r="A1043" t="s">
        <v>380</v>
      </c>
      <c r="B1043" s="2">
        <v>45961</v>
      </c>
      <c r="C1043" t="s">
        <v>380</v>
      </c>
      <c r="D1043" t="s">
        <v>112</v>
      </c>
      <c r="E1043" t="s">
        <v>9</v>
      </c>
      <c r="F1043" s="3">
        <v>3870</v>
      </c>
      <c r="G1043" s="3">
        <v>3870</v>
      </c>
      <c r="H1043" t="s">
        <v>3</v>
      </c>
      <c r="I1043" t="s">
        <v>3</v>
      </c>
      <c r="J1043" t="s">
        <v>385</v>
      </c>
      <c r="K1043" t="s">
        <v>5</v>
      </c>
      <c r="L1043" t="s">
        <v>8</v>
      </c>
      <c r="M1043" t="s">
        <v>114</v>
      </c>
      <c r="N1043" s="2">
        <v>45961</v>
      </c>
    </row>
    <row r="1044" spans="1:14" x14ac:dyDescent="0.25">
      <c r="A1044" s="4" t="s">
        <v>278</v>
      </c>
      <c r="B1044" s="5"/>
      <c r="C1044" s="4" t="s">
        <v>9</v>
      </c>
      <c r="D1044" s="4" t="s">
        <v>9</v>
      </c>
      <c r="E1044" s="4" t="s">
        <v>9</v>
      </c>
      <c r="F1044" s="6">
        <v>0</v>
      </c>
      <c r="G1044" s="6">
        <v>0</v>
      </c>
      <c r="H1044" s="4" t="s">
        <v>9</v>
      </c>
      <c r="I1044" s="4" t="s">
        <v>3</v>
      </c>
      <c r="J1044" s="4" t="s">
        <v>9</v>
      </c>
      <c r="K1044" s="4" t="s">
        <v>9</v>
      </c>
      <c r="L1044" s="4" t="s">
        <v>9</v>
      </c>
      <c r="M1044" s="4" t="s">
        <v>9</v>
      </c>
      <c r="N1044" s="5"/>
    </row>
    <row r="1045" spans="1:14" x14ac:dyDescent="0.25">
      <c r="A1045" t="s">
        <v>380</v>
      </c>
      <c r="B1045" s="2">
        <v>45629</v>
      </c>
      <c r="C1045" t="s">
        <v>380</v>
      </c>
      <c r="D1045" t="s">
        <v>112</v>
      </c>
      <c r="E1045" t="s">
        <v>9</v>
      </c>
      <c r="F1045" s="3">
        <v>-1597</v>
      </c>
      <c r="G1045" s="3">
        <v>-1597</v>
      </c>
      <c r="H1045" t="s">
        <v>3</v>
      </c>
      <c r="I1045" t="s">
        <v>3</v>
      </c>
      <c r="J1045" t="s">
        <v>9</v>
      </c>
      <c r="K1045" t="s">
        <v>9</v>
      </c>
      <c r="L1045" t="s">
        <v>11</v>
      </c>
      <c r="M1045" t="s">
        <v>114</v>
      </c>
      <c r="N1045" s="2">
        <v>45626</v>
      </c>
    </row>
    <row r="1046" spans="1:14" x14ac:dyDescent="0.25">
      <c r="A1046" t="s">
        <v>380</v>
      </c>
      <c r="B1046" s="2">
        <v>45993</v>
      </c>
      <c r="C1046" t="s">
        <v>380</v>
      </c>
      <c r="D1046" t="s">
        <v>112</v>
      </c>
      <c r="E1046" t="s">
        <v>9</v>
      </c>
      <c r="F1046" s="3">
        <v>-931</v>
      </c>
      <c r="G1046" s="3">
        <v>-931</v>
      </c>
      <c r="H1046" t="s">
        <v>3</v>
      </c>
      <c r="I1046" t="s">
        <v>3</v>
      </c>
      <c r="J1046" t="s">
        <v>9</v>
      </c>
      <c r="K1046" t="s">
        <v>9</v>
      </c>
      <c r="L1046" t="s">
        <v>11</v>
      </c>
      <c r="M1046" t="s">
        <v>114</v>
      </c>
      <c r="N1046" s="2">
        <v>45991</v>
      </c>
    </row>
    <row r="1047" spans="1:14" x14ac:dyDescent="0.25">
      <c r="A1047" t="s">
        <v>380</v>
      </c>
      <c r="B1047" s="2">
        <v>45596</v>
      </c>
      <c r="C1047" t="s">
        <v>380</v>
      </c>
      <c r="D1047" t="s">
        <v>112</v>
      </c>
      <c r="E1047" t="s">
        <v>9</v>
      </c>
      <c r="F1047" s="3">
        <v>-8025</v>
      </c>
      <c r="G1047" s="3">
        <v>-8025</v>
      </c>
      <c r="H1047" t="s">
        <v>3</v>
      </c>
      <c r="I1047" t="s">
        <v>3</v>
      </c>
      <c r="J1047" t="s">
        <v>277</v>
      </c>
      <c r="K1047" t="s">
        <v>222</v>
      </c>
      <c r="L1047" t="s">
        <v>11</v>
      </c>
      <c r="M1047" t="s">
        <v>114</v>
      </c>
      <c r="N1047" s="2">
        <v>45597</v>
      </c>
    </row>
    <row r="1048" spans="1:14" x14ac:dyDescent="0.25">
      <c r="A1048" t="s">
        <v>380</v>
      </c>
      <c r="B1048" s="2">
        <v>45626</v>
      </c>
      <c r="C1048" t="s">
        <v>380</v>
      </c>
      <c r="D1048" t="s">
        <v>112</v>
      </c>
      <c r="E1048" t="s">
        <v>9</v>
      </c>
      <c r="F1048" s="3">
        <v>8375</v>
      </c>
      <c r="G1048" s="3">
        <v>8375</v>
      </c>
      <c r="H1048" t="s">
        <v>3</v>
      </c>
      <c r="I1048" t="s">
        <v>3</v>
      </c>
      <c r="J1048" t="s">
        <v>283</v>
      </c>
      <c r="K1048" t="s">
        <v>222</v>
      </c>
      <c r="L1048" t="s">
        <v>11</v>
      </c>
      <c r="M1048" t="s">
        <v>114</v>
      </c>
      <c r="N1048" s="2">
        <v>45626</v>
      </c>
    </row>
    <row r="1049" spans="1:14" x14ac:dyDescent="0.25">
      <c r="A1049" t="s">
        <v>380</v>
      </c>
      <c r="B1049" s="2">
        <v>45626</v>
      </c>
      <c r="C1049" t="s">
        <v>380</v>
      </c>
      <c r="D1049" t="s">
        <v>112</v>
      </c>
      <c r="E1049" t="s">
        <v>9</v>
      </c>
      <c r="F1049" s="3">
        <v>1247</v>
      </c>
      <c r="G1049" s="3">
        <v>1247</v>
      </c>
      <c r="H1049" t="s">
        <v>3</v>
      </c>
      <c r="I1049" t="s">
        <v>3</v>
      </c>
      <c r="J1049" t="s">
        <v>386</v>
      </c>
      <c r="K1049" t="s">
        <v>222</v>
      </c>
      <c r="L1049" t="s">
        <v>11</v>
      </c>
      <c r="M1049" t="s">
        <v>114</v>
      </c>
      <c r="N1049" s="2">
        <v>45626</v>
      </c>
    </row>
    <row r="1050" spans="1:14" x14ac:dyDescent="0.25">
      <c r="A1050" t="s">
        <v>380</v>
      </c>
      <c r="B1050" s="2">
        <v>45961</v>
      </c>
      <c r="C1050" t="s">
        <v>380</v>
      </c>
      <c r="D1050" t="s">
        <v>112</v>
      </c>
      <c r="E1050" t="s">
        <v>9</v>
      </c>
      <c r="F1050" s="3">
        <v>-4250</v>
      </c>
      <c r="G1050" s="3">
        <v>-4250</v>
      </c>
      <c r="H1050" t="s">
        <v>3</v>
      </c>
      <c r="I1050" t="s">
        <v>3</v>
      </c>
      <c r="J1050" t="s">
        <v>325</v>
      </c>
      <c r="K1050" t="s">
        <v>5</v>
      </c>
      <c r="L1050" t="s">
        <v>11</v>
      </c>
      <c r="M1050" t="s">
        <v>114</v>
      </c>
      <c r="N1050" s="2">
        <v>45962</v>
      </c>
    </row>
    <row r="1051" spans="1:14" x14ac:dyDescent="0.25">
      <c r="A1051" t="s">
        <v>380</v>
      </c>
      <c r="B1051" s="2">
        <v>45961</v>
      </c>
      <c r="C1051" t="s">
        <v>380</v>
      </c>
      <c r="D1051" t="s">
        <v>112</v>
      </c>
      <c r="E1051" t="s">
        <v>9</v>
      </c>
      <c r="F1051" s="3">
        <v>-3870</v>
      </c>
      <c r="G1051" s="3">
        <v>-3870</v>
      </c>
      <c r="H1051" t="s">
        <v>3</v>
      </c>
      <c r="I1051" t="s">
        <v>3</v>
      </c>
      <c r="J1051" t="s">
        <v>385</v>
      </c>
      <c r="K1051" t="s">
        <v>5</v>
      </c>
      <c r="L1051" t="s">
        <v>11</v>
      </c>
      <c r="M1051" t="s">
        <v>114</v>
      </c>
      <c r="N1051" s="2">
        <v>45962</v>
      </c>
    </row>
    <row r="1052" spans="1:14" x14ac:dyDescent="0.25">
      <c r="A1052" t="s">
        <v>380</v>
      </c>
      <c r="B1052" s="2">
        <v>45991</v>
      </c>
      <c r="C1052" t="s">
        <v>380</v>
      </c>
      <c r="D1052" t="s">
        <v>112</v>
      </c>
      <c r="E1052" t="s">
        <v>9</v>
      </c>
      <c r="F1052" s="3">
        <v>4450</v>
      </c>
      <c r="G1052" s="3">
        <v>4450</v>
      </c>
      <c r="H1052" t="s">
        <v>3</v>
      </c>
      <c r="I1052" t="s">
        <v>3</v>
      </c>
      <c r="J1052" t="s">
        <v>328</v>
      </c>
      <c r="K1052" t="s">
        <v>5</v>
      </c>
      <c r="L1052" t="s">
        <v>11</v>
      </c>
      <c r="M1052" t="s">
        <v>114</v>
      </c>
      <c r="N1052" s="2">
        <v>45991</v>
      </c>
    </row>
    <row r="1053" spans="1:14" x14ac:dyDescent="0.25">
      <c r="A1053" t="s">
        <v>380</v>
      </c>
      <c r="B1053" s="2">
        <v>45991</v>
      </c>
      <c r="C1053" t="s">
        <v>380</v>
      </c>
      <c r="D1053" t="s">
        <v>112</v>
      </c>
      <c r="E1053" t="s">
        <v>9</v>
      </c>
      <c r="F1053" s="3">
        <v>4601</v>
      </c>
      <c r="G1053" s="3">
        <v>4601</v>
      </c>
      <c r="H1053" t="s">
        <v>3</v>
      </c>
      <c r="I1053" t="s">
        <v>3</v>
      </c>
      <c r="J1053" t="s">
        <v>387</v>
      </c>
      <c r="K1053" t="s">
        <v>5</v>
      </c>
      <c r="L1053" t="s">
        <v>11</v>
      </c>
      <c r="M1053" t="s">
        <v>114</v>
      </c>
      <c r="N1053" s="2">
        <v>45991</v>
      </c>
    </row>
    <row r="1054" spans="1:14" x14ac:dyDescent="0.25">
      <c r="A1054" s="4" t="s">
        <v>226</v>
      </c>
      <c r="B1054" s="5"/>
      <c r="C1054" s="4" t="s">
        <v>9</v>
      </c>
      <c r="D1054" s="4" t="s">
        <v>9</v>
      </c>
      <c r="E1054" s="4" t="s">
        <v>9</v>
      </c>
      <c r="F1054" s="6">
        <v>0</v>
      </c>
      <c r="G1054" s="6">
        <v>0</v>
      </c>
      <c r="H1054" s="4" t="s">
        <v>9</v>
      </c>
      <c r="I1054" s="4" t="s">
        <v>3</v>
      </c>
      <c r="J1054" s="4" t="s">
        <v>9</v>
      </c>
      <c r="K1054" s="4" t="s">
        <v>9</v>
      </c>
      <c r="L1054" s="4" t="s">
        <v>9</v>
      </c>
      <c r="M1054" s="4" t="s">
        <v>9</v>
      </c>
      <c r="N1054" s="5"/>
    </row>
    <row r="1055" spans="1:14" x14ac:dyDescent="0.25">
      <c r="A1055" t="s">
        <v>380</v>
      </c>
      <c r="B1055" s="2">
        <v>45660</v>
      </c>
      <c r="C1055" t="s">
        <v>380</v>
      </c>
      <c r="D1055" t="s">
        <v>112</v>
      </c>
      <c r="E1055" t="s">
        <v>9</v>
      </c>
      <c r="F1055" s="3">
        <v>-6258</v>
      </c>
      <c r="G1055" s="3">
        <v>-6258</v>
      </c>
      <c r="H1055" t="s">
        <v>3</v>
      </c>
      <c r="I1055" t="s">
        <v>3</v>
      </c>
      <c r="J1055" t="s">
        <v>9</v>
      </c>
      <c r="K1055" t="s">
        <v>9</v>
      </c>
      <c r="L1055" t="s">
        <v>12</v>
      </c>
      <c r="M1055" t="s">
        <v>114</v>
      </c>
      <c r="N1055" s="2">
        <v>45657</v>
      </c>
    </row>
    <row r="1056" spans="1:14" x14ac:dyDescent="0.25">
      <c r="A1056" t="s">
        <v>380</v>
      </c>
      <c r="B1056" s="2">
        <v>45626</v>
      </c>
      <c r="C1056" t="s">
        <v>380</v>
      </c>
      <c r="D1056" t="s">
        <v>112</v>
      </c>
      <c r="E1056" t="s">
        <v>9</v>
      </c>
      <c r="F1056" s="3">
        <v>-8375</v>
      </c>
      <c r="G1056" s="3">
        <v>-8375</v>
      </c>
      <c r="H1056" t="s">
        <v>3</v>
      </c>
      <c r="I1056" t="s">
        <v>3</v>
      </c>
      <c r="J1056" t="s">
        <v>283</v>
      </c>
      <c r="K1056" t="s">
        <v>222</v>
      </c>
      <c r="L1056" t="s">
        <v>12</v>
      </c>
      <c r="M1056" t="s">
        <v>114</v>
      </c>
      <c r="N1056" s="2">
        <v>45627</v>
      </c>
    </row>
    <row r="1057" spans="1:14" x14ac:dyDescent="0.25">
      <c r="A1057" t="s">
        <v>380</v>
      </c>
      <c r="B1057" s="2">
        <v>45626</v>
      </c>
      <c r="C1057" t="s">
        <v>380</v>
      </c>
      <c r="D1057" t="s">
        <v>112</v>
      </c>
      <c r="E1057" t="s">
        <v>9</v>
      </c>
      <c r="F1057" s="3">
        <v>-1247</v>
      </c>
      <c r="G1057" s="3">
        <v>-1247</v>
      </c>
      <c r="H1057" t="s">
        <v>3</v>
      </c>
      <c r="I1057" t="s">
        <v>3</v>
      </c>
      <c r="J1057" t="s">
        <v>386</v>
      </c>
      <c r="K1057" t="s">
        <v>222</v>
      </c>
      <c r="L1057" t="s">
        <v>12</v>
      </c>
      <c r="M1057" t="s">
        <v>114</v>
      </c>
      <c r="N1057" s="2">
        <v>45627</v>
      </c>
    </row>
    <row r="1058" spans="1:14" x14ac:dyDescent="0.25">
      <c r="A1058" t="s">
        <v>380</v>
      </c>
      <c r="B1058" s="2">
        <v>45657</v>
      </c>
      <c r="C1058" t="s">
        <v>380</v>
      </c>
      <c r="D1058" t="s">
        <v>112</v>
      </c>
      <c r="E1058" t="s">
        <v>9</v>
      </c>
      <c r="F1058" s="3">
        <v>10075</v>
      </c>
      <c r="G1058" s="3">
        <v>10075</v>
      </c>
      <c r="H1058" t="s">
        <v>3</v>
      </c>
      <c r="I1058" t="s">
        <v>3</v>
      </c>
      <c r="J1058" t="s">
        <v>292</v>
      </c>
      <c r="K1058" t="s">
        <v>222</v>
      </c>
      <c r="L1058" t="s">
        <v>12</v>
      </c>
      <c r="M1058" t="s">
        <v>114</v>
      </c>
      <c r="N1058" s="2">
        <v>45657</v>
      </c>
    </row>
    <row r="1059" spans="1:14" x14ac:dyDescent="0.25">
      <c r="A1059" t="s">
        <v>380</v>
      </c>
      <c r="B1059" s="2">
        <v>45657</v>
      </c>
      <c r="C1059" t="s">
        <v>380</v>
      </c>
      <c r="D1059" t="s">
        <v>112</v>
      </c>
      <c r="E1059" t="s">
        <v>9</v>
      </c>
      <c r="F1059" s="3">
        <v>5805</v>
      </c>
      <c r="G1059" s="3">
        <v>5805</v>
      </c>
      <c r="H1059" t="s">
        <v>3</v>
      </c>
      <c r="I1059" t="s">
        <v>3</v>
      </c>
      <c r="J1059" t="s">
        <v>388</v>
      </c>
      <c r="K1059" t="s">
        <v>222</v>
      </c>
      <c r="L1059" t="s">
        <v>12</v>
      </c>
      <c r="M1059" t="s">
        <v>114</v>
      </c>
      <c r="N1059" s="2">
        <v>45657</v>
      </c>
    </row>
    <row r="1060" spans="1:14" x14ac:dyDescent="0.25">
      <c r="A1060" t="s">
        <v>380</v>
      </c>
      <c r="B1060" s="2">
        <v>45991</v>
      </c>
      <c r="C1060" t="s">
        <v>380</v>
      </c>
      <c r="D1060" t="s">
        <v>112</v>
      </c>
      <c r="E1060" t="s">
        <v>9</v>
      </c>
      <c r="F1060" s="3">
        <v>-4450</v>
      </c>
      <c r="G1060" s="3">
        <v>-4450</v>
      </c>
      <c r="H1060" t="s">
        <v>3</v>
      </c>
      <c r="I1060" t="s">
        <v>3</v>
      </c>
      <c r="J1060" t="s">
        <v>328</v>
      </c>
      <c r="K1060" t="s">
        <v>5</v>
      </c>
      <c r="L1060" t="s">
        <v>12</v>
      </c>
      <c r="M1060" t="s">
        <v>114</v>
      </c>
      <c r="N1060" s="2">
        <v>45992</v>
      </c>
    </row>
    <row r="1061" spans="1:14" x14ac:dyDescent="0.25">
      <c r="A1061" t="s">
        <v>380</v>
      </c>
      <c r="B1061" s="2">
        <v>45991</v>
      </c>
      <c r="C1061" t="s">
        <v>380</v>
      </c>
      <c r="D1061" t="s">
        <v>112</v>
      </c>
      <c r="E1061" t="s">
        <v>9</v>
      </c>
      <c r="F1061" s="3">
        <v>-4601</v>
      </c>
      <c r="G1061" s="3">
        <v>-4601</v>
      </c>
      <c r="H1061" t="s">
        <v>3</v>
      </c>
      <c r="I1061" t="s">
        <v>3</v>
      </c>
      <c r="J1061" t="s">
        <v>387</v>
      </c>
      <c r="K1061" t="s">
        <v>5</v>
      </c>
      <c r="L1061" t="s">
        <v>12</v>
      </c>
      <c r="M1061" t="s">
        <v>114</v>
      </c>
      <c r="N1061" s="2">
        <v>45992</v>
      </c>
    </row>
    <row r="1062" spans="1:14" x14ac:dyDescent="0.25">
      <c r="A1062" t="s">
        <v>380</v>
      </c>
      <c r="B1062" s="2">
        <v>46022</v>
      </c>
      <c r="C1062" t="s">
        <v>380</v>
      </c>
      <c r="D1062" t="s">
        <v>112</v>
      </c>
      <c r="E1062" t="s">
        <v>9</v>
      </c>
      <c r="F1062" s="3">
        <v>4450</v>
      </c>
      <c r="G1062" s="3">
        <v>4450</v>
      </c>
      <c r="H1062" t="s">
        <v>3</v>
      </c>
      <c r="I1062" t="s">
        <v>3</v>
      </c>
      <c r="J1062" t="s">
        <v>298</v>
      </c>
      <c r="K1062" t="s">
        <v>5</v>
      </c>
      <c r="L1062" t="s">
        <v>12</v>
      </c>
      <c r="M1062" t="s">
        <v>114</v>
      </c>
      <c r="N1062" s="2">
        <v>46022</v>
      </c>
    </row>
    <row r="1063" spans="1:14" x14ac:dyDescent="0.25">
      <c r="A1063" t="s">
        <v>380</v>
      </c>
      <c r="B1063" s="2">
        <v>46022</v>
      </c>
      <c r="C1063" t="s">
        <v>380</v>
      </c>
      <c r="D1063" t="s">
        <v>112</v>
      </c>
      <c r="E1063" t="s">
        <v>9</v>
      </c>
      <c r="F1063" s="3">
        <v>4601</v>
      </c>
      <c r="G1063" s="3">
        <v>4601</v>
      </c>
      <c r="H1063" t="s">
        <v>3</v>
      </c>
      <c r="I1063" t="s">
        <v>3</v>
      </c>
      <c r="J1063" t="s">
        <v>381</v>
      </c>
      <c r="K1063" t="s">
        <v>5</v>
      </c>
      <c r="L1063" t="s">
        <v>12</v>
      </c>
      <c r="M1063" t="s">
        <v>114</v>
      </c>
      <c r="N1063" s="2">
        <v>46022</v>
      </c>
    </row>
    <row r="1064" spans="1:14" x14ac:dyDescent="0.25">
      <c r="A1064" t="s">
        <v>380</v>
      </c>
      <c r="B1064" s="2">
        <v>46022</v>
      </c>
      <c r="C1064" t="s">
        <v>380</v>
      </c>
      <c r="D1064" t="s">
        <v>112</v>
      </c>
      <c r="E1064" t="s">
        <v>9</v>
      </c>
      <c r="F1064" s="3">
        <v>4450</v>
      </c>
      <c r="G1064" s="3">
        <v>4450</v>
      </c>
      <c r="H1064" t="s">
        <v>3</v>
      </c>
      <c r="I1064" t="s">
        <v>3</v>
      </c>
      <c r="J1064" t="s">
        <v>298</v>
      </c>
      <c r="K1064" t="s">
        <v>5</v>
      </c>
      <c r="L1064" t="s">
        <v>12</v>
      </c>
      <c r="M1064" t="s">
        <v>114</v>
      </c>
      <c r="N1064" s="2">
        <v>46022</v>
      </c>
    </row>
    <row r="1065" spans="1:14" x14ac:dyDescent="0.25">
      <c r="A1065" t="s">
        <v>380</v>
      </c>
      <c r="B1065" s="2">
        <v>46022</v>
      </c>
      <c r="C1065" t="s">
        <v>380</v>
      </c>
      <c r="D1065" t="s">
        <v>112</v>
      </c>
      <c r="E1065" t="s">
        <v>9</v>
      </c>
      <c r="F1065" s="3">
        <v>4601</v>
      </c>
      <c r="G1065" s="3">
        <v>4601</v>
      </c>
      <c r="H1065" t="s">
        <v>3</v>
      </c>
      <c r="I1065" t="s">
        <v>3</v>
      </c>
      <c r="J1065" t="s">
        <v>381</v>
      </c>
      <c r="K1065" t="s">
        <v>5</v>
      </c>
      <c r="L1065" t="s">
        <v>12</v>
      </c>
      <c r="M1065" t="s">
        <v>114</v>
      </c>
      <c r="N1065" s="2">
        <v>46022</v>
      </c>
    </row>
    <row r="1066" spans="1:14" x14ac:dyDescent="0.25">
      <c r="A1066" t="s">
        <v>380</v>
      </c>
      <c r="B1066" s="2">
        <v>46022</v>
      </c>
      <c r="C1066" t="s">
        <v>380</v>
      </c>
      <c r="D1066" t="s">
        <v>112</v>
      </c>
      <c r="E1066" t="s">
        <v>9</v>
      </c>
      <c r="F1066" s="3">
        <v>-4450</v>
      </c>
      <c r="G1066" s="3">
        <v>-4450</v>
      </c>
      <c r="H1066" t="s">
        <v>3</v>
      </c>
      <c r="I1066" t="s">
        <v>3</v>
      </c>
      <c r="J1066" t="s">
        <v>298</v>
      </c>
      <c r="K1066" t="s">
        <v>5</v>
      </c>
      <c r="L1066" t="s">
        <v>12</v>
      </c>
      <c r="M1066" t="s">
        <v>114</v>
      </c>
      <c r="N1066" s="2">
        <v>46022</v>
      </c>
    </row>
    <row r="1067" spans="1:14" x14ac:dyDescent="0.25">
      <c r="A1067" t="s">
        <v>380</v>
      </c>
      <c r="B1067" s="2">
        <v>46022</v>
      </c>
      <c r="C1067" t="s">
        <v>380</v>
      </c>
      <c r="D1067" t="s">
        <v>112</v>
      </c>
      <c r="E1067" t="s">
        <v>9</v>
      </c>
      <c r="F1067" s="3">
        <v>-4601</v>
      </c>
      <c r="G1067" s="3">
        <v>-4601</v>
      </c>
      <c r="H1067" t="s">
        <v>3</v>
      </c>
      <c r="I1067" t="s">
        <v>3</v>
      </c>
      <c r="J1067" t="s">
        <v>381</v>
      </c>
      <c r="K1067" t="s">
        <v>5</v>
      </c>
      <c r="L1067" t="s">
        <v>12</v>
      </c>
      <c r="M1067" t="s">
        <v>114</v>
      </c>
      <c r="N1067" s="2">
        <v>46022</v>
      </c>
    </row>
    <row r="1068" spans="1:14" x14ac:dyDescent="0.25">
      <c r="A1068" s="4" t="s">
        <v>228</v>
      </c>
      <c r="B1068" s="5"/>
      <c r="C1068" s="4" t="s">
        <v>9</v>
      </c>
      <c r="D1068" s="4" t="s">
        <v>9</v>
      </c>
      <c r="E1068" s="4" t="s">
        <v>9</v>
      </c>
      <c r="F1068" s="6">
        <v>0</v>
      </c>
      <c r="G1068" s="6">
        <v>0</v>
      </c>
      <c r="H1068" s="4" t="s">
        <v>9</v>
      </c>
      <c r="I1068" s="4" t="s">
        <v>3</v>
      </c>
      <c r="J1068" s="4" t="s">
        <v>9</v>
      </c>
      <c r="K1068" s="4" t="s">
        <v>9</v>
      </c>
      <c r="L1068" s="4" t="s">
        <v>9</v>
      </c>
      <c r="M1068" s="4" t="s">
        <v>9</v>
      </c>
      <c r="N1068" s="5"/>
    </row>
    <row r="1069" spans="1:14" x14ac:dyDescent="0.25">
      <c r="A1069" s="4" t="s">
        <v>380</v>
      </c>
      <c r="B1069" s="5"/>
      <c r="C1069" s="4" t="s">
        <v>9</v>
      </c>
      <c r="D1069" s="4" t="s">
        <v>9</v>
      </c>
      <c r="E1069" s="4" t="s">
        <v>9</v>
      </c>
      <c r="F1069" s="6">
        <v>0</v>
      </c>
      <c r="G1069" s="6">
        <v>0</v>
      </c>
      <c r="H1069" s="4" t="s">
        <v>9</v>
      </c>
      <c r="I1069" s="4" t="s">
        <v>3</v>
      </c>
      <c r="J1069" s="4" t="s">
        <v>9</v>
      </c>
      <c r="K1069" s="4" t="s">
        <v>9</v>
      </c>
      <c r="L1069" s="4" t="s">
        <v>9</v>
      </c>
      <c r="M1069" s="4" t="s">
        <v>9</v>
      </c>
      <c r="N1069" s="5"/>
    </row>
    <row r="1070" spans="1:14" x14ac:dyDescent="0.25">
      <c r="A1070" t="s">
        <v>389</v>
      </c>
      <c r="B1070" s="2">
        <v>45693</v>
      </c>
      <c r="C1070" t="s">
        <v>389</v>
      </c>
      <c r="D1070" t="s">
        <v>112</v>
      </c>
      <c r="E1070" t="s">
        <v>9</v>
      </c>
      <c r="F1070" s="3">
        <v>-901</v>
      </c>
      <c r="G1070" s="3">
        <v>-901</v>
      </c>
      <c r="H1070" t="s">
        <v>3</v>
      </c>
      <c r="I1070" t="s">
        <v>3</v>
      </c>
      <c r="J1070" t="s">
        <v>9</v>
      </c>
      <c r="K1070" t="s">
        <v>9</v>
      </c>
      <c r="L1070" t="s">
        <v>14</v>
      </c>
      <c r="M1070" t="s">
        <v>114</v>
      </c>
      <c r="N1070" s="2">
        <v>45688</v>
      </c>
    </row>
    <row r="1071" spans="1:14" x14ac:dyDescent="0.25">
      <c r="A1071" t="s">
        <v>389</v>
      </c>
      <c r="B1071" s="2">
        <v>46056</v>
      </c>
      <c r="C1071" t="s">
        <v>389</v>
      </c>
      <c r="D1071" t="s">
        <v>112</v>
      </c>
      <c r="E1071" t="s">
        <v>9</v>
      </c>
      <c r="F1071" s="3">
        <v>-900</v>
      </c>
      <c r="G1071" s="3">
        <v>-900</v>
      </c>
      <c r="H1071" t="s">
        <v>3</v>
      </c>
      <c r="I1071" t="s">
        <v>3</v>
      </c>
      <c r="J1071" t="s">
        <v>9</v>
      </c>
      <c r="K1071" t="s">
        <v>9</v>
      </c>
      <c r="L1071" t="s">
        <v>14</v>
      </c>
      <c r="M1071" t="s">
        <v>114</v>
      </c>
      <c r="N1071" s="2">
        <v>46053</v>
      </c>
    </row>
    <row r="1072" spans="1:14" x14ac:dyDescent="0.25">
      <c r="A1072" t="s">
        <v>389</v>
      </c>
      <c r="B1072" s="2">
        <v>45688</v>
      </c>
      <c r="C1072" t="s">
        <v>389</v>
      </c>
      <c r="D1072" t="s">
        <v>112</v>
      </c>
      <c r="E1072" t="s">
        <v>9</v>
      </c>
      <c r="F1072" s="3">
        <v>600</v>
      </c>
      <c r="G1072" s="3">
        <v>600</v>
      </c>
      <c r="H1072" t="s">
        <v>3</v>
      </c>
      <c r="I1072" t="s">
        <v>3</v>
      </c>
      <c r="J1072" t="s">
        <v>297</v>
      </c>
      <c r="K1072" t="s">
        <v>5</v>
      </c>
      <c r="L1072" t="s">
        <v>14</v>
      </c>
      <c r="M1072" t="s">
        <v>114</v>
      </c>
      <c r="N1072" s="2">
        <v>45688</v>
      </c>
    </row>
    <row r="1073" spans="1:14" x14ac:dyDescent="0.25">
      <c r="A1073" t="s">
        <v>389</v>
      </c>
      <c r="B1073" s="2">
        <v>45688</v>
      </c>
      <c r="C1073" t="s">
        <v>389</v>
      </c>
      <c r="D1073" t="s">
        <v>112</v>
      </c>
      <c r="E1073" t="s">
        <v>9</v>
      </c>
      <c r="F1073" s="3">
        <v>301</v>
      </c>
      <c r="G1073" s="3">
        <v>301</v>
      </c>
      <c r="H1073" t="s">
        <v>3</v>
      </c>
      <c r="I1073" t="s">
        <v>3</v>
      </c>
      <c r="J1073" t="s">
        <v>390</v>
      </c>
      <c r="K1073" t="s">
        <v>5</v>
      </c>
      <c r="L1073" t="s">
        <v>14</v>
      </c>
      <c r="M1073" t="s">
        <v>114</v>
      </c>
      <c r="N1073" s="2">
        <v>45688</v>
      </c>
    </row>
    <row r="1074" spans="1:14" x14ac:dyDescent="0.25">
      <c r="A1074" t="s">
        <v>389</v>
      </c>
      <c r="B1074" s="2">
        <v>46022</v>
      </c>
      <c r="C1074" t="s">
        <v>389</v>
      </c>
      <c r="D1074" t="s">
        <v>112</v>
      </c>
      <c r="E1074" t="s">
        <v>9</v>
      </c>
      <c r="F1074" s="3">
        <v>-12000</v>
      </c>
      <c r="G1074" s="3">
        <v>-12000</v>
      </c>
      <c r="H1074" t="s">
        <v>3</v>
      </c>
      <c r="I1074" t="s">
        <v>3</v>
      </c>
      <c r="J1074" t="s">
        <v>298</v>
      </c>
      <c r="K1074" t="s">
        <v>13</v>
      </c>
      <c r="L1074" t="s">
        <v>14</v>
      </c>
      <c r="M1074" t="s">
        <v>114</v>
      </c>
      <c r="N1074" s="2">
        <v>46023</v>
      </c>
    </row>
    <row r="1075" spans="1:14" x14ac:dyDescent="0.25">
      <c r="A1075" t="s">
        <v>389</v>
      </c>
      <c r="B1075" s="2">
        <v>46022</v>
      </c>
      <c r="C1075" t="s">
        <v>389</v>
      </c>
      <c r="D1075" t="s">
        <v>112</v>
      </c>
      <c r="E1075" t="s">
        <v>9</v>
      </c>
      <c r="F1075" s="3">
        <v>-5160</v>
      </c>
      <c r="G1075" s="3">
        <v>-5160</v>
      </c>
      <c r="H1075" t="s">
        <v>3</v>
      </c>
      <c r="I1075" t="s">
        <v>3</v>
      </c>
      <c r="J1075" t="s">
        <v>381</v>
      </c>
      <c r="K1075" t="s">
        <v>13</v>
      </c>
      <c r="L1075" t="s">
        <v>14</v>
      </c>
      <c r="M1075" t="s">
        <v>114</v>
      </c>
      <c r="N1075" s="2">
        <v>46023</v>
      </c>
    </row>
    <row r="1076" spans="1:14" x14ac:dyDescent="0.25">
      <c r="A1076" t="s">
        <v>389</v>
      </c>
      <c r="B1076" s="2">
        <v>46023</v>
      </c>
      <c r="C1076" t="s">
        <v>389</v>
      </c>
      <c r="D1076" t="s">
        <v>112</v>
      </c>
      <c r="E1076" t="s">
        <v>9</v>
      </c>
      <c r="F1076" s="3">
        <v>12000</v>
      </c>
      <c r="G1076" s="3">
        <v>12000</v>
      </c>
      <c r="H1076" t="s">
        <v>3</v>
      </c>
      <c r="I1076" t="s">
        <v>3</v>
      </c>
      <c r="J1076" t="s">
        <v>298</v>
      </c>
      <c r="K1076" t="s">
        <v>13</v>
      </c>
      <c r="L1076" t="s">
        <v>14</v>
      </c>
      <c r="M1076" t="s">
        <v>114</v>
      </c>
      <c r="N1076" s="2">
        <v>46023</v>
      </c>
    </row>
    <row r="1077" spans="1:14" x14ac:dyDescent="0.25">
      <c r="A1077" t="s">
        <v>389</v>
      </c>
      <c r="B1077" s="2">
        <v>46023</v>
      </c>
      <c r="C1077" t="s">
        <v>389</v>
      </c>
      <c r="D1077" t="s">
        <v>112</v>
      </c>
      <c r="E1077" t="s">
        <v>9</v>
      </c>
      <c r="F1077" s="3">
        <v>5160</v>
      </c>
      <c r="G1077" s="3">
        <v>5160</v>
      </c>
      <c r="H1077" t="s">
        <v>3</v>
      </c>
      <c r="I1077" t="s">
        <v>3</v>
      </c>
      <c r="J1077" t="s">
        <v>381</v>
      </c>
      <c r="K1077" t="s">
        <v>13</v>
      </c>
      <c r="L1077" t="s">
        <v>14</v>
      </c>
      <c r="M1077" t="s">
        <v>114</v>
      </c>
      <c r="N1077" s="2">
        <v>46023</v>
      </c>
    </row>
    <row r="1078" spans="1:14" x14ac:dyDescent="0.25">
      <c r="A1078" t="s">
        <v>389</v>
      </c>
      <c r="B1078" s="2">
        <v>46053</v>
      </c>
      <c r="C1078" t="s">
        <v>389</v>
      </c>
      <c r="D1078" t="s">
        <v>112</v>
      </c>
      <c r="E1078" t="s">
        <v>9</v>
      </c>
      <c r="F1078" s="3">
        <v>900</v>
      </c>
      <c r="G1078" s="3">
        <v>900</v>
      </c>
      <c r="H1078" t="s">
        <v>3</v>
      </c>
      <c r="I1078" t="s">
        <v>3</v>
      </c>
      <c r="J1078" t="s">
        <v>391</v>
      </c>
      <c r="K1078" t="s">
        <v>13</v>
      </c>
      <c r="L1078" t="s">
        <v>14</v>
      </c>
      <c r="M1078" t="s">
        <v>114</v>
      </c>
      <c r="N1078" s="2">
        <v>46053</v>
      </c>
    </row>
    <row r="1079" spans="1:14" x14ac:dyDescent="0.25">
      <c r="A1079" s="4" t="s">
        <v>234</v>
      </c>
      <c r="B1079" s="5"/>
      <c r="C1079" s="4" t="s">
        <v>9</v>
      </c>
      <c r="D1079" s="4" t="s">
        <v>9</v>
      </c>
      <c r="E1079" s="4" t="s">
        <v>9</v>
      </c>
      <c r="F1079" s="6">
        <v>0</v>
      </c>
      <c r="G1079" s="6">
        <v>0</v>
      </c>
      <c r="H1079" s="4" t="s">
        <v>9</v>
      </c>
      <c r="I1079" s="4" t="s">
        <v>3</v>
      </c>
      <c r="J1079" s="4" t="s">
        <v>9</v>
      </c>
      <c r="K1079" s="4" t="s">
        <v>9</v>
      </c>
      <c r="L1079" s="4" t="s">
        <v>9</v>
      </c>
      <c r="M1079" s="4" t="s">
        <v>9</v>
      </c>
      <c r="N1079" s="5"/>
    </row>
    <row r="1080" spans="1:14" x14ac:dyDescent="0.25">
      <c r="A1080" t="s">
        <v>389</v>
      </c>
      <c r="B1080" s="2">
        <v>45720</v>
      </c>
      <c r="C1080" t="s">
        <v>389</v>
      </c>
      <c r="D1080" t="s">
        <v>112</v>
      </c>
      <c r="E1080" t="s">
        <v>9</v>
      </c>
      <c r="F1080" s="3">
        <v>-3798</v>
      </c>
      <c r="G1080" s="3">
        <v>-3798</v>
      </c>
      <c r="H1080" t="s">
        <v>3</v>
      </c>
      <c r="I1080" t="s">
        <v>3</v>
      </c>
      <c r="J1080" t="s">
        <v>9</v>
      </c>
      <c r="K1080" t="s">
        <v>9</v>
      </c>
      <c r="L1080" t="s">
        <v>15</v>
      </c>
      <c r="M1080" t="s">
        <v>114</v>
      </c>
      <c r="N1080" s="2">
        <v>45716</v>
      </c>
    </row>
    <row r="1081" spans="1:14" x14ac:dyDescent="0.25">
      <c r="A1081" t="s">
        <v>389</v>
      </c>
      <c r="B1081" s="2">
        <v>46084</v>
      </c>
      <c r="C1081" t="s">
        <v>389</v>
      </c>
      <c r="D1081" t="s">
        <v>112</v>
      </c>
      <c r="E1081" t="s">
        <v>9</v>
      </c>
      <c r="F1081" s="3">
        <v>-270</v>
      </c>
      <c r="G1081" s="3">
        <v>-270</v>
      </c>
      <c r="H1081" t="s">
        <v>3</v>
      </c>
      <c r="I1081" t="s">
        <v>3</v>
      </c>
      <c r="J1081" t="s">
        <v>9</v>
      </c>
      <c r="K1081" t="s">
        <v>9</v>
      </c>
      <c r="L1081" t="s">
        <v>15</v>
      </c>
      <c r="M1081" t="s">
        <v>114</v>
      </c>
      <c r="N1081" s="2">
        <v>46081</v>
      </c>
    </row>
    <row r="1082" spans="1:14" x14ac:dyDescent="0.25">
      <c r="A1082" t="s">
        <v>389</v>
      </c>
      <c r="B1082" s="2">
        <v>45688</v>
      </c>
      <c r="C1082" t="s">
        <v>389</v>
      </c>
      <c r="D1082" t="s">
        <v>112</v>
      </c>
      <c r="E1082" t="s">
        <v>9</v>
      </c>
      <c r="F1082" s="3">
        <v>-600</v>
      </c>
      <c r="G1082" s="3">
        <v>-600</v>
      </c>
      <c r="H1082" t="s">
        <v>3</v>
      </c>
      <c r="I1082" t="s">
        <v>3</v>
      </c>
      <c r="J1082" t="s">
        <v>297</v>
      </c>
      <c r="K1082" t="s">
        <v>5</v>
      </c>
      <c r="L1082" t="s">
        <v>15</v>
      </c>
      <c r="M1082" t="s">
        <v>114</v>
      </c>
      <c r="N1082" s="2">
        <v>45689</v>
      </c>
    </row>
    <row r="1083" spans="1:14" x14ac:dyDescent="0.25">
      <c r="A1083" t="s">
        <v>389</v>
      </c>
      <c r="B1083" s="2">
        <v>45688</v>
      </c>
      <c r="C1083" t="s">
        <v>389</v>
      </c>
      <c r="D1083" t="s">
        <v>112</v>
      </c>
      <c r="E1083" t="s">
        <v>9</v>
      </c>
      <c r="F1083" s="3">
        <v>-301</v>
      </c>
      <c r="G1083" s="3">
        <v>-301</v>
      </c>
      <c r="H1083" t="s">
        <v>3</v>
      </c>
      <c r="I1083" t="s">
        <v>3</v>
      </c>
      <c r="J1083" t="s">
        <v>390</v>
      </c>
      <c r="K1083" t="s">
        <v>5</v>
      </c>
      <c r="L1083" t="s">
        <v>15</v>
      </c>
      <c r="M1083" t="s">
        <v>114</v>
      </c>
      <c r="N1083" s="2">
        <v>45689</v>
      </c>
    </row>
    <row r="1084" spans="1:14" x14ac:dyDescent="0.25">
      <c r="A1084" t="s">
        <v>389</v>
      </c>
      <c r="B1084" s="2">
        <v>45716</v>
      </c>
      <c r="C1084" t="s">
        <v>389</v>
      </c>
      <c r="D1084" t="s">
        <v>112</v>
      </c>
      <c r="E1084" t="s">
        <v>9</v>
      </c>
      <c r="F1084" s="3">
        <v>3800</v>
      </c>
      <c r="G1084" s="3">
        <v>3800</v>
      </c>
      <c r="H1084" t="s">
        <v>3</v>
      </c>
      <c r="I1084" t="s">
        <v>3</v>
      </c>
      <c r="J1084" t="s">
        <v>303</v>
      </c>
      <c r="K1084" t="s">
        <v>5</v>
      </c>
      <c r="L1084" t="s">
        <v>15</v>
      </c>
      <c r="M1084" t="s">
        <v>114</v>
      </c>
      <c r="N1084" s="2">
        <v>45716</v>
      </c>
    </row>
    <row r="1085" spans="1:14" x14ac:dyDescent="0.25">
      <c r="A1085" t="s">
        <v>389</v>
      </c>
      <c r="B1085" s="2">
        <v>45716</v>
      </c>
      <c r="C1085" t="s">
        <v>389</v>
      </c>
      <c r="D1085" t="s">
        <v>112</v>
      </c>
      <c r="E1085" t="s">
        <v>9</v>
      </c>
      <c r="F1085" s="3">
        <v>899</v>
      </c>
      <c r="G1085" s="3">
        <v>899</v>
      </c>
      <c r="H1085" t="s">
        <v>3</v>
      </c>
      <c r="I1085" t="s">
        <v>3</v>
      </c>
      <c r="J1085" t="s">
        <v>392</v>
      </c>
      <c r="K1085" t="s">
        <v>5</v>
      </c>
      <c r="L1085" t="s">
        <v>15</v>
      </c>
      <c r="M1085" t="s">
        <v>114</v>
      </c>
      <c r="N1085" s="2">
        <v>45716</v>
      </c>
    </row>
    <row r="1086" spans="1:14" x14ac:dyDescent="0.25">
      <c r="A1086" t="s">
        <v>389</v>
      </c>
      <c r="B1086" s="2">
        <v>46054</v>
      </c>
      <c r="C1086" t="s">
        <v>389</v>
      </c>
      <c r="D1086" t="s">
        <v>112</v>
      </c>
      <c r="E1086" t="s">
        <v>9</v>
      </c>
      <c r="F1086" s="3">
        <v>-900</v>
      </c>
      <c r="G1086" s="3">
        <v>-900</v>
      </c>
      <c r="H1086" t="s">
        <v>3</v>
      </c>
      <c r="I1086" t="s">
        <v>3</v>
      </c>
      <c r="J1086" t="s">
        <v>391</v>
      </c>
      <c r="K1086" t="s">
        <v>13</v>
      </c>
      <c r="L1086" t="s">
        <v>15</v>
      </c>
      <c r="M1086" t="s">
        <v>114</v>
      </c>
      <c r="N1086" s="2">
        <v>46054</v>
      </c>
    </row>
    <row r="1087" spans="1:14" x14ac:dyDescent="0.25">
      <c r="A1087" t="s">
        <v>389</v>
      </c>
      <c r="B1087" s="2">
        <v>46054</v>
      </c>
      <c r="C1087" t="s">
        <v>389</v>
      </c>
      <c r="D1087" t="s">
        <v>112</v>
      </c>
      <c r="E1087" t="s">
        <v>9</v>
      </c>
      <c r="F1087" s="3">
        <v>900</v>
      </c>
      <c r="G1087" s="3">
        <v>900</v>
      </c>
      <c r="H1087" t="s">
        <v>3</v>
      </c>
      <c r="I1087" t="s">
        <v>3</v>
      </c>
      <c r="J1087" t="s">
        <v>391</v>
      </c>
      <c r="K1087" t="s">
        <v>13</v>
      </c>
      <c r="L1087" t="s">
        <v>15</v>
      </c>
      <c r="M1087" t="s">
        <v>114</v>
      </c>
      <c r="N1087" s="2">
        <v>46055</v>
      </c>
    </row>
    <row r="1088" spans="1:14" x14ac:dyDescent="0.25">
      <c r="A1088" t="s">
        <v>389</v>
      </c>
      <c r="B1088" s="2">
        <v>46054</v>
      </c>
      <c r="C1088" t="s">
        <v>389</v>
      </c>
      <c r="D1088" t="s">
        <v>112</v>
      </c>
      <c r="E1088" t="s">
        <v>9</v>
      </c>
      <c r="F1088" s="3">
        <v>-900</v>
      </c>
      <c r="G1088" s="3">
        <v>-900</v>
      </c>
      <c r="H1088" t="s">
        <v>3</v>
      </c>
      <c r="I1088" t="s">
        <v>3</v>
      </c>
      <c r="J1088" t="s">
        <v>391</v>
      </c>
      <c r="K1088" t="s">
        <v>13</v>
      </c>
      <c r="L1088" t="s">
        <v>15</v>
      </c>
      <c r="M1088" t="s">
        <v>114</v>
      </c>
      <c r="N1088" s="2">
        <v>46054</v>
      </c>
    </row>
    <row r="1089" spans="1:14" x14ac:dyDescent="0.25">
      <c r="A1089" t="s">
        <v>389</v>
      </c>
      <c r="B1089" s="2">
        <v>46081</v>
      </c>
      <c r="C1089" t="s">
        <v>389</v>
      </c>
      <c r="D1089" t="s">
        <v>112</v>
      </c>
      <c r="E1089" t="s">
        <v>9</v>
      </c>
      <c r="F1089" s="3">
        <v>1170</v>
      </c>
      <c r="G1089" s="3">
        <v>1170</v>
      </c>
      <c r="H1089" t="s">
        <v>3</v>
      </c>
      <c r="I1089" t="s">
        <v>3</v>
      </c>
      <c r="J1089" t="s">
        <v>393</v>
      </c>
      <c r="K1089" t="s">
        <v>13</v>
      </c>
      <c r="L1089" t="s">
        <v>15</v>
      </c>
      <c r="M1089" t="s">
        <v>114</v>
      </c>
      <c r="N1089" s="2">
        <v>46081</v>
      </c>
    </row>
    <row r="1090" spans="1:14" x14ac:dyDescent="0.25">
      <c r="A1090" s="4" t="s">
        <v>239</v>
      </c>
      <c r="B1090" s="5"/>
      <c r="C1090" s="4" t="s">
        <v>9</v>
      </c>
      <c r="D1090" s="4" t="s">
        <v>9</v>
      </c>
      <c r="E1090" s="4" t="s">
        <v>9</v>
      </c>
      <c r="F1090" s="6">
        <v>0</v>
      </c>
      <c r="G1090" s="6">
        <v>0</v>
      </c>
      <c r="H1090" s="4" t="s">
        <v>9</v>
      </c>
      <c r="I1090" s="4" t="s">
        <v>3</v>
      </c>
      <c r="J1090" s="4" t="s">
        <v>9</v>
      </c>
      <c r="K1090" s="4" t="s">
        <v>9</v>
      </c>
      <c r="L1090" s="4" t="s">
        <v>9</v>
      </c>
      <c r="M1090" s="4" t="s">
        <v>9</v>
      </c>
      <c r="N1090" s="5"/>
    </row>
    <row r="1091" spans="1:14" x14ac:dyDescent="0.25">
      <c r="A1091" t="s">
        <v>389</v>
      </c>
      <c r="B1091" s="2">
        <v>45749</v>
      </c>
      <c r="C1091" t="s">
        <v>389</v>
      </c>
      <c r="D1091" t="s">
        <v>112</v>
      </c>
      <c r="E1091" t="s">
        <v>9</v>
      </c>
      <c r="F1091" s="3">
        <v>-3281</v>
      </c>
      <c r="G1091" s="3">
        <v>-3281</v>
      </c>
      <c r="H1091" t="s">
        <v>3</v>
      </c>
      <c r="I1091" t="s">
        <v>3</v>
      </c>
      <c r="J1091" t="s">
        <v>9</v>
      </c>
      <c r="K1091" t="s">
        <v>9</v>
      </c>
      <c r="L1091" t="s">
        <v>16</v>
      </c>
      <c r="M1091" t="s">
        <v>114</v>
      </c>
      <c r="N1091" s="2">
        <v>45747</v>
      </c>
    </row>
    <row r="1092" spans="1:14" x14ac:dyDescent="0.25">
      <c r="A1092" t="s">
        <v>389</v>
      </c>
      <c r="B1092" s="2">
        <v>46115</v>
      </c>
      <c r="C1092" t="s">
        <v>389</v>
      </c>
      <c r="D1092" t="s">
        <v>112</v>
      </c>
      <c r="E1092" t="s">
        <v>9</v>
      </c>
      <c r="F1092" s="3">
        <v>-80</v>
      </c>
      <c r="G1092" s="3">
        <v>-80</v>
      </c>
      <c r="H1092" t="s">
        <v>3</v>
      </c>
      <c r="I1092" t="s">
        <v>3</v>
      </c>
      <c r="J1092" t="s">
        <v>9</v>
      </c>
      <c r="K1092" t="s">
        <v>9</v>
      </c>
      <c r="L1092" t="s">
        <v>16</v>
      </c>
      <c r="M1092" t="s">
        <v>114</v>
      </c>
      <c r="N1092" s="2">
        <v>46112</v>
      </c>
    </row>
    <row r="1093" spans="1:14" x14ac:dyDescent="0.25">
      <c r="A1093" t="s">
        <v>389</v>
      </c>
      <c r="B1093" s="2">
        <v>45717</v>
      </c>
      <c r="C1093" t="s">
        <v>389</v>
      </c>
      <c r="D1093" t="s">
        <v>112</v>
      </c>
      <c r="E1093" t="s">
        <v>9</v>
      </c>
      <c r="F1093" s="3">
        <v>-3800</v>
      </c>
      <c r="G1093" s="3">
        <v>-3800</v>
      </c>
      <c r="H1093" t="s">
        <v>3</v>
      </c>
      <c r="I1093" t="s">
        <v>3</v>
      </c>
      <c r="J1093" t="s">
        <v>303</v>
      </c>
      <c r="K1093" t="s">
        <v>5</v>
      </c>
      <c r="L1093" t="s">
        <v>16</v>
      </c>
      <c r="M1093" t="s">
        <v>114</v>
      </c>
      <c r="N1093" s="2">
        <v>45717</v>
      </c>
    </row>
    <row r="1094" spans="1:14" x14ac:dyDescent="0.25">
      <c r="A1094" t="s">
        <v>389</v>
      </c>
      <c r="B1094" s="2">
        <v>45717</v>
      </c>
      <c r="C1094" t="s">
        <v>389</v>
      </c>
      <c r="D1094" t="s">
        <v>112</v>
      </c>
      <c r="E1094" t="s">
        <v>9</v>
      </c>
      <c r="F1094" s="3">
        <v>-899</v>
      </c>
      <c r="G1094" s="3">
        <v>-899</v>
      </c>
      <c r="H1094" t="s">
        <v>3</v>
      </c>
      <c r="I1094" t="s">
        <v>3</v>
      </c>
      <c r="J1094" t="s">
        <v>392</v>
      </c>
      <c r="K1094" t="s">
        <v>5</v>
      </c>
      <c r="L1094" t="s">
        <v>16</v>
      </c>
      <c r="M1094" t="s">
        <v>114</v>
      </c>
      <c r="N1094" s="2">
        <v>45717</v>
      </c>
    </row>
    <row r="1095" spans="1:14" x14ac:dyDescent="0.25">
      <c r="A1095" t="s">
        <v>389</v>
      </c>
      <c r="B1095" s="2">
        <v>45747</v>
      </c>
      <c r="C1095" t="s">
        <v>389</v>
      </c>
      <c r="D1095" t="s">
        <v>112</v>
      </c>
      <c r="E1095" t="s">
        <v>9</v>
      </c>
      <c r="F1095" s="3">
        <v>5400</v>
      </c>
      <c r="G1095" s="3">
        <v>5400</v>
      </c>
      <c r="H1095" t="s">
        <v>3</v>
      </c>
      <c r="I1095" t="s">
        <v>3</v>
      </c>
      <c r="J1095" t="s">
        <v>305</v>
      </c>
      <c r="K1095" t="s">
        <v>5</v>
      </c>
      <c r="L1095" t="s">
        <v>16</v>
      </c>
      <c r="M1095" t="s">
        <v>114</v>
      </c>
      <c r="N1095" s="2">
        <v>45747</v>
      </c>
    </row>
    <row r="1096" spans="1:14" x14ac:dyDescent="0.25">
      <c r="A1096" t="s">
        <v>389</v>
      </c>
      <c r="B1096" s="2">
        <v>45747</v>
      </c>
      <c r="C1096" t="s">
        <v>389</v>
      </c>
      <c r="D1096" t="s">
        <v>112</v>
      </c>
      <c r="E1096" t="s">
        <v>9</v>
      </c>
      <c r="F1096" s="3">
        <v>2580</v>
      </c>
      <c r="G1096" s="3">
        <v>2580</v>
      </c>
      <c r="H1096" t="s">
        <v>3</v>
      </c>
      <c r="I1096" t="s">
        <v>3</v>
      </c>
      <c r="J1096" t="s">
        <v>394</v>
      </c>
      <c r="K1096" t="s">
        <v>5</v>
      </c>
      <c r="L1096" t="s">
        <v>16</v>
      </c>
      <c r="M1096" t="s">
        <v>114</v>
      </c>
      <c r="N1096" s="2">
        <v>45747</v>
      </c>
    </row>
    <row r="1097" spans="1:14" x14ac:dyDescent="0.25">
      <c r="A1097" t="s">
        <v>389</v>
      </c>
      <c r="B1097" s="2">
        <v>46081</v>
      </c>
      <c r="C1097" t="s">
        <v>389</v>
      </c>
      <c r="D1097" t="s">
        <v>112</v>
      </c>
      <c r="E1097" t="s">
        <v>9</v>
      </c>
      <c r="F1097" s="3">
        <v>-1170</v>
      </c>
      <c r="G1097" s="3">
        <v>-1170</v>
      </c>
      <c r="H1097" t="s">
        <v>3</v>
      </c>
      <c r="I1097" t="s">
        <v>3</v>
      </c>
      <c r="J1097" t="s">
        <v>393</v>
      </c>
      <c r="K1097" t="s">
        <v>13</v>
      </c>
      <c r="L1097" t="s">
        <v>16</v>
      </c>
      <c r="M1097" t="s">
        <v>114</v>
      </c>
      <c r="N1097" s="2">
        <v>46082</v>
      </c>
    </row>
    <row r="1098" spans="1:14" x14ac:dyDescent="0.25">
      <c r="A1098" t="s">
        <v>389</v>
      </c>
      <c r="B1098" s="2">
        <v>46112</v>
      </c>
      <c r="C1098" t="s">
        <v>389</v>
      </c>
      <c r="D1098" t="s">
        <v>112</v>
      </c>
      <c r="E1098" t="s">
        <v>9</v>
      </c>
      <c r="F1098" s="3">
        <v>1250</v>
      </c>
      <c r="G1098" s="3">
        <v>1250</v>
      </c>
      <c r="H1098" t="s">
        <v>3</v>
      </c>
      <c r="I1098" t="s">
        <v>3</v>
      </c>
      <c r="J1098" t="s">
        <v>395</v>
      </c>
      <c r="K1098" t="s">
        <v>13</v>
      </c>
      <c r="L1098" t="s">
        <v>16</v>
      </c>
      <c r="M1098" t="s">
        <v>114</v>
      </c>
      <c r="N1098" s="2">
        <v>46112</v>
      </c>
    </row>
    <row r="1099" spans="1:14" x14ac:dyDescent="0.25">
      <c r="A1099" s="4" t="s">
        <v>244</v>
      </c>
      <c r="B1099" s="5"/>
      <c r="C1099" s="4" t="s">
        <v>9</v>
      </c>
      <c r="D1099" s="4" t="s">
        <v>9</v>
      </c>
      <c r="E1099" s="4" t="s">
        <v>9</v>
      </c>
      <c r="F1099" s="6">
        <v>0</v>
      </c>
      <c r="G1099" s="6">
        <v>0</v>
      </c>
      <c r="H1099" s="4" t="s">
        <v>9</v>
      </c>
      <c r="I1099" s="4" t="s">
        <v>3</v>
      </c>
      <c r="J1099" s="4" t="s">
        <v>9</v>
      </c>
      <c r="K1099" s="4" t="s">
        <v>9</v>
      </c>
      <c r="L1099" s="4" t="s">
        <v>9</v>
      </c>
      <c r="M1099" s="4" t="s">
        <v>9</v>
      </c>
      <c r="N1099" s="5"/>
    </row>
    <row r="1100" spans="1:14" x14ac:dyDescent="0.25">
      <c r="A1100" t="s">
        <v>389</v>
      </c>
      <c r="B1100" s="2">
        <v>45782</v>
      </c>
      <c r="C1100" t="s">
        <v>389</v>
      </c>
      <c r="D1100" t="s">
        <v>112</v>
      </c>
      <c r="E1100" t="s">
        <v>9</v>
      </c>
      <c r="F1100" s="3">
        <v>-1845</v>
      </c>
      <c r="G1100" s="3">
        <v>-1845</v>
      </c>
      <c r="H1100" t="s">
        <v>3</v>
      </c>
      <c r="I1100" t="s">
        <v>3</v>
      </c>
      <c r="J1100" t="s">
        <v>9</v>
      </c>
      <c r="K1100" t="s">
        <v>9</v>
      </c>
      <c r="L1100" t="s">
        <v>17</v>
      </c>
      <c r="M1100" t="s">
        <v>114</v>
      </c>
      <c r="N1100" s="2">
        <v>45777</v>
      </c>
    </row>
    <row r="1101" spans="1:14" x14ac:dyDescent="0.25">
      <c r="A1101" t="s">
        <v>389</v>
      </c>
      <c r="B1101" s="2">
        <v>45747</v>
      </c>
      <c r="C1101" t="s">
        <v>389</v>
      </c>
      <c r="D1101" t="s">
        <v>112</v>
      </c>
      <c r="E1101" t="s">
        <v>9</v>
      </c>
      <c r="F1101" s="3">
        <v>-5400</v>
      </c>
      <c r="G1101" s="3">
        <v>-5400</v>
      </c>
      <c r="H1101" t="s">
        <v>3</v>
      </c>
      <c r="I1101" t="s">
        <v>3</v>
      </c>
      <c r="J1101" t="s">
        <v>305</v>
      </c>
      <c r="K1101" t="s">
        <v>5</v>
      </c>
      <c r="L1101" t="s">
        <v>17</v>
      </c>
      <c r="M1101" t="s">
        <v>114</v>
      </c>
      <c r="N1101" s="2">
        <v>45748</v>
      </c>
    </row>
    <row r="1102" spans="1:14" x14ac:dyDescent="0.25">
      <c r="A1102" t="s">
        <v>389</v>
      </c>
      <c r="B1102" s="2">
        <v>45747</v>
      </c>
      <c r="C1102" t="s">
        <v>389</v>
      </c>
      <c r="D1102" t="s">
        <v>112</v>
      </c>
      <c r="E1102" t="s">
        <v>9</v>
      </c>
      <c r="F1102" s="3">
        <v>-2580</v>
      </c>
      <c r="G1102" s="3">
        <v>-2580</v>
      </c>
      <c r="H1102" t="s">
        <v>3</v>
      </c>
      <c r="I1102" t="s">
        <v>3</v>
      </c>
      <c r="J1102" t="s">
        <v>394</v>
      </c>
      <c r="K1102" t="s">
        <v>5</v>
      </c>
      <c r="L1102" t="s">
        <v>17</v>
      </c>
      <c r="M1102" t="s">
        <v>114</v>
      </c>
      <c r="N1102" s="2">
        <v>45748</v>
      </c>
    </row>
    <row r="1103" spans="1:14" x14ac:dyDescent="0.25">
      <c r="A1103" t="s">
        <v>389</v>
      </c>
      <c r="B1103" s="2">
        <v>45777</v>
      </c>
      <c r="C1103" t="s">
        <v>389</v>
      </c>
      <c r="D1103" t="s">
        <v>112</v>
      </c>
      <c r="E1103" t="s">
        <v>9</v>
      </c>
      <c r="F1103" s="3">
        <v>6600</v>
      </c>
      <c r="G1103" s="3">
        <v>6600</v>
      </c>
      <c r="H1103" t="s">
        <v>3</v>
      </c>
      <c r="I1103" t="s">
        <v>3</v>
      </c>
      <c r="J1103" t="s">
        <v>308</v>
      </c>
      <c r="K1103" t="s">
        <v>5</v>
      </c>
      <c r="L1103" t="s">
        <v>17</v>
      </c>
      <c r="M1103" t="s">
        <v>114</v>
      </c>
      <c r="N1103" s="2">
        <v>45777</v>
      </c>
    </row>
    <row r="1104" spans="1:14" x14ac:dyDescent="0.25">
      <c r="A1104" t="s">
        <v>389</v>
      </c>
      <c r="B1104" s="2">
        <v>45777</v>
      </c>
      <c r="C1104" t="s">
        <v>389</v>
      </c>
      <c r="D1104" t="s">
        <v>112</v>
      </c>
      <c r="E1104" t="s">
        <v>9</v>
      </c>
      <c r="F1104" s="3">
        <v>3225</v>
      </c>
      <c r="G1104" s="3">
        <v>3225</v>
      </c>
      <c r="H1104" t="s">
        <v>3</v>
      </c>
      <c r="I1104" t="s">
        <v>3</v>
      </c>
      <c r="J1104" t="s">
        <v>396</v>
      </c>
      <c r="K1104" t="s">
        <v>5</v>
      </c>
      <c r="L1104" t="s">
        <v>17</v>
      </c>
      <c r="M1104" t="s">
        <v>114</v>
      </c>
      <c r="N1104" s="2">
        <v>45777</v>
      </c>
    </row>
    <row r="1105" spans="1:14" x14ac:dyDescent="0.25">
      <c r="A1105" s="4" t="s">
        <v>249</v>
      </c>
      <c r="B1105" s="5"/>
      <c r="C1105" s="4" t="s">
        <v>9</v>
      </c>
      <c r="D1105" s="4" t="s">
        <v>9</v>
      </c>
      <c r="E1105" s="4" t="s">
        <v>9</v>
      </c>
      <c r="F1105" s="6">
        <v>0</v>
      </c>
      <c r="G1105" s="6">
        <v>0</v>
      </c>
      <c r="H1105" s="4" t="s">
        <v>9</v>
      </c>
      <c r="I1105" s="4" t="s">
        <v>3</v>
      </c>
      <c r="J1105" s="4" t="s">
        <v>9</v>
      </c>
      <c r="K1105" s="4" t="s">
        <v>9</v>
      </c>
      <c r="L1105" s="4" t="s">
        <v>9</v>
      </c>
      <c r="M1105" s="4" t="s">
        <v>9</v>
      </c>
      <c r="N1105" s="5"/>
    </row>
    <row r="1106" spans="1:14" x14ac:dyDescent="0.25">
      <c r="A1106" t="s">
        <v>389</v>
      </c>
      <c r="B1106" s="2">
        <v>45777</v>
      </c>
      <c r="C1106" t="s">
        <v>389</v>
      </c>
      <c r="D1106" t="s">
        <v>112</v>
      </c>
      <c r="E1106" t="s">
        <v>9</v>
      </c>
      <c r="F1106" s="3">
        <v>-6600</v>
      </c>
      <c r="G1106" s="3">
        <v>-6600</v>
      </c>
      <c r="H1106" t="s">
        <v>3</v>
      </c>
      <c r="I1106" t="s">
        <v>3</v>
      </c>
      <c r="J1106" t="s">
        <v>308</v>
      </c>
      <c r="K1106" t="s">
        <v>5</v>
      </c>
      <c r="L1106" t="s">
        <v>18</v>
      </c>
      <c r="M1106" t="s">
        <v>114</v>
      </c>
      <c r="N1106" s="2">
        <v>45778</v>
      </c>
    </row>
    <row r="1107" spans="1:14" x14ac:dyDescent="0.25">
      <c r="A1107" t="s">
        <v>389</v>
      </c>
      <c r="B1107" s="2">
        <v>45777</v>
      </c>
      <c r="C1107" t="s">
        <v>389</v>
      </c>
      <c r="D1107" t="s">
        <v>112</v>
      </c>
      <c r="E1107" t="s">
        <v>9</v>
      </c>
      <c r="F1107" s="3">
        <v>-3225</v>
      </c>
      <c r="G1107" s="3">
        <v>-3225</v>
      </c>
      <c r="H1107" t="s">
        <v>3</v>
      </c>
      <c r="I1107" t="s">
        <v>3</v>
      </c>
      <c r="J1107" t="s">
        <v>396</v>
      </c>
      <c r="K1107" t="s">
        <v>5</v>
      </c>
      <c r="L1107" t="s">
        <v>18</v>
      </c>
      <c r="M1107" t="s">
        <v>114</v>
      </c>
      <c r="N1107" s="2">
        <v>45778</v>
      </c>
    </row>
    <row r="1108" spans="1:14" x14ac:dyDescent="0.25">
      <c r="A1108" t="s">
        <v>389</v>
      </c>
      <c r="B1108" s="2">
        <v>45808</v>
      </c>
      <c r="C1108" t="s">
        <v>389</v>
      </c>
      <c r="D1108" t="s">
        <v>112</v>
      </c>
      <c r="E1108" t="s">
        <v>9</v>
      </c>
      <c r="F1108" s="3">
        <v>6600</v>
      </c>
      <c r="G1108" s="3">
        <v>6600</v>
      </c>
      <c r="H1108" t="s">
        <v>3</v>
      </c>
      <c r="I1108" t="s">
        <v>3</v>
      </c>
      <c r="J1108" t="s">
        <v>311</v>
      </c>
      <c r="K1108" t="s">
        <v>5</v>
      </c>
      <c r="L1108" t="s">
        <v>18</v>
      </c>
      <c r="M1108" t="s">
        <v>114</v>
      </c>
      <c r="N1108" s="2">
        <v>45808</v>
      </c>
    </row>
    <row r="1109" spans="1:14" x14ac:dyDescent="0.25">
      <c r="A1109" t="s">
        <v>389</v>
      </c>
      <c r="B1109" s="2">
        <v>45808</v>
      </c>
      <c r="C1109" t="s">
        <v>389</v>
      </c>
      <c r="D1109" t="s">
        <v>112</v>
      </c>
      <c r="E1109" t="s">
        <v>9</v>
      </c>
      <c r="F1109" s="3">
        <v>3225</v>
      </c>
      <c r="G1109" s="3">
        <v>3225</v>
      </c>
      <c r="H1109" t="s">
        <v>3</v>
      </c>
      <c r="I1109" t="s">
        <v>3</v>
      </c>
      <c r="J1109" t="s">
        <v>397</v>
      </c>
      <c r="K1109" t="s">
        <v>5</v>
      </c>
      <c r="L1109" t="s">
        <v>18</v>
      </c>
      <c r="M1109" t="s">
        <v>114</v>
      </c>
      <c r="N1109" s="2">
        <v>45808</v>
      </c>
    </row>
    <row r="1110" spans="1:14" x14ac:dyDescent="0.25">
      <c r="A1110" s="4" t="s">
        <v>223</v>
      </c>
      <c r="B1110" s="5"/>
      <c r="C1110" s="4" t="s">
        <v>9</v>
      </c>
      <c r="D1110" s="4" t="s">
        <v>9</v>
      </c>
      <c r="E1110" s="4" t="s">
        <v>9</v>
      </c>
      <c r="F1110" s="6">
        <v>0</v>
      </c>
      <c r="G1110" s="6">
        <v>0</v>
      </c>
      <c r="H1110" s="4" t="s">
        <v>9</v>
      </c>
      <c r="I1110" s="4" t="s">
        <v>3</v>
      </c>
      <c r="J1110" s="4" t="s">
        <v>9</v>
      </c>
      <c r="K1110" s="4" t="s">
        <v>9</v>
      </c>
      <c r="L1110" s="4" t="s">
        <v>9</v>
      </c>
      <c r="M1110" s="4" t="s">
        <v>9</v>
      </c>
      <c r="N1110" s="5"/>
    </row>
    <row r="1111" spans="1:14" x14ac:dyDescent="0.25">
      <c r="A1111" t="s">
        <v>389</v>
      </c>
      <c r="B1111" s="2">
        <v>45839</v>
      </c>
      <c r="C1111" t="s">
        <v>389</v>
      </c>
      <c r="D1111" t="s">
        <v>112</v>
      </c>
      <c r="E1111" t="s">
        <v>9</v>
      </c>
      <c r="F1111" s="3">
        <v>-2089</v>
      </c>
      <c r="G1111" s="3">
        <v>-2089</v>
      </c>
      <c r="H1111" t="s">
        <v>3</v>
      </c>
      <c r="I1111" t="s">
        <v>3</v>
      </c>
      <c r="J1111" t="s">
        <v>9</v>
      </c>
      <c r="K1111" t="s">
        <v>9</v>
      </c>
      <c r="L1111" t="s">
        <v>19</v>
      </c>
      <c r="M1111" t="s">
        <v>114</v>
      </c>
      <c r="N1111" s="2">
        <v>45838</v>
      </c>
    </row>
    <row r="1112" spans="1:14" x14ac:dyDescent="0.25">
      <c r="A1112" t="s">
        <v>389</v>
      </c>
      <c r="B1112" s="2">
        <v>45808</v>
      </c>
      <c r="C1112" t="s">
        <v>389</v>
      </c>
      <c r="D1112" t="s">
        <v>112</v>
      </c>
      <c r="E1112" t="s">
        <v>9</v>
      </c>
      <c r="F1112" s="3">
        <v>-6600</v>
      </c>
      <c r="G1112" s="3">
        <v>-6600</v>
      </c>
      <c r="H1112" t="s">
        <v>3</v>
      </c>
      <c r="I1112" t="s">
        <v>3</v>
      </c>
      <c r="J1112" t="s">
        <v>311</v>
      </c>
      <c r="K1112" t="s">
        <v>5</v>
      </c>
      <c r="L1112" t="s">
        <v>19</v>
      </c>
      <c r="M1112" t="s">
        <v>114</v>
      </c>
      <c r="N1112" s="2">
        <v>45809</v>
      </c>
    </row>
    <row r="1113" spans="1:14" x14ac:dyDescent="0.25">
      <c r="A1113" t="s">
        <v>389</v>
      </c>
      <c r="B1113" s="2">
        <v>45808</v>
      </c>
      <c r="C1113" t="s">
        <v>389</v>
      </c>
      <c r="D1113" t="s">
        <v>112</v>
      </c>
      <c r="E1113" t="s">
        <v>9</v>
      </c>
      <c r="F1113" s="3">
        <v>-3225</v>
      </c>
      <c r="G1113" s="3">
        <v>-3225</v>
      </c>
      <c r="H1113" t="s">
        <v>3</v>
      </c>
      <c r="I1113" t="s">
        <v>3</v>
      </c>
      <c r="J1113" t="s">
        <v>397</v>
      </c>
      <c r="K1113" t="s">
        <v>5</v>
      </c>
      <c r="L1113" t="s">
        <v>19</v>
      </c>
      <c r="M1113" t="s">
        <v>114</v>
      </c>
      <c r="N1113" s="2">
        <v>45809</v>
      </c>
    </row>
    <row r="1114" spans="1:14" x14ac:dyDescent="0.25">
      <c r="A1114" t="s">
        <v>389</v>
      </c>
      <c r="B1114" s="2">
        <v>45838</v>
      </c>
      <c r="C1114" t="s">
        <v>389</v>
      </c>
      <c r="D1114" t="s">
        <v>112</v>
      </c>
      <c r="E1114" t="s">
        <v>9</v>
      </c>
      <c r="F1114" s="3">
        <v>7700</v>
      </c>
      <c r="G1114" s="3">
        <v>7700</v>
      </c>
      <c r="H1114" t="s">
        <v>3</v>
      </c>
      <c r="I1114" t="s">
        <v>3</v>
      </c>
      <c r="J1114" t="s">
        <v>314</v>
      </c>
      <c r="K1114" t="s">
        <v>5</v>
      </c>
      <c r="L1114" t="s">
        <v>19</v>
      </c>
      <c r="M1114" t="s">
        <v>114</v>
      </c>
      <c r="N1114" s="2">
        <v>45838</v>
      </c>
    </row>
    <row r="1115" spans="1:14" x14ac:dyDescent="0.25">
      <c r="A1115" t="s">
        <v>389</v>
      </c>
      <c r="B1115" s="2">
        <v>45838</v>
      </c>
      <c r="C1115" t="s">
        <v>389</v>
      </c>
      <c r="D1115" t="s">
        <v>112</v>
      </c>
      <c r="E1115" t="s">
        <v>9</v>
      </c>
      <c r="F1115" s="3">
        <v>4214</v>
      </c>
      <c r="G1115" s="3">
        <v>4214</v>
      </c>
      <c r="H1115" t="s">
        <v>3</v>
      </c>
      <c r="I1115" t="s">
        <v>3</v>
      </c>
      <c r="J1115" t="s">
        <v>398</v>
      </c>
      <c r="K1115" t="s">
        <v>5</v>
      </c>
      <c r="L1115" t="s">
        <v>19</v>
      </c>
      <c r="M1115" t="s">
        <v>114</v>
      </c>
      <c r="N1115" s="2">
        <v>45838</v>
      </c>
    </row>
    <row r="1116" spans="1:14" x14ac:dyDescent="0.25">
      <c r="A1116" s="4" t="s">
        <v>224</v>
      </c>
      <c r="B1116" s="5"/>
      <c r="C1116" s="4" t="s">
        <v>9</v>
      </c>
      <c r="D1116" s="4" t="s">
        <v>9</v>
      </c>
      <c r="E1116" s="4" t="s">
        <v>9</v>
      </c>
      <c r="F1116" s="6">
        <v>0</v>
      </c>
      <c r="G1116" s="6">
        <v>0</v>
      </c>
      <c r="H1116" s="4" t="s">
        <v>9</v>
      </c>
      <c r="I1116" s="4" t="s">
        <v>3</v>
      </c>
      <c r="J1116" s="4" t="s">
        <v>9</v>
      </c>
      <c r="K1116" s="4" t="s">
        <v>9</v>
      </c>
      <c r="L1116" s="4" t="s">
        <v>9</v>
      </c>
      <c r="M1116" s="4" t="s">
        <v>9</v>
      </c>
      <c r="N1116" s="5"/>
    </row>
    <row r="1117" spans="1:14" x14ac:dyDescent="0.25">
      <c r="A1117" t="s">
        <v>389</v>
      </c>
      <c r="B1117" s="2">
        <v>45509</v>
      </c>
      <c r="C1117" t="s">
        <v>389</v>
      </c>
      <c r="D1117" t="s">
        <v>112</v>
      </c>
      <c r="E1117" t="s">
        <v>9</v>
      </c>
      <c r="F1117" s="3">
        <v>-3400</v>
      </c>
      <c r="G1117" s="3">
        <v>-3400</v>
      </c>
      <c r="H1117" t="s">
        <v>3</v>
      </c>
      <c r="I1117" t="s">
        <v>3</v>
      </c>
      <c r="J1117" t="s">
        <v>9</v>
      </c>
      <c r="K1117" t="s">
        <v>9</v>
      </c>
      <c r="L1117" t="s">
        <v>21</v>
      </c>
      <c r="M1117" t="s">
        <v>114</v>
      </c>
      <c r="N1117" s="2">
        <v>45504</v>
      </c>
    </row>
    <row r="1118" spans="1:14" x14ac:dyDescent="0.25">
      <c r="A1118" t="s">
        <v>389</v>
      </c>
      <c r="B1118" s="2">
        <v>45870</v>
      </c>
      <c r="C1118" t="s">
        <v>389</v>
      </c>
      <c r="D1118" t="s">
        <v>112</v>
      </c>
      <c r="E1118" t="s">
        <v>9</v>
      </c>
      <c r="F1118" s="3">
        <v>-1974</v>
      </c>
      <c r="G1118" s="3">
        <v>-1974</v>
      </c>
      <c r="H1118" t="s">
        <v>3</v>
      </c>
      <c r="I1118" t="s">
        <v>3</v>
      </c>
      <c r="J1118" t="s">
        <v>9</v>
      </c>
      <c r="K1118" t="s">
        <v>9</v>
      </c>
      <c r="L1118" t="s">
        <v>21</v>
      </c>
      <c r="M1118" t="s">
        <v>114</v>
      </c>
      <c r="N1118" s="2">
        <v>45869</v>
      </c>
    </row>
    <row r="1119" spans="1:14" x14ac:dyDescent="0.25">
      <c r="A1119" t="s">
        <v>389</v>
      </c>
      <c r="B1119" s="2">
        <v>45504</v>
      </c>
      <c r="C1119" t="s">
        <v>389</v>
      </c>
      <c r="D1119" t="s">
        <v>112</v>
      </c>
      <c r="E1119" t="s">
        <v>9</v>
      </c>
      <c r="F1119" s="3">
        <v>3400</v>
      </c>
      <c r="G1119" s="3">
        <v>3400</v>
      </c>
      <c r="H1119" t="s">
        <v>3</v>
      </c>
      <c r="I1119" t="s">
        <v>3</v>
      </c>
      <c r="J1119" t="s">
        <v>261</v>
      </c>
      <c r="K1119" t="s">
        <v>222</v>
      </c>
      <c r="L1119" t="s">
        <v>21</v>
      </c>
      <c r="M1119" t="s">
        <v>114</v>
      </c>
      <c r="N1119" s="2">
        <v>45504</v>
      </c>
    </row>
    <row r="1120" spans="1:14" x14ac:dyDescent="0.25">
      <c r="A1120" t="s">
        <v>389</v>
      </c>
      <c r="B1120" s="2">
        <v>45838</v>
      </c>
      <c r="C1120" t="s">
        <v>389</v>
      </c>
      <c r="D1120" t="s">
        <v>112</v>
      </c>
      <c r="E1120" t="s">
        <v>9</v>
      </c>
      <c r="F1120" s="3">
        <v>-7700</v>
      </c>
      <c r="G1120" s="3">
        <v>-7700</v>
      </c>
      <c r="H1120" t="s">
        <v>3</v>
      </c>
      <c r="I1120" t="s">
        <v>3</v>
      </c>
      <c r="J1120" t="s">
        <v>314</v>
      </c>
      <c r="K1120" t="s">
        <v>5</v>
      </c>
      <c r="L1120" t="s">
        <v>21</v>
      </c>
      <c r="M1120" t="s">
        <v>114</v>
      </c>
      <c r="N1120" s="2">
        <v>45839</v>
      </c>
    </row>
    <row r="1121" spans="1:14" x14ac:dyDescent="0.25">
      <c r="A1121" t="s">
        <v>389</v>
      </c>
      <c r="B1121" s="2">
        <v>45838</v>
      </c>
      <c r="C1121" t="s">
        <v>389</v>
      </c>
      <c r="D1121" t="s">
        <v>112</v>
      </c>
      <c r="E1121" t="s">
        <v>9</v>
      </c>
      <c r="F1121" s="3">
        <v>-4214</v>
      </c>
      <c r="G1121" s="3">
        <v>-4214</v>
      </c>
      <c r="H1121" t="s">
        <v>3</v>
      </c>
      <c r="I1121" t="s">
        <v>3</v>
      </c>
      <c r="J1121" t="s">
        <v>398</v>
      </c>
      <c r="K1121" t="s">
        <v>5</v>
      </c>
      <c r="L1121" t="s">
        <v>21</v>
      </c>
      <c r="M1121" t="s">
        <v>114</v>
      </c>
      <c r="N1121" s="2">
        <v>45839</v>
      </c>
    </row>
    <row r="1122" spans="1:14" x14ac:dyDescent="0.25">
      <c r="A1122" t="s">
        <v>389</v>
      </c>
      <c r="B1122" s="2">
        <v>45869</v>
      </c>
      <c r="C1122" t="s">
        <v>389</v>
      </c>
      <c r="D1122" t="s">
        <v>112</v>
      </c>
      <c r="E1122" t="s">
        <v>9</v>
      </c>
      <c r="F1122" s="3">
        <v>8900</v>
      </c>
      <c r="G1122" s="3">
        <v>8900</v>
      </c>
      <c r="H1122" t="s">
        <v>3</v>
      </c>
      <c r="I1122" t="s">
        <v>3</v>
      </c>
      <c r="J1122" t="s">
        <v>317</v>
      </c>
      <c r="K1122" t="s">
        <v>5</v>
      </c>
      <c r="L1122" t="s">
        <v>21</v>
      </c>
      <c r="M1122" t="s">
        <v>114</v>
      </c>
      <c r="N1122" s="2">
        <v>45869</v>
      </c>
    </row>
    <row r="1123" spans="1:14" x14ac:dyDescent="0.25">
      <c r="A1123" t="s">
        <v>389</v>
      </c>
      <c r="B1123" s="2">
        <v>45869</v>
      </c>
      <c r="C1123" t="s">
        <v>389</v>
      </c>
      <c r="D1123" t="s">
        <v>112</v>
      </c>
      <c r="E1123" t="s">
        <v>9</v>
      </c>
      <c r="F1123" s="3">
        <v>4988</v>
      </c>
      <c r="G1123" s="3">
        <v>4988</v>
      </c>
      <c r="H1123" t="s">
        <v>3</v>
      </c>
      <c r="I1123" t="s">
        <v>3</v>
      </c>
      <c r="J1123" t="s">
        <v>382</v>
      </c>
      <c r="K1123" t="s">
        <v>5</v>
      </c>
      <c r="L1123" t="s">
        <v>21</v>
      </c>
      <c r="M1123" t="s">
        <v>114</v>
      </c>
      <c r="N1123" s="2">
        <v>45869</v>
      </c>
    </row>
    <row r="1124" spans="1:14" x14ac:dyDescent="0.25">
      <c r="A1124" s="4" t="s">
        <v>262</v>
      </c>
      <c r="B1124" s="5"/>
      <c r="C1124" s="4" t="s">
        <v>9</v>
      </c>
      <c r="D1124" s="4" t="s">
        <v>9</v>
      </c>
      <c r="E1124" s="4" t="s">
        <v>9</v>
      </c>
      <c r="F1124" s="6">
        <v>0</v>
      </c>
      <c r="G1124" s="6">
        <v>0</v>
      </c>
      <c r="H1124" s="4" t="s">
        <v>9</v>
      </c>
      <c r="I1124" s="4" t="s">
        <v>3</v>
      </c>
      <c r="J1124" s="4" t="s">
        <v>9</v>
      </c>
      <c r="K1124" s="4" t="s">
        <v>9</v>
      </c>
      <c r="L1124" s="4" t="s">
        <v>9</v>
      </c>
      <c r="M1124" s="4" t="s">
        <v>9</v>
      </c>
      <c r="N1124" s="5"/>
    </row>
    <row r="1125" spans="1:14" x14ac:dyDescent="0.25">
      <c r="A1125" t="s">
        <v>389</v>
      </c>
      <c r="B1125" s="2">
        <v>45539</v>
      </c>
      <c r="C1125" t="s">
        <v>389</v>
      </c>
      <c r="D1125" t="s">
        <v>112</v>
      </c>
      <c r="E1125" t="s">
        <v>9</v>
      </c>
      <c r="F1125" s="3">
        <v>3400</v>
      </c>
      <c r="G1125" s="3">
        <v>3400</v>
      </c>
      <c r="H1125" t="s">
        <v>3</v>
      </c>
      <c r="I1125" t="s">
        <v>3</v>
      </c>
      <c r="J1125" t="s">
        <v>9</v>
      </c>
      <c r="K1125" t="s">
        <v>9</v>
      </c>
      <c r="L1125" t="s">
        <v>22</v>
      </c>
      <c r="M1125" t="s">
        <v>114</v>
      </c>
      <c r="N1125" s="2">
        <v>45535</v>
      </c>
    </row>
    <row r="1126" spans="1:14" x14ac:dyDescent="0.25">
      <c r="A1126" t="s">
        <v>389</v>
      </c>
      <c r="B1126" s="2">
        <v>45901</v>
      </c>
      <c r="C1126" t="s">
        <v>389</v>
      </c>
      <c r="D1126" t="s">
        <v>112</v>
      </c>
      <c r="E1126" t="s">
        <v>9</v>
      </c>
      <c r="F1126" s="3">
        <v>-500</v>
      </c>
      <c r="G1126" s="3">
        <v>-500</v>
      </c>
      <c r="H1126" t="s">
        <v>3</v>
      </c>
      <c r="I1126" t="s">
        <v>3</v>
      </c>
      <c r="J1126" t="s">
        <v>9</v>
      </c>
      <c r="K1126" t="s">
        <v>9</v>
      </c>
      <c r="L1126" t="s">
        <v>22</v>
      </c>
      <c r="M1126" t="s">
        <v>114</v>
      </c>
      <c r="N1126" s="2">
        <v>45900</v>
      </c>
    </row>
    <row r="1127" spans="1:14" x14ac:dyDescent="0.25">
      <c r="A1127" t="s">
        <v>389</v>
      </c>
      <c r="B1127" s="2">
        <v>45903</v>
      </c>
      <c r="C1127" t="s">
        <v>389</v>
      </c>
      <c r="D1127" t="s">
        <v>112</v>
      </c>
      <c r="E1127" t="s">
        <v>9</v>
      </c>
      <c r="F1127" s="3">
        <v>-1800</v>
      </c>
      <c r="G1127" s="3">
        <v>-1800</v>
      </c>
      <c r="H1127" t="s">
        <v>3</v>
      </c>
      <c r="I1127" t="s">
        <v>3</v>
      </c>
      <c r="J1127" t="s">
        <v>9</v>
      </c>
      <c r="K1127" t="s">
        <v>9</v>
      </c>
      <c r="L1127" t="s">
        <v>22</v>
      </c>
      <c r="M1127" t="s">
        <v>114</v>
      </c>
      <c r="N1127" s="2">
        <v>45900</v>
      </c>
    </row>
    <row r="1128" spans="1:14" x14ac:dyDescent="0.25">
      <c r="A1128" t="s">
        <v>389</v>
      </c>
      <c r="B1128" s="2">
        <v>45504</v>
      </c>
      <c r="C1128" t="s">
        <v>389</v>
      </c>
      <c r="D1128" t="s">
        <v>112</v>
      </c>
      <c r="E1128" t="s">
        <v>9</v>
      </c>
      <c r="F1128" s="3">
        <v>-3400</v>
      </c>
      <c r="G1128" s="3">
        <v>-3400</v>
      </c>
      <c r="H1128" t="s">
        <v>3</v>
      </c>
      <c r="I1128" t="s">
        <v>3</v>
      </c>
      <c r="J1128" t="s">
        <v>261</v>
      </c>
      <c r="K1128" t="s">
        <v>222</v>
      </c>
      <c r="L1128" t="s">
        <v>22</v>
      </c>
      <c r="M1128" t="s">
        <v>114</v>
      </c>
      <c r="N1128" s="2">
        <v>45505</v>
      </c>
    </row>
    <row r="1129" spans="1:14" x14ac:dyDescent="0.25">
      <c r="A1129" t="s">
        <v>389</v>
      </c>
      <c r="B1129" s="2">
        <v>45535</v>
      </c>
      <c r="C1129" t="s">
        <v>389</v>
      </c>
      <c r="D1129" t="s">
        <v>112</v>
      </c>
      <c r="E1129" t="s">
        <v>9</v>
      </c>
      <c r="F1129" s="3">
        <v>-7200</v>
      </c>
      <c r="G1129" s="3">
        <v>-7200</v>
      </c>
      <c r="H1129" t="s">
        <v>3</v>
      </c>
      <c r="I1129" t="s">
        <v>3</v>
      </c>
      <c r="J1129" t="s">
        <v>10</v>
      </c>
      <c r="K1129" t="s">
        <v>222</v>
      </c>
      <c r="L1129" t="s">
        <v>22</v>
      </c>
      <c r="M1129" t="s">
        <v>114</v>
      </c>
      <c r="N1129" s="2">
        <v>45535</v>
      </c>
    </row>
    <row r="1130" spans="1:14" x14ac:dyDescent="0.25">
      <c r="A1130" t="s">
        <v>389</v>
      </c>
      <c r="B1130" s="2">
        <v>45535</v>
      </c>
      <c r="C1130" t="s">
        <v>389</v>
      </c>
      <c r="D1130" t="s">
        <v>112</v>
      </c>
      <c r="E1130" t="s">
        <v>9</v>
      </c>
      <c r="F1130" s="3">
        <v>7200</v>
      </c>
      <c r="G1130" s="3">
        <v>7200</v>
      </c>
      <c r="H1130" t="s">
        <v>3</v>
      </c>
      <c r="I1130" t="s">
        <v>3</v>
      </c>
      <c r="J1130" t="s">
        <v>266</v>
      </c>
      <c r="K1130" t="s">
        <v>222</v>
      </c>
      <c r="L1130" t="s">
        <v>22</v>
      </c>
      <c r="M1130" t="s">
        <v>114</v>
      </c>
      <c r="N1130" s="2">
        <v>45535</v>
      </c>
    </row>
    <row r="1131" spans="1:14" x14ac:dyDescent="0.25">
      <c r="A1131" t="s">
        <v>389</v>
      </c>
      <c r="B1131" s="2">
        <v>45869</v>
      </c>
      <c r="C1131" t="s">
        <v>389</v>
      </c>
      <c r="D1131" t="s">
        <v>112</v>
      </c>
      <c r="E1131" t="s">
        <v>9</v>
      </c>
      <c r="F1131" s="3">
        <v>-8900</v>
      </c>
      <c r="G1131" s="3">
        <v>-8900</v>
      </c>
      <c r="H1131" t="s">
        <v>3</v>
      </c>
      <c r="I1131" t="s">
        <v>3</v>
      </c>
      <c r="J1131" t="s">
        <v>317</v>
      </c>
      <c r="K1131" t="s">
        <v>5</v>
      </c>
      <c r="L1131" t="s">
        <v>22</v>
      </c>
      <c r="M1131" t="s">
        <v>114</v>
      </c>
      <c r="N1131" s="2">
        <v>45870</v>
      </c>
    </row>
    <row r="1132" spans="1:14" x14ac:dyDescent="0.25">
      <c r="A1132" t="s">
        <v>389</v>
      </c>
      <c r="B1132" s="2">
        <v>45869</v>
      </c>
      <c r="C1132" t="s">
        <v>389</v>
      </c>
      <c r="D1132" t="s">
        <v>112</v>
      </c>
      <c r="E1132" t="s">
        <v>9</v>
      </c>
      <c r="F1132" s="3">
        <v>-4988</v>
      </c>
      <c r="G1132" s="3">
        <v>-4988</v>
      </c>
      <c r="H1132" t="s">
        <v>3</v>
      </c>
      <c r="I1132" t="s">
        <v>3</v>
      </c>
      <c r="J1132" t="s">
        <v>382</v>
      </c>
      <c r="K1132" t="s">
        <v>5</v>
      </c>
      <c r="L1132" t="s">
        <v>22</v>
      </c>
      <c r="M1132" t="s">
        <v>114</v>
      </c>
      <c r="N1132" s="2">
        <v>45870</v>
      </c>
    </row>
    <row r="1133" spans="1:14" x14ac:dyDescent="0.25">
      <c r="A1133" t="s">
        <v>389</v>
      </c>
      <c r="B1133" s="2">
        <v>45900</v>
      </c>
      <c r="C1133" t="s">
        <v>389</v>
      </c>
      <c r="D1133" t="s">
        <v>112</v>
      </c>
      <c r="E1133" t="s">
        <v>9</v>
      </c>
      <c r="F1133" s="3">
        <v>9400</v>
      </c>
      <c r="G1133" s="3">
        <v>9400</v>
      </c>
      <c r="H1133" t="s">
        <v>3</v>
      </c>
      <c r="I1133" t="s">
        <v>3</v>
      </c>
      <c r="J1133" t="s">
        <v>320</v>
      </c>
      <c r="K1133" t="s">
        <v>5</v>
      </c>
      <c r="L1133" t="s">
        <v>22</v>
      </c>
      <c r="M1133" t="s">
        <v>114</v>
      </c>
      <c r="N1133" s="2">
        <v>45900</v>
      </c>
    </row>
    <row r="1134" spans="1:14" x14ac:dyDescent="0.25">
      <c r="A1134" t="s">
        <v>389</v>
      </c>
      <c r="B1134" s="2">
        <v>45900</v>
      </c>
      <c r="C1134" t="s">
        <v>389</v>
      </c>
      <c r="D1134" t="s">
        <v>112</v>
      </c>
      <c r="E1134" t="s">
        <v>9</v>
      </c>
      <c r="F1134" s="3">
        <v>4988</v>
      </c>
      <c r="G1134" s="3">
        <v>4988</v>
      </c>
      <c r="H1134" t="s">
        <v>3</v>
      </c>
      <c r="I1134" t="s">
        <v>3</v>
      </c>
      <c r="J1134" t="s">
        <v>383</v>
      </c>
      <c r="K1134" t="s">
        <v>5</v>
      </c>
      <c r="L1134" t="s">
        <v>22</v>
      </c>
      <c r="M1134" t="s">
        <v>114</v>
      </c>
      <c r="N1134" s="2">
        <v>45900</v>
      </c>
    </row>
    <row r="1135" spans="1:14" x14ac:dyDescent="0.25">
      <c r="A1135" t="s">
        <v>389</v>
      </c>
      <c r="B1135" s="2">
        <v>45900</v>
      </c>
      <c r="C1135" t="s">
        <v>389</v>
      </c>
      <c r="D1135" t="s">
        <v>112</v>
      </c>
      <c r="E1135" t="s">
        <v>9</v>
      </c>
      <c r="F1135" s="3">
        <v>-9400</v>
      </c>
      <c r="G1135" s="3">
        <v>-9400</v>
      </c>
      <c r="H1135" t="s">
        <v>3</v>
      </c>
      <c r="I1135" t="s">
        <v>3</v>
      </c>
      <c r="J1135" t="s">
        <v>320</v>
      </c>
      <c r="K1135" t="s">
        <v>5</v>
      </c>
      <c r="L1135" t="s">
        <v>22</v>
      </c>
      <c r="M1135" t="s">
        <v>114</v>
      </c>
      <c r="N1135" s="2">
        <v>45900</v>
      </c>
    </row>
    <row r="1136" spans="1:14" x14ac:dyDescent="0.25">
      <c r="A1136" t="s">
        <v>389</v>
      </c>
      <c r="B1136" s="2">
        <v>45900</v>
      </c>
      <c r="C1136" t="s">
        <v>389</v>
      </c>
      <c r="D1136" t="s">
        <v>112</v>
      </c>
      <c r="E1136" t="s">
        <v>9</v>
      </c>
      <c r="F1136" s="3">
        <v>-4988</v>
      </c>
      <c r="G1136" s="3">
        <v>-4988</v>
      </c>
      <c r="H1136" t="s">
        <v>3</v>
      </c>
      <c r="I1136" t="s">
        <v>3</v>
      </c>
      <c r="J1136" t="s">
        <v>383</v>
      </c>
      <c r="K1136" t="s">
        <v>5</v>
      </c>
      <c r="L1136" t="s">
        <v>22</v>
      </c>
      <c r="M1136" t="s">
        <v>114</v>
      </c>
      <c r="N1136" s="2">
        <v>45900</v>
      </c>
    </row>
    <row r="1137" spans="1:14" x14ac:dyDescent="0.25">
      <c r="A1137" t="s">
        <v>389</v>
      </c>
      <c r="B1137" s="2">
        <v>45900</v>
      </c>
      <c r="C1137" t="s">
        <v>389</v>
      </c>
      <c r="D1137" t="s">
        <v>112</v>
      </c>
      <c r="E1137" t="s">
        <v>9</v>
      </c>
      <c r="F1137" s="3">
        <v>10000</v>
      </c>
      <c r="G1137" s="3">
        <v>10000</v>
      </c>
      <c r="H1137" t="s">
        <v>3</v>
      </c>
      <c r="I1137" t="s">
        <v>3</v>
      </c>
      <c r="J1137" t="s">
        <v>320</v>
      </c>
      <c r="K1137" t="s">
        <v>5</v>
      </c>
      <c r="L1137" t="s">
        <v>22</v>
      </c>
      <c r="M1137" t="s">
        <v>114</v>
      </c>
      <c r="N1137" s="2">
        <v>45900</v>
      </c>
    </row>
    <row r="1138" spans="1:14" x14ac:dyDescent="0.25">
      <c r="A1138" t="s">
        <v>389</v>
      </c>
      <c r="B1138" s="2">
        <v>45900</v>
      </c>
      <c r="C1138" t="s">
        <v>389</v>
      </c>
      <c r="D1138" t="s">
        <v>112</v>
      </c>
      <c r="E1138" t="s">
        <v>9</v>
      </c>
      <c r="F1138" s="3">
        <v>4988</v>
      </c>
      <c r="G1138" s="3">
        <v>4988</v>
      </c>
      <c r="H1138" t="s">
        <v>3</v>
      </c>
      <c r="I1138" t="s">
        <v>3</v>
      </c>
      <c r="J1138" t="s">
        <v>383</v>
      </c>
      <c r="K1138" t="s">
        <v>5</v>
      </c>
      <c r="L1138" t="s">
        <v>22</v>
      </c>
      <c r="M1138" t="s">
        <v>114</v>
      </c>
      <c r="N1138" s="2">
        <v>45900</v>
      </c>
    </row>
    <row r="1139" spans="1:14" x14ac:dyDescent="0.25">
      <c r="A1139" t="s">
        <v>389</v>
      </c>
      <c r="B1139" s="2">
        <v>45900</v>
      </c>
      <c r="C1139" t="s">
        <v>389</v>
      </c>
      <c r="D1139" t="s">
        <v>112</v>
      </c>
      <c r="E1139" t="s">
        <v>9</v>
      </c>
      <c r="F1139" s="3">
        <v>11200</v>
      </c>
      <c r="G1139" s="3">
        <v>11200</v>
      </c>
      <c r="H1139" t="s">
        <v>3</v>
      </c>
      <c r="I1139" t="s">
        <v>3</v>
      </c>
      <c r="J1139" t="s">
        <v>320</v>
      </c>
      <c r="K1139" t="s">
        <v>5</v>
      </c>
      <c r="L1139" t="s">
        <v>22</v>
      </c>
      <c r="M1139" t="s">
        <v>114</v>
      </c>
      <c r="N1139" s="2">
        <v>45900</v>
      </c>
    </row>
    <row r="1140" spans="1:14" x14ac:dyDescent="0.25">
      <c r="A1140" t="s">
        <v>389</v>
      </c>
      <c r="B1140" s="2">
        <v>45900</v>
      </c>
      <c r="C1140" t="s">
        <v>389</v>
      </c>
      <c r="D1140" t="s">
        <v>112</v>
      </c>
      <c r="E1140" t="s">
        <v>9</v>
      </c>
      <c r="F1140" s="3">
        <v>4988</v>
      </c>
      <c r="G1140" s="3">
        <v>4988</v>
      </c>
      <c r="H1140" t="s">
        <v>3</v>
      </c>
      <c r="I1140" t="s">
        <v>3</v>
      </c>
      <c r="J1140" t="s">
        <v>383</v>
      </c>
      <c r="K1140" t="s">
        <v>5</v>
      </c>
      <c r="L1140" t="s">
        <v>22</v>
      </c>
      <c r="M1140" t="s">
        <v>114</v>
      </c>
      <c r="N1140" s="2">
        <v>45900</v>
      </c>
    </row>
    <row r="1141" spans="1:14" x14ac:dyDescent="0.25">
      <c r="A1141" t="s">
        <v>389</v>
      </c>
      <c r="B1141" s="2">
        <v>45900</v>
      </c>
      <c r="C1141" t="s">
        <v>389</v>
      </c>
      <c r="D1141" t="s">
        <v>112</v>
      </c>
      <c r="E1141" t="s">
        <v>9</v>
      </c>
      <c r="F1141" s="3">
        <v>-10000</v>
      </c>
      <c r="G1141" s="3">
        <v>-10000</v>
      </c>
      <c r="H1141" t="s">
        <v>3</v>
      </c>
      <c r="I1141" t="s">
        <v>3</v>
      </c>
      <c r="J1141" t="s">
        <v>320</v>
      </c>
      <c r="K1141" t="s">
        <v>5</v>
      </c>
      <c r="L1141" t="s">
        <v>22</v>
      </c>
      <c r="M1141" t="s">
        <v>114</v>
      </c>
      <c r="N1141" s="2">
        <v>45900</v>
      </c>
    </row>
    <row r="1142" spans="1:14" x14ac:dyDescent="0.25">
      <c r="A1142" t="s">
        <v>389</v>
      </c>
      <c r="B1142" s="2">
        <v>45900</v>
      </c>
      <c r="C1142" t="s">
        <v>389</v>
      </c>
      <c r="D1142" t="s">
        <v>112</v>
      </c>
      <c r="E1142" t="s">
        <v>9</v>
      </c>
      <c r="F1142" s="3">
        <v>-4988</v>
      </c>
      <c r="G1142" s="3">
        <v>-4988</v>
      </c>
      <c r="H1142" t="s">
        <v>3</v>
      </c>
      <c r="I1142" t="s">
        <v>3</v>
      </c>
      <c r="J1142" t="s">
        <v>383</v>
      </c>
      <c r="K1142" t="s">
        <v>5</v>
      </c>
      <c r="L1142" t="s">
        <v>22</v>
      </c>
      <c r="M1142" t="s">
        <v>114</v>
      </c>
      <c r="N1142" s="2">
        <v>45900</v>
      </c>
    </row>
    <row r="1143" spans="1:14" x14ac:dyDescent="0.25">
      <c r="A1143" s="4" t="s">
        <v>267</v>
      </c>
      <c r="B1143" s="5"/>
      <c r="C1143" s="4" t="s">
        <v>9</v>
      </c>
      <c r="D1143" s="4" t="s">
        <v>9</v>
      </c>
      <c r="E1143" s="4" t="s">
        <v>9</v>
      </c>
      <c r="F1143" s="6">
        <v>0</v>
      </c>
      <c r="G1143" s="6">
        <v>0</v>
      </c>
      <c r="H1143" s="4" t="s">
        <v>9</v>
      </c>
      <c r="I1143" s="4" t="s">
        <v>3</v>
      </c>
      <c r="J1143" s="4" t="s">
        <v>9</v>
      </c>
      <c r="K1143" s="4" t="s">
        <v>9</v>
      </c>
      <c r="L1143" s="4" t="s">
        <v>9</v>
      </c>
      <c r="M1143" s="4" t="s">
        <v>9</v>
      </c>
      <c r="N1143" s="5"/>
    </row>
    <row r="1144" spans="1:14" x14ac:dyDescent="0.25">
      <c r="A1144" t="s">
        <v>389</v>
      </c>
      <c r="B1144" s="2">
        <v>45932</v>
      </c>
      <c r="C1144" t="s">
        <v>389</v>
      </c>
      <c r="D1144" t="s">
        <v>112</v>
      </c>
      <c r="E1144" t="s">
        <v>9</v>
      </c>
      <c r="F1144" s="3">
        <v>-200</v>
      </c>
      <c r="G1144" s="3">
        <v>-200</v>
      </c>
      <c r="H1144" t="s">
        <v>3</v>
      </c>
      <c r="I1144" t="s">
        <v>3</v>
      </c>
      <c r="J1144" t="s">
        <v>9</v>
      </c>
      <c r="K1144" t="s">
        <v>9</v>
      </c>
      <c r="L1144" t="s">
        <v>6</v>
      </c>
      <c r="M1144" t="s">
        <v>114</v>
      </c>
      <c r="N1144" s="2">
        <v>45930</v>
      </c>
    </row>
    <row r="1145" spans="1:14" x14ac:dyDescent="0.25">
      <c r="A1145" t="s">
        <v>389</v>
      </c>
      <c r="B1145" s="2">
        <v>45535</v>
      </c>
      <c r="C1145" t="s">
        <v>389</v>
      </c>
      <c r="D1145" t="s">
        <v>112</v>
      </c>
      <c r="E1145" t="s">
        <v>9</v>
      </c>
      <c r="F1145" s="3">
        <v>-7200</v>
      </c>
      <c r="G1145" s="3">
        <v>-7200</v>
      </c>
      <c r="H1145" t="s">
        <v>3</v>
      </c>
      <c r="I1145" t="s">
        <v>3</v>
      </c>
      <c r="J1145" t="s">
        <v>266</v>
      </c>
      <c r="K1145" t="s">
        <v>222</v>
      </c>
      <c r="L1145" t="s">
        <v>6</v>
      </c>
      <c r="M1145" t="s">
        <v>114</v>
      </c>
      <c r="N1145" s="2">
        <v>45536</v>
      </c>
    </row>
    <row r="1146" spans="1:14" x14ac:dyDescent="0.25">
      <c r="A1146" t="s">
        <v>389</v>
      </c>
      <c r="B1146" s="2">
        <v>45565</v>
      </c>
      <c r="C1146" t="s">
        <v>389</v>
      </c>
      <c r="D1146" t="s">
        <v>112</v>
      </c>
      <c r="E1146" t="s">
        <v>9</v>
      </c>
      <c r="F1146" s="3">
        <v>7200</v>
      </c>
      <c r="G1146" s="3">
        <v>7200</v>
      </c>
      <c r="H1146" t="s">
        <v>3</v>
      </c>
      <c r="I1146" t="s">
        <v>3</v>
      </c>
      <c r="J1146" t="s">
        <v>271</v>
      </c>
      <c r="K1146" t="s">
        <v>222</v>
      </c>
      <c r="L1146" t="s">
        <v>6</v>
      </c>
      <c r="M1146" t="s">
        <v>114</v>
      </c>
      <c r="N1146" s="2">
        <v>45565</v>
      </c>
    </row>
    <row r="1147" spans="1:14" x14ac:dyDescent="0.25">
      <c r="A1147" t="s">
        <v>389</v>
      </c>
      <c r="B1147" s="2">
        <v>45900</v>
      </c>
      <c r="C1147" t="s">
        <v>389</v>
      </c>
      <c r="D1147" t="s">
        <v>112</v>
      </c>
      <c r="E1147" t="s">
        <v>9</v>
      </c>
      <c r="F1147" s="3">
        <v>-9400</v>
      </c>
      <c r="G1147" s="3">
        <v>-9400</v>
      </c>
      <c r="H1147" t="s">
        <v>3</v>
      </c>
      <c r="I1147" t="s">
        <v>3</v>
      </c>
      <c r="J1147" t="s">
        <v>320</v>
      </c>
      <c r="K1147" t="s">
        <v>5</v>
      </c>
      <c r="L1147" t="s">
        <v>6</v>
      </c>
      <c r="M1147" t="s">
        <v>114</v>
      </c>
      <c r="N1147" s="2">
        <v>45901</v>
      </c>
    </row>
    <row r="1148" spans="1:14" x14ac:dyDescent="0.25">
      <c r="A1148" t="s">
        <v>389</v>
      </c>
      <c r="B1148" s="2">
        <v>45900</v>
      </c>
      <c r="C1148" t="s">
        <v>389</v>
      </c>
      <c r="D1148" t="s">
        <v>112</v>
      </c>
      <c r="E1148" t="s">
        <v>9</v>
      </c>
      <c r="F1148" s="3">
        <v>-4988</v>
      </c>
      <c r="G1148" s="3">
        <v>-4988</v>
      </c>
      <c r="H1148" t="s">
        <v>3</v>
      </c>
      <c r="I1148" t="s">
        <v>3</v>
      </c>
      <c r="J1148" t="s">
        <v>383</v>
      </c>
      <c r="K1148" t="s">
        <v>5</v>
      </c>
      <c r="L1148" t="s">
        <v>6</v>
      </c>
      <c r="M1148" t="s">
        <v>114</v>
      </c>
      <c r="N1148" s="2">
        <v>45901</v>
      </c>
    </row>
    <row r="1149" spans="1:14" x14ac:dyDescent="0.25">
      <c r="A1149" t="s">
        <v>389</v>
      </c>
      <c r="B1149" s="2">
        <v>45900</v>
      </c>
      <c r="C1149" t="s">
        <v>389</v>
      </c>
      <c r="D1149" t="s">
        <v>112</v>
      </c>
      <c r="E1149" t="s">
        <v>9</v>
      </c>
      <c r="F1149" s="3">
        <v>9400</v>
      </c>
      <c r="G1149" s="3">
        <v>9400</v>
      </c>
      <c r="H1149" t="s">
        <v>3</v>
      </c>
      <c r="I1149" t="s">
        <v>3</v>
      </c>
      <c r="J1149" t="s">
        <v>320</v>
      </c>
      <c r="K1149" t="s">
        <v>5</v>
      </c>
      <c r="L1149" t="s">
        <v>6</v>
      </c>
      <c r="M1149" t="s">
        <v>114</v>
      </c>
      <c r="N1149" s="2">
        <v>45901</v>
      </c>
    </row>
    <row r="1150" spans="1:14" x14ac:dyDescent="0.25">
      <c r="A1150" t="s">
        <v>389</v>
      </c>
      <c r="B1150" s="2">
        <v>45900</v>
      </c>
      <c r="C1150" t="s">
        <v>389</v>
      </c>
      <c r="D1150" t="s">
        <v>112</v>
      </c>
      <c r="E1150" t="s">
        <v>9</v>
      </c>
      <c r="F1150" s="3">
        <v>4988</v>
      </c>
      <c r="G1150" s="3">
        <v>4988</v>
      </c>
      <c r="H1150" t="s">
        <v>3</v>
      </c>
      <c r="I1150" t="s">
        <v>3</v>
      </c>
      <c r="J1150" t="s">
        <v>383</v>
      </c>
      <c r="K1150" t="s">
        <v>5</v>
      </c>
      <c r="L1150" t="s">
        <v>6</v>
      </c>
      <c r="M1150" t="s">
        <v>114</v>
      </c>
      <c r="N1150" s="2">
        <v>45901</v>
      </c>
    </row>
    <row r="1151" spans="1:14" x14ac:dyDescent="0.25">
      <c r="A1151" t="s">
        <v>389</v>
      </c>
      <c r="B1151" s="2">
        <v>45900</v>
      </c>
      <c r="C1151" t="s">
        <v>389</v>
      </c>
      <c r="D1151" t="s">
        <v>112</v>
      </c>
      <c r="E1151" t="s">
        <v>9</v>
      </c>
      <c r="F1151" s="3">
        <v>-10000</v>
      </c>
      <c r="G1151" s="3">
        <v>-10000</v>
      </c>
      <c r="H1151" t="s">
        <v>3</v>
      </c>
      <c r="I1151" t="s">
        <v>3</v>
      </c>
      <c r="J1151" t="s">
        <v>320</v>
      </c>
      <c r="K1151" t="s">
        <v>5</v>
      </c>
      <c r="L1151" t="s">
        <v>6</v>
      </c>
      <c r="M1151" t="s">
        <v>114</v>
      </c>
      <c r="N1151" s="2">
        <v>45901</v>
      </c>
    </row>
    <row r="1152" spans="1:14" x14ac:dyDescent="0.25">
      <c r="A1152" t="s">
        <v>389</v>
      </c>
      <c r="B1152" s="2">
        <v>45900</v>
      </c>
      <c r="C1152" t="s">
        <v>389</v>
      </c>
      <c r="D1152" t="s">
        <v>112</v>
      </c>
      <c r="E1152" t="s">
        <v>9</v>
      </c>
      <c r="F1152" s="3">
        <v>-4988</v>
      </c>
      <c r="G1152" s="3">
        <v>-4988</v>
      </c>
      <c r="H1152" t="s">
        <v>3</v>
      </c>
      <c r="I1152" t="s">
        <v>3</v>
      </c>
      <c r="J1152" t="s">
        <v>383</v>
      </c>
      <c r="K1152" t="s">
        <v>5</v>
      </c>
      <c r="L1152" t="s">
        <v>6</v>
      </c>
      <c r="M1152" t="s">
        <v>114</v>
      </c>
      <c r="N1152" s="2">
        <v>45901</v>
      </c>
    </row>
    <row r="1153" spans="1:14" x14ac:dyDescent="0.25">
      <c r="A1153" t="s">
        <v>389</v>
      </c>
      <c r="B1153" s="2">
        <v>45900</v>
      </c>
      <c r="C1153" t="s">
        <v>389</v>
      </c>
      <c r="D1153" t="s">
        <v>112</v>
      </c>
      <c r="E1153" t="s">
        <v>9</v>
      </c>
      <c r="F1153" s="3">
        <v>10000</v>
      </c>
      <c r="G1153" s="3">
        <v>10000</v>
      </c>
      <c r="H1153" t="s">
        <v>3</v>
      </c>
      <c r="I1153" t="s">
        <v>3</v>
      </c>
      <c r="J1153" t="s">
        <v>320</v>
      </c>
      <c r="K1153" t="s">
        <v>5</v>
      </c>
      <c r="L1153" t="s">
        <v>6</v>
      </c>
      <c r="M1153" t="s">
        <v>114</v>
      </c>
      <c r="N1153" s="2">
        <v>45901</v>
      </c>
    </row>
    <row r="1154" spans="1:14" x14ac:dyDescent="0.25">
      <c r="A1154" t="s">
        <v>389</v>
      </c>
      <c r="B1154" s="2">
        <v>45900</v>
      </c>
      <c r="C1154" t="s">
        <v>389</v>
      </c>
      <c r="D1154" t="s">
        <v>112</v>
      </c>
      <c r="E1154" t="s">
        <v>9</v>
      </c>
      <c r="F1154" s="3">
        <v>4988</v>
      </c>
      <c r="G1154" s="3">
        <v>4988</v>
      </c>
      <c r="H1154" t="s">
        <v>3</v>
      </c>
      <c r="I1154" t="s">
        <v>3</v>
      </c>
      <c r="J1154" t="s">
        <v>383</v>
      </c>
      <c r="K1154" t="s">
        <v>5</v>
      </c>
      <c r="L1154" t="s">
        <v>6</v>
      </c>
      <c r="M1154" t="s">
        <v>114</v>
      </c>
      <c r="N1154" s="2">
        <v>45901</v>
      </c>
    </row>
    <row r="1155" spans="1:14" x14ac:dyDescent="0.25">
      <c r="A1155" t="s">
        <v>389</v>
      </c>
      <c r="B1155" s="2">
        <v>45900</v>
      </c>
      <c r="C1155" t="s">
        <v>389</v>
      </c>
      <c r="D1155" t="s">
        <v>112</v>
      </c>
      <c r="E1155" t="s">
        <v>9</v>
      </c>
      <c r="F1155" s="3">
        <v>-11200</v>
      </c>
      <c r="G1155" s="3">
        <v>-11200</v>
      </c>
      <c r="H1155" t="s">
        <v>3</v>
      </c>
      <c r="I1155" t="s">
        <v>3</v>
      </c>
      <c r="J1155" t="s">
        <v>320</v>
      </c>
      <c r="K1155" t="s">
        <v>5</v>
      </c>
      <c r="L1155" t="s">
        <v>6</v>
      </c>
      <c r="M1155" t="s">
        <v>114</v>
      </c>
      <c r="N1155" s="2">
        <v>45901</v>
      </c>
    </row>
    <row r="1156" spans="1:14" x14ac:dyDescent="0.25">
      <c r="A1156" t="s">
        <v>389</v>
      </c>
      <c r="B1156" s="2">
        <v>45900</v>
      </c>
      <c r="C1156" t="s">
        <v>389</v>
      </c>
      <c r="D1156" t="s">
        <v>112</v>
      </c>
      <c r="E1156" t="s">
        <v>9</v>
      </c>
      <c r="F1156" s="3">
        <v>-4988</v>
      </c>
      <c r="G1156" s="3">
        <v>-4988</v>
      </c>
      <c r="H1156" t="s">
        <v>3</v>
      </c>
      <c r="I1156" t="s">
        <v>3</v>
      </c>
      <c r="J1156" t="s">
        <v>383</v>
      </c>
      <c r="K1156" t="s">
        <v>5</v>
      </c>
      <c r="L1156" t="s">
        <v>6</v>
      </c>
      <c r="M1156" t="s">
        <v>114</v>
      </c>
      <c r="N1156" s="2">
        <v>45901</v>
      </c>
    </row>
    <row r="1157" spans="1:14" x14ac:dyDescent="0.25">
      <c r="A1157" t="s">
        <v>389</v>
      </c>
      <c r="B1157" s="2">
        <v>45930</v>
      </c>
      <c r="C1157" t="s">
        <v>389</v>
      </c>
      <c r="D1157" t="s">
        <v>112</v>
      </c>
      <c r="E1157" t="s">
        <v>9</v>
      </c>
      <c r="F1157" s="3">
        <v>11400</v>
      </c>
      <c r="G1157" s="3">
        <v>11400</v>
      </c>
      <c r="H1157" t="s">
        <v>3</v>
      </c>
      <c r="I1157" t="s">
        <v>3</v>
      </c>
      <c r="J1157" t="s">
        <v>323</v>
      </c>
      <c r="K1157" t="s">
        <v>5</v>
      </c>
      <c r="L1157" t="s">
        <v>6</v>
      </c>
      <c r="M1157" t="s">
        <v>114</v>
      </c>
      <c r="N1157" s="2">
        <v>45930</v>
      </c>
    </row>
    <row r="1158" spans="1:14" x14ac:dyDescent="0.25">
      <c r="A1158" t="s">
        <v>389</v>
      </c>
      <c r="B1158" s="2">
        <v>45930</v>
      </c>
      <c r="C1158" t="s">
        <v>389</v>
      </c>
      <c r="D1158" t="s">
        <v>112</v>
      </c>
      <c r="E1158" t="s">
        <v>9</v>
      </c>
      <c r="F1158" s="3">
        <v>4988</v>
      </c>
      <c r="G1158" s="3">
        <v>4988</v>
      </c>
      <c r="H1158" t="s">
        <v>3</v>
      </c>
      <c r="I1158" t="s">
        <v>3</v>
      </c>
      <c r="J1158" t="s">
        <v>384</v>
      </c>
      <c r="K1158" t="s">
        <v>5</v>
      </c>
      <c r="L1158" t="s">
        <v>6</v>
      </c>
      <c r="M1158" t="s">
        <v>114</v>
      </c>
      <c r="N1158" s="2">
        <v>45930</v>
      </c>
    </row>
    <row r="1159" spans="1:14" x14ac:dyDescent="0.25">
      <c r="A1159" s="4" t="s">
        <v>272</v>
      </c>
      <c r="B1159" s="5"/>
      <c r="C1159" s="4" t="s">
        <v>9</v>
      </c>
      <c r="D1159" s="4" t="s">
        <v>9</v>
      </c>
      <c r="E1159" s="4" t="s">
        <v>9</v>
      </c>
      <c r="F1159" s="6">
        <v>0</v>
      </c>
      <c r="G1159" s="6">
        <v>0</v>
      </c>
      <c r="H1159" s="4" t="s">
        <v>9</v>
      </c>
      <c r="I1159" s="4" t="s">
        <v>3</v>
      </c>
      <c r="J1159" s="4" t="s">
        <v>9</v>
      </c>
      <c r="K1159" s="4" t="s">
        <v>9</v>
      </c>
      <c r="L1159" s="4" t="s">
        <v>9</v>
      </c>
      <c r="M1159" s="4" t="s">
        <v>9</v>
      </c>
      <c r="N1159" s="5"/>
    </row>
    <row r="1160" spans="1:14" x14ac:dyDescent="0.25">
      <c r="A1160" t="s">
        <v>389</v>
      </c>
      <c r="B1160" s="2">
        <v>45965</v>
      </c>
      <c r="C1160" t="s">
        <v>389</v>
      </c>
      <c r="D1160" t="s">
        <v>112</v>
      </c>
      <c r="E1160" t="s">
        <v>9</v>
      </c>
      <c r="F1160" s="3">
        <v>-86</v>
      </c>
      <c r="G1160" s="3">
        <v>-86</v>
      </c>
      <c r="H1160" t="s">
        <v>3</v>
      </c>
      <c r="I1160" t="s">
        <v>3</v>
      </c>
      <c r="J1160" t="s">
        <v>9</v>
      </c>
      <c r="K1160" t="s">
        <v>9</v>
      </c>
      <c r="L1160" t="s">
        <v>8</v>
      </c>
      <c r="M1160" t="s">
        <v>114</v>
      </c>
      <c r="N1160" s="2">
        <v>45961</v>
      </c>
    </row>
    <row r="1161" spans="1:14" x14ac:dyDescent="0.25">
      <c r="A1161" t="s">
        <v>389</v>
      </c>
      <c r="B1161" s="2">
        <v>45565</v>
      </c>
      <c r="C1161" t="s">
        <v>389</v>
      </c>
      <c r="D1161" t="s">
        <v>112</v>
      </c>
      <c r="E1161" t="s">
        <v>9</v>
      </c>
      <c r="F1161" s="3">
        <v>-7200</v>
      </c>
      <c r="G1161" s="3">
        <v>-7200</v>
      </c>
      <c r="H1161" t="s">
        <v>3</v>
      </c>
      <c r="I1161" t="s">
        <v>3</v>
      </c>
      <c r="J1161" t="s">
        <v>271</v>
      </c>
      <c r="K1161" t="s">
        <v>222</v>
      </c>
      <c r="L1161" t="s">
        <v>8</v>
      </c>
      <c r="M1161" t="s">
        <v>114</v>
      </c>
      <c r="N1161" s="2">
        <v>45566</v>
      </c>
    </row>
    <row r="1162" spans="1:14" x14ac:dyDescent="0.25">
      <c r="A1162" t="s">
        <v>389</v>
      </c>
      <c r="B1162" s="2">
        <v>45596</v>
      </c>
      <c r="C1162" t="s">
        <v>389</v>
      </c>
      <c r="D1162" t="s">
        <v>112</v>
      </c>
      <c r="E1162" t="s">
        <v>9</v>
      </c>
      <c r="F1162" s="3">
        <v>-7900</v>
      </c>
      <c r="G1162" s="3">
        <v>-7900</v>
      </c>
      <c r="H1162" t="s">
        <v>3</v>
      </c>
      <c r="I1162" t="s">
        <v>3</v>
      </c>
      <c r="J1162" t="s">
        <v>10</v>
      </c>
      <c r="K1162" t="s">
        <v>222</v>
      </c>
      <c r="L1162" t="s">
        <v>8</v>
      </c>
      <c r="M1162" t="s">
        <v>114</v>
      </c>
      <c r="N1162" s="2">
        <v>45596</v>
      </c>
    </row>
    <row r="1163" spans="1:14" x14ac:dyDescent="0.25">
      <c r="A1163" t="s">
        <v>389</v>
      </c>
      <c r="B1163" s="2">
        <v>45596</v>
      </c>
      <c r="C1163" t="s">
        <v>389</v>
      </c>
      <c r="D1163" t="s">
        <v>112</v>
      </c>
      <c r="E1163" t="s">
        <v>9</v>
      </c>
      <c r="F1163" s="3">
        <v>15100</v>
      </c>
      <c r="G1163" s="3">
        <v>15100</v>
      </c>
      <c r="H1163" t="s">
        <v>3</v>
      </c>
      <c r="I1163" t="s">
        <v>3</v>
      </c>
      <c r="J1163" t="s">
        <v>277</v>
      </c>
      <c r="K1163" t="s">
        <v>222</v>
      </c>
      <c r="L1163" t="s">
        <v>8</v>
      </c>
      <c r="M1163" t="s">
        <v>114</v>
      </c>
      <c r="N1163" s="2">
        <v>45596</v>
      </c>
    </row>
    <row r="1164" spans="1:14" x14ac:dyDescent="0.25">
      <c r="A1164" t="s">
        <v>389</v>
      </c>
      <c r="B1164" s="2">
        <v>45930</v>
      </c>
      <c r="C1164" t="s">
        <v>389</v>
      </c>
      <c r="D1164" t="s">
        <v>112</v>
      </c>
      <c r="E1164" t="s">
        <v>9</v>
      </c>
      <c r="F1164" s="3">
        <v>-11400</v>
      </c>
      <c r="G1164" s="3">
        <v>-11400</v>
      </c>
      <c r="H1164" t="s">
        <v>3</v>
      </c>
      <c r="I1164" t="s">
        <v>3</v>
      </c>
      <c r="J1164" t="s">
        <v>323</v>
      </c>
      <c r="K1164" t="s">
        <v>5</v>
      </c>
      <c r="L1164" t="s">
        <v>8</v>
      </c>
      <c r="M1164" t="s">
        <v>114</v>
      </c>
      <c r="N1164" s="2">
        <v>45931</v>
      </c>
    </row>
    <row r="1165" spans="1:14" x14ac:dyDescent="0.25">
      <c r="A1165" t="s">
        <v>389</v>
      </c>
      <c r="B1165" s="2">
        <v>45930</v>
      </c>
      <c r="C1165" t="s">
        <v>389</v>
      </c>
      <c r="D1165" t="s">
        <v>112</v>
      </c>
      <c r="E1165" t="s">
        <v>9</v>
      </c>
      <c r="F1165" s="3">
        <v>-4988</v>
      </c>
      <c r="G1165" s="3">
        <v>-4988</v>
      </c>
      <c r="H1165" t="s">
        <v>3</v>
      </c>
      <c r="I1165" t="s">
        <v>3</v>
      </c>
      <c r="J1165" t="s">
        <v>384</v>
      </c>
      <c r="K1165" t="s">
        <v>5</v>
      </c>
      <c r="L1165" t="s">
        <v>8</v>
      </c>
      <c r="M1165" t="s">
        <v>114</v>
      </c>
      <c r="N1165" s="2">
        <v>45931</v>
      </c>
    </row>
    <row r="1166" spans="1:14" x14ac:dyDescent="0.25">
      <c r="A1166" t="s">
        <v>389</v>
      </c>
      <c r="B1166" s="2">
        <v>45961</v>
      </c>
      <c r="C1166" t="s">
        <v>389</v>
      </c>
      <c r="D1166" t="s">
        <v>112</v>
      </c>
      <c r="E1166" t="s">
        <v>9</v>
      </c>
      <c r="F1166" s="3">
        <v>11400</v>
      </c>
      <c r="G1166" s="3">
        <v>11400</v>
      </c>
      <c r="H1166" t="s">
        <v>3</v>
      </c>
      <c r="I1166" t="s">
        <v>3</v>
      </c>
      <c r="J1166" t="s">
        <v>325</v>
      </c>
      <c r="K1166" t="s">
        <v>5</v>
      </c>
      <c r="L1166" t="s">
        <v>8</v>
      </c>
      <c r="M1166" t="s">
        <v>114</v>
      </c>
      <c r="N1166" s="2">
        <v>45961</v>
      </c>
    </row>
    <row r="1167" spans="1:14" x14ac:dyDescent="0.25">
      <c r="A1167" t="s">
        <v>389</v>
      </c>
      <c r="B1167" s="2">
        <v>45961</v>
      </c>
      <c r="C1167" t="s">
        <v>389</v>
      </c>
      <c r="D1167" t="s">
        <v>112</v>
      </c>
      <c r="E1167" t="s">
        <v>9</v>
      </c>
      <c r="F1167" s="3">
        <v>5074</v>
      </c>
      <c r="G1167" s="3">
        <v>5074</v>
      </c>
      <c r="H1167" t="s">
        <v>3</v>
      </c>
      <c r="I1167" t="s">
        <v>3</v>
      </c>
      <c r="J1167" t="s">
        <v>385</v>
      </c>
      <c r="K1167" t="s">
        <v>5</v>
      </c>
      <c r="L1167" t="s">
        <v>8</v>
      </c>
      <c r="M1167" t="s">
        <v>114</v>
      </c>
      <c r="N1167" s="2">
        <v>45961</v>
      </c>
    </row>
    <row r="1168" spans="1:14" x14ac:dyDescent="0.25">
      <c r="A1168" s="4" t="s">
        <v>278</v>
      </c>
      <c r="B1168" s="5"/>
      <c r="C1168" s="4" t="s">
        <v>9</v>
      </c>
      <c r="D1168" s="4" t="s">
        <v>9</v>
      </c>
      <c r="E1168" s="4" t="s">
        <v>9</v>
      </c>
      <c r="F1168" s="6">
        <v>0</v>
      </c>
      <c r="G1168" s="6">
        <v>0</v>
      </c>
      <c r="H1168" s="4" t="s">
        <v>9</v>
      </c>
      <c r="I1168" s="4" t="s">
        <v>3</v>
      </c>
      <c r="J1168" s="4" t="s">
        <v>9</v>
      </c>
      <c r="K1168" s="4" t="s">
        <v>9</v>
      </c>
      <c r="L1168" s="4" t="s">
        <v>9</v>
      </c>
      <c r="M1168" s="4" t="s">
        <v>9</v>
      </c>
      <c r="N1168" s="5"/>
    </row>
    <row r="1169" spans="1:14" x14ac:dyDescent="0.25">
      <c r="A1169" t="s">
        <v>389</v>
      </c>
      <c r="B1169" s="2">
        <v>45596</v>
      </c>
      <c r="C1169" t="s">
        <v>389</v>
      </c>
      <c r="D1169" t="s">
        <v>112</v>
      </c>
      <c r="E1169" t="s">
        <v>9</v>
      </c>
      <c r="F1169" s="3">
        <v>-15100</v>
      </c>
      <c r="G1169" s="3">
        <v>-15100</v>
      </c>
      <c r="H1169" t="s">
        <v>3</v>
      </c>
      <c r="I1169" t="s">
        <v>3</v>
      </c>
      <c r="J1169" t="s">
        <v>277</v>
      </c>
      <c r="K1169" t="s">
        <v>222</v>
      </c>
      <c r="L1169" t="s">
        <v>11</v>
      </c>
      <c r="M1169" t="s">
        <v>114</v>
      </c>
      <c r="N1169" s="2">
        <v>45597</v>
      </c>
    </row>
    <row r="1170" spans="1:14" x14ac:dyDescent="0.25">
      <c r="A1170" t="s">
        <v>389</v>
      </c>
      <c r="B1170" s="2">
        <v>45626</v>
      </c>
      <c r="C1170" t="s">
        <v>389</v>
      </c>
      <c r="D1170" t="s">
        <v>112</v>
      </c>
      <c r="E1170" t="s">
        <v>9</v>
      </c>
      <c r="F1170" s="3">
        <v>-1900</v>
      </c>
      <c r="G1170" s="3">
        <v>-1900</v>
      </c>
      <c r="H1170" t="s">
        <v>3</v>
      </c>
      <c r="I1170" t="s">
        <v>3</v>
      </c>
      <c r="J1170" t="s">
        <v>10</v>
      </c>
      <c r="K1170" t="s">
        <v>222</v>
      </c>
      <c r="L1170" t="s">
        <v>11</v>
      </c>
      <c r="M1170" t="s">
        <v>114</v>
      </c>
      <c r="N1170" s="2">
        <v>45626</v>
      </c>
    </row>
    <row r="1171" spans="1:14" x14ac:dyDescent="0.25">
      <c r="A1171" t="s">
        <v>389</v>
      </c>
      <c r="B1171" s="2">
        <v>45626</v>
      </c>
      <c r="C1171" t="s">
        <v>389</v>
      </c>
      <c r="D1171" t="s">
        <v>112</v>
      </c>
      <c r="E1171" t="s">
        <v>9</v>
      </c>
      <c r="F1171" s="3">
        <v>17000</v>
      </c>
      <c r="G1171" s="3">
        <v>17000</v>
      </c>
      <c r="H1171" t="s">
        <v>3</v>
      </c>
      <c r="I1171" t="s">
        <v>3</v>
      </c>
      <c r="J1171" t="s">
        <v>283</v>
      </c>
      <c r="K1171" t="s">
        <v>222</v>
      </c>
      <c r="L1171" t="s">
        <v>11</v>
      </c>
      <c r="M1171" t="s">
        <v>114</v>
      </c>
      <c r="N1171" s="2">
        <v>45626</v>
      </c>
    </row>
    <row r="1172" spans="1:14" x14ac:dyDescent="0.25">
      <c r="A1172" t="s">
        <v>389</v>
      </c>
      <c r="B1172" s="2">
        <v>45961</v>
      </c>
      <c r="C1172" t="s">
        <v>389</v>
      </c>
      <c r="D1172" t="s">
        <v>112</v>
      </c>
      <c r="E1172" t="s">
        <v>9</v>
      </c>
      <c r="F1172" s="3">
        <v>-11400</v>
      </c>
      <c r="G1172" s="3">
        <v>-11400</v>
      </c>
      <c r="H1172" t="s">
        <v>3</v>
      </c>
      <c r="I1172" t="s">
        <v>3</v>
      </c>
      <c r="J1172" t="s">
        <v>325</v>
      </c>
      <c r="K1172" t="s">
        <v>5</v>
      </c>
      <c r="L1172" t="s">
        <v>11</v>
      </c>
      <c r="M1172" t="s">
        <v>114</v>
      </c>
      <c r="N1172" s="2">
        <v>45962</v>
      </c>
    </row>
    <row r="1173" spans="1:14" x14ac:dyDescent="0.25">
      <c r="A1173" t="s">
        <v>389</v>
      </c>
      <c r="B1173" s="2">
        <v>45961</v>
      </c>
      <c r="C1173" t="s">
        <v>389</v>
      </c>
      <c r="D1173" t="s">
        <v>112</v>
      </c>
      <c r="E1173" t="s">
        <v>9</v>
      </c>
      <c r="F1173" s="3">
        <v>-5074</v>
      </c>
      <c r="G1173" s="3">
        <v>-5074</v>
      </c>
      <c r="H1173" t="s">
        <v>3</v>
      </c>
      <c r="I1173" t="s">
        <v>3</v>
      </c>
      <c r="J1173" t="s">
        <v>385</v>
      </c>
      <c r="K1173" t="s">
        <v>5</v>
      </c>
      <c r="L1173" t="s">
        <v>11</v>
      </c>
      <c r="M1173" t="s">
        <v>114</v>
      </c>
      <c r="N1173" s="2">
        <v>45962</v>
      </c>
    </row>
    <row r="1174" spans="1:14" x14ac:dyDescent="0.25">
      <c r="A1174" t="s">
        <v>389</v>
      </c>
      <c r="B1174" s="2">
        <v>45991</v>
      </c>
      <c r="C1174" t="s">
        <v>389</v>
      </c>
      <c r="D1174" t="s">
        <v>112</v>
      </c>
      <c r="E1174" t="s">
        <v>9</v>
      </c>
      <c r="F1174" s="3">
        <v>11400</v>
      </c>
      <c r="G1174" s="3">
        <v>11400</v>
      </c>
      <c r="H1174" t="s">
        <v>3</v>
      </c>
      <c r="I1174" t="s">
        <v>3</v>
      </c>
      <c r="J1174" t="s">
        <v>328</v>
      </c>
      <c r="K1174" t="s">
        <v>5</v>
      </c>
      <c r="L1174" t="s">
        <v>11</v>
      </c>
      <c r="M1174" t="s">
        <v>114</v>
      </c>
      <c r="N1174" s="2">
        <v>45991</v>
      </c>
    </row>
    <row r="1175" spans="1:14" x14ac:dyDescent="0.25">
      <c r="A1175" t="s">
        <v>389</v>
      </c>
      <c r="B1175" s="2">
        <v>45991</v>
      </c>
      <c r="C1175" t="s">
        <v>389</v>
      </c>
      <c r="D1175" t="s">
        <v>112</v>
      </c>
      <c r="E1175" t="s">
        <v>9</v>
      </c>
      <c r="F1175" s="3">
        <v>5074</v>
      </c>
      <c r="G1175" s="3">
        <v>5074</v>
      </c>
      <c r="H1175" t="s">
        <v>3</v>
      </c>
      <c r="I1175" t="s">
        <v>3</v>
      </c>
      <c r="J1175" t="s">
        <v>387</v>
      </c>
      <c r="K1175" t="s">
        <v>5</v>
      </c>
      <c r="L1175" t="s">
        <v>11</v>
      </c>
      <c r="M1175" t="s">
        <v>114</v>
      </c>
      <c r="N1175" s="2">
        <v>45991</v>
      </c>
    </row>
    <row r="1176" spans="1:14" x14ac:dyDescent="0.25">
      <c r="A1176" s="4" t="s">
        <v>226</v>
      </c>
      <c r="B1176" s="5"/>
      <c r="C1176" s="4" t="s">
        <v>9</v>
      </c>
      <c r="D1176" s="4" t="s">
        <v>9</v>
      </c>
      <c r="E1176" s="4" t="s">
        <v>9</v>
      </c>
      <c r="F1176" s="6">
        <v>0</v>
      </c>
      <c r="G1176" s="6">
        <v>0</v>
      </c>
      <c r="H1176" s="4" t="s">
        <v>9</v>
      </c>
      <c r="I1176" s="4" t="s">
        <v>3</v>
      </c>
      <c r="J1176" s="4" t="s">
        <v>9</v>
      </c>
      <c r="K1176" s="4" t="s">
        <v>9</v>
      </c>
      <c r="L1176" s="4" t="s">
        <v>9</v>
      </c>
      <c r="M1176" s="4" t="s">
        <v>9</v>
      </c>
      <c r="N1176" s="5"/>
    </row>
    <row r="1177" spans="1:14" x14ac:dyDescent="0.25">
      <c r="A1177" t="s">
        <v>389</v>
      </c>
      <c r="B1177" s="2">
        <v>45660</v>
      </c>
      <c r="C1177" t="s">
        <v>389</v>
      </c>
      <c r="D1177" t="s">
        <v>112</v>
      </c>
      <c r="E1177" t="s">
        <v>9</v>
      </c>
      <c r="F1177" s="3">
        <v>-1950</v>
      </c>
      <c r="G1177" s="3">
        <v>-1950</v>
      </c>
      <c r="H1177" t="s">
        <v>3</v>
      </c>
      <c r="I1177" t="s">
        <v>3</v>
      </c>
      <c r="J1177" t="s">
        <v>9</v>
      </c>
      <c r="K1177" t="s">
        <v>9</v>
      </c>
      <c r="L1177" t="s">
        <v>12</v>
      </c>
      <c r="M1177" t="s">
        <v>114</v>
      </c>
      <c r="N1177" s="2">
        <v>45657</v>
      </c>
    </row>
    <row r="1178" spans="1:14" x14ac:dyDescent="0.25">
      <c r="A1178" t="s">
        <v>389</v>
      </c>
      <c r="B1178" s="2">
        <v>46028</v>
      </c>
      <c r="C1178" t="s">
        <v>389</v>
      </c>
      <c r="D1178" t="s">
        <v>112</v>
      </c>
      <c r="E1178" t="s">
        <v>9</v>
      </c>
      <c r="F1178" s="3">
        <v>-686</v>
      </c>
      <c r="G1178" s="3">
        <v>-686</v>
      </c>
      <c r="H1178" t="s">
        <v>3</v>
      </c>
      <c r="I1178" t="s">
        <v>3</v>
      </c>
      <c r="J1178" t="s">
        <v>9</v>
      </c>
      <c r="K1178" t="s">
        <v>9</v>
      </c>
      <c r="L1178" t="s">
        <v>12</v>
      </c>
      <c r="M1178" t="s">
        <v>114</v>
      </c>
      <c r="N1178" s="2">
        <v>46022</v>
      </c>
    </row>
    <row r="1179" spans="1:14" x14ac:dyDescent="0.25">
      <c r="A1179" t="s">
        <v>389</v>
      </c>
      <c r="B1179" s="2">
        <v>45626</v>
      </c>
      <c r="C1179" t="s">
        <v>389</v>
      </c>
      <c r="D1179" t="s">
        <v>112</v>
      </c>
      <c r="E1179" t="s">
        <v>9</v>
      </c>
      <c r="F1179" s="3">
        <v>-17000</v>
      </c>
      <c r="G1179" s="3">
        <v>-17000</v>
      </c>
      <c r="H1179" t="s">
        <v>3</v>
      </c>
      <c r="I1179" t="s">
        <v>3</v>
      </c>
      <c r="J1179" t="s">
        <v>283</v>
      </c>
      <c r="K1179" t="s">
        <v>222</v>
      </c>
      <c r="L1179" t="s">
        <v>12</v>
      </c>
      <c r="M1179" t="s">
        <v>114</v>
      </c>
      <c r="N1179" s="2">
        <v>45627</v>
      </c>
    </row>
    <row r="1180" spans="1:14" x14ac:dyDescent="0.25">
      <c r="A1180" t="s">
        <v>389</v>
      </c>
      <c r="B1180" s="2">
        <v>45657</v>
      </c>
      <c r="C1180" t="s">
        <v>389</v>
      </c>
      <c r="D1180" t="s">
        <v>112</v>
      </c>
      <c r="E1180" t="s">
        <v>9</v>
      </c>
      <c r="F1180" s="3">
        <v>-1800</v>
      </c>
      <c r="G1180" s="3">
        <v>-1800</v>
      </c>
      <c r="H1180" t="s">
        <v>3</v>
      </c>
      <c r="I1180" t="s">
        <v>3</v>
      </c>
      <c r="J1180" t="s">
        <v>10</v>
      </c>
      <c r="K1180" t="s">
        <v>222</v>
      </c>
      <c r="L1180" t="s">
        <v>12</v>
      </c>
      <c r="M1180" t="s">
        <v>114</v>
      </c>
      <c r="N1180" s="2">
        <v>45657</v>
      </c>
    </row>
    <row r="1181" spans="1:14" x14ac:dyDescent="0.25">
      <c r="A1181" t="s">
        <v>389</v>
      </c>
      <c r="B1181" s="2">
        <v>45657</v>
      </c>
      <c r="C1181" t="s">
        <v>389</v>
      </c>
      <c r="D1181" t="s">
        <v>112</v>
      </c>
      <c r="E1181" t="s">
        <v>9</v>
      </c>
      <c r="F1181" s="3">
        <v>18800</v>
      </c>
      <c r="G1181" s="3">
        <v>18800</v>
      </c>
      <c r="H1181" t="s">
        <v>3</v>
      </c>
      <c r="I1181" t="s">
        <v>3</v>
      </c>
      <c r="J1181" t="s">
        <v>292</v>
      </c>
      <c r="K1181" t="s">
        <v>222</v>
      </c>
      <c r="L1181" t="s">
        <v>12</v>
      </c>
      <c r="M1181" t="s">
        <v>114</v>
      </c>
      <c r="N1181" s="2">
        <v>45657</v>
      </c>
    </row>
    <row r="1182" spans="1:14" x14ac:dyDescent="0.25">
      <c r="A1182" t="s">
        <v>389</v>
      </c>
      <c r="B1182" s="2">
        <v>45657</v>
      </c>
      <c r="C1182" t="s">
        <v>389</v>
      </c>
      <c r="D1182" t="s">
        <v>112</v>
      </c>
      <c r="E1182" t="s">
        <v>9</v>
      </c>
      <c r="F1182" s="3">
        <v>1950</v>
      </c>
      <c r="G1182" s="3">
        <v>1950</v>
      </c>
      <c r="H1182" t="s">
        <v>3</v>
      </c>
      <c r="I1182" t="s">
        <v>3</v>
      </c>
      <c r="J1182" t="s">
        <v>388</v>
      </c>
      <c r="K1182" t="s">
        <v>222</v>
      </c>
      <c r="L1182" t="s">
        <v>12</v>
      </c>
      <c r="M1182" t="s">
        <v>114</v>
      </c>
      <c r="N1182" s="2">
        <v>45657</v>
      </c>
    </row>
    <row r="1183" spans="1:14" x14ac:dyDescent="0.25">
      <c r="A1183" t="s">
        <v>389</v>
      </c>
      <c r="B1183" s="2">
        <v>45991</v>
      </c>
      <c r="C1183" t="s">
        <v>389</v>
      </c>
      <c r="D1183" t="s">
        <v>112</v>
      </c>
      <c r="E1183" t="s">
        <v>9</v>
      </c>
      <c r="F1183" s="3">
        <v>-11400</v>
      </c>
      <c r="G1183" s="3">
        <v>-11400</v>
      </c>
      <c r="H1183" t="s">
        <v>3</v>
      </c>
      <c r="I1183" t="s">
        <v>3</v>
      </c>
      <c r="J1183" t="s">
        <v>328</v>
      </c>
      <c r="K1183" t="s">
        <v>5</v>
      </c>
      <c r="L1183" t="s">
        <v>12</v>
      </c>
      <c r="M1183" t="s">
        <v>114</v>
      </c>
      <c r="N1183" s="2">
        <v>45992</v>
      </c>
    </row>
    <row r="1184" spans="1:14" x14ac:dyDescent="0.25">
      <c r="A1184" t="s">
        <v>389</v>
      </c>
      <c r="B1184" s="2">
        <v>45991</v>
      </c>
      <c r="C1184" t="s">
        <v>389</v>
      </c>
      <c r="D1184" t="s">
        <v>112</v>
      </c>
      <c r="E1184" t="s">
        <v>9</v>
      </c>
      <c r="F1184" s="3">
        <v>-5074</v>
      </c>
      <c r="G1184" s="3">
        <v>-5074</v>
      </c>
      <c r="H1184" t="s">
        <v>3</v>
      </c>
      <c r="I1184" t="s">
        <v>3</v>
      </c>
      <c r="J1184" t="s">
        <v>387</v>
      </c>
      <c r="K1184" t="s">
        <v>5</v>
      </c>
      <c r="L1184" t="s">
        <v>12</v>
      </c>
      <c r="M1184" t="s">
        <v>114</v>
      </c>
      <c r="N1184" s="2">
        <v>45992</v>
      </c>
    </row>
    <row r="1185" spans="1:14" x14ac:dyDescent="0.25">
      <c r="A1185" t="s">
        <v>389</v>
      </c>
      <c r="B1185" s="2">
        <v>46022</v>
      </c>
      <c r="C1185" t="s">
        <v>389</v>
      </c>
      <c r="D1185" t="s">
        <v>112</v>
      </c>
      <c r="E1185" t="s">
        <v>9</v>
      </c>
      <c r="F1185" s="3">
        <v>12000</v>
      </c>
      <c r="G1185" s="3">
        <v>12000</v>
      </c>
      <c r="H1185" t="s">
        <v>3</v>
      </c>
      <c r="I1185" t="s">
        <v>3</v>
      </c>
      <c r="J1185" t="s">
        <v>298</v>
      </c>
      <c r="K1185" t="s">
        <v>5</v>
      </c>
      <c r="L1185" t="s">
        <v>12</v>
      </c>
      <c r="M1185" t="s">
        <v>114</v>
      </c>
      <c r="N1185" s="2">
        <v>46022</v>
      </c>
    </row>
    <row r="1186" spans="1:14" x14ac:dyDescent="0.25">
      <c r="A1186" t="s">
        <v>389</v>
      </c>
      <c r="B1186" s="2">
        <v>46022</v>
      </c>
      <c r="C1186" t="s">
        <v>389</v>
      </c>
      <c r="D1186" t="s">
        <v>112</v>
      </c>
      <c r="E1186" t="s">
        <v>9</v>
      </c>
      <c r="F1186" s="3">
        <v>5160</v>
      </c>
      <c r="G1186" s="3">
        <v>5160</v>
      </c>
      <c r="H1186" t="s">
        <v>3</v>
      </c>
      <c r="I1186" t="s">
        <v>3</v>
      </c>
      <c r="J1186" t="s">
        <v>381</v>
      </c>
      <c r="K1186" t="s">
        <v>5</v>
      </c>
      <c r="L1186" t="s">
        <v>12</v>
      </c>
      <c r="M1186" t="s">
        <v>114</v>
      </c>
      <c r="N1186" s="2">
        <v>46022</v>
      </c>
    </row>
    <row r="1187" spans="1:14" x14ac:dyDescent="0.25">
      <c r="A1187" t="s">
        <v>389</v>
      </c>
      <c r="B1187" s="2">
        <v>46022</v>
      </c>
      <c r="C1187" t="s">
        <v>389</v>
      </c>
      <c r="D1187" t="s">
        <v>112</v>
      </c>
      <c r="E1187" t="s">
        <v>9</v>
      </c>
      <c r="F1187" s="3">
        <v>12000</v>
      </c>
      <c r="G1187" s="3">
        <v>12000</v>
      </c>
      <c r="H1187" t="s">
        <v>3</v>
      </c>
      <c r="I1187" t="s">
        <v>3</v>
      </c>
      <c r="J1187" t="s">
        <v>298</v>
      </c>
      <c r="K1187" t="s">
        <v>5</v>
      </c>
      <c r="L1187" t="s">
        <v>12</v>
      </c>
      <c r="M1187" t="s">
        <v>114</v>
      </c>
      <c r="N1187" s="2">
        <v>46022</v>
      </c>
    </row>
    <row r="1188" spans="1:14" x14ac:dyDescent="0.25">
      <c r="A1188" t="s">
        <v>389</v>
      </c>
      <c r="B1188" s="2">
        <v>46022</v>
      </c>
      <c r="C1188" t="s">
        <v>389</v>
      </c>
      <c r="D1188" t="s">
        <v>112</v>
      </c>
      <c r="E1188" t="s">
        <v>9</v>
      </c>
      <c r="F1188" s="3">
        <v>5160</v>
      </c>
      <c r="G1188" s="3">
        <v>5160</v>
      </c>
      <c r="H1188" t="s">
        <v>3</v>
      </c>
      <c r="I1188" t="s">
        <v>3</v>
      </c>
      <c r="J1188" t="s">
        <v>381</v>
      </c>
      <c r="K1188" t="s">
        <v>5</v>
      </c>
      <c r="L1188" t="s">
        <v>12</v>
      </c>
      <c r="M1188" t="s">
        <v>114</v>
      </c>
      <c r="N1188" s="2">
        <v>46022</v>
      </c>
    </row>
    <row r="1189" spans="1:14" x14ac:dyDescent="0.25">
      <c r="A1189" t="s">
        <v>389</v>
      </c>
      <c r="B1189" s="2">
        <v>46022</v>
      </c>
      <c r="C1189" t="s">
        <v>389</v>
      </c>
      <c r="D1189" t="s">
        <v>112</v>
      </c>
      <c r="E1189" t="s">
        <v>9</v>
      </c>
      <c r="F1189" s="3">
        <v>-12000</v>
      </c>
      <c r="G1189" s="3">
        <v>-12000</v>
      </c>
      <c r="H1189" t="s">
        <v>3</v>
      </c>
      <c r="I1189" t="s">
        <v>3</v>
      </c>
      <c r="J1189" t="s">
        <v>298</v>
      </c>
      <c r="K1189" t="s">
        <v>5</v>
      </c>
      <c r="L1189" t="s">
        <v>12</v>
      </c>
      <c r="M1189" t="s">
        <v>114</v>
      </c>
      <c r="N1189" s="2">
        <v>46022</v>
      </c>
    </row>
    <row r="1190" spans="1:14" x14ac:dyDescent="0.25">
      <c r="A1190" t="s">
        <v>389</v>
      </c>
      <c r="B1190" s="2">
        <v>46022</v>
      </c>
      <c r="C1190" t="s">
        <v>389</v>
      </c>
      <c r="D1190" t="s">
        <v>112</v>
      </c>
      <c r="E1190" t="s">
        <v>9</v>
      </c>
      <c r="F1190" s="3">
        <v>-5160</v>
      </c>
      <c r="G1190" s="3">
        <v>-5160</v>
      </c>
      <c r="H1190" t="s">
        <v>3</v>
      </c>
      <c r="I1190" t="s">
        <v>3</v>
      </c>
      <c r="J1190" t="s">
        <v>381</v>
      </c>
      <c r="K1190" t="s">
        <v>5</v>
      </c>
      <c r="L1190" t="s">
        <v>12</v>
      </c>
      <c r="M1190" t="s">
        <v>114</v>
      </c>
      <c r="N1190" s="2">
        <v>46022</v>
      </c>
    </row>
    <row r="1191" spans="1:14" x14ac:dyDescent="0.25">
      <c r="A1191" s="4" t="s">
        <v>228</v>
      </c>
      <c r="B1191" s="5"/>
      <c r="C1191" s="4" t="s">
        <v>9</v>
      </c>
      <c r="D1191" s="4" t="s">
        <v>9</v>
      </c>
      <c r="E1191" s="4" t="s">
        <v>9</v>
      </c>
      <c r="F1191" s="6">
        <v>0</v>
      </c>
      <c r="G1191" s="6">
        <v>0</v>
      </c>
      <c r="H1191" s="4" t="s">
        <v>9</v>
      </c>
      <c r="I1191" s="4" t="s">
        <v>3</v>
      </c>
      <c r="J1191" s="4" t="s">
        <v>9</v>
      </c>
      <c r="K1191" s="4" t="s">
        <v>9</v>
      </c>
      <c r="L1191" s="4" t="s">
        <v>9</v>
      </c>
      <c r="M1191" s="4" t="s">
        <v>9</v>
      </c>
      <c r="N1191" s="5"/>
    </row>
    <row r="1192" spans="1:14" x14ac:dyDescent="0.25">
      <c r="A1192" s="4" t="s">
        <v>389</v>
      </c>
      <c r="B1192" s="5"/>
      <c r="C1192" s="4" t="s">
        <v>9</v>
      </c>
      <c r="D1192" s="4" t="s">
        <v>9</v>
      </c>
      <c r="E1192" s="4" t="s">
        <v>9</v>
      </c>
      <c r="F1192" s="6">
        <v>0</v>
      </c>
      <c r="G1192" s="6">
        <v>0</v>
      </c>
      <c r="H1192" s="4" t="s">
        <v>9</v>
      </c>
      <c r="I1192" s="4" t="s">
        <v>3</v>
      </c>
      <c r="J1192" s="4" t="s">
        <v>9</v>
      </c>
      <c r="K1192" s="4" t="s">
        <v>9</v>
      </c>
      <c r="L1192" s="4" t="s">
        <v>9</v>
      </c>
      <c r="M1192" s="4" t="s">
        <v>9</v>
      </c>
      <c r="N1192" s="5"/>
    </row>
    <row r="1193" spans="1:14" x14ac:dyDescent="0.25">
      <c r="A1193" t="s">
        <v>399</v>
      </c>
      <c r="B1193" s="2">
        <v>46267</v>
      </c>
      <c r="C1193" t="s">
        <v>399</v>
      </c>
      <c r="D1193" t="s">
        <v>112</v>
      </c>
      <c r="E1193" t="s">
        <v>9</v>
      </c>
      <c r="F1193" s="3">
        <v>-532.5</v>
      </c>
      <c r="G1193" s="3">
        <v>-532.5</v>
      </c>
      <c r="H1193" t="s">
        <v>3</v>
      </c>
      <c r="I1193" t="s">
        <v>3</v>
      </c>
      <c r="J1193" t="s">
        <v>9</v>
      </c>
      <c r="K1193" t="s">
        <v>9</v>
      </c>
      <c r="L1193" t="s">
        <v>22</v>
      </c>
      <c r="M1193" t="s">
        <v>114</v>
      </c>
      <c r="N1193" s="2">
        <v>46265</v>
      </c>
    </row>
    <row r="1194" spans="1:14" x14ac:dyDescent="0.25">
      <c r="A1194" t="s">
        <v>399</v>
      </c>
      <c r="B1194" s="2">
        <v>46265</v>
      </c>
      <c r="C1194" t="s">
        <v>399</v>
      </c>
      <c r="D1194" t="s">
        <v>112</v>
      </c>
      <c r="E1194" t="s">
        <v>9</v>
      </c>
      <c r="F1194" s="3">
        <v>532.5</v>
      </c>
      <c r="G1194" s="3">
        <v>532.5</v>
      </c>
      <c r="H1194" t="s">
        <v>3</v>
      </c>
      <c r="I1194" t="s">
        <v>3</v>
      </c>
      <c r="J1194" t="s">
        <v>322</v>
      </c>
      <c r="K1194" t="s">
        <v>13</v>
      </c>
      <c r="L1194" t="s">
        <v>22</v>
      </c>
      <c r="M1194" t="s">
        <v>114</v>
      </c>
      <c r="N1194" s="2">
        <v>46265</v>
      </c>
    </row>
    <row r="1195" spans="1:14" x14ac:dyDescent="0.25">
      <c r="A1195" s="4" t="s">
        <v>267</v>
      </c>
      <c r="B1195" s="5"/>
      <c r="C1195" s="4" t="s">
        <v>9</v>
      </c>
      <c r="D1195" s="4" t="s">
        <v>9</v>
      </c>
      <c r="E1195" s="4" t="s">
        <v>9</v>
      </c>
      <c r="F1195" s="6">
        <v>0</v>
      </c>
      <c r="G1195" s="6">
        <v>0</v>
      </c>
      <c r="H1195" s="4" t="s">
        <v>9</v>
      </c>
      <c r="I1195" s="4" t="s">
        <v>3</v>
      </c>
      <c r="J1195" s="4" t="s">
        <v>9</v>
      </c>
      <c r="K1195" s="4" t="s">
        <v>9</v>
      </c>
      <c r="L1195" s="4" t="s">
        <v>9</v>
      </c>
      <c r="M1195" s="4" t="s">
        <v>9</v>
      </c>
      <c r="N1195" s="5"/>
    </row>
    <row r="1196" spans="1:14" x14ac:dyDescent="0.25">
      <c r="A1196" s="4" t="s">
        <v>399</v>
      </c>
      <c r="B1196" s="5"/>
      <c r="C1196" s="4" t="s">
        <v>9</v>
      </c>
      <c r="D1196" s="4" t="s">
        <v>9</v>
      </c>
      <c r="E1196" s="4" t="s">
        <v>9</v>
      </c>
      <c r="F1196" s="6">
        <v>0</v>
      </c>
      <c r="G1196" s="6">
        <v>0</v>
      </c>
      <c r="H1196" s="4" t="s">
        <v>9</v>
      </c>
      <c r="I1196" s="4" t="s">
        <v>3</v>
      </c>
      <c r="J1196" s="4" t="s">
        <v>9</v>
      </c>
      <c r="K1196" s="4" t="s">
        <v>9</v>
      </c>
      <c r="L1196" s="4" t="s">
        <v>9</v>
      </c>
      <c r="M1196" s="4" t="s">
        <v>9</v>
      </c>
      <c r="N1196" s="5"/>
    </row>
    <row r="1197" spans="1:14" x14ac:dyDescent="0.25">
      <c r="A1197" t="s">
        <v>400</v>
      </c>
      <c r="B1197" s="2">
        <v>46239</v>
      </c>
      <c r="C1197" t="s">
        <v>400</v>
      </c>
      <c r="D1197" t="s">
        <v>112</v>
      </c>
      <c r="E1197" t="s">
        <v>9</v>
      </c>
      <c r="F1197" s="3">
        <v>-18400</v>
      </c>
      <c r="G1197" s="3">
        <v>-18400</v>
      </c>
      <c r="H1197" t="s">
        <v>3</v>
      </c>
      <c r="I1197" t="s">
        <v>3</v>
      </c>
      <c r="J1197" t="s">
        <v>9</v>
      </c>
      <c r="K1197" t="s">
        <v>9</v>
      </c>
      <c r="L1197" t="s">
        <v>21</v>
      </c>
      <c r="M1197" t="s">
        <v>114</v>
      </c>
      <c r="N1197" s="2">
        <v>46234</v>
      </c>
    </row>
    <row r="1198" spans="1:14" x14ac:dyDescent="0.25">
      <c r="A1198" t="s">
        <v>400</v>
      </c>
      <c r="B1198" s="2">
        <v>46234</v>
      </c>
      <c r="C1198" t="s">
        <v>400</v>
      </c>
      <c r="D1198" t="s">
        <v>112</v>
      </c>
      <c r="E1198" t="s">
        <v>9</v>
      </c>
      <c r="F1198" s="3">
        <v>18400</v>
      </c>
      <c r="G1198" s="3">
        <v>18400</v>
      </c>
      <c r="H1198" t="s">
        <v>3</v>
      </c>
      <c r="I1198" t="s">
        <v>3</v>
      </c>
      <c r="J1198" t="s">
        <v>319</v>
      </c>
      <c r="K1198" t="s">
        <v>13</v>
      </c>
      <c r="L1198" t="s">
        <v>21</v>
      </c>
      <c r="M1198" t="s">
        <v>114</v>
      </c>
      <c r="N1198" s="2">
        <v>46234</v>
      </c>
    </row>
    <row r="1199" spans="1:14" x14ac:dyDescent="0.25">
      <c r="A1199" s="4" t="s">
        <v>262</v>
      </c>
      <c r="B1199" s="5"/>
      <c r="C1199" s="4" t="s">
        <v>9</v>
      </c>
      <c r="D1199" s="4" t="s">
        <v>9</v>
      </c>
      <c r="E1199" s="4" t="s">
        <v>9</v>
      </c>
      <c r="F1199" s="6">
        <v>0</v>
      </c>
      <c r="G1199" s="6">
        <v>0</v>
      </c>
      <c r="H1199" s="4" t="s">
        <v>9</v>
      </c>
      <c r="I1199" s="4" t="s">
        <v>3</v>
      </c>
      <c r="J1199" s="4" t="s">
        <v>9</v>
      </c>
      <c r="K1199" s="4" t="s">
        <v>9</v>
      </c>
      <c r="L1199" s="4" t="s">
        <v>9</v>
      </c>
      <c r="M1199" s="4" t="s">
        <v>9</v>
      </c>
      <c r="N1199" s="5"/>
    </row>
    <row r="1200" spans="1:14" x14ac:dyDescent="0.25">
      <c r="A1200" t="s">
        <v>400</v>
      </c>
      <c r="B1200" s="2">
        <v>46267</v>
      </c>
      <c r="C1200" t="s">
        <v>400</v>
      </c>
      <c r="D1200" t="s">
        <v>112</v>
      </c>
      <c r="E1200" t="s">
        <v>9</v>
      </c>
      <c r="F1200" s="3">
        <v>-3900</v>
      </c>
      <c r="G1200" s="3">
        <v>-3900</v>
      </c>
      <c r="H1200" t="s">
        <v>3</v>
      </c>
      <c r="I1200" t="s">
        <v>3</v>
      </c>
      <c r="J1200" t="s">
        <v>9</v>
      </c>
      <c r="K1200" t="s">
        <v>9</v>
      </c>
      <c r="L1200" t="s">
        <v>22</v>
      </c>
      <c r="M1200" t="s">
        <v>114</v>
      </c>
      <c r="N1200" s="2">
        <v>46265</v>
      </c>
    </row>
    <row r="1201" spans="1:14" x14ac:dyDescent="0.25">
      <c r="A1201" t="s">
        <v>400</v>
      </c>
      <c r="B1201" s="2">
        <v>46234</v>
      </c>
      <c r="C1201" t="s">
        <v>400</v>
      </c>
      <c r="D1201" t="s">
        <v>112</v>
      </c>
      <c r="E1201" t="s">
        <v>9</v>
      </c>
      <c r="F1201" s="3">
        <v>-18400</v>
      </c>
      <c r="G1201" s="3">
        <v>-18400</v>
      </c>
      <c r="H1201" t="s">
        <v>3</v>
      </c>
      <c r="I1201" t="s">
        <v>3</v>
      </c>
      <c r="J1201" t="s">
        <v>319</v>
      </c>
      <c r="K1201" t="s">
        <v>13</v>
      </c>
      <c r="L1201" t="s">
        <v>22</v>
      </c>
      <c r="M1201" t="s">
        <v>114</v>
      </c>
      <c r="N1201" s="2">
        <v>46235</v>
      </c>
    </row>
    <row r="1202" spans="1:14" x14ac:dyDescent="0.25">
      <c r="A1202" t="s">
        <v>400</v>
      </c>
      <c r="B1202" s="2">
        <v>46265</v>
      </c>
      <c r="C1202" t="s">
        <v>400</v>
      </c>
      <c r="D1202" t="s">
        <v>112</v>
      </c>
      <c r="E1202" t="s">
        <v>9</v>
      </c>
      <c r="F1202" s="3">
        <v>22300</v>
      </c>
      <c r="G1202" s="3">
        <v>22300</v>
      </c>
      <c r="H1202" t="s">
        <v>3</v>
      </c>
      <c r="I1202" t="s">
        <v>3</v>
      </c>
      <c r="J1202" t="s">
        <v>322</v>
      </c>
      <c r="K1202" t="s">
        <v>13</v>
      </c>
      <c r="L1202" t="s">
        <v>22</v>
      </c>
      <c r="M1202" t="s">
        <v>114</v>
      </c>
      <c r="N1202" s="2">
        <v>46265</v>
      </c>
    </row>
    <row r="1203" spans="1:14" x14ac:dyDescent="0.25">
      <c r="A1203" s="4" t="s">
        <v>267</v>
      </c>
      <c r="B1203" s="5"/>
      <c r="C1203" s="4" t="s">
        <v>9</v>
      </c>
      <c r="D1203" s="4" t="s">
        <v>9</v>
      </c>
      <c r="E1203" s="4" t="s">
        <v>9</v>
      </c>
      <c r="F1203" s="6">
        <v>0</v>
      </c>
      <c r="G1203" s="6">
        <v>0</v>
      </c>
      <c r="H1203" s="4" t="s">
        <v>9</v>
      </c>
      <c r="I1203" s="4" t="s">
        <v>3</v>
      </c>
      <c r="J1203" s="4" t="s">
        <v>9</v>
      </c>
      <c r="K1203" s="4" t="s">
        <v>9</v>
      </c>
      <c r="L1203" s="4" t="s">
        <v>9</v>
      </c>
      <c r="M1203" s="4" t="s">
        <v>9</v>
      </c>
      <c r="N1203" s="5"/>
    </row>
    <row r="1204" spans="1:14" x14ac:dyDescent="0.25">
      <c r="A1204" s="4" t="s">
        <v>400</v>
      </c>
      <c r="B1204" s="5"/>
      <c r="C1204" s="4" t="s">
        <v>9</v>
      </c>
      <c r="D1204" s="4" t="s">
        <v>9</v>
      </c>
      <c r="E1204" s="4" t="s">
        <v>9</v>
      </c>
      <c r="F1204" s="6">
        <v>0</v>
      </c>
      <c r="G1204" s="6">
        <v>0</v>
      </c>
      <c r="H1204" s="4" t="s">
        <v>9</v>
      </c>
      <c r="I1204" s="4" t="s">
        <v>3</v>
      </c>
      <c r="J1204" s="4" t="s">
        <v>9</v>
      </c>
      <c r="K1204" s="4" t="s">
        <v>9</v>
      </c>
      <c r="L1204" s="4" t="s">
        <v>9</v>
      </c>
      <c r="M1204" s="4" t="s">
        <v>9</v>
      </c>
      <c r="N1204" s="5"/>
    </row>
    <row r="1205" spans="1:14" x14ac:dyDescent="0.25">
      <c r="A1205" t="s">
        <v>401</v>
      </c>
      <c r="B1205" s="2">
        <v>46267</v>
      </c>
      <c r="C1205" t="s">
        <v>401</v>
      </c>
      <c r="D1205" t="s">
        <v>112</v>
      </c>
      <c r="E1205" t="s">
        <v>9</v>
      </c>
      <c r="F1205" s="3">
        <v>-1400</v>
      </c>
      <c r="G1205" s="3">
        <v>-1400</v>
      </c>
      <c r="H1205" t="s">
        <v>3</v>
      </c>
      <c r="I1205" t="s">
        <v>3</v>
      </c>
      <c r="J1205" t="s">
        <v>9</v>
      </c>
      <c r="K1205" t="s">
        <v>9</v>
      </c>
      <c r="L1205" t="s">
        <v>22</v>
      </c>
      <c r="M1205" t="s">
        <v>114</v>
      </c>
      <c r="N1205" s="2">
        <v>46265</v>
      </c>
    </row>
    <row r="1206" spans="1:14" x14ac:dyDescent="0.25">
      <c r="A1206" t="s">
        <v>401</v>
      </c>
      <c r="B1206" s="2">
        <v>46265</v>
      </c>
      <c r="C1206" t="s">
        <v>401</v>
      </c>
      <c r="D1206" t="s">
        <v>112</v>
      </c>
      <c r="E1206" t="s">
        <v>9</v>
      </c>
      <c r="F1206" s="3">
        <v>1400</v>
      </c>
      <c r="G1206" s="3">
        <v>1400</v>
      </c>
      <c r="H1206" t="s">
        <v>3</v>
      </c>
      <c r="I1206" t="s">
        <v>3</v>
      </c>
      <c r="J1206" t="s">
        <v>322</v>
      </c>
      <c r="K1206" t="s">
        <v>13</v>
      </c>
      <c r="L1206" t="s">
        <v>22</v>
      </c>
      <c r="M1206" t="s">
        <v>114</v>
      </c>
      <c r="N1206" s="2">
        <v>46265</v>
      </c>
    </row>
    <row r="1207" spans="1:14" x14ac:dyDescent="0.25">
      <c r="A1207" s="4" t="s">
        <v>267</v>
      </c>
      <c r="B1207" s="5"/>
      <c r="C1207" s="4" t="s">
        <v>9</v>
      </c>
      <c r="D1207" s="4" t="s">
        <v>9</v>
      </c>
      <c r="E1207" s="4" t="s">
        <v>9</v>
      </c>
      <c r="F1207" s="6">
        <v>0</v>
      </c>
      <c r="G1207" s="6">
        <v>0</v>
      </c>
      <c r="H1207" s="4" t="s">
        <v>9</v>
      </c>
      <c r="I1207" s="4" t="s">
        <v>3</v>
      </c>
      <c r="J1207" s="4" t="s">
        <v>9</v>
      </c>
      <c r="K1207" s="4" t="s">
        <v>9</v>
      </c>
      <c r="L1207" s="4" t="s">
        <v>9</v>
      </c>
      <c r="M1207" s="4" t="s">
        <v>9</v>
      </c>
      <c r="N1207" s="5"/>
    </row>
    <row r="1208" spans="1:14" x14ac:dyDescent="0.25">
      <c r="A1208" s="4" t="s">
        <v>401</v>
      </c>
      <c r="B1208" s="5"/>
      <c r="C1208" s="4" t="s">
        <v>9</v>
      </c>
      <c r="D1208" s="4" t="s">
        <v>9</v>
      </c>
      <c r="E1208" s="4" t="s">
        <v>9</v>
      </c>
      <c r="F1208" s="6">
        <v>0</v>
      </c>
      <c r="G1208" s="6">
        <v>0</v>
      </c>
      <c r="H1208" s="4" t="s">
        <v>9</v>
      </c>
      <c r="I1208" s="4" t="s">
        <v>3</v>
      </c>
      <c r="J1208" s="4" t="s">
        <v>9</v>
      </c>
      <c r="K1208" s="4" t="s">
        <v>9</v>
      </c>
      <c r="L1208" s="4" t="s">
        <v>9</v>
      </c>
      <c r="M1208" s="4" t="s">
        <v>9</v>
      </c>
      <c r="N1208" s="5"/>
    </row>
    <row r="1209" spans="1:14" x14ac:dyDescent="0.25">
      <c r="A1209" t="s">
        <v>402</v>
      </c>
      <c r="B1209" s="2">
        <v>46267</v>
      </c>
      <c r="C1209" t="s">
        <v>402</v>
      </c>
      <c r="D1209" t="s">
        <v>33</v>
      </c>
      <c r="E1209" t="s">
        <v>9</v>
      </c>
      <c r="F1209" s="3">
        <v>34251</v>
      </c>
      <c r="G1209" s="3">
        <v>34251</v>
      </c>
      <c r="H1209" t="s">
        <v>3</v>
      </c>
      <c r="I1209" t="s">
        <v>3</v>
      </c>
      <c r="J1209" t="s">
        <v>9</v>
      </c>
      <c r="K1209" t="s">
        <v>9</v>
      </c>
      <c r="L1209" t="s">
        <v>22</v>
      </c>
      <c r="M1209" t="s">
        <v>35</v>
      </c>
      <c r="N1209" s="2">
        <v>46265</v>
      </c>
    </row>
    <row r="1210" spans="1:14" x14ac:dyDescent="0.25">
      <c r="A1210" t="s">
        <v>402</v>
      </c>
      <c r="B1210" s="2">
        <v>46254</v>
      </c>
      <c r="C1210" t="s">
        <v>402</v>
      </c>
      <c r="D1210" t="s">
        <v>33</v>
      </c>
      <c r="E1210" t="s">
        <v>9</v>
      </c>
      <c r="F1210" s="3">
        <v>-34251</v>
      </c>
      <c r="G1210" s="3">
        <v>-34251</v>
      </c>
      <c r="H1210" t="s">
        <v>3</v>
      </c>
      <c r="I1210" t="s">
        <v>3</v>
      </c>
      <c r="J1210" t="s">
        <v>9</v>
      </c>
      <c r="K1210" t="s">
        <v>13</v>
      </c>
      <c r="L1210" t="s">
        <v>22</v>
      </c>
      <c r="M1210" t="s">
        <v>35</v>
      </c>
      <c r="N1210" s="2">
        <v>46254</v>
      </c>
    </row>
    <row r="1211" spans="1:14" x14ac:dyDescent="0.25">
      <c r="A1211" s="4" t="s">
        <v>267</v>
      </c>
      <c r="B1211" s="5"/>
      <c r="C1211" s="4" t="s">
        <v>9</v>
      </c>
      <c r="D1211" s="4" t="s">
        <v>9</v>
      </c>
      <c r="E1211" s="4" t="s">
        <v>9</v>
      </c>
      <c r="F1211" s="6">
        <v>0</v>
      </c>
      <c r="G1211" s="6">
        <v>0</v>
      </c>
      <c r="H1211" s="4" t="s">
        <v>9</v>
      </c>
      <c r="I1211" s="4" t="s">
        <v>3</v>
      </c>
      <c r="J1211" s="4" t="s">
        <v>9</v>
      </c>
      <c r="K1211" s="4" t="s">
        <v>9</v>
      </c>
      <c r="L1211" s="4" t="s">
        <v>9</v>
      </c>
      <c r="M1211" s="4" t="s">
        <v>9</v>
      </c>
      <c r="N1211" s="5"/>
    </row>
    <row r="1212" spans="1:14" x14ac:dyDescent="0.25">
      <c r="A1212" s="4" t="s">
        <v>402</v>
      </c>
      <c r="B1212" s="5"/>
      <c r="C1212" s="4" t="s">
        <v>9</v>
      </c>
      <c r="D1212" s="4" t="s">
        <v>9</v>
      </c>
      <c r="E1212" s="4" t="s">
        <v>9</v>
      </c>
      <c r="F1212" s="6">
        <v>0</v>
      </c>
      <c r="G1212" s="6">
        <v>0</v>
      </c>
      <c r="H1212" s="4" t="s">
        <v>9</v>
      </c>
      <c r="I1212" s="4" t="s">
        <v>3</v>
      </c>
      <c r="J1212" s="4" t="s">
        <v>9</v>
      </c>
      <c r="K1212" s="4" t="s">
        <v>9</v>
      </c>
      <c r="L1212" s="4" t="s">
        <v>9</v>
      </c>
      <c r="M1212" s="4" t="s">
        <v>9</v>
      </c>
      <c r="N1212" s="5"/>
    </row>
    <row r="1213" spans="1:14" x14ac:dyDescent="0.25">
      <c r="A1213" t="s">
        <v>403</v>
      </c>
      <c r="B1213" s="2">
        <v>46239</v>
      </c>
      <c r="C1213" t="s">
        <v>403</v>
      </c>
      <c r="D1213" t="s">
        <v>112</v>
      </c>
      <c r="E1213" t="s">
        <v>9</v>
      </c>
      <c r="F1213" s="3">
        <v>-9500</v>
      </c>
      <c r="G1213" s="3">
        <v>-9500</v>
      </c>
      <c r="H1213" t="s">
        <v>3</v>
      </c>
      <c r="I1213" t="s">
        <v>3</v>
      </c>
      <c r="J1213" t="s">
        <v>9</v>
      </c>
      <c r="K1213" t="s">
        <v>9</v>
      </c>
      <c r="L1213" t="s">
        <v>21</v>
      </c>
      <c r="M1213" t="s">
        <v>114</v>
      </c>
      <c r="N1213" s="2">
        <v>46234</v>
      </c>
    </row>
    <row r="1214" spans="1:14" x14ac:dyDescent="0.25">
      <c r="A1214" t="s">
        <v>403</v>
      </c>
      <c r="B1214" s="2">
        <v>46234</v>
      </c>
      <c r="C1214" t="s">
        <v>403</v>
      </c>
      <c r="D1214" t="s">
        <v>112</v>
      </c>
      <c r="E1214" t="s">
        <v>9</v>
      </c>
      <c r="F1214" s="3">
        <v>9500</v>
      </c>
      <c r="G1214" s="3">
        <v>9500</v>
      </c>
      <c r="H1214" t="s">
        <v>3</v>
      </c>
      <c r="I1214" t="s">
        <v>3</v>
      </c>
      <c r="J1214" t="s">
        <v>319</v>
      </c>
      <c r="K1214" t="s">
        <v>13</v>
      </c>
      <c r="L1214" t="s">
        <v>21</v>
      </c>
      <c r="M1214" t="s">
        <v>114</v>
      </c>
      <c r="N1214" s="2">
        <v>46234</v>
      </c>
    </row>
    <row r="1215" spans="1:14" x14ac:dyDescent="0.25">
      <c r="A1215" s="4" t="s">
        <v>262</v>
      </c>
      <c r="B1215" s="5"/>
      <c r="C1215" s="4" t="s">
        <v>9</v>
      </c>
      <c r="D1215" s="4" t="s">
        <v>9</v>
      </c>
      <c r="E1215" s="4" t="s">
        <v>9</v>
      </c>
      <c r="F1215" s="6">
        <v>0</v>
      </c>
      <c r="G1215" s="6">
        <v>0</v>
      </c>
      <c r="H1215" s="4" t="s">
        <v>9</v>
      </c>
      <c r="I1215" s="4" t="s">
        <v>3</v>
      </c>
      <c r="J1215" s="4" t="s">
        <v>9</v>
      </c>
      <c r="K1215" s="4" t="s">
        <v>9</v>
      </c>
      <c r="L1215" s="4" t="s">
        <v>9</v>
      </c>
      <c r="M1215" s="4" t="s">
        <v>9</v>
      </c>
      <c r="N1215" s="5"/>
    </row>
    <row r="1216" spans="1:14" x14ac:dyDescent="0.25">
      <c r="A1216" t="s">
        <v>403</v>
      </c>
      <c r="B1216" s="2">
        <v>46267</v>
      </c>
      <c r="C1216" t="s">
        <v>403</v>
      </c>
      <c r="D1216" t="s">
        <v>112</v>
      </c>
      <c r="E1216" t="s">
        <v>9</v>
      </c>
      <c r="F1216" s="3">
        <v>-1300</v>
      </c>
      <c r="G1216" s="3">
        <v>-1300</v>
      </c>
      <c r="H1216" t="s">
        <v>3</v>
      </c>
      <c r="I1216" t="s">
        <v>3</v>
      </c>
      <c r="J1216" t="s">
        <v>9</v>
      </c>
      <c r="K1216" t="s">
        <v>9</v>
      </c>
      <c r="L1216" t="s">
        <v>22</v>
      </c>
      <c r="M1216" t="s">
        <v>114</v>
      </c>
      <c r="N1216" s="2">
        <v>46265</v>
      </c>
    </row>
    <row r="1217" spans="1:14" x14ac:dyDescent="0.25">
      <c r="A1217" t="s">
        <v>403</v>
      </c>
      <c r="B1217" s="2">
        <v>46234</v>
      </c>
      <c r="C1217" t="s">
        <v>403</v>
      </c>
      <c r="D1217" t="s">
        <v>112</v>
      </c>
      <c r="E1217" t="s">
        <v>9</v>
      </c>
      <c r="F1217" s="3">
        <v>-9500</v>
      </c>
      <c r="G1217" s="3">
        <v>-9500</v>
      </c>
      <c r="H1217" t="s">
        <v>3</v>
      </c>
      <c r="I1217" t="s">
        <v>3</v>
      </c>
      <c r="J1217" t="s">
        <v>319</v>
      </c>
      <c r="K1217" t="s">
        <v>13</v>
      </c>
      <c r="L1217" t="s">
        <v>22</v>
      </c>
      <c r="M1217" t="s">
        <v>114</v>
      </c>
      <c r="N1217" s="2">
        <v>46235</v>
      </c>
    </row>
    <row r="1218" spans="1:14" x14ac:dyDescent="0.25">
      <c r="A1218" t="s">
        <v>403</v>
      </c>
      <c r="B1218" s="2">
        <v>46265</v>
      </c>
      <c r="C1218" t="s">
        <v>403</v>
      </c>
      <c r="D1218" t="s">
        <v>112</v>
      </c>
      <c r="E1218" t="s">
        <v>9</v>
      </c>
      <c r="F1218" s="3">
        <v>10800</v>
      </c>
      <c r="G1218" s="3">
        <v>10800</v>
      </c>
      <c r="H1218" t="s">
        <v>3</v>
      </c>
      <c r="I1218" t="s">
        <v>3</v>
      </c>
      <c r="J1218" t="s">
        <v>322</v>
      </c>
      <c r="K1218" t="s">
        <v>13</v>
      </c>
      <c r="L1218" t="s">
        <v>22</v>
      </c>
      <c r="M1218" t="s">
        <v>114</v>
      </c>
      <c r="N1218" s="2">
        <v>46265</v>
      </c>
    </row>
    <row r="1219" spans="1:14" x14ac:dyDescent="0.25">
      <c r="A1219" s="4" t="s">
        <v>267</v>
      </c>
      <c r="B1219" s="5"/>
      <c r="C1219" s="4" t="s">
        <v>9</v>
      </c>
      <c r="D1219" s="4" t="s">
        <v>9</v>
      </c>
      <c r="E1219" s="4" t="s">
        <v>9</v>
      </c>
      <c r="F1219" s="6">
        <v>0</v>
      </c>
      <c r="G1219" s="6">
        <v>0</v>
      </c>
      <c r="H1219" s="4" t="s">
        <v>9</v>
      </c>
      <c r="I1219" s="4" t="s">
        <v>3</v>
      </c>
      <c r="J1219" s="4" t="s">
        <v>9</v>
      </c>
      <c r="K1219" s="4" t="s">
        <v>9</v>
      </c>
      <c r="L1219" s="4" t="s">
        <v>9</v>
      </c>
      <c r="M1219" s="4" t="s">
        <v>9</v>
      </c>
      <c r="N1219" s="5"/>
    </row>
    <row r="1220" spans="1:14" x14ac:dyDescent="0.25">
      <c r="A1220" s="4" t="s">
        <v>403</v>
      </c>
      <c r="B1220" s="5"/>
      <c r="C1220" s="4" t="s">
        <v>9</v>
      </c>
      <c r="D1220" s="4" t="s">
        <v>9</v>
      </c>
      <c r="E1220" s="4" t="s">
        <v>9</v>
      </c>
      <c r="F1220" s="6">
        <v>0</v>
      </c>
      <c r="G1220" s="6">
        <v>0</v>
      </c>
      <c r="H1220" s="4" t="s">
        <v>9</v>
      </c>
      <c r="I1220" s="4" t="s">
        <v>3</v>
      </c>
      <c r="J1220" s="4" t="s">
        <v>9</v>
      </c>
      <c r="K1220" s="4" t="s">
        <v>9</v>
      </c>
      <c r="L1220" s="4" t="s">
        <v>9</v>
      </c>
      <c r="M1220" s="4" t="s">
        <v>9</v>
      </c>
      <c r="N1220" s="5"/>
    </row>
    <row r="1221" spans="1:14" x14ac:dyDescent="0.25">
      <c r="A1221" t="s">
        <v>404</v>
      </c>
      <c r="B1221" s="2">
        <v>46239</v>
      </c>
      <c r="C1221" t="s">
        <v>404</v>
      </c>
      <c r="D1221" t="s">
        <v>51</v>
      </c>
      <c r="E1221" t="s">
        <v>9</v>
      </c>
      <c r="F1221" s="3">
        <v>-23800</v>
      </c>
      <c r="G1221" s="3">
        <v>-23800</v>
      </c>
      <c r="H1221" t="s">
        <v>3</v>
      </c>
      <c r="I1221" t="s">
        <v>3</v>
      </c>
      <c r="J1221" t="s">
        <v>9</v>
      </c>
      <c r="K1221" t="s">
        <v>9</v>
      </c>
      <c r="L1221" t="s">
        <v>21</v>
      </c>
      <c r="M1221" t="s">
        <v>53</v>
      </c>
      <c r="N1221" s="2">
        <v>46234</v>
      </c>
    </row>
    <row r="1222" spans="1:14" x14ac:dyDescent="0.25">
      <c r="A1222" t="s">
        <v>404</v>
      </c>
      <c r="B1222" s="2">
        <v>46204</v>
      </c>
      <c r="C1222" t="s">
        <v>404</v>
      </c>
      <c r="D1222" t="s">
        <v>51</v>
      </c>
      <c r="E1222" t="s">
        <v>9</v>
      </c>
      <c r="F1222" s="3">
        <v>23800</v>
      </c>
      <c r="G1222" s="3">
        <v>23800</v>
      </c>
      <c r="H1222" t="s">
        <v>3</v>
      </c>
      <c r="I1222" t="s">
        <v>3</v>
      </c>
      <c r="J1222" t="s">
        <v>405</v>
      </c>
      <c r="K1222" t="s">
        <v>13</v>
      </c>
      <c r="L1222" t="s">
        <v>21</v>
      </c>
      <c r="M1222" t="s">
        <v>53</v>
      </c>
      <c r="N1222" s="2">
        <v>46204</v>
      </c>
    </row>
    <row r="1223" spans="1:14" x14ac:dyDescent="0.25">
      <c r="A1223" s="4" t="s">
        <v>262</v>
      </c>
      <c r="B1223" s="5"/>
      <c r="C1223" s="4" t="s">
        <v>9</v>
      </c>
      <c r="D1223" s="4" t="s">
        <v>9</v>
      </c>
      <c r="E1223" s="4" t="s">
        <v>9</v>
      </c>
      <c r="F1223" s="6">
        <v>0</v>
      </c>
      <c r="G1223" s="6">
        <v>0</v>
      </c>
      <c r="H1223" s="4" t="s">
        <v>9</v>
      </c>
      <c r="I1223" s="4" t="s">
        <v>3</v>
      </c>
      <c r="J1223" s="4" t="s">
        <v>9</v>
      </c>
      <c r="K1223" s="4" t="s">
        <v>9</v>
      </c>
      <c r="L1223" s="4" t="s">
        <v>9</v>
      </c>
      <c r="M1223" s="4" t="s">
        <v>9</v>
      </c>
      <c r="N1223" s="5"/>
    </row>
    <row r="1224" spans="1:14" x14ac:dyDescent="0.25">
      <c r="A1224" s="4" t="s">
        <v>404</v>
      </c>
      <c r="B1224" s="5"/>
      <c r="C1224" s="4" t="s">
        <v>9</v>
      </c>
      <c r="D1224" s="4" t="s">
        <v>9</v>
      </c>
      <c r="E1224" s="4" t="s">
        <v>9</v>
      </c>
      <c r="F1224" s="6">
        <v>0</v>
      </c>
      <c r="G1224" s="6">
        <v>0</v>
      </c>
      <c r="H1224" s="4" t="s">
        <v>9</v>
      </c>
      <c r="I1224" s="4" t="s">
        <v>3</v>
      </c>
      <c r="J1224" s="4" t="s">
        <v>9</v>
      </c>
      <c r="K1224" s="4" t="s">
        <v>9</v>
      </c>
      <c r="L1224" s="4" t="s">
        <v>9</v>
      </c>
      <c r="M1224" s="4" t="s">
        <v>9</v>
      </c>
      <c r="N1224" s="5"/>
    </row>
    <row r="1225" spans="1:14" x14ac:dyDescent="0.25">
      <c r="A1225" t="s">
        <v>406</v>
      </c>
      <c r="B1225" s="2">
        <v>45693</v>
      </c>
      <c r="C1225" t="s">
        <v>406</v>
      </c>
      <c r="D1225" t="s">
        <v>112</v>
      </c>
      <c r="E1225" t="s">
        <v>9</v>
      </c>
      <c r="F1225" s="3">
        <v>-6050</v>
      </c>
      <c r="G1225" s="3">
        <v>-6050</v>
      </c>
      <c r="H1225" t="s">
        <v>3</v>
      </c>
      <c r="I1225" t="s">
        <v>3</v>
      </c>
      <c r="J1225" t="s">
        <v>9</v>
      </c>
      <c r="K1225" t="s">
        <v>9</v>
      </c>
      <c r="L1225" t="s">
        <v>14</v>
      </c>
      <c r="M1225" t="s">
        <v>114</v>
      </c>
      <c r="N1225" s="2">
        <v>45688</v>
      </c>
    </row>
    <row r="1226" spans="1:14" x14ac:dyDescent="0.25">
      <c r="A1226" t="s">
        <v>406</v>
      </c>
      <c r="B1226" s="2">
        <v>46056</v>
      </c>
      <c r="C1226" t="s">
        <v>406</v>
      </c>
      <c r="D1226" t="s">
        <v>112</v>
      </c>
      <c r="E1226" t="s">
        <v>9</v>
      </c>
      <c r="F1226" s="3">
        <v>-4600</v>
      </c>
      <c r="G1226" s="3">
        <v>-4600</v>
      </c>
      <c r="H1226" t="s">
        <v>3</v>
      </c>
      <c r="I1226" t="s">
        <v>3</v>
      </c>
      <c r="J1226" t="s">
        <v>9</v>
      </c>
      <c r="K1226" t="s">
        <v>9</v>
      </c>
      <c r="L1226" t="s">
        <v>14</v>
      </c>
      <c r="M1226" t="s">
        <v>114</v>
      </c>
      <c r="N1226" s="2">
        <v>46053</v>
      </c>
    </row>
    <row r="1227" spans="1:14" x14ac:dyDescent="0.25">
      <c r="A1227" t="s">
        <v>406</v>
      </c>
      <c r="B1227" s="2">
        <v>45688</v>
      </c>
      <c r="C1227" t="s">
        <v>406</v>
      </c>
      <c r="D1227" t="s">
        <v>112</v>
      </c>
      <c r="E1227" t="s">
        <v>9</v>
      </c>
      <c r="F1227" s="3">
        <v>6050</v>
      </c>
      <c r="G1227" s="3">
        <v>6050</v>
      </c>
      <c r="H1227" t="s">
        <v>3</v>
      </c>
      <c r="I1227" t="s">
        <v>3</v>
      </c>
      <c r="J1227" t="s">
        <v>297</v>
      </c>
      <c r="K1227" t="s">
        <v>5</v>
      </c>
      <c r="L1227" t="s">
        <v>14</v>
      </c>
      <c r="M1227" t="s">
        <v>114</v>
      </c>
      <c r="N1227" s="2">
        <v>45688</v>
      </c>
    </row>
    <row r="1228" spans="1:14" x14ac:dyDescent="0.25">
      <c r="A1228" t="s">
        <v>406</v>
      </c>
      <c r="B1228" s="2">
        <v>46022</v>
      </c>
      <c r="C1228" t="s">
        <v>406</v>
      </c>
      <c r="D1228" t="s">
        <v>112</v>
      </c>
      <c r="E1228" t="s">
        <v>9</v>
      </c>
      <c r="F1228" s="3">
        <v>-135168.75</v>
      </c>
      <c r="G1228" s="3">
        <v>-135168.75</v>
      </c>
      <c r="H1228" t="s">
        <v>3</v>
      </c>
      <c r="I1228" t="s">
        <v>3</v>
      </c>
      <c r="J1228" t="s">
        <v>298</v>
      </c>
      <c r="K1228" t="s">
        <v>13</v>
      </c>
      <c r="L1228" t="s">
        <v>14</v>
      </c>
      <c r="M1228" t="s">
        <v>114</v>
      </c>
      <c r="N1228" s="2">
        <v>46023</v>
      </c>
    </row>
    <row r="1229" spans="1:14" x14ac:dyDescent="0.25">
      <c r="A1229" t="s">
        <v>406</v>
      </c>
      <c r="B1229" s="2">
        <v>46023</v>
      </c>
      <c r="C1229" t="s">
        <v>406</v>
      </c>
      <c r="D1229" t="s">
        <v>112</v>
      </c>
      <c r="E1229" t="s">
        <v>9</v>
      </c>
      <c r="F1229" s="3">
        <v>135168.75</v>
      </c>
      <c r="G1229" s="3">
        <v>135168.75</v>
      </c>
      <c r="H1229" t="s">
        <v>3</v>
      </c>
      <c r="I1229" t="s">
        <v>3</v>
      </c>
      <c r="J1229" t="s">
        <v>298</v>
      </c>
      <c r="K1229" t="s">
        <v>13</v>
      </c>
      <c r="L1229" t="s">
        <v>14</v>
      </c>
      <c r="M1229" t="s">
        <v>114</v>
      </c>
      <c r="N1229" s="2">
        <v>46023</v>
      </c>
    </row>
    <row r="1230" spans="1:14" x14ac:dyDescent="0.25">
      <c r="A1230" t="s">
        <v>406</v>
      </c>
      <c r="B1230" s="2">
        <v>46053</v>
      </c>
      <c r="C1230" t="s">
        <v>406</v>
      </c>
      <c r="D1230" t="s">
        <v>112</v>
      </c>
      <c r="E1230" t="s">
        <v>9</v>
      </c>
      <c r="F1230" s="3">
        <v>4600</v>
      </c>
      <c r="G1230" s="3">
        <v>4600</v>
      </c>
      <c r="H1230" t="s">
        <v>3</v>
      </c>
      <c r="I1230" t="s">
        <v>3</v>
      </c>
      <c r="J1230" t="s">
        <v>300</v>
      </c>
      <c r="K1230" t="s">
        <v>13</v>
      </c>
      <c r="L1230" t="s">
        <v>14</v>
      </c>
      <c r="M1230" t="s">
        <v>114</v>
      </c>
      <c r="N1230" s="2">
        <v>46053</v>
      </c>
    </row>
    <row r="1231" spans="1:14" x14ac:dyDescent="0.25">
      <c r="A1231" s="4" t="s">
        <v>234</v>
      </c>
      <c r="B1231" s="5"/>
      <c r="C1231" s="4" t="s">
        <v>9</v>
      </c>
      <c r="D1231" s="4" t="s">
        <v>9</v>
      </c>
      <c r="E1231" s="4" t="s">
        <v>9</v>
      </c>
      <c r="F1231" s="6">
        <v>0</v>
      </c>
      <c r="G1231" s="6">
        <v>0</v>
      </c>
      <c r="H1231" s="4" t="s">
        <v>9</v>
      </c>
      <c r="I1231" s="4" t="s">
        <v>3</v>
      </c>
      <c r="J1231" s="4" t="s">
        <v>9</v>
      </c>
      <c r="K1231" s="4" t="s">
        <v>9</v>
      </c>
      <c r="L1231" s="4" t="s">
        <v>9</v>
      </c>
      <c r="M1231" s="4" t="s">
        <v>9</v>
      </c>
      <c r="N1231" s="5"/>
    </row>
    <row r="1232" spans="1:14" x14ac:dyDescent="0.25">
      <c r="A1232" t="s">
        <v>406</v>
      </c>
      <c r="B1232" s="2">
        <v>45720</v>
      </c>
      <c r="C1232" t="s">
        <v>406</v>
      </c>
      <c r="D1232" t="s">
        <v>112</v>
      </c>
      <c r="E1232" t="s">
        <v>9</v>
      </c>
      <c r="F1232" s="3">
        <v>-19600</v>
      </c>
      <c r="G1232" s="3">
        <v>-19600</v>
      </c>
      <c r="H1232" t="s">
        <v>3</v>
      </c>
      <c r="I1232" t="s">
        <v>3</v>
      </c>
      <c r="J1232" t="s">
        <v>9</v>
      </c>
      <c r="K1232" t="s">
        <v>9</v>
      </c>
      <c r="L1232" t="s">
        <v>15</v>
      </c>
      <c r="M1232" t="s">
        <v>114</v>
      </c>
      <c r="N1232" s="2">
        <v>45716</v>
      </c>
    </row>
    <row r="1233" spans="1:14" x14ac:dyDescent="0.25">
      <c r="A1233" t="s">
        <v>406</v>
      </c>
      <c r="B1233" s="2">
        <v>46084</v>
      </c>
      <c r="C1233" t="s">
        <v>406</v>
      </c>
      <c r="D1233" t="s">
        <v>112</v>
      </c>
      <c r="E1233" t="s">
        <v>9</v>
      </c>
      <c r="F1233" s="3">
        <v>-3900</v>
      </c>
      <c r="G1233" s="3">
        <v>-3900</v>
      </c>
      <c r="H1233" t="s">
        <v>3</v>
      </c>
      <c r="I1233" t="s">
        <v>3</v>
      </c>
      <c r="J1233" t="s">
        <v>9</v>
      </c>
      <c r="K1233" t="s">
        <v>9</v>
      </c>
      <c r="L1233" t="s">
        <v>15</v>
      </c>
      <c r="M1233" t="s">
        <v>114</v>
      </c>
      <c r="N1233" s="2">
        <v>46081</v>
      </c>
    </row>
    <row r="1234" spans="1:14" x14ac:dyDescent="0.25">
      <c r="A1234" t="s">
        <v>406</v>
      </c>
      <c r="B1234" s="2">
        <v>45688</v>
      </c>
      <c r="C1234" t="s">
        <v>406</v>
      </c>
      <c r="D1234" t="s">
        <v>112</v>
      </c>
      <c r="E1234" t="s">
        <v>9</v>
      </c>
      <c r="F1234" s="3">
        <v>-6050</v>
      </c>
      <c r="G1234" s="3">
        <v>-6050</v>
      </c>
      <c r="H1234" t="s">
        <v>3</v>
      </c>
      <c r="I1234" t="s">
        <v>3</v>
      </c>
      <c r="J1234" t="s">
        <v>297</v>
      </c>
      <c r="K1234" t="s">
        <v>5</v>
      </c>
      <c r="L1234" t="s">
        <v>15</v>
      </c>
      <c r="M1234" t="s">
        <v>114</v>
      </c>
      <c r="N1234" s="2">
        <v>45689</v>
      </c>
    </row>
    <row r="1235" spans="1:14" x14ac:dyDescent="0.25">
      <c r="A1235" t="s">
        <v>406</v>
      </c>
      <c r="B1235" s="2">
        <v>45716</v>
      </c>
      <c r="C1235" t="s">
        <v>406</v>
      </c>
      <c r="D1235" t="s">
        <v>112</v>
      </c>
      <c r="E1235" t="s">
        <v>9</v>
      </c>
      <c r="F1235" s="3">
        <v>25650</v>
      </c>
      <c r="G1235" s="3">
        <v>25650</v>
      </c>
      <c r="H1235" t="s">
        <v>3</v>
      </c>
      <c r="I1235" t="s">
        <v>3</v>
      </c>
      <c r="J1235" t="s">
        <v>303</v>
      </c>
      <c r="K1235" t="s">
        <v>5</v>
      </c>
      <c r="L1235" t="s">
        <v>15</v>
      </c>
      <c r="M1235" t="s">
        <v>114</v>
      </c>
      <c r="N1235" s="2">
        <v>45716</v>
      </c>
    </row>
    <row r="1236" spans="1:14" x14ac:dyDescent="0.25">
      <c r="A1236" t="s">
        <v>406</v>
      </c>
      <c r="B1236" s="2">
        <v>46054</v>
      </c>
      <c r="C1236" t="s">
        <v>406</v>
      </c>
      <c r="D1236" t="s">
        <v>112</v>
      </c>
      <c r="E1236" t="s">
        <v>9</v>
      </c>
      <c r="F1236" s="3">
        <v>-4600</v>
      </c>
      <c r="G1236" s="3">
        <v>-4600</v>
      </c>
      <c r="H1236" t="s">
        <v>3</v>
      </c>
      <c r="I1236" t="s">
        <v>3</v>
      </c>
      <c r="J1236" t="s">
        <v>300</v>
      </c>
      <c r="K1236" t="s">
        <v>13</v>
      </c>
      <c r="L1236" t="s">
        <v>15</v>
      </c>
      <c r="M1236" t="s">
        <v>114</v>
      </c>
      <c r="N1236" s="2">
        <v>46054</v>
      </c>
    </row>
    <row r="1237" spans="1:14" x14ac:dyDescent="0.25">
      <c r="A1237" t="s">
        <v>406</v>
      </c>
      <c r="B1237" s="2">
        <v>46054</v>
      </c>
      <c r="C1237" t="s">
        <v>406</v>
      </c>
      <c r="D1237" t="s">
        <v>112</v>
      </c>
      <c r="E1237" t="s">
        <v>9</v>
      </c>
      <c r="F1237" s="3">
        <v>4600</v>
      </c>
      <c r="G1237" s="3">
        <v>4600</v>
      </c>
      <c r="H1237" t="s">
        <v>3</v>
      </c>
      <c r="I1237" t="s">
        <v>3</v>
      </c>
      <c r="J1237" t="s">
        <v>300</v>
      </c>
      <c r="K1237" t="s">
        <v>13</v>
      </c>
      <c r="L1237" t="s">
        <v>15</v>
      </c>
      <c r="M1237" t="s">
        <v>114</v>
      </c>
      <c r="N1237" s="2">
        <v>46055</v>
      </c>
    </row>
    <row r="1238" spans="1:14" x14ac:dyDescent="0.25">
      <c r="A1238" t="s">
        <v>406</v>
      </c>
      <c r="B1238" s="2">
        <v>46054</v>
      </c>
      <c r="C1238" t="s">
        <v>406</v>
      </c>
      <c r="D1238" t="s">
        <v>112</v>
      </c>
      <c r="E1238" t="s">
        <v>9</v>
      </c>
      <c r="F1238" s="3">
        <v>-4600</v>
      </c>
      <c r="G1238" s="3">
        <v>-4600</v>
      </c>
      <c r="H1238" t="s">
        <v>3</v>
      </c>
      <c r="I1238" t="s">
        <v>3</v>
      </c>
      <c r="J1238" t="s">
        <v>300</v>
      </c>
      <c r="K1238" t="s">
        <v>13</v>
      </c>
      <c r="L1238" t="s">
        <v>15</v>
      </c>
      <c r="M1238" t="s">
        <v>114</v>
      </c>
      <c r="N1238" s="2">
        <v>46054</v>
      </c>
    </row>
    <row r="1239" spans="1:14" x14ac:dyDescent="0.25">
      <c r="A1239" t="s">
        <v>406</v>
      </c>
      <c r="B1239" s="2">
        <v>46081</v>
      </c>
      <c r="C1239" t="s">
        <v>406</v>
      </c>
      <c r="D1239" t="s">
        <v>112</v>
      </c>
      <c r="E1239" t="s">
        <v>9</v>
      </c>
      <c r="F1239" s="3">
        <v>8500</v>
      </c>
      <c r="G1239" s="3">
        <v>8500</v>
      </c>
      <c r="H1239" t="s">
        <v>3</v>
      </c>
      <c r="I1239" t="s">
        <v>3</v>
      </c>
      <c r="J1239" t="s">
        <v>304</v>
      </c>
      <c r="K1239" t="s">
        <v>13</v>
      </c>
      <c r="L1239" t="s">
        <v>15</v>
      </c>
      <c r="M1239" t="s">
        <v>114</v>
      </c>
      <c r="N1239" s="2">
        <v>46081</v>
      </c>
    </row>
    <row r="1240" spans="1:14" x14ac:dyDescent="0.25">
      <c r="A1240" s="4" t="s">
        <v>239</v>
      </c>
      <c r="B1240" s="5"/>
      <c r="C1240" s="4" t="s">
        <v>9</v>
      </c>
      <c r="D1240" s="4" t="s">
        <v>9</v>
      </c>
      <c r="E1240" s="4" t="s">
        <v>9</v>
      </c>
      <c r="F1240" s="6">
        <v>0</v>
      </c>
      <c r="G1240" s="6">
        <v>0</v>
      </c>
      <c r="H1240" s="4" t="s">
        <v>9</v>
      </c>
      <c r="I1240" s="4" t="s">
        <v>3</v>
      </c>
      <c r="J1240" s="4" t="s">
        <v>9</v>
      </c>
      <c r="K1240" s="4" t="s">
        <v>9</v>
      </c>
      <c r="L1240" s="4" t="s">
        <v>9</v>
      </c>
      <c r="M1240" s="4" t="s">
        <v>9</v>
      </c>
      <c r="N1240" s="5"/>
    </row>
    <row r="1241" spans="1:14" x14ac:dyDescent="0.25">
      <c r="A1241" t="s">
        <v>406</v>
      </c>
      <c r="B1241" s="2">
        <v>45749</v>
      </c>
      <c r="C1241" t="s">
        <v>406</v>
      </c>
      <c r="D1241" t="s">
        <v>112</v>
      </c>
      <c r="E1241" t="s">
        <v>9</v>
      </c>
      <c r="F1241" s="3">
        <v>-10150</v>
      </c>
      <c r="G1241" s="3">
        <v>-10150</v>
      </c>
      <c r="H1241" t="s">
        <v>3</v>
      </c>
      <c r="I1241" t="s">
        <v>3</v>
      </c>
      <c r="J1241" t="s">
        <v>9</v>
      </c>
      <c r="K1241" t="s">
        <v>9</v>
      </c>
      <c r="L1241" t="s">
        <v>16</v>
      </c>
      <c r="M1241" t="s">
        <v>114</v>
      </c>
      <c r="N1241" s="2">
        <v>45747</v>
      </c>
    </row>
    <row r="1242" spans="1:14" x14ac:dyDescent="0.25">
      <c r="A1242" t="s">
        <v>406</v>
      </c>
      <c r="B1242" s="2">
        <v>46115</v>
      </c>
      <c r="C1242" t="s">
        <v>406</v>
      </c>
      <c r="D1242" t="s">
        <v>112</v>
      </c>
      <c r="E1242" t="s">
        <v>9</v>
      </c>
      <c r="F1242" s="3">
        <v>-8600</v>
      </c>
      <c r="G1242" s="3">
        <v>-8600</v>
      </c>
      <c r="H1242" t="s">
        <v>3</v>
      </c>
      <c r="I1242" t="s">
        <v>3</v>
      </c>
      <c r="J1242" t="s">
        <v>9</v>
      </c>
      <c r="K1242" t="s">
        <v>9</v>
      </c>
      <c r="L1242" t="s">
        <v>16</v>
      </c>
      <c r="M1242" t="s">
        <v>114</v>
      </c>
      <c r="N1242" s="2">
        <v>46112</v>
      </c>
    </row>
    <row r="1243" spans="1:14" x14ac:dyDescent="0.25">
      <c r="A1243" t="s">
        <v>406</v>
      </c>
      <c r="B1243" s="2">
        <v>45717</v>
      </c>
      <c r="C1243" t="s">
        <v>406</v>
      </c>
      <c r="D1243" t="s">
        <v>112</v>
      </c>
      <c r="E1243" t="s">
        <v>9</v>
      </c>
      <c r="F1243" s="3">
        <v>-25650</v>
      </c>
      <c r="G1243" s="3">
        <v>-25650</v>
      </c>
      <c r="H1243" t="s">
        <v>3</v>
      </c>
      <c r="I1243" t="s">
        <v>3</v>
      </c>
      <c r="J1243" t="s">
        <v>303</v>
      </c>
      <c r="K1243" t="s">
        <v>5</v>
      </c>
      <c r="L1243" t="s">
        <v>16</v>
      </c>
      <c r="M1243" t="s">
        <v>114</v>
      </c>
      <c r="N1243" s="2">
        <v>45717</v>
      </c>
    </row>
    <row r="1244" spans="1:14" x14ac:dyDescent="0.25">
      <c r="A1244" t="s">
        <v>406</v>
      </c>
      <c r="B1244" s="2">
        <v>45747</v>
      </c>
      <c r="C1244" t="s">
        <v>406</v>
      </c>
      <c r="D1244" t="s">
        <v>112</v>
      </c>
      <c r="E1244" t="s">
        <v>9</v>
      </c>
      <c r="F1244" s="3">
        <v>35800</v>
      </c>
      <c r="G1244" s="3">
        <v>35800</v>
      </c>
      <c r="H1244" t="s">
        <v>3</v>
      </c>
      <c r="I1244" t="s">
        <v>3</v>
      </c>
      <c r="J1244" t="s">
        <v>305</v>
      </c>
      <c r="K1244" t="s">
        <v>5</v>
      </c>
      <c r="L1244" t="s">
        <v>16</v>
      </c>
      <c r="M1244" t="s">
        <v>114</v>
      </c>
      <c r="N1244" s="2">
        <v>45747</v>
      </c>
    </row>
    <row r="1245" spans="1:14" x14ac:dyDescent="0.25">
      <c r="A1245" t="s">
        <v>406</v>
      </c>
      <c r="B1245" s="2">
        <v>46081</v>
      </c>
      <c r="C1245" t="s">
        <v>406</v>
      </c>
      <c r="D1245" t="s">
        <v>112</v>
      </c>
      <c r="E1245" t="s">
        <v>9</v>
      </c>
      <c r="F1245" s="3">
        <v>-8500</v>
      </c>
      <c r="G1245" s="3">
        <v>-8500</v>
      </c>
      <c r="H1245" t="s">
        <v>3</v>
      </c>
      <c r="I1245" t="s">
        <v>3</v>
      </c>
      <c r="J1245" t="s">
        <v>304</v>
      </c>
      <c r="K1245" t="s">
        <v>13</v>
      </c>
      <c r="L1245" t="s">
        <v>16</v>
      </c>
      <c r="M1245" t="s">
        <v>114</v>
      </c>
      <c r="N1245" s="2">
        <v>46082</v>
      </c>
    </row>
    <row r="1246" spans="1:14" x14ac:dyDescent="0.25">
      <c r="A1246" t="s">
        <v>406</v>
      </c>
      <c r="B1246" s="2">
        <v>46112</v>
      </c>
      <c r="C1246" t="s">
        <v>406</v>
      </c>
      <c r="D1246" t="s">
        <v>112</v>
      </c>
      <c r="E1246" t="s">
        <v>9</v>
      </c>
      <c r="F1246" s="3">
        <v>17100</v>
      </c>
      <c r="G1246" s="3">
        <v>17100</v>
      </c>
      <c r="H1246" t="s">
        <v>3</v>
      </c>
      <c r="I1246" t="s">
        <v>3</v>
      </c>
      <c r="J1246" t="s">
        <v>307</v>
      </c>
      <c r="K1246" t="s">
        <v>13</v>
      </c>
      <c r="L1246" t="s">
        <v>16</v>
      </c>
      <c r="M1246" t="s">
        <v>114</v>
      </c>
      <c r="N1246" s="2">
        <v>46112</v>
      </c>
    </row>
    <row r="1247" spans="1:14" x14ac:dyDescent="0.25">
      <c r="A1247" s="4" t="s">
        <v>244</v>
      </c>
      <c r="B1247" s="5"/>
      <c r="C1247" s="4" t="s">
        <v>9</v>
      </c>
      <c r="D1247" s="4" t="s">
        <v>9</v>
      </c>
      <c r="E1247" s="4" t="s">
        <v>9</v>
      </c>
      <c r="F1247" s="6">
        <v>0</v>
      </c>
      <c r="G1247" s="6">
        <v>0</v>
      </c>
      <c r="H1247" s="4" t="s">
        <v>9</v>
      </c>
      <c r="I1247" s="4" t="s">
        <v>3</v>
      </c>
      <c r="J1247" s="4" t="s">
        <v>9</v>
      </c>
      <c r="K1247" s="4" t="s">
        <v>9</v>
      </c>
      <c r="L1247" s="4" t="s">
        <v>9</v>
      </c>
      <c r="M1247" s="4" t="s">
        <v>9</v>
      </c>
      <c r="N1247" s="5"/>
    </row>
    <row r="1248" spans="1:14" x14ac:dyDescent="0.25">
      <c r="A1248" t="s">
        <v>406</v>
      </c>
      <c r="B1248" s="2">
        <v>45782</v>
      </c>
      <c r="C1248" t="s">
        <v>406</v>
      </c>
      <c r="D1248" t="s">
        <v>112</v>
      </c>
      <c r="E1248" t="s">
        <v>9</v>
      </c>
      <c r="F1248" s="3">
        <v>-11050</v>
      </c>
      <c r="G1248" s="3">
        <v>-11050</v>
      </c>
      <c r="H1248" t="s">
        <v>3</v>
      </c>
      <c r="I1248" t="s">
        <v>3</v>
      </c>
      <c r="J1248" t="s">
        <v>9</v>
      </c>
      <c r="K1248" t="s">
        <v>9</v>
      </c>
      <c r="L1248" t="s">
        <v>17</v>
      </c>
      <c r="M1248" t="s">
        <v>114</v>
      </c>
      <c r="N1248" s="2">
        <v>45777</v>
      </c>
    </row>
    <row r="1249" spans="1:14" x14ac:dyDescent="0.25">
      <c r="A1249" t="s">
        <v>406</v>
      </c>
      <c r="B1249" s="2">
        <v>46147</v>
      </c>
      <c r="C1249" t="s">
        <v>406</v>
      </c>
      <c r="D1249" t="s">
        <v>112</v>
      </c>
      <c r="E1249" t="s">
        <v>9</v>
      </c>
      <c r="F1249" s="3">
        <v>-5950</v>
      </c>
      <c r="G1249" s="3">
        <v>-5950</v>
      </c>
      <c r="H1249" t="s">
        <v>3</v>
      </c>
      <c r="I1249" t="s">
        <v>3</v>
      </c>
      <c r="J1249" t="s">
        <v>9</v>
      </c>
      <c r="K1249" t="s">
        <v>9</v>
      </c>
      <c r="L1249" t="s">
        <v>17</v>
      </c>
      <c r="M1249" t="s">
        <v>114</v>
      </c>
      <c r="N1249" s="2">
        <v>46142</v>
      </c>
    </row>
    <row r="1250" spans="1:14" x14ac:dyDescent="0.25">
      <c r="A1250" t="s">
        <v>406</v>
      </c>
      <c r="B1250" s="2">
        <v>45747</v>
      </c>
      <c r="C1250" t="s">
        <v>406</v>
      </c>
      <c r="D1250" t="s">
        <v>112</v>
      </c>
      <c r="E1250" t="s">
        <v>9</v>
      </c>
      <c r="F1250" s="3">
        <v>-35800</v>
      </c>
      <c r="G1250" s="3">
        <v>-35800</v>
      </c>
      <c r="H1250" t="s">
        <v>3</v>
      </c>
      <c r="I1250" t="s">
        <v>3</v>
      </c>
      <c r="J1250" t="s">
        <v>305</v>
      </c>
      <c r="K1250" t="s">
        <v>5</v>
      </c>
      <c r="L1250" t="s">
        <v>17</v>
      </c>
      <c r="M1250" t="s">
        <v>114</v>
      </c>
      <c r="N1250" s="2">
        <v>45748</v>
      </c>
    </row>
    <row r="1251" spans="1:14" x14ac:dyDescent="0.25">
      <c r="A1251" t="s">
        <v>406</v>
      </c>
      <c r="B1251" s="2">
        <v>45777</v>
      </c>
      <c r="C1251" t="s">
        <v>406</v>
      </c>
      <c r="D1251" t="s">
        <v>112</v>
      </c>
      <c r="E1251" t="s">
        <v>9</v>
      </c>
      <c r="F1251" s="3">
        <v>46850</v>
      </c>
      <c r="G1251" s="3">
        <v>46850</v>
      </c>
      <c r="H1251" t="s">
        <v>3</v>
      </c>
      <c r="I1251" t="s">
        <v>3</v>
      </c>
      <c r="J1251" t="s">
        <v>308</v>
      </c>
      <c r="K1251" t="s">
        <v>5</v>
      </c>
      <c r="L1251" t="s">
        <v>17</v>
      </c>
      <c r="M1251" t="s">
        <v>114</v>
      </c>
      <c r="N1251" s="2">
        <v>45777</v>
      </c>
    </row>
    <row r="1252" spans="1:14" x14ac:dyDescent="0.25">
      <c r="A1252" t="s">
        <v>406</v>
      </c>
      <c r="B1252" s="2">
        <v>46112</v>
      </c>
      <c r="C1252" t="s">
        <v>406</v>
      </c>
      <c r="D1252" t="s">
        <v>112</v>
      </c>
      <c r="E1252" t="s">
        <v>9</v>
      </c>
      <c r="F1252" s="3">
        <v>-17100</v>
      </c>
      <c r="G1252" s="3">
        <v>-17100</v>
      </c>
      <c r="H1252" t="s">
        <v>3</v>
      </c>
      <c r="I1252" t="s">
        <v>3</v>
      </c>
      <c r="J1252" t="s">
        <v>307</v>
      </c>
      <c r="K1252" t="s">
        <v>13</v>
      </c>
      <c r="L1252" t="s">
        <v>17</v>
      </c>
      <c r="M1252" t="s">
        <v>114</v>
      </c>
      <c r="N1252" s="2">
        <v>46113</v>
      </c>
    </row>
    <row r="1253" spans="1:14" x14ac:dyDescent="0.25">
      <c r="A1253" t="s">
        <v>406</v>
      </c>
      <c r="B1253" s="2">
        <v>46142</v>
      </c>
      <c r="C1253" t="s">
        <v>406</v>
      </c>
      <c r="D1253" t="s">
        <v>112</v>
      </c>
      <c r="E1253" t="s">
        <v>9</v>
      </c>
      <c r="F1253" s="3">
        <v>23050</v>
      </c>
      <c r="G1253" s="3">
        <v>23050</v>
      </c>
      <c r="H1253" t="s">
        <v>3</v>
      </c>
      <c r="I1253" t="s">
        <v>3</v>
      </c>
      <c r="J1253" t="s">
        <v>310</v>
      </c>
      <c r="K1253" t="s">
        <v>13</v>
      </c>
      <c r="L1253" t="s">
        <v>17</v>
      </c>
      <c r="M1253" t="s">
        <v>114</v>
      </c>
      <c r="N1253" s="2">
        <v>46142</v>
      </c>
    </row>
    <row r="1254" spans="1:14" x14ac:dyDescent="0.25">
      <c r="A1254" s="4" t="s">
        <v>249</v>
      </c>
      <c r="B1254" s="5"/>
      <c r="C1254" s="4" t="s">
        <v>9</v>
      </c>
      <c r="D1254" s="4" t="s">
        <v>9</v>
      </c>
      <c r="E1254" s="4" t="s">
        <v>9</v>
      </c>
      <c r="F1254" s="6">
        <v>0</v>
      </c>
      <c r="G1254" s="6">
        <v>0</v>
      </c>
      <c r="H1254" s="4" t="s">
        <v>9</v>
      </c>
      <c r="I1254" s="4" t="s">
        <v>3</v>
      </c>
      <c r="J1254" s="4" t="s">
        <v>9</v>
      </c>
      <c r="K1254" s="4" t="s">
        <v>9</v>
      </c>
      <c r="L1254" s="4" t="s">
        <v>9</v>
      </c>
      <c r="M1254" s="4" t="s">
        <v>9</v>
      </c>
      <c r="N1254" s="5"/>
    </row>
    <row r="1255" spans="1:14" x14ac:dyDescent="0.25">
      <c r="A1255" t="s">
        <v>406</v>
      </c>
      <c r="B1255" s="2">
        <v>45810</v>
      </c>
      <c r="C1255" t="s">
        <v>406</v>
      </c>
      <c r="D1255" t="s">
        <v>112</v>
      </c>
      <c r="E1255" t="s">
        <v>9</v>
      </c>
      <c r="F1255" s="3">
        <v>-6900</v>
      </c>
      <c r="G1255" s="3">
        <v>-6900</v>
      </c>
      <c r="H1255" t="s">
        <v>3</v>
      </c>
      <c r="I1255" t="s">
        <v>3</v>
      </c>
      <c r="J1255" t="s">
        <v>9</v>
      </c>
      <c r="K1255" t="s">
        <v>9</v>
      </c>
      <c r="L1255" t="s">
        <v>18</v>
      </c>
      <c r="M1255" t="s">
        <v>114</v>
      </c>
      <c r="N1255" s="2">
        <v>45808</v>
      </c>
    </row>
    <row r="1256" spans="1:14" x14ac:dyDescent="0.25">
      <c r="A1256" t="s">
        <v>406</v>
      </c>
      <c r="B1256" s="2">
        <v>46175</v>
      </c>
      <c r="C1256" t="s">
        <v>406</v>
      </c>
      <c r="D1256" t="s">
        <v>112</v>
      </c>
      <c r="E1256" t="s">
        <v>9</v>
      </c>
      <c r="F1256" s="3">
        <v>-4626</v>
      </c>
      <c r="G1256" s="3">
        <v>-4626</v>
      </c>
      <c r="H1256" t="s">
        <v>3</v>
      </c>
      <c r="I1256" t="s">
        <v>3</v>
      </c>
      <c r="J1256" t="s">
        <v>9</v>
      </c>
      <c r="K1256" t="s">
        <v>9</v>
      </c>
      <c r="L1256" t="s">
        <v>18</v>
      </c>
      <c r="M1256" t="s">
        <v>114</v>
      </c>
      <c r="N1256" s="2">
        <v>46173</v>
      </c>
    </row>
    <row r="1257" spans="1:14" x14ac:dyDescent="0.25">
      <c r="A1257" t="s">
        <v>406</v>
      </c>
      <c r="B1257" s="2">
        <v>45777</v>
      </c>
      <c r="C1257" t="s">
        <v>406</v>
      </c>
      <c r="D1257" t="s">
        <v>112</v>
      </c>
      <c r="E1257" t="s">
        <v>9</v>
      </c>
      <c r="F1257" s="3">
        <v>-46850</v>
      </c>
      <c r="G1257" s="3">
        <v>-46850</v>
      </c>
      <c r="H1257" t="s">
        <v>3</v>
      </c>
      <c r="I1257" t="s">
        <v>3</v>
      </c>
      <c r="J1257" t="s">
        <v>308</v>
      </c>
      <c r="K1257" t="s">
        <v>5</v>
      </c>
      <c r="L1257" t="s">
        <v>18</v>
      </c>
      <c r="M1257" t="s">
        <v>114</v>
      </c>
      <c r="N1257" s="2">
        <v>45778</v>
      </c>
    </row>
    <row r="1258" spans="1:14" x14ac:dyDescent="0.25">
      <c r="A1258" t="s">
        <v>406</v>
      </c>
      <c r="B1258" s="2">
        <v>45808</v>
      </c>
      <c r="C1258" t="s">
        <v>406</v>
      </c>
      <c r="D1258" t="s">
        <v>112</v>
      </c>
      <c r="E1258" t="s">
        <v>9</v>
      </c>
      <c r="F1258" s="3">
        <v>53750</v>
      </c>
      <c r="G1258" s="3">
        <v>53750</v>
      </c>
      <c r="H1258" t="s">
        <v>3</v>
      </c>
      <c r="I1258" t="s">
        <v>3</v>
      </c>
      <c r="J1258" t="s">
        <v>311</v>
      </c>
      <c r="K1258" t="s">
        <v>5</v>
      </c>
      <c r="L1258" t="s">
        <v>18</v>
      </c>
      <c r="M1258" t="s">
        <v>114</v>
      </c>
      <c r="N1258" s="2">
        <v>45808</v>
      </c>
    </row>
    <row r="1259" spans="1:14" x14ac:dyDescent="0.25">
      <c r="A1259" t="s">
        <v>406</v>
      </c>
      <c r="B1259" s="2">
        <v>46142</v>
      </c>
      <c r="C1259" t="s">
        <v>406</v>
      </c>
      <c r="D1259" t="s">
        <v>112</v>
      </c>
      <c r="E1259" t="s">
        <v>9</v>
      </c>
      <c r="F1259" s="3">
        <v>-23050</v>
      </c>
      <c r="G1259" s="3">
        <v>-23050</v>
      </c>
      <c r="H1259" t="s">
        <v>3</v>
      </c>
      <c r="I1259" t="s">
        <v>3</v>
      </c>
      <c r="J1259" t="s">
        <v>310</v>
      </c>
      <c r="K1259" t="s">
        <v>13</v>
      </c>
      <c r="L1259" t="s">
        <v>18</v>
      </c>
      <c r="M1259" t="s">
        <v>114</v>
      </c>
      <c r="N1259" s="2">
        <v>46143</v>
      </c>
    </row>
    <row r="1260" spans="1:14" x14ac:dyDescent="0.25">
      <c r="A1260" t="s">
        <v>406</v>
      </c>
      <c r="B1260" s="2">
        <v>46173</v>
      </c>
      <c r="C1260" t="s">
        <v>406</v>
      </c>
      <c r="D1260" t="s">
        <v>112</v>
      </c>
      <c r="E1260" t="s">
        <v>9</v>
      </c>
      <c r="F1260" s="3">
        <v>27676</v>
      </c>
      <c r="G1260" s="3">
        <v>27676</v>
      </c>
      <c r="H1260" t="s">
        <v>3</v>
      </c>
      <c r="I1260" t="s">
        <v>3</v>
      </c>
      <c r="J1260" t="s">
        <v>313</v>
      </c>
      <c r="K1260" t="s">
        <v>13</v>
      </c>
      <c r="L1260" t="s">
        <v>18</v>
      </c>
      <c r="M1260" t="s">
        <v>114</v>
      </c>
      <c r="N1260" s="2">
        <v>46173</v>
      </c>
    </row>
    <row r="1261" spans="1:14" x14ac:dyDescent="0.25">
      <c r="A1261" s="4" t="s">
        <v>223</v>
      </c>
      <c r="B1261" s="5"/>
      <c r="C1261" s="4" t="s">
        <v>9</v>
      </c>
      <c r="D1261" s="4" t="s">
        <v>9</v>
      </c>
      <c r="E1261" s="4" t="s">
        <v>9</v>
      </c>
      <c r="F1261" s="6">
        <v>0</v>
      </c>
      <c r="G1261" s="6">
        <v>0</v>
      </c>
      <c r="H1261" s="4" t="s">
        <v>9</v>
      </c>
      <c r="I1261" s="4" t="s">
        <v>3</v>
      </c>
      <c r="J1261" s="4" t="s">
        <v>9</v>
      </c>
      <c r="K1261" s="4" t="s">
        <v>9</v>
      </c>
      <c r="L1261" s="4" t="s">
        <v>9</v>
      </c>
      <c r="M1261" s="4" t="s">
        <v>9</v>
      </c>
      <c r="N1261" s="5"/>
    </row>
    <row r="1262" spans="1:14" x14ac:dyDescent="0.25">
      <c r="A1262" t="s">
        <v>406</v>
      </c>
      <c r="B1262" s="2">
        <v>45839</v>
      </c>
      <c r="C1262" t="s">
        <v>406</v>
      </c>
      <c r="D1262" t="s">
        <v>112</v>
      </c>
      <c r="E1262" t="s">
        <v>9</v>
      </c>
      <c r="F1262" s="3">
        <v>-28800</v>
      </c>
      <c r="G1262" s="3">
        <v>-28800</v>
      </c>
      <c r="H1262" t="s">
        <v>3</v>
      </c>
      <c r="I1262" t="s">
        <v>3</v>
      </c>
      <c r="J1262" t="s">
        <v>9</v>
      </c>
      <c r="K1262" t="s">
        <v>9</v>
      </c>
      <c r="L1262" t="s">
        <v>19</v>
      </c>
      <c r="M1262" t="s">
        <v>114</v>
      </c>
      <c r="N1262" s="2">
        <v>45838</v>
      </c>
    </row>
    <row r="1263" spans="1:14" x14ac:dyDescent="0.25">
      <c r="A1263" t="s">
        <v>406</v>
      </c>
      <c r="B1263" s="2">
        <v>46205</v>
      </c>
      <c r="C1263" t="s">
        <v>406</v>
      </c>
      <c r="D1263" t="s">
        <v>112</v>
      </c>
      <c r="E1263" t="s">
        <v>9</v>
      </c>
      <c r="F1263" s="3">
        <v>-10000</v>
      </c>
      <c r="G1263" s="3">
        <v>-10000</v>
      </c>
      <c r="H1263" t="s">
        <v>3</v>
      </c>
      <c r="I1263" t="s">
        <v>3</v>
      </c>
      <c r="J1263" t="s">
        <v>9</v>
      </c>
      <c r="K1263" t="s">
        <v>9</v>
      </c>
      <c r="L1263" t="s">
        <v>19</v>
      </c>
      <c r="M1263" t="s">
        <v>114</v>
      </c>
      <c r="N1263" s="2">
        <v>46203</v>
      </c>
    </row>
    <row r="1264" spans="1:14" x14ac:dyDescent="0.25">
      <c r="A1264" t="s">
        <v>406</v>
      </c>
      <c r="B1264" s="2">
        <v>45808</v>
      </c>
      <c r="C1264" t="s">
        <v>406</v>
      </c>
      <c r="D1264" t="s">
        <v>112</v>
      </c>
      <c r="E1264" t="s">
        <v>9</v>
      </c>
      <c r="F1264" s="3">
        <v>-53750</v>
      </c>
      <c r="G1264" s="3">
        <v>-53750</v>
      </c>
      <c r="H1264" t="s">
        <v>3</v>
      </c>
      <c r="I1264" t="s">
        <v>3</v>
      </c>
      <c r="J1264" t="s">
        <v>311</v>
      </c>
      <c r="K1264" t="s">
        <v>5</v>
      </c>
      <c r="L1264" t="s">
        <v>19</v>
      </c>
      <c r="M1264" t="s">
        <v>114</v>
      </c>
      <c r="N1264" s="2">
        <v>45809</v>
      </c>
    </row>
    <row r="1265" spans="1:14" x14ac:dyDescent="0.25">
      <c r="A1265" t="s">
        <v>406</v>
      </c>
      <c r="B1265" s="2">
        <v>45838</v>
      </c>
      <c r="C1265" t="s">
        <v>406</v>
      </c>
      <c r="D1265" t="s">
        <v>112</v>
      </c>
      <c r="E1265" t="s">
        <v>9</v>
      </c>
      <c r="F1265" s="3">
        <v>82550</v>
      </c>
      <c r="G1265" s="3">
        <v>82550</v>
      </c>
      <c r="H1265" t="s">
        <v>3</v>
      </c>
      <c r="I1265" t="s">
        <v>3</v>
      </c>
      <c r="J1265" t="s">
        <v>314</v>
      </c>
      <c r="K1265" t="s">
        <v>5</v>
      </c>
      <c r="L1265" t="s">
        <v>19</v>
      </c>
      <c r="M1265" t="s">
        <v>114</v>
      </c>
      <c r="N1265" s="2">
        <v>45838</v>
      </c>
    </row>
    <row r="1266" spans="1:14" x14ac:dyDescent="0.25">
      <c r="A1266" t="s">
        <v>406</v>
      </c>
      <c r="B1266" s="2">
        <v>46173</v>
      </c>
      <c r="C1266" t="s">
        <v>406</v>
      </c>
      <c r="D1266" t="s">
        <v>112</v>
      </c>
      <c r="E1266" t="s">
        <v>9</v>
      </c>
      <c r="F1266" s="3">
        <v>-27676</v>
      </c>
      <c r="G1266" s="3">
        <v>-27676</v>
      </c>
      <c r="H1266" t="s">
        <v>3</v>
      </c>
      <c r="I1266" t="s">
        <v>3</v>
      </c>
      <c r="J1266" t="s">
        <v>313</v>
      </c>
      <c r="K1266" t="s">
        <v>13</v>
      </c>
      <c r="L1266" t="s">
        <v>19</v>
      </c>
      <c r="M1266" t="s">
        <v>114</v>
      </c>
      <c r="N1266" s="2">
        <v>46174</v>
      </c>
    </row>
    <row r="1267" spans="1:14" x14ac:dyDescent="0.25">
      <c r="A1267" t="s">
        <v>406</v>
      </c>
      <c r="B1267" s="2">
        <v>46203</v>
      </c>
      <c r="C1267" t="s">
        <v>406</v>
      </c>
      <c r="D1267" t="s">
        <v>112</v>
      </c>
      <c r="E1267" t="s">
        <v>9</v>
      </c>
      <c r="F1267" s="3">
        <v>37676</v>
      </c>
      <c r="G1267" s="3">
        <v>37676</v>
      </c>
      <c r="H1267" t="s">
        <v>3</v>
      </c>
      <c r="I1267" t="s">
        <v>3</v>
      </c>
      <c r="J1267" t="s">
        <v>316</v>
      </c>
      <c r="K1267" t="s">
        <v>13</v>
      </c>
      <c r="L1267" t="s">
        <v>19</v>
      </c>
      <c r="M1267" t="s">
        <v>114</v>
      </c>
      <c r="N1267" s="2">
        <v>46203</v>
      </c>
    </row>
    <row r="1268" spans="1:14" x14ac:dyDescent="0.25">
      <c r="A1268" s="4" t="s">
        <v>224</v>
      </c>
      <c r="B1268" s="5"/>
      <c r="C1268" s="4" t="s">
        <v>9</v>
      </c>
      <c r="D1268" s="4" t="s">
        <v>9</v>
      </c>
      <c r="E1268" s="4" t="s">
        <v>9</v>
      </c>
      <c r="F1268" s="6">
        <v>0</v>
      </c>
      <c r="G1268" s="6">
        <v>0</v>
      </c>
      <c r="H1268" s="4" t="s">
        <v>9</v>
      </c>
      <c r="I1268" s="4" t="s">
        <v>3</v>
      </c>
      <c r="J1268" s="4" t="s">
        <v>9</v>
      </c>
      <c r="K1268" s="4" t="s">
        <v>9</v>
      </c>
      <c r="L1268" s="4" t="s">
        <v>9</v>
      </c>
      <c r="M1268" s="4" t="s">
        <v>9</v>
      </c>
      <c r="N1268" s="5"/>
    </row>
    <row r="1269" spans="1:14" x14ac:dyDescent="0.25">
      <c r="A1269" t="s">
        <v>406</v>
      </c>
      <c r="B1269" s="2">
        <v>45870</v>
      </c>
      <c r="C1269" t="s">
        <v>406</v>
      </c>
      <c r="D1269" t="s">
        <v>112</v>
      </c>
      <c r="E1269" t="s">
        <v>9</v>
      </c>
      <c r="F1269" s="3">
        <v>-24860</v>
      </c>
      <c r="G1269" s="3">
        <v>-24860</v>
      </c>
      <c r="H1269" t="s">
        <v>3</v>
      </c>
      <c r="I1269" t="s">
        <v>3</v>
      </c>
      <c r="J1269" t="s">
        <v>9</v>
      </c>
      <c r="K1269" t="s">
        <v>9</v>
      </c>
      <c r="L1269" t="s">
        <v>21</v>
      </c>
      <c r="M1269" t="s">
        <v>114</v>
      </c>
      <c r="N1269" s="2">
        <v>45869</v>
      </c>
    </row>
    <row r="1270" spans="1:14" x14ac:dyDescent="0.25">
      <c r="A1270" t="s">
        <v>406</v>
      </c>
      <c r="B1270" s="2">
        <v>46239</v>
      </c>
      <c r="C1270" t="s">
        <v>406</v>
      </c>
      <c r="D1270" t="s">
        <v>112</v>
      </c>
      <c r="E1270" t="s">
        <v>9</v>
      </c>
      <c r="F1270" s="3">
        <v>37676</v>
      </c>
      <c r="G1270" s="3">
        <v>37676</v>
      </c>
      <c r="H1270" t="s">
        <v>3</v>
      </c>
      <c r="I1270" t="s">
        <v>3</v>
      </c>
      <c r="J1270" t="s">
        <v>9</v>
      </c>
      <c r="K1270" t="s">
        <v>9</v>
      </c>
      <c r="L1270" t="s">
        <v>21</v>
      </c>
      <c r="M1270" t="s">
        <v>114</v>
      </c>
      <c r="N1270" s="2">
        <v>46234</v>
      </c>
    </row>
    <row r="1271" spans="1:14" x14ac:dyDescent="0.25">
      <c r="A1271" t="s">
        <v>406</v>
      </c>
      <c r="B1271" s="2">
        <v>46239</v>
      </c>
      <c r="C1271" t="s">
        <v>406</v>
      </c>
      <c r="D1271" t="s">
        <v>112</v>
      </c>
      <c r="E1271" t="s">
        <v>9</v>
      </c>
      <c r="F1271" s="3">
        <v>-47612</v>
      </c>
      <c r="G1271" s="3">
        <v>-47612</v>
      </c>
      <c r="H1271" t="s">
        <v>3</v>
      </c>
      <c r="I1271" t="s">
        <v>3</v>
      </c>
      <c r="J1271" t="s">
        <v>9</v>
      </c>
      <c r="K1271" t="s">
        <v>9</v>
      </c>
      <c r="L1271" t="s">
        <v>21</v>
      </c>
      <c r="M1271" t="s">
        <v>114</v>
      </c>
      <c r="N1271" s="2">
        <v>46234</v>
      </c>
    </row>
    <row r="1272" spans="1:14" x14ac:dyDescent="0.25">
      <c r="A1272" t="s">
        <v>406</v>
      </c>
      <c r="B1272" s="2">
        <v>45838</v>
      </c>
      <c r="C1272" t="s">
        <v>406</v>
      </c>
      <c r="D1272" t="s">
        <v>112</v>
      </c>
      <c r="E1272" t="s">
        <v>9</v>
      </c>
      <c r="F1272" s="3">
        <v>-82550</v>
      </c>
      <c r="G1272" s="3">
        <v>-82550</v>
      </c>
      <c r="H1272" t="s">
        <v>3</v>
      </c>
      <c r="I1272" t="s">
        <v>3</v>
      </c>
      <c r="J1272" t="s">
        <v>314</v>
      </c>
      <c r="K1272" t="s">
        <v>5</v>
      </c>
      <c r="L1272" t="s">
        <v>21</v>
      </c>
      <c r="M1272" t="s">
        <v>114</v>
      </c>
      <c r="N1272" s="2">
        <v>45839</v>
      </c>
    </row>
    <row r="1273" spans="1:14" x14ac:dyDescent="0.25">
      <c r="A1273" t="s">
        <v>406</v>
      </c>
      <c r="B1273" s="2">
        <v>45869</v>
      </c>
      <c r="C1273" t="s">
        <v>406</v>
      </c>
      <c r="D1273" t="s">
        <v>112</v>
      </c>
      <c r="E1273" t="s">
        <v>9</v>
      </c>
      <c r="F1273" s="3">
        <v>107410</v>
      </c>
      <c r="G1273" s="3">
        <v>107410</v>
      </c>
      <c r="H1273" t="s">
        <v>3</v>
      </c>
      <c r="I1273" t="s">
        <v>3</v>
      </c>
      <c r="J1273" t="s">
        <v>317</v>
      </c>
      <c r="K1273" t="s">
        <v>5</v>
      </c>
      <c r="L1273" t="s">
        <v>21</v>
      </c>
      <c r="M1273" t="s">
        <v>114</v>
      </c>
      <c r="N1273" s="2">
        <v>45869</v>
      </c>
    </row>
    <row r="1274" spans="1:14" x14ac:dyDescent="0.25">
      <c r="A1274" t="s">
        <v>406</v>
      </c>
      <c r="B1274" s="2">
        <v>46203</v>
      </c>
      <c r="C1274" t="s">
        <v>406</v>
      </c>
      <c r="D1274" t="s">
        <v>112</v>
      </c>
      <c r="E1274" t="s">
        <v>9</v>
      </c>
      <c r="F1274" s="3">
        <v>-37676</v>
      </c>
      <c r="G1274" s="3">
        <v>-37676</v>
      </c>
      <c r="H1274" t="s">
        <v>3</v>
      </c>
      <c r="I1274" t="s">
        <v>3</v>
      </c>
      <c r="J1274" t="s">
        <v>316</v>
      </c>
      <c r="K1274" t="s">
        <v>13</v>
      </c>
      <c r="L1274" t="s">
        <v>21</v>
      </c>
      <c r="M1274" t="s">
        <v>114</v>
      </c>
      <c r="N1274" s="2">
        <v>46204</v>
      </c>
    </row>
    <row r="1275" spans="1:14" x14ac:dyDescent="0.25">
      <c r="A1275" t="s">
        <v>406</v>
      </c>
      <c r="B1275" s="2">
        <v>46234</v>
      </c>
      <c r="C1275" t="s">
        <v>406</v>
      </c>
      <c r="D1275" t="s">
        <v>112</v>
      </c>
      <c r="E1275" t="s">
        <v>9</v>
      </c>
      <c r="F1275" s="3">
        <v>47612</v>
      </c>
      <c r="G1275" s="3">
        <v>47612</v>
      </c>
      <c r="H1275" t="s">
        <v>3</v>
      </c>
      <c r="I1275" t="s">
        <v>3</v>
      </c>
      <c r="J1275" t="s">
        <v>319</v>
      </c>
      <c r="K1275" t="s">
        <v>13</v>
      </c>
      <c r="L1275" t="s">
        <v>21</v>
      </c>
      <c r="M1275" t="s">
        <v>114</v>
      </c>
      <c r="N1275" s="2">
        <v>46234</v>
      </c>
    </row>
    <row r="1276" spans="1:14" x14ac:dyDescent="0.25">
      <c r="A1276" s="4" t="s">
        <v>262</v>
      </c>
      <c r="B1276" s="5"/>
      <c r="C1276" s="4" t="s">
        <v>9</v>
      </c>
      <c r="D1276" s="4" t="s">
        <v>9</v>
      </c>
      <c r="E1276" s="4" t="s">
        <v>9</v>
      </c>
      <c r="F1276" s="6">
        <v>0</v>
      </c>
      <c r="G1276" s="6">
        <v>0</v>
      </c>
      <c r="H1276" s="4" t="s">
        <v>9</v>
      </c>
      <c r="I1276" s="4" t="s">
        <v>3</v>
      </c>
      <c r="J1276" s="4" t="s">
        <v>9</v>
      </c>
      <c r="K1276" s="4" t="s">
        <v>9</v>
      </c>
      <c r="L1276" s="4" t="s">
        <v>9</v>
      </c>
      <c r="M1276" s="4" t="s">
        <v>9</v>
      </c>
      <c r="N1276" s="5"/>
    </row>
    <row r="1277" spans="1:14" x14ac:dyDescent="0.25">
      <c r="A1277" t="s">
        <v>406</v>
      </c>
      <c r="B1277" s="2">
        <v>45539</v>
      </c>
      <c r="C1277" t="s">
        <v>406</v>
      </c>
      <c r="D1277" t="s">
        <v>112</v>
      </c>
      <c r="E1277" t="s">
        <v>9</v>
      </c>
      <c r="F1277" s="3">
        <v>-2700</v>
      </c>
      <c r="G1277" s="3">
        <v>-2700</v>
      </c>
      <c r="H1277" t="s">
        <v>3</v>
      </c>
      <c r="I1277" t="s">
        <v>3</v>
      </c>
      <c r="J1277" t="s">
        <v>9</v>
      </c>
      <c r="K1277" t="s">
        <v>9</v>
      </c>
      <c r="L1277" t="s">
        <v>22</v>
      </c>
      <c r="M1277" t="s">
        <v>114</v>
      </c>
      <c r="N1277" s="2">
        <v>45535</v>
      </c>
    </row>
    <row r="1278" spans="1:14" x14ac:dyDescent="0.25">
      <c r="A1278" t="s">
        <v>406</v>
      </c>
      <c r="B1278" s="2">
        <v>45901</v>
      </c>
      <c r="C1278" t="s">
        <v>406</v>
      </c>
      <c r="D1278" t="s">
        <v>112</v>
      </c>
      <c r="E1278" t="s">
        <v>9</v>
      </c>
      <c r="F1278" s="3">
        <v>9610</v>
      </c>
      <c r="G1278" s="3">
        <v>9610</v>
      </c>
      <c r="H1278" t="s">
        <v>3</v>
      </c>
      <c r="I1278" t="s">
        <v>3</v>
      </c>
      <c r="J1278" t="s">
        <v>9</v>
      </c>
      <c r="K1278" t="s">
        <v>9</v>
      </c>
      <c r="L1278" t="s">
        <v>22</v>
      </c>
      <c r="M1278" t="s">
        <v>114</v>
      </c>
      <c r="N1278" s="2">
        <v>45900</v>
      </c>
    </row>
    <row r="1279" spans="1:14" x14ac:dyDescent="0.25">
      <c r="A1279" t="s">
        <v>406</v>
      </c>
      <c r="B1279" s="2">
        <v>45903</v>
      </c>
      <c r="C1279" t="s">
        <v>406</v>
      </c>
      <c r="D1279" t="s">
        <v>112</v>
      </c>
      <c r="E1279" t="s">
        <v>9</v>
      </c>
      <c r="F1279" s="3">
        <v>-1980</v>
      </c>
      <c r="G1279" s="3">
        <v>-1980</v>
      </c>
      <c r="H1279" t="s">
        <v>3</v>
      </c>
      <c r="I1279" t="s">
        <v>3</v>
      </c>
      <c r="J1279" t="s">
        <v>9</v>
      </c>
      <c r="K1279" t="s">
        <v>9</v>
      </c>
      <c r="L1279" t="s">
        <v>22</v>
      </c>
      <c r="M1279" t="s">
        <v>114</v>
      </c>
      <c r="N1279" s="2">
        <v>45900</v>
      </c>
    </row>
    <row r="1280" spans="1:14" x14ac:dyDescent="0.25">
      <c r="A1280" t="s">
        <v>406</v>
      </c>
      <c r="B1280" s="2">
        <v>46267</v>
      </c>
      <c r="C1280" t="s">
        <v>406</v>
      </c>
      <c r="D1280" t="s">
        <v>112</v>
      </c>
      <c r="E1280" t="s">
        <v>9</v>
      </c>
      <c r="F1280" s="3">
        <v>-1300</v>
      </c>
      <c r="G1280" s="3">
        <v>-1300</v>
      </c>
      <c r="H1280" t="s">
        <v>3</v>
      </c>
      <c r="I1280" t="s">
        <v>3</v>
      </c>
      <c r="J1280" t="s">
        <v>9</v>
      </c>
      <c r="K1280" t="s">
        <v>9</v>
      </c>
      <c r="L1280" t="s">
        <v>22</v>
      </c>
      <c r="M1280" t="s">
        <v>114</v>
      </c>
      <c r="N1280" s="2">
        <v>46265</v>
      </c>
    </row>
    <row r="1281" spans="1:14" x14ac:dyDescent="0.25">
      <c r="A1281" t="s">
        <v>406</v>
      </c>
      <c r="B1281" s="2">
        <v>45535</v>
      </c>
      <c r="C1281" t="s">
        <v>406</v>
      </c>
      <c r="D1281" t="s">
        <v>112</v>
      </c>
      <c r="E1281" t="s">
        <v>9</v>
      </c>
      <c r="F1281" s="3">
        <v>2700</v>
      </c>
      <c r="G1281" s="3">
        <v>2700</v>
      </c>
      <c r="H1281" t="s">
        <v>3</v>
      </c>
      <c r="I1281" t="s">
        <v>3</v>
      </c>
      <c r="J1281" t="s">
        <v>266</v>
      </c>
      <c r="K1281" t="s">
        <v>222</v>
      </c>
      <c r="L1281" t="s">
        <v>22</v>
      </c>
      <c r="M1281" t="s">
        <v>114</v>
      </c>
      <c r="N1281" s="2">
        <v>45535</v>
      </c>
    </row>
    <row r="1282" spans="1:14" x14ac:dyDescent="0.25">
      <c r="A1282" t="s">
        <v>406</v>
      </c>
      <c r="B1282" s="2">
        <v>45869</v>
      </c>
      <c r="C1282" t="s">
        <v>406</v>
      </c>
      <c r="D1282" t="s">
        <v>112</v>
      </c>
      <c r="E1282" t="s">
        <v>9</v>
      </c>
      <c r="F1282" s="3">
        <v>-107410</v>
      </c>
      <c r="G1282" s="3">
        <v>-107410</v>
      </c>
      <c r="H1282" t="s">
        <v>3</v>
      </c>
      <c r="I1282" t="s">
        <v>3</v>
      </c>
      <c r="J1282" t="s">
        <v>317</v>
      </c>
      <c r="K1282" t="s">
        <v>5</v>
      </c>
      <c r="L1282" t="s">
        <v>22</v>
      </c>
      <c r="M1282" t="s">
        <v>114</v>
      </c>
      <c r="N1282" s="2">
        <v>45870</v>
      </c>
    </row>
    <row r="1283" spans="1:14" x14ac:dyDescent="0.25">
      <c r="A1283" t="s">
        <v>406</v>
      </c>
      <c r="B1283" s="2">
        <v>45900</v>
      </c>
      <c r="C1283" t="s">
        <v>406</v>
      </c>
      <c r="D1283" t="s">
        <v>112</v>
      </c>
      <c r="E1283" t="s">
        <v>9</v>
      </c>
      <c r="F1283" s="3">
        <v>97800</v>
      </c>
      <c r="G1283" s="3">
        <v>97800</v>
      </c>
      <c r="H1283" t="s">
        <v>3</v>
      </c>
      <c r="I1283" t="s">
        <v>3</v>
      </c>
      <c r="J1283" t="s">
        <v>320</v>
      </c>
      <c r="K1283" t="s">
        <v>5</v>
      </c>
      <c r="L1283" t="s">
        <v>22</v>
      </c>
      <c r="M1283" t="s">
        <v>114</v>
      </c>
      <c r="N1283" s="2">
        <v>45900</v>
      </c>
    </row>
    <row r="1284" spans="1:14" x14ac:dyDescent="0.25">
      <c r="A1284" t="s">
        <v>406</v>
      </c>
      <c r="B1284" s="2">
        <v>45900</v>
      </c>
      <c r="C1284" t="s">
        <v>406</v>
      </c>
      <c r="D1284" t="s">
        <v>112</v>
      </c>
      <c r="E1284" t="s">
        <v>9</v>
      </c>
      <c r="F1284" s="3">
        <v>-97800</v>
      </c>
      <c r="G1284" s="3">
        <v>-97800</v>
      </c>
      <c r="H1284" t="s">
        <v>3</v>
      </c>
      <c r="I1284" t="s">
        <v>3</v>
      </c>
      <c r="J1284" t="s">
        <v>320</v>
      </c>
      <c r="K1284" t="s">
        <v>5</v>
      </c>
      <c r="L1284" t="s">
        <v>22</v>
      </c>
      <c r="M1284" t="s">
        <v>114</v>
      </c>
      <c r="N1284" s="2">
        <v>45900</v>
      </c>
    </row>
    <row r="1285" spans="1:14" x14ac:dyDescent="0.25">
      <c r="A1285" t="s">
        <v>406</v>
      </c>
      <c r="B1285" s="2">
        <v>45900</v>
      </c>
      <c r="C1285" t="s">
        <v>406</v>
      </c>
      <c r="D1285" t="s">
        <v>112</v>
      </c>
      <c r="E1285" t="s">
        <v>9</v>
      </c>
      <c r="F1285" s="3">
        <v>108530</v>
      </c>
      <c r="G1285" s="3">
        <v>108530</v>
      </c>
      <c r="H1285" t="s">
        <v>3</v>
      </c>
      <c r="I1285" t="s">
        <v>3</v>
      </c>
      <c r="J1285" t="s">
        <v>320</v>
      </c>
      <c r="K1285" t="s">
        <v>5</v>
      </c>
      <c r="L1285" t="s">
        <v>22</v>
      </c>
      <c r="M1285" t="s">
        <v>114</v>
      </c>
      <c r="N1285" s="2">
        <v>45900</v>
      </c>
    </row>
    <row r="1286" spans="1:14" x14ac:dyDescent="0.25">
      <c r="A1286" t="s">
        <v>406</v>
      </c>
      <c r="B1286" s="2">
        <v>45900</v>
      </c>
      <c r="C1286" t="s">
        <v>406</v>
      </c>
      <c r="D1286" t="s">
        <v>112</v>
      </c>
      <c r="E1286" t="s">
        <v>9</v>
      </c>
      <c r="F1286" s="3">
        <v>99780</v>
      </c>
      <c r="G1286" s="3">
        <v>99780</v>
      </c>
      <c r="H1286" t="s">
        <v>3</v>
      </c>
      <c r="I1286" t="s">
        <v>3</v>
      </c>
      <c r="J1286" t="s">
        <v>320</v>
      </c>
      <c r="K1286" t="s">
        <v>5</v>
      </c>
      <c r="L1286" t="s">
        <v>22</v>
      </c>
      <c r="M1286" t="s">
        <v>114</v>
      </c>
      <c r="N1286" s="2">
        <v>45900</v>
      </c>
    </row>
    <row r="1287" spans="1:14" x14ac:dyDescent="0.25">
      <c r="A1287" t="s">
        <v>406</v>
      </c>
      <c r="B1287" s="2">
        <v>45900</v>
      </c>
      <c r="C1287" t="s">
        <v>406</v>
      </c>
      <c r="D1287" t="s">
        <v>112</v>
      </c>
      <c r="E1287" t="s">
        <v>9</v>
      </c>
      <c r="F1287" s="3">
        <v>-108530</v>
      </c>
      <c r="G1287" s="3">
        <v>-108530</v>
      </c>
      <c r="H1287" t="s">
        <v>3</v>
      </c>
      <c r="I1287" t="s">
        <v>3</v>
      </c>
      <c r="J1287" t="s">
        <v>320</v>
      </c>
      <c r="K1287" t="s">
        <v>5</v>
      </c>
      <c r="L1287" t="s">
        <v>22</v>
      </c>
      <c r="M1287" t="s">
        <v>114</v>
      </c>
      <c r="N1287" s="2">
        <v>45900</v>
      </c>
    </row>
    <row r="1288" spans="1:14" x14ac:dyDescent="0.25">
      <c r="A1288" t="s">
        <v>406</v>
      </c>
      <c r="B1288" s="2">
        <v>46234</v>
      </c>
      <c r="C1288" t="s">
        <v>406</v>
      </c>
      <c r="D1288" t="s">
        <v>112</v>
      </c>
      <c r="E1288" t="s">
        <v>9</v>
      </c>
      <c r="F1288" s="3">
        <v>-47612</v>
      </c>
      <c r="G1288" s="3">
        <v>-47612</v>
      </c>
      <c r="H1288" t="s">
        <v>3</v>
      </c>
      <c r="I1288" t="s">
        <v>3</v>
      </c>
      <c r="J1288" t="s">
        <v>319</v>
      </c>
      <c r="K1288" t="s">
        <v>13</v>
      </c>
      <c r="L1288" t="s">
        <v>22</v>
      </c>
      <c r="M1288" t="s">
        <v>114</v>
      </c>
      <c r="N1288" s="2">
        <v>46235</v>
      </c>
    </row>
    <row r="1289" spans="1:14" x14ac:dyDescent="0.25">
      <c r="A1289" t="s">
        <v>406</v>
      </c>
      <c r="B1289" s="2">
        <v>46265</v>
      </c>
      <c r="C1289" t="s">
        <v>406</v>
      </c>
      <c r="D1289" t="s">
        <v>112</v>
      </c>
      <c r="E1289" t="s">
        <v>9</v>
      </c>
      <c r="F1289" s="3">
        <v>48912</v>
      </c>
      <c r="G1289" s="3">
        <v>48912</v>
      </c>
      <c r="H1289" t="s">
        <v>3</v>
      </c>
      <c r="I1289" t="s">
        <v>3</v>
      </c>
      <c r="J1289" t="s">
        <v>322</v>
      </c>
      <c r="K1289" t="s">
        <v>13</v>
      </c>
      <c r="L1289" t="s">
        <v>22</v>
      </c>
      <c r="M1289" t="s">
        <v>114</v>
      </c>
      <c r="N1289" s="2">
        <v>46265</v>
      </c>
    </row>
    <row r="1290" spans="1:14" x14ac:dyDescent="0.25">
      <c r="A1290" s="4" t="s">
        <v>267</v>
      </c>
      <c r="B1290" s="5"/>
      <c r="C1290" s="4" t="s">
        <v>9</v>
      </c>
      <c r="D1290" s="4" t="s">
        <v>9</v>
      </c>
      <c r="E1290" s="4" t="s">
        <v>9</v>
      </c>
      <c r="F1290" s="6">
        <v>0</v>
      </c>
      <c r="G1290" s="6">
        <v>0</v>
      </c>
      <c r="H1290" s="4" t="s">
        <v>9</v>
      </c>
      <c r="I1290" s="4" t="s">
        <v>3</v>
      </c>
      <c r="J1290" s="4" t="s">
        <v>9</v>
      </c>
      <c r="K1290" s="4" t="s">
        <v>9</v>
      </c>
      <c r="L1290" s="4" t="s">
        <v>9</v>
      </c>
      <c r="M1290" s="4" t="s">
        <v>9</v>
      </c>
      <c r="N1290" s="5"/>
    </row>
    <row r="1291" spans="1:14" x14ac:dyDescent="0.25">
      <c r="A1291" t="s">
        <v>406</v>
      </c>
      <c r="B1291" s="2">
        <v>45567</v>
      </c>
      <c r="C1291" t="s">
        <v>406</v>
      </c>
      <c r="D1291" t="s">
        <v>112</v>
      </c>
      <c r="E1291" t="s">
        <v>9</v>
      </c>
      <c r="F1291" s="3">
        <v>-8600</v>
      </c>
      <c r="G1291" s="3">
        <v>-8600</v>
      </c>
      <c r="H1291" t="s">
        <v>3</v>
      </c>
      <c r="I1291" t="s">
        <v>3</v>
      </c>
      <c r="J1291" t="s">
        <v>9</v>
      </c>
      <c r="K1291" t="s">
        <v>9</v>
      </c>
      <c r="L1291" t="s">
        <v>6</v>
      </c>
      <c r="M1291" t="s">
        <v>114</v>
      </c>
      <c r="N1291" s="2">
        <v>45565</v>
      </c>
    </row>
    <row r="1292" spans="1:14" x14ac:dyDescent="0.25">
      <c r="A1292" t="s">
        <v>406</v>
      </c>
      <c r="B1292" s="2">
        <v>45932</v>
      </c>
      <c r="C1292" t="s">
        <v>406</v>
      </c>
      <c r="D1292" t="s">
        <v>112</v>
      </c>
      <c r="E1292" t="s">
        <v>9</v>
      </c>
      <c r="F1292" s="3">
        <v>-1500</v>
      </c>
      <c r="G1292" s="3">
        <v>-1500</v>
      </c>
      <c r="H1292" t="s">
        <v>3</v>
      </c>
      <c r="I1292" t="s">
        <v>3</v>
      </c>
      <c r="J1292" t="s">
        <v>9</v>
      </c>
      <c r="K1292" t="s">
        <v>9</v>
      </c>
      <c r="L1292" t="s">
        <v>6</v>
      </c>
      <c r="M1292" t="s">
        <v>114</v>
      </c>
      <c r="N1292" s="2">
        <v>45930</v>
      </c>
    </row>
    <row r="1293" spans="1:14" x14ac:dyDescent="0.25">
      <c r="A1293" t="s">
        <v>406</v>
      </c>
      <c r="B1293" s="2">
        <v>45535</v>
      </c>
      <c r="C1293" t="s">
        <v>406</v>
      </c>
      <c r="D1293" t="s">
        <v>112</v>
      </c>
      <c r="E1293" t="s">
        <v>9</v>
      </c>
      <c r="F1293" s="3">
        <v>-2700</v>
      </c>
      <c r="G1293" s="3">
        <v>-2700</v>
      </c>
      <c r="H1293" t="s">
        <v>3</v>
      </c>
      <c r="I1293" t="s">
        <v>3</v>
      </c>
      <c r="J1293" t="s">
        <v>266</v>
      </c>
      <c r="K1293" t="s">
        <v>222</v>
      </c>
      <c r="L1293" t="s">
        <v>6</v>
      </c>
      <c r="M1293" t="s">
        <v>114</v>
      </c>
      <c r="N1293" s="2">
        <v>45536</v>
      </c>
    </row>
    <row r="1294" spans="1:14" x14ac:dyDescent="0.25">
      <c r="A1294" t="s">
        <v>406</v>
      </c>
      <c r="B1294" s="2">
        <v>45565</v>
      </c>
      <c r="C1294" t="s">
        <v>406</v>
      </c>
      <c r="D1294" t="s">
        <v>112</v>
      </c>
      <c r="E1294" t="s">
        <v>9</v>
      </c>
      <c r="F1294" s="3">
        <v>11300</v>
      </c>
      <c r="G1294" s="3">
        <v>11300</v>
      </c>
      <c r="H1294" t="s">
        <v>3</v>
      </c>
      <c r="I1294" t="s">
        <v>3</v>
      </c>
      <c r="J1294" t="s">
        <v>271</v>
      </c>
      <c r="K1294" t="s">
        <v>222</v>
      </c>
      <c r="L1294" t="s">
        <v>6</v>
      </c>
      <c r="M1294" t="s">
        <v>114</v>
      </c>
      <c r="N1294" s="2">
        <v>45565</v>
      </c>
    </row>
    <row r="1295" spans="1:14" x14ac:dyDescent="0.25">
      <c r="A1295" t="s">
        <v>406</v>
      </c>
      <c r="B1295" s="2">
        <v>45900</v>
      </c>
      <c r="C1295" t="s">
        <v>406</v>
      </c>
      <c r="D1295" t="s">
        <v>112</v>
      </c>
      <c r="E1295" t="s">
        <v>9</v>
      </c>
      <c r="F1295" s="3">
        <v>-97800</v>
      </c>
      <c r="G1295" s="3">
        <v>-97800</v>
      </c>
      <c r="H1295" t="s">
        <v>3</v>
      </c>
      <c r="I1295" t="s">
        <v>3</v>
      </c>
      <c r="J1295" t="s">
        <v>320</v>
      </c>
      <c r="K1295" t="s">
        <v>5</v>
      </c>
      <c r="L1295" t="s">
        <v>6</v>
      </c>
      <c r="M1295" t="s">
        <v>114</v>
      </c>
      <c r="N1295" s="2">
        <v>45901</v>
      </c>
    </row>
    <row r="1296" spans="1:14" x14ac:dyDescent="0.25">
      <c r="A1296" t="s">
        <v>406</v>
      </c>
      <c r="B1296" s="2">
        <v>45900</v>
      </c>
      <c r="C1296" t="s">
        <v>406</v>
      </c>
      <c r="D1296" t="s">
        <v>112</v>
      </c>
      <c r="E1296" t="s">
        <v>9</v>
      </c>
      <c r="F1296" s="3">
        <v>97800</v>
      </c>
      <c r="G1296" s="3">
        <v>97800</v>
      </c>
      <c r="H1296" t="s">
        <v>3</v>
      </c>
      <c r="I1296" t="s">
        <v>3</v>
      </c>
      <c r="J1296" t="s">
        <v>320</v>
      </c>
      <c r="K1296" t="s">
        <v>5</v>
      </c>
      <c r="L1296" t="s">
        <v>6</v>
      </c>
      <c r="M1296" t="s">
        <v>114</v>
      </c>
      <c r="N1296" s="2">
        <v>45901</v>
      </c>
    </row>
    <row r="1297" spans="1:14" x14ac:dyDescent="0.25">
      <c r="A1297" t="s">
        <v>406</v>
      </c>
      <c r="B1297" s="2">
        <v>45900</v>
      </c>
      <c r="C1297" t="s">
        <v>406</v>
      </c>
      <c r="D1297" t="s">
        <v>112</v>
      </c>
      <c r="E1297" t="s">
        <v>9</v>
      </c>
      <c r="F1297" s="3">
        <v>-108530</v>
      </c>
      <c r="G1297" s="3">
        <v>-108530</v>
      </c>
      <c r="H1297" t="s">
        <v>3</v>
      </c>
      <c r="I1297" t="s">
        <v>3</v>
      </c>
      <c r="J1297" t="s">
        <v>320</v>
      </c>
      <c r="K1297" t="s">
        <v>5</v>
      </c>
      <c r="L1297" t="s">
        <v>6</v>
      </c>
      <c r="M1297" t="s">
        <v>114</v>
      </c>
      <c r="N1297" s="2">
        <v>45901</v>
      </c>
    </row>
    <row r="1298" spans="1:14" x14ac:dyDescent="0.25">
      <c r="A1298" t="s">
        <v>406</v>
      </c>
      <c r="B1298" s="2">
        <v>45900</v>
      </c>
      <c r="C1298" t="s">
        <v>406</v>
      </c>
      <c r="D1298" t="s">
        <v>112</v>
      </c>
      <c r="E1298" t="s">
        <v>9</v>
      </c>
      <c r="F1298" s="3">
        <v>108530</v>
      </c>
      <c r="G1298" s="3">
        <v>108530</v>
      </c>
      <c r="H1298" t="s">
        <v>3</v>
      </c>
      <c r="I1298" t="s">
        <v>3</v>
      </c>
      <c r="J1298" t="s">
        <v>320</v>
      </c>
      <c r="K1298" t="s">
        <v>5</v>
      </c>
      <c r="L1298" t="s">
        <v>6</v>
      </c>
      <c r="M1298" t="s">
        <v>114</v>
      </c>
      <c r="N1298" s="2">
        <v>45901</v>
      </c>
    </row>
    <row r="1299" spans="1:14" x14ac:dyDescent="0.25">
      <c r="A1299" t="s">
        <v>406</v>
      </c>
      <c r="B1299" s="2">
        <v>45900</v>
      </c>
      <c r="C1299" t="s">
        <v>406</v>
      </c>
      <c r="D1299" t="s">
        <v>112</v>
      </c>
      <c r="E1299" t="s">
        <v>9</v>
      </c>
      <c r="F1299" s="3">
        <v>-99780</v>
      </c>
      <c r="G1299" s="3">
        <v>-99780</v>
      </c>
      <c r="H1299" t="s">
        <v>3</v>
      </c>
      <c r="I1299" t="s">
        <v>3</v>
      </c>
      <c r="J1299" t="s">
        <v>320</v>
      </c>
      <c r="K1299" t="s">
        <v>5</v>
      </c>
      <c r="L1299" t="s">
        <v>6</v>
      </c>
      <c r="M1299" t="s">
        <v>114</v>
      </c>
      <c r="N1299" s="2">
        <v>45901</v>
      </c>
    </row>
    <row r="1300" spans="1:14" x14ac:dyDescent="0.25">
      <c r="A1300" t="s">
        <v>406</v>
      </c>
      <c r="B1300" s="2">
        <v>45930</v>
      </c>
      <c r="C1300" t="s">
        <v>406</v>
      </c>
      <c r="D1300" t="s">
        <v>112</v>
      </c>
      <c r="E1300" t="s">
        <v>9</v>
      </c>
      <c r="F1300" s="3">
        <v>101280</v>
      </c>
      <c r="G1300" s="3">
        <v>101280</v>
      </c>
      <c r="H1300" t="s">
        <v>3</v>
      </c>
      <c r="I1300" t="s">
        <v>3</v>
      </c>
      <c r="J1300" t="s">
        <v>323</v>
      </c>
      <c r="K1300" t="s">
        <v>5</v>
      </c>
      <c r="L1300" t="s">
        <v>6</v>
      </c>
      <c r="M1300" t="s">
        <v>114</v>
      </c>
      <c r="N1300" s="2">
        <v>45930</v>
      </c>
    </row>
    <row r="1301" spans="1:14" x14ac:dyDescent="0.25">
      <c r="A1301" s="4" t="s">
        <v>272</v>
      </c>
      <c r="B1301" s="5"/>
      <c r="C1301" s="4" t="s">
        <v>9</v>
      </c>
      <c r="D1301" s="4" t="s">
        <v>9</v>
      </c>
      <c r="E1301" s="4" t="s">
        <v>9</v>
      </c>
      <c r="F1301" s="6">
        <v>0</v>
      </c>
      <c r="G1301" s="6">
        <v>0</v>
      </c>
      <c r="H1301" s="4" t="s">
        <v>9</v>
      </c>
      <c r="I1301" s="4" t="s">
        <v>3</v>
      </c>
      <c r="J1301" s="4" t="s">
        <v>9</v>
      </c>
      <c r="K1301" s="4" t="s">
        <v>9</v>
      </c>
      <c r="L1301" s="4" t="s">
        <v>9</v>
      </c>
      <c r="M1301" s="4" t="s">
        <v>9</v>
      </c>
      <c r="N1301" s="5"/>
    </row>
    <row r="1302" spans="1:14" x14ac:dyDescent="0.25">
      <c r="A1302" t="s">
        <v>406</v>
      </c>
      <c r="B1302" s="2">
        <v>45601</v>
      </c>
      <c r="C1302" t="s">
        <v>406</v>
      </c>
      <c r="D1302" t="s">
        <v>112</v>
      </c>
      <c r="E1302" t="s">
        <v>9</v>
      </c>
      <c r="F1302" s="3">
        <v>-750</v>
      </c>
      <c r="G1302" s="3">
        <v>-750</v>
      </c>
      <c r="H1302" t="s">
        <v>3</v>
      </c>
      <c r="I1302" t="s">
        <v>3</v>
      </c>
      <c r="J1302" t="s">
        <v>9</v>
      </c>
      <c r="K1302" t="s">
        <v>9</v>
      </c>
      <c r="L1302" t="s">
        <v>8</v>
      </c>
      <c r="M1302" t="s">
        <v>114</v>
      </c>
      <c r="N1302" s="2">
        <v>45596</v>
      </c>
    </row>
    <row r="1303" spans="1:14" x14ac:dyDescent="0.25">
      <c r="A1303" t="s">
        <v>406</v>
      </c>
      <c r="B1303" s="2">
        <v>45965</v>
      </c>
      <c r="C1303" t="s">
        <v>406</v>
      </c>
      <c r="D1303" t="s">
        <v>112</v>
      </c>
      <c r="E1303" t="s">
        <v>9</v>
      </c>
      <c r="F1303" s="3">
        <v>-21570</v>
      </c>
      <c r="G1303" s="3">
        <v>-21570</v>
      </c>
      <c r="H1303" t="s">
        <v>3</v>
      </c>
      <c r="I1303" t="s">
        <v>3</v>
      </c>
      <c r="J1303" t="s">
        <v>9</v>
      </c>
      <c r="K1303" t="s">
        <v>9</v>
      </c>
      <c r="L1303" t="s">
        <v>8</v>
      </c>
      <c r="M1303" t="s">
        <v>114</v>
      </c>
      <c r="N1303" s="2">
        <v>45961</v>
      </c>
    </row>
    <row r="1304" spans="1:14" x14ac:dyDescent="0.25">
      <c r="A1304" t="s">
        <v>406</v>
      </c>
      <c r="B1304" s="2">
        <v>45565</v>
      </c>
      <c r="C1304" t="s">
        <v>406</v>
      </c>
      <c r="D1304" t="s">
        <v>112</v>
      </c>
      <c r="E1304" t="s">
        <v>9</v>
      </c>
      <c r="F1304" s="3">
        <v>-11300</v>
      </c>
      <c r="G1304" s="3">
        <v>-11300</v>
      </c>
      <c r="H1304" t="s">
        <v>3</v>
      </c>
      <c r="I1304" t="s">
        <v>3</v>
      </c>
      <c r="J1304" t="s">
        <v>271</v>
      </c>
      <c r="K1304" t="s">
        <v>222</v>
      </c>
      <c r="L1304" t="s">
        <v>8</v>
      </c>
      <c r="M1304" t="s">
        <v>114</v>
      </c>
      <c r="N1304" s="2">
        <v>45566</v>
      </c>
    </row>
    <row r="1305" spans="1:14" x14ac:dyDescent="0.25">
      <c r="A1305" t="s">
        <v>406</v>
      </c>
      <c r="B1305" s="2">
        <v>45596</v>
      </c>
      <c r="C1305" t="s">
        <v>406</v>
      </c>
      <c r="D1305" t="s">
        <v>112</v>
      </c>
      <c r="E1305" t="s">
        <v>9</v>
      </c>
      <c r="F1305" s="3">
        <v>12050</v>
      </c>
      <c r="G1305" s="3">
        <v>12050</v>
      </c>
      <c r="H1305" t="s">
        <v>3</v>
      </c>
      <c r="I1305" t="s">
        <v>3</v>
      </c>
      <c r="J1305" t="s">
        <v>277</v>
      </c>
      <c r="K1305" t="s">
        <v>222</v>
      </c>
      <c r="L1305" t="s">
        <v>8</v>
      </c>
      <c r="M1305" t="s">
        <v>114</v>
      </c>
      <c r="N1305" s="2">
        <v>45596</v>
      </c>
    </row>
    <row r="1306" spans="1:14" x14ac:dyDescent="0.25">
      <c r="A1306" t="s">
        <v>406</v>
      </c>
      <c r="B1306" s="2">
        <v>45930</v>
      </c>
      <c r="C1306" t="s">
        <v>406</v>
      </c>
      <c r="D1306" t="s">
        <v>112</v>
      </c>
      <c r="E1306" t="s">
        <v>9</v>
      </c>
      <c r="F1306" s="3">
        <v>-101280</v>
      </c>
      <c r="G1306" s="3">
        <v>-101280</v>
      </c>
      <c r="H1306" t="s">
        <v>3</v>
      </c>
      <c r="I1306" t="s">
        <v>3</v>
      </c>
      <c r="J1306" t="s">
        <v>323</v>
      </c>
      <c r="K1306" t="s">
        <v>5</v>
      </c>
      <c r="L1306" t="s">
        <v>8</v>
      </c>
      <c r="M1306" t="s">
        <v>114</v>
      </c>
      <c r="N1306" s="2">
        <v>45931</v>
      </c>
    </row>
    <row r="1307" spans="1:14" x14ac:dyDescent="0.25">
      <c r="A1307" t="s">
        <v>406</v>
      </c>
      <c r="B1307" s="2">
        <v>45961</v>
      </c>
      <c r="C1307" t="s">
        <v>406</v>
      </c>
      <c r="D1307" t="s">
        <v>112</v>
      </c>
      <c r="E1307" t="s">
        <v>9</v>
      </c>
      <c r="F1307" s="3">
        <v>122850</v>
      </c>
      <c r="G1307" s="3">
        <v>122850</v>
      </c>
      <c r="H1307" t="s">
        <v>3</v>
      </c>
      <c r="I1307" t="s">
        <v>3</v>
      </c>
      <c r="J1307" t="s">
        <v>325</v>
      </c>
      <c r="K1307" t="s">
        <v>5</v>
      </c>
      <c r="L1307" t="s">
        <v>8</v>
      </c>
      <c r="M1307" t="s">
        <v>114</v>
      </c>
      <c r="N1307" s="2">
        <v>45961</v>
      </c>
    </row>
    <row r="1308" spans="1:14" x14ac:dyDescent="0.25">
      <c r="A1308" s="4" t="s">
        <v>278</v>
      </c>
      <c r="B1308" s="5"/>
      <c r="C1308" s="4" t="s">
        <v>9</v>
      </c>
      <c r="D1308" s="4" t="s">
        <v>9</v>
      </c>
      <c r="E1308" s="4" t="s">
        <v>9</v>
      </c>
      <c r="F1308" s="6">
        <v>0</v>
      </c>
      <c r="G1308" s="6">
        <v>0</v>
      </c>
      <c r="H1308" s="4" t="s">
        <v>9</v>
      </c>
      <c r="I1308" s="4" t="s">
        <v>3</v>
      </c>
      <c r="J1308" s="4" t="s">
        <v>9</v>
      </c>
      <c r="K1308" s="4" t="s">
        <v>9</v>
      </c>
      <c r="L1308" s="4" t="s">
        <v>9</v>
      </c>
      <c r="M1308" s="4" t="s">
        <v>9</v>
      </c>
      <c r="N1308" s="5"/>
    </row>
    <row r="1309" spans="1:14" x14ac:dyDescent="0.25">
      <c r="A1309" t="s">
        <v>406</v>
      </c>
      <c r="B1309" s="2">
        <v>45629</v>
      </c>
      <c r="C1309" t="s">
        <v>406</v>
      </c>
      <c r="D1309" t="s">
        <v>112</v>
      </c>
      <c r="E1309" t="s">
        <v>9</v>
      </c>
      <c r="F1309" s="3">
        <v>-4500</v>
      </c>
      <c r="G1309" s="3">
        <v>-4500</v>
      </c>
      <c r="H1309" t="s">
        <v>3</v>
      </c>
      <c r="I1309" t="s">
        <v>3</v>
      </c>
      <c r="J1309" t="s">
        <v>9</v>
      </c>
      <c r="K1309" t="s">
        <v>9</v>
      </c>
      <c r="L1309" t="s">
        <v>11</v>
      </c>
      <c r="M1309" t="s">
        <v>114</v>
      </c>
      <c r="N1309" s="2">
        <v>45626</v>
      </c>
    </row>
    <row r="1310" spans="1:14" x14ac:dyDescent="0.25">
      <c r="A1310" t="s">
        <v>406</v>
      </c>
      <c r="B1310" s="2">
        <v>45993</v>
      </c>
      <c r="C1310" t="s">
        <v>406</v>
      </c>
      <c r="D1310" t="s">
        <v>112</v>
      </c>
      <c r="E1310" t="s">
        <v>9</v>
      </c>
      <c r="F1310" s="3">
        <v>-4700</v>
      </c>
      <c r="G1310" s="3">
        <v>-4700</v>
      </c>
      <c r="H1310" t="s">
        <v>3</v>
      </c>
      <c r="I1310" t="s">
        <v>3</v>
      </c>
      <c r="J1310" t="s">
        <v>9</v>
      </c>
      <c r="K1310" t="s">
        <v>9</v>
      </c>
      <c r="L1310" t="s">
        <v>11</v>
      </c>
      <c r="M1310" t="s">
        <v>114</v>
      </c>
      <c r="N1310" s="2">
        <v>45991</v>
      </c>
    </row>
    <row r="1311" spans="1:14" x14ac:dyDescent="0.25">
      <c r="A1311" t="s">
        <v>406</v>
      </c>
      <c r="B1311" s="2">
        <v>45596</v>
      </c>
      <c r="C1311" t="s">
        <v>406</v>
      </c>
      <c r="D1311" t="s">
        <v>112</v>
      </c>
      <c r="E1311" t="s">
        <v>9</v>
      </c>
      <c r="F1311" s="3">
        <v>-12050</v>
      </c>
      <c r="G1311" s="3">
        <v>-12050</v>
      </c>
      <c r="H1311" t="s">
        <v>3</v>
      </c>
      <c r="I1311" t="s">
        <v>3</v>
      </c>
      <c r="J1311" t="s">
        <v>277</v>
      </c>
      <c r="K1311" t="s">
        <v>222</v>
      </c>
      <c r="L1311" t="s">
        <v>11</v>
      </c>
      <c r="M1311" t="s">
        <v>114</v>
      </c>
      <c r="N1311" s="2">
        <v>45597</v>
      </c>
    </row>
    <row r="1312" spans="1:14" x14ac:dyDescent="0.25">
      <c r="A1312" t="s">
        <v>406</v>
      </c>
      <c r="B1312" s="2">
        <v>45626</v>
      </c>
      <c r="C1312" t="s">
        <v>406</v>
      </c>
      <c r="D1312" t="s">
        <v>112</v>
      </c>
      <c r="E1312" t="s">
        <v>9</v>
      </c>
      <c r="F1312" s="3">
        <v>16550</v>
      </c>
      <c r="G1312" s="3">
        <v>16550</v>
      </c>
      <c r="H1312" t="s">
        <v>3</v>
      </c>
      <c r="I1312" t="s">
        <v>3</v>
      </c>
      <c r="J1312" t="s">
        <v>283</v>
      </c>
      <c r="K1312" t="s">
        <v>222</v>
      </c>
      <c r="L1312" t="s">
        <v>11</v>
      </c>
      <c r="M1312" t="s">
        <v>114</v>
      </c>
      <c r="N1312" s="2">
        <v>45626</v>
      </c>
    </row>
    <row r="1313" spans="1:14" x14ac:dyDescent="0.25">
      <c r="A1313" t="s">
        <v>406</v>
      </c>
      <c r="B1313" s="2">
        <v>45961</v>
      </c>
      <c r="C1313" t="s">
        <v>406</v>
      </c>
      <c r="D1313" t="s">
        <v>112</v>
      </c>
      <c r="E1313" t="s">
        <v>9</v>
      </c>
      <c r="F1313" s="3">
        <v>-122850</v>
      </c>
      <c r="G1313" s="3">
        <v>-122850</v>
      </c>
      <c r="H1313" t="s">
        <v>3</v>
      </c>
      <c r="I1313" t="s">
        <v>3</v>
      </c>
      <c r="J1313" t="s">
        <v>325</v>
      </c>
      <c r="K1313" t="s">
        <v>5</v>
      </c>
      <c r="L1313" t="s">
        <v>11</v>
      </c>
      <c r="M1313" t="s">
        <v>114</v>
      </c>
      <c r="N1313" s="2">
        <v>45962</v>
      </c>
    </row>
    <row r="1314" spans="1:14" x14ac:dyDescent="0.25">
      <c r="A1314" t="s">
        <v>406</v>
      </c>
      <c r="B1314" s="2">
        <v>45991</v>
      </c>
      <c r="C1314" t="s">
        <v>406</v>
      </c>
      <c r="D1314" t="s">
        <v>112</v>
      </c>
      <c r="E1314" t="s">
        <v>9</v>
      </c>
      <c r="F1314" s="3">
        <v>127550</v>
      </c>
      <c r="G1314" s="3">
        <v>127550</v>
      </c>
      <c r="H1314" t="s">
        <v>3</v>
      </c>
      <c r="I1314" t="s">
        <v>3</v>
      </c>
      <c r="J1314" t="s">
        <v>328</v>
      </c>
      <c r="K1314" t="s">
        <v>5</v>
      </c>
      <c r="L1314" t="s">
        <v>11</v>
      </c>
      <c r="M1314" t="s">
        <v>114</v>
      </c>
      <c r="N1314" s="2">
        <v>45991</v>
      </c>
    </row>
    <row r="1315" spans="1:14" x14ac:dyDescent="0.25">
      <c r="A1315" s="4" t="s">
        <v>226</v>
      </c>
      <c r="B1315" s="5"/>
      <c r="C1315" s="4" t="s">
        <v>9</v>
      </c>
      <c r="D1315" s="4" t="s">
        <v>9</v>
      </c>
      <c r="E1315" s="4" t="s">
        <v>9</v>
      </c>
      <c r="F1315" s="6">
        <v>0</v>
      </c>
      <c r="G1315" s="6">
        <v>0</v>
      </c>
      <c r="H1315" s="4" t="s">
        <v>9</v>
      </c>
      <c r="I1315" s="4" t="s">
        <v>3</v>
      </c>
      <c r="J1315" s="4" t="s">
        <v>9</v>
      </c>
      <c r="K1315" s="4" t="s">
        <v>9</v>
      </c>
      <c r="L1315" s="4" t="s">
        <v>9</v>
      </c>
      <c r="M1315" s="4" t="s">
        <v>9</v>
      </c>
      <c r="N1315" s="5"/>
    </row>
    <row r="1316" spans="1:14" x14ac:dyDescent="0.25">
      <c r="A1316" t="s">
        <v>406</v>
      </c>
      <c r="B1316" s="2">
        <v>45660</v>
      </c>
      <c r="C1316" t="s">
        <v>406</v>
      </c>
      <c r="D1316" t="s">
        <v>112</v>
      </c>
      <c r="E1316" t="s">
        <v>9</v>
      </c>
      <c r="F1316" s="3">
        <v>-10500</v>
      </c>
      <c r="G1316" s="3">
        <v>-10500</v>
      </c>
      <c r="H1316" t="s">
        <v>3</v>
      </c>
      <c r="I1316" t="s">
        <v>3</v>
      </c>
      <c r="J1316" t="s">
        <v>9</v>
      </c>
      <c r="K1316" t="s">
        <v>9</v>
      </c>
      <c r="L1316" t="s">
        <v>12</v>
      </c>
      <c r="M1316" t="s">
        <v>114</v>
      </c>
      <c r="N1316" s="2">
        <v>45657</v>
      </c>
    </row>
    <row r="1317" spans="1:14" x14ac:dyDescent="0.25">
      <c r="A1317" t="s">
        <v>406</v>
      </c>
      <c r="B1317" s="2">
        <v>46028</v>
      </c>
      <c r="C1317" t="s">
        <v>406</v>
      </c>
      <c r="D1317" t="s">
        <v>112</v>
      </c>
      <c r="E1317" t="s">
        <v>9</v>
      </c>
      <c r="F1317" s="3">
        <v>-7618.75</v>
      </c>
      <c r="G1317" s="3">
        <v>-7618.75</v>
      </c>
      <c r="H1317" t="s">
        <v>3</v>
      </c>
      <c r="I1317" t="s">
        <v>3</v>
      </c>
      <c r="J1317" t="s">
        <v>9</v>
      </c>
      <c r="K1317" t="s">
        <v>9</v>
      </c>
      <c r="L1317" t="s">
        <v>12</v>
      </c>
      <c r="M1317" t="s">
        <v>114</v>
      </c>
      <c r="N1317" s="2">
        <v>46022</v>
      </c>
    </row>
    <row r="1318" spans="1:14" x14ac:dyDescent="0.25">
      <c r="A1318" t="s">
        <v>406</v>
      </c>
      <c r="B1318" s="2">
        <v>45626</v>
      </c>
      <c r="C1318" t="s">
        <v>406</v>
      </c>
      <c r="D1318" t="s">
        <v>112</v>
      </c>
      <c r="E1318" t="s">
        <v>9</v>
      </c>
      <c r="F1318" s="3">
        <v>-16550</v>
      </c>
      <c r="G1318" s="3">
        <v>-16550</v>
      </c>
      <c r="H1318" t="s">
        <v>3</v>
      </c>
      <c r="I1318" t="s">
        <v>3</v>
      </c>
      <c r="J1318" t="s">
        <v>283</v>
      </c>
      <c r="K1318" t="s">
        <v>222</v>
      </c>
      <c r="L1318" t="s">
        <v>12</v>
      </c>
      <c r="M1318" t="s">
        <v>114</v>
      </c>
      <c r="N1318" s="2">
        <v>45627</v>
      </c>
    </row>
    <row r="1319" spans="1:14" x14ac:dyDescent="0.25">
      <c r="A1319" t="s">
        <v>406</v>
      </c>
      <c r="B1319" s="2">
        <v>45657</v>
      </c>
      <c r="C1319" t="s">
        <v>406</v>
      </c>
      <c r="D1319" t="s">
        <v>112</v>
      </c>
      <c r="E1319" t="s">
        <v>9</v>
      </c>
      <c r="F1319" s="3">
        <v>27050</v>
      </c>
      <c r="G1319" s="3">
        <v>27050</v>
      </c>
      <c r="H1319" t="s">
        <v>3</v>
      </c>
      <c r="I1319" t="s">
        <v>3</v>
      </c>
      <c r="J1319" t="s">
        <v>292</v>
      </c>
      <c r="K1319" t="s">
        <v>222</v>
      </c>
      <c r="L1319" t="s">
        <v>12</v>
      </c>
      <c r="M1319" t="s">
        <v>114</v>
      </c>
      <c r="N1319" s="2">
        <v>45657</v>
      </c>
    </row>
    <row r="1320" spans="1:14" x14ac:dyDescent="0.25">
      <c r="A1320" t="s">
        <v>406</v>
      </c>
      <c r="B1320" s="2">
        <v>45991</v>
      </c>
      <c r="C1320" t="s">
        <v>406</v>
      </c>
      <c r="D1320" t="s">
        <v>112</v>
      </c>
      <c r="E1320" t="s">
        <v>9</v>
      </c>
      <c r="F1320" s="3">
        <v>-127550</v>
      </c>
      <c r="G1320" s="3">
        <v>-127550</v>
      </c>
      <c r="H1320" t="s">
        <v>3</v>
      </c>
      <c r="I1320" t="s">
        <v>3</v>
      </c>
      <c r="J1320" t="s">
        <v>328</v>
      </c>
      <c r="K1320" t="s">
        <v>5</v>
      </c>
      <c r="L1320" t="s">
        <v>12</v>
      </c>
      <c r="M1320" t="s">
        <v>114</v>
      </c>
      <c r="N1320" s="2">
        <v>45992</v>
      </c>
    </row>
    <row r="1321" spans="1:14" x14ac:dyDescent="0.25">
      <c r="A1321" t="s">
        <v>406</v>
      </c>
      <c r="B1321" s="2">
        <v>46022</v>
      </c>
      <c r="C1321" t="s">
        <v>406</v>
      </c>
      <c r="D1321" t="s">
        <v>112</v>
      </c>
      <c r="E1321" t="s">
        <v>9</v>
      </c>
      <c r="F1321" s="3">
        <v>135168.75</v>
      </c>
      <c r="G1321" s="3">
        <v>135168.75</v>
      </c>
      <c r="H1321" t="s">
        <v>3</v>
      </c>
      <c r="I1321" t="s">
        <v>3</v>
      </c>
      <c r="J1321" t="s">
        <v>298</v>
      </c>
      <c r="K1321" t="s">
        <v>5</v>
      </c>
      <c r="L1321" t="s">
        <v>12</v>
      </c>
      <c r="M1321" t="s">
        <v>114</v>
      </c>
      <c r="N1321" s="2">
        <v>46022</v>
      </c>
    </row>
    <row r="1322" spans="1:14" x14ac:dyDescent="0.25">
      <c r="A1322" t="s">
        <v>406</v>
      </c>
      <c r="B1322" s="2">
        <v>46022</v>
      </c>
      <c r="C1322" t="s">
        <v>406</v>
      </c>
      <c r="D1322" t="s">
        <v>112</v>
      </c>
      <c r="E1322" t="s">
        <v>9</v>
      </c>
      <c r="F1322" s="3">
        <v>135168.75</v>
      </c>
      <c r="G1322" s="3">
        <v>135168.75</v>
      </c>
      <c r="H1322" t="s">
        <v>3</v>
      </c>
      <c r="I1322" t="s">
        <v>3</v>
      </c>
      <c r="J1322" t="s">
        <v>298</v>
      </c>
      <c r="K1322" t="s">
        <v>5</v>
      </c>
      <c r="L1322" t="s">
        <v>12</v>
      </c>
      <c r="M1322" t="s">
        <v>114</v>
      </c>
      <c r="N1322" s="2">
        <v>46022</v>
      </c>
    </row>
    <row r="1323" spans="1:14" x14ac:dyDescent="0.25">
      <c r="A1323" t="s">
        <v>406</v>
      </c>
      <c r="B1323" s="2">
        <v>46022</v>
      </c>
      <c r="C1323" t="s">
        <v>406</v>
      </c>
      <c r="D1323" t="s">
        <v>112</v>
      </c>
      <c r="E1323" t="s">
        <v>9</v>
      </c>
      <c r="F1323" s="3">
        <v>-135168.75</v>
      </c>
      <c r="G1323" s="3">
        <v>-135168.75</v>
      </c>
      <c r="H1323" t="s">
        <v>3</v>
      </c>
      <c r="I1323" t="s">
        <v>3</v>
      </c>
      <c r="J1323" t="s">
        <v>298</v>
      </c>
      <c r="K1323" t="s">
        <v>5</v>
      </c>
      <c r="L1323" t="s">
        <v>12</v>
      </c>
      <c r="M1323" t="s">
        <v>114</v>
      </c>
      <c r="N1323" s="2">
        <v>46022</v>
      </c>
    </row>
    <row r="1324" spans="1:14" x14ac:dyDescent="0.25">
      <c r="A1324" s="4" t="s">
        <v>228</v>
      </c>
      <c r="B1324" s="5"/>
      <c r="C1324" s="4" t="s">
        <v>9</v>
      </c>
      <c r="D1324" s="4" t="s">
        <v>9</v>
      </c>
      <c r="E1324" s="4" t="s">
        <v>9</v>
      </c>
      <c r="F1324" s="6">
        <v>0</v>
      </c>
      <c r="G1324" s="6">
        <v>0</v>
      </c>
      <c r="H1324" s="4" t="s">
        <v>9</v>
      </c>
      <c r="I1324" s="4" t="s">
        <v>3</v>
      </c>
      <c r="J1324" s="4" t="s">
        <v>9</v>
      </c>
      <c r="K1324" s="4" t="s">
        <v>9</v>
      </c>
      <c r="L1324" s="4" t="s">
        <v>9</v>
      </c>
      <c r="M1324" s="4" t="s">
        <v>9</v>
      </c>
      <c r="N1324" s="5"/>
    </row>
    <row r="1325" spans="1:14" x14ac:dyDescent="0.25">
      <c r="A1325" s="4" t="s">
        <v>406</v>
      </c>
      <c r="B1325" s="5"/>
      <c r="C1325" s="4" t="s">
        <v>9</v>
      </c>
      <c r="D1325" s="4" t="s">
        <v>9</v>
      </c>
      <c r="E1325" s="4" t="s">
        <v>9</v>
      </c>
      <c r="F1325" s="6">
        <v>0</v>
      </c>
      <c r="G1325" s="6">
        <v>0</v>
      </c>
      <c r="H1325" s="4" t="s">
        <v>9</v>
      </c>
      <c r="I1325" s="4" t="s">
        <v>3</v>
      </c>
      <c r="J1325" s="4" t="s">
        <v>9</v>
      </c>
      <c r="K1325" s="4" t="s">
        <v>9</v>
      </c>
      <c r="L1325" s="4" t="s">
        <v>9</v>
      </c>
      <c r="M1325" s="4" t="s">
        <v>9</v>
      </c>
      <c r="N1325" s="5"/>
    </row>
    <row r="1326" spans="1:14" x14ac:dyDescent="0.25">
      <c r="A1326" t="s">
        <v>407</v>
      </c>
      <c r="B1326" s="2">
        <v>45509</v>
      </c>
      <c r="C1326" t="s">
        <v>407</v>
      </c>
      <c r="D1326" t="s">
        <v>408</v>
      </c>
      <c r="E1326" t="s">
        <v>9</v>
      </c>
      <c r="F1326" s="3">
        <v>-2700</v>
      </c>
      <c r="G1326" s="3">
        <v>-2700</v>
      </c>
      <c r="H1326" t="s">
        <v>3</v>
      </c>
      <c r="I1326" t="s">
        <v>3</v>
      </c>
      <c r="J1326" t="s">
        <v>9</v>
      </c>
      <c r="K1326" t="s">
        <v>9</v>
      </c>
      <c r="L1326" t="s">
        <v>21</v>
      </c>
      <c r="M1326" t="s">
        <v>409</v>
      </c>
      <c r="N1326" s="2">
        <v>45504</v>
      </c>
    </row>
    <row r="1327" spans="1:14" x14ac:dyDescent="0.25">
      <c r="A1327" t="s">
        <v>407</v>
      </c>
      <c r="B1327" s="2">
        <v>45502</v>
      </c>
      <c r="C1327" t="s">
        <v>407</v>
      </c>
      <c r="D1327" t="s">
        <v>408</v>
      </c>
      <c r="E1327" t="s">
        <v>410</v>
      </c>
      <c r="F1327" s="3">
        <v>2700</v>
      </c>
      <c r="G1327" s="3">
        <v>2700</v>
      </c>
      <c r="H1327" t="s">
        <v>3</v>
      </c>
      <c r="I1327" t="s">
        <v>3</v>
      </c>
      <c r="J1327" t="s">
        <v>411</v>
      </c>
      <c r="K1327" t="s">
        <v>222</v>
      </c>
      <c r="L1327" t="s">
        <v>21</v>
      </c>
      <c r="M1327" t="s">
        <v>409</v>
      </c>
      <c r="N1327" s="2">
        <v>45502</v>
      </c>
    </row>
    <row r="1328" spans="1:14" x14ac:dyDescent="0.25">
      <c r="A1328" s="4" t="s">
        <v>262</v>
      </c>
      <c r="B1328" s="5"/>
      <c r="C1328" s="4" t="s">
        <v>9</v>
      </c>
      <c r="D1328" s="4" t="s">
        <v>9</v>
      </c>
      <c r="E1328" s="4" t="s">
        <v>9</v>
      </c>
      <c r="F1328" s="6">
        <v>0</v>
      </c>
      <c r="G1328" s="6">
        <v>0</v>
      </c>
      <c r="H1328" s="4" t="s">
        <v>9</v>
      </c>
      <c r="I1328" s="4" t="s">
        <v>3</v>
      </c>
      <c r="J1328" s="4" t="s">
        <v>9</v>
      </c>
      <c r="K1328" s="4" t="s">
        <v>9</v>
      </c>
      <c r="L1328" s="4" t="s">
        <v>9</v>
      </c>
      <c r="M1328" s="4" t="s">
        <v>9</v>
      </c>
      <c r="N1328" s="5"/>
    </row>
    <row r="1329" spans="1:14" x14ac:dyDescent="0.25">
      <c r="A1329" t="s">
        <v>407</v>
      </c>
      <c r="B1329" s="2">
        <v>45539</v>
      </c>
      <c r="C1329" t="s">
        <v>407</v>
      </c>
      <c r="D1329" t="s">
        <v>99</v>
      </c>
      <c r="E1329" t="s">
        <v>9</v>
      </c>
      <c r="F1329" s="3">
        <v>-37360</v>
      </c>
      <c r="G1329" s="3">
        <v>-37360</v>
      </c>
      <c r="H1329" t="s">
        <v>3</v>
      </c>
      <c r="I1329" t="s">
        <v>3</v>
      </c>
      <c r="J1329" t="s">
        <v>9</v>
      </c>
      <c r="K1329" t="s">
        <v>9</v>
      </c>
      <c r="L1329" t="s">
        <v>22</v>
      </c>
      <c r="M1329" t="s">
        <v>102</v>
      </c>
      <c r="N1329" s="2">
        <v>45535</v>
      </c>
    </row>
    <row r="1330" spans="1:14" x14ac:dyDescent="0.25">
      <c r="A1330" t="s">
        <v>407</v>
      </c>
      <c r="B1330" s="2">
        <v>45535</v>
      </c>
      <c r="C1330" t="s">
        <v>407</v>
      </c>
      <c r="D1330" t="s">
        <v>99</v>
      </c>
      <c r="E1330" t="s">
        <v>9</v>
      </c>
      <c r="F1330" s="3">
        <v>37360</v>
      </c>
      <c r="G1330" s="3">
        <v>37360</v>
      </c>
      <c r="H1330" t="s">
        <v>3</v>
      </c>
      <c r="I1330" t="s">
        <v>3</v>
      </c>
      <c r="J1330" t="s">
        <v>412</v>
      </c>
      <c r="K1330" t="s">
        <v>222</v>
      </c>
      <c r="L1330" t="s">
        <v>22</v>
      </c>
      <c r="M1330" t="s">
        <v>102</v>
      </c>
      <c r="N1330" s="2">
        <v>45535</v>
      </c>
    </row>
    <row r="1331" spans="1:14" x14ac:dyDescent="0.25">
      <c r="A1331" s="4" t="s">
        <v>267</v>
      </c>
      <c r="B1331" s="5"/>
      <c r="C1331" s="4" t="s">
        <v>9</v>
      </c>
      <c r="D1331" s="4" t="s">
        <v>9</v>
      </c>
      <c r="E1331" s="4" t="s">
        <v>9</v>
      </c>
      <c r="F1331" s="6">
        <v>0</v>
      </c>
      <c r="G1331" s="6">
        <v>0</v>
      </c>
      <c r="H1331" s="4" t="s">
        <v>9</v>
      </c>
      <c r="I1331" s="4" t="s">
        <v>3</v>
      </c>
      <c r="J1331" s="4" t="s">
        <v>9</v>
      </c>
      <c r="K1331" s="4" t="s">
        <v>9</v>
      </c>
      <c r="L1331" s="4" t="s">
        <v>9</v>
      </c>
      <c r="M1331" s="4" t="s">
        <v>9</v>
      </c>
      <c r="N1331" s="5"/>
    </row>
    <row r="1332" spans="1:14" x14ac:dyDescent="0.25">
      <c r="A1332" t="s">
        <v>407</v>
      </c>
      <c r="B1332" s="2">
        <v>45567</v>
      </c>
      <c r="C1332" t="s">
        <v>407</v>
      </c>
      <c r="D1332" t="s">
        <v>99</v>
      </c>
      <c r="E1332" t="s">
        <v>9</v>
      </c>
      <c r="F1332" s="3">
        <v>-12142</v>
      </c>
      <c r="G1332" s="3">
        <v>-12142</v>
      </c>
      <c r="H1332" t="s">
        <v>3</v>
      </c>
      <c r="I1332" t="s">
        <v>3</v>
      </c>
      <c r="J1332" t="s">
        <v>9</v>
      </c>
      <c r="K1332" t="s">
        <v>9</v>
      </c>
      <c r="L1332" t="s">
        <v>6</v>
      </c>
      <c r="M1332" t="s">
        <v>102</v>
      </c>
      <c r="N1332" s="2">
        <v>45565</v>
      </c>
    </row>
    <row r="1333" spans="1:14" x14ac:dyDescent="0.25">
      <c r="A1333" t="s">
        <v>407</v>
      </c>
      <c r="B1333" s="2">
        <v>45565</v>
      </c>
      <c r="C1333" t="s">
        <v>407</v>
      </c>
      <c r="D1333" t="s">
        <v>99</v>
      </c>
      <c r="E1333" t="s">
        <v>9</v>
      </c>
      <c r="F1333" s="3">
        <v>12142</v>
      </c>
      <c r="G1333" s="3">
        <v>12142</v>
      </c>
      <c r="H1333" t="s">
        <v>3</v>
      </c>
      <c r="I1333" t="s">
        <v>3</v>
      </c>
      <c r="J1333" t="s">
        <v>413</v>
      </c>
      <c r="K1333" t="s">
        <v>222</v>
      </c>
      <c r="L1333" t="s">
        <v>6</v>
      </c>
      <c r="M1333" t="s">
        <v>102</v>
      </c>
      <c r="N1333" s="2">
        <v>45565</v>
      </c>
    </row>
    <row r="1334" spans="1:14" x14ac:dyDescent="0.25">
      <c r="A1334" s="4" t="s">
        <v>272</v>
      </c>
      <c r="B1334" s="5"/>
      <c r="C1334" s="4" t="s">
        <v>9</v>
      </c>
      <c r="D1334" s="4" t="s">
        <v>9</v>
      </c>
      <c r="E1334" s="4" t="s">
        <v>9</v>
      </c>
      <c r="F1334" s="6">
        <v>0</v>
      </c>
      <c r="G1334" s="6">
        <v>0</v>
      </c>
      <c r="H1334" s="4" t="s">
        <v>9</v>
      </c>
      <c r="I1334" s="4" t="s">
        <v>3</v>
      </c>
      <c r="J1334" s="4" t="s">
        <v>9</v>
      </c>
      <c r="K1334" s="4" t="s">
        <v>9</v>
      </c>
      <c r="L1334" s="4" t="s">
        <v>9</v>
      </c>
      <c r="M1334" s="4" t="s">
        <v>9</v>
      </c>
      <c r="N1334" s="5"/>
    </row>
    <row r="1335" spans="1:14" x14ac:dyDescent="0.25">
      <c r="A1335" t="s">
        <v>407</v>
      </c>
      <c r="B1335" s="2">
        <v>45629</v>
      </c>
      <c r="C1335" t="s">
        <v>407</v>
      </c>
      <c r="D1335" t="s">
        <v>99</v>
      </c>
      <c r="E1335" t="s">
        <v>9</v>
      </c>
      <c r="F1335" s="3">
        <v>-14010</v>
      </c>
      <c r="G1335" s="3">
        <v>-14010</v>
      </c>
      <c r="H1335" t="s">
        <v>3</v>
      </c>
      <c r="I1335" t="s">
        <v>3</v>
      </c>
      <c r="J1335" t="s">
        <v>9</v>
      </c>
      <c r="K1335" t="s">
        <v>9</v>
      </c>
      <c r="L1335" t="s">
        <v>11</v>
      </c>
      <c r="M1335" t="s">
        <v>102</v>
      </c>
      <c r="N1335" s="2">
        <v>45626</v>
      </c>
    </row>
    <row r="1336" spans="1:14" x14ac:dyDescent="0.25">
      <c r="A1336" t="s">
        <v>407</v>
      </c>
      <c r="B1336" s="2">
        <v>45629</v>
      </c>
      <c r="C1336" t="s">
        <v>407</v>
      </c>
      <c r="D1336" t="s">
        <v>408</v>
      </c>
      <c r="E1336" t="s">
        <v>9</v>
      </c>
      <c r="F1336" s="3">
        <v>2700</v>
      </c>
      <c r="G1336" s="3">
        <v>2700</v>
      </c>
      <c r="H1336" t="s">
        <v>3</v>
      </c>
      <c r="I1336" t="s">
        <v>3</v>
      </c>
      <c r="J1336" t="s">
        <v>9</v>
      </c>
      <c r="K1336" t="s">
        <v>9</v>
      </c>
      <c r="L1336" t="s">
        <v>11</v>
      </c>
      <c r="M1336" t="s">
        <v>409</v>
      </c>
      <c r="N1336" s="2">
        <v>45626</v>
      </c>
    </row>
    <row r="1337" spans="1:14" x14ac:dyDescent="0.25">
      <c r="A1337" t="s">
        <v>407</v>
      </c>
      <c r="B1337" s="2">
        <v>45626</v>
      </c>
      <c r="C1337" t="s">
        <v>407</v>
      </c>
      <c r="D1337" t="s">
        <v>408</v>
      </c>
      <c r="E1337" t="s">
        <v>9</v>
      </c>
      <c r="F1337" s="3">
        <v>-2700</v>
      </c>
      <c r="G1337" s="3">
        <v>-2700</v>
      </c>
      <c r="H1337" t="s">
        <v>3</v>
      </c>
      <c r="I1337" t="s">
        <v>3</v>
      </c>
      <c r="J1337" t="s">
        <v>414</v>
      </c>
      <c r="K1337" t="s">
        <v>222</v>
      </c>
      <c r="L1337" t="s">
        <v>11</v>
      </c>
      <c r="M1337" t="s">
        <v>409</v>
      </c>
      <c r="N1337" s="2">
        <v>45626</v>
      </c>
    </row>
    <row r="1338" spans="1:14" x14ac:dyDescent="0.25">
      <c r="A1338" t="s">
        <v>407</v>
      </c>
      <c r="B1338" s="2">
        <v>45626</v>
      </c>
      <c r="C1338" t="s">
        <v>407</v>
      </c>
      <c r="D1338" t="s">
        <v>99</v>
      </c>
      <c r="E1338" t="s">
        <v>9</v>
      </c>
      <c r="F1338" s="3">
        <v>14010</v>
      </c>
      <c r="G1338" s="3">
        <v>14010</v>
      </c>
      <c r="H1338" t="s">
        <v>3</v>
      </c>
      <c r="I1338" t="s">
        <v>3</v>
      </c>
      <c r="J1338" t="s">
        <v>415</v>
      </c>
      <c r="K1338" t="s">
        <v>222</v>
      </c>
      <c r="L1338" t="s">
        <v>11</v>
      </c>
      <c r="M1338" t="s">
        <v>102</v>
      </c>
      <c r="N1338" s="2">
        <v>45626</v>
      </c>
    </row>
    <row r="1339" spans="1:14" x14ac:dyDescent="0.25">
      <c r="A1339" s="4" t="s">
        <v>226</v>
      </c>
      <c r="B1339" s="5"/>
      <c r="C1339" s="4" t="s">
        <v>9</v>
      </c>
      <c r="D1339" s="4" t="s">
        <v>9</v>
      </c>
      <c r="E1339" s="4" t="s">
        <v>9</v>
      </c>
      <c r="F1339" s="6">
        <v>0</v>
      </c>
      <c r="G1339" s="6">
        <v>0</v>
      </c>
      <c r="H1339" s="4" t="s">
        <v>9</v>
      </c>
      <c r="I1339" s="4" t="s">
        <v>3</v>
      </c>
      <c r="J1339" s="4" t="s">
        <v>9</v>
      </c>
      <c r="K1339" s="4" t="s">
        <v>9</v>
      </c>
      <c r="L1339" s="4" t="s">
        <v>9</v>
      </c>
      <c r="M1339" s="4" t="s">
        <v>9</v>
      </c>
      <c r="N1339" s="5"/>
    </row>
    <row r="1340" spans="1:14" x14ac:dyDescent="0.25">
      <c r="A1340" s="4" t="s">
        <v>407</v>
      </c>
      <c r="B1340" s="5"/>
      <c r="C1340" s="4" t="s">
        <v>9</v>
      </c>
      <c r="D1340" s="4" t="s">
        <v>9</v>
      </c>
      <c r="E1340" s="4" t="s">
        <v>9</v>
      </c>
      <c r="F1340" s="6">
        <v>0</v>
      </c>
      <c r="G1340" s="6">
        <v>0</v>
      </c>
      <c r="H1340" s="4" t="s">
        <v>9</v>
      </c>
      <c r="I1340" s="4" t="s">
        <v>3</v>
      </c>
      <c r="J1340" s="4" t="s">
        <v>9</v>
      </c>
      <c r="K1340" s="4" t="s">
        <v>9</v>
      </c>
      <c r="L1340" s="4" t="s">
        <v>9</v>
      </c>
      <c r="M1340" s="4" t="s">
        <v>9</v>
      </c>
      <c r="N1340" s="5"/>
    </row>
    <row r="1341" spans="1:14" x14ac:dyDescent="0.25">
      <c r="A1341" t="s">
        <v>416</v>
      </c>
      <c r="B1341" s="2">
        <v>45693</v>
      </c>
      <c r="C1341" t="s">
        <v>416</v>
      </c>
      <c r="D1341" t="s">
        <v>112</v>
      </c>
      <c r="E1341" t="s">
        <v>9</v>
      </c>
      <c r="F1341" s="3">
        <v>-2750</v>
      </c>
      <c r="G1341" s="3">
        <v>-2750</v>
      </c>
      <c r="H1341" t="s">
        <v>3</v>
      </c>
      <c r="I1341" t="s">
        <v>3</v>
      </c>
      <c r="J1341" t="s">
        <v>9</v>
      </c>
      <c r="K1341" t="s">
        <v>9</v>
      </c>
      <c r="L1341" t="s">
        <v>14</v>
      </c>
      <c r="M1341" t="s">
        <v>114</v>
      </c>
      <c r="N1341" s="2">
        <v>45688</v>
      </c>
    </row>
    <row r="1342" spans="1:14" x14ac:dyDescent="0.25">
      <c r="A1342" t="s">
        <v>416</v>
      </c>
      <c r="B1342" s="2">
        <v>45688</v>
      </c>
      <c r="C1342" t="s">
        <v>416</v>
      </c>
      <c r="D1342" t="s">
        <v>112</v>
      </c>
      <c r="E1342" t="s">
        <v>9</v>
      </c>
      <c r="F1342" s="3">
        <v>2750</v>
      </c>
      <c r="G1342" s="3">
        <v>2750</v>
      </c>
      <c r="H1342" t="s">
        <v>3</v>
      </c>
      <c r="I1342" t="s">
        <v>3</v>
      </c>
      <c r="J1342" t="s">
        <v>297</v>
      </c>
      <c r="K1342" t="s">
        <v>5</v>
      </c>
      <c r="L1342" t="s">
        <v>14</v>
      </c>
      <c r="M1342" t="s">
        <v>114</v>
      </c>
      <c r="N1342" s="2">
        <v>45688</v>
      </c>
    </row>
    <row r="1343" spans="1:14" x14ac:dyDescent="0.25">
      <c r="A1343" t="s">
        <v>416</v>
      </c>
      <c r="B1343" s="2">
        <v>46022</v>
      </c>
      <c r="C1343" t="s">
        <v>416</v>
      </c>
      <c r="D1343" t="s">
        <v>112</v>
      </c>
      <c r="E1343" t="s">
        <v>9</v>
      </c>
      <c r="F1343" s="3">
        <v>-12500</v>
      </c>
      <c r="G1343" s="3">
        <v>-12500</v>
      </c>
      <c r="H1343" t="s">
        <v>3</v>
      </c>
      <c r="I1343" t="s">
        <v>3</v>
      </c>
      <c r="J1343" t="s">
        <v>298</v>
      </c>
      <c r="K1343" t="s">
        <v>13</v>
      </c>
      <c r="L1343" t="s">
        <v>14</v>
      </c>
      <c r="M1343" t="s">
        <v>114</v>
      </c>
      <c r="N1343" s="2">
        <v>46023</v>
      </c>
    </row>
    <row r="1344" spans="1:14" x14ac:dyDescent="0.25">
      <c r="A1344" t="s">
        <v>416</v>
      </c>
      <c r="B1344" s="2">
        <v>46023</v>
      </c>
      <c r="C1344" t="s">
        <v>416</v>
      </c>
      <c r="D1344" t="s">
        <v>112</v>
      </c>
      <c r="E1344" t="s">
        <v>9</v>
      </c>
      <c r="F1344" s="3">
        <v>12500</v>
      </c>
      <c r="G1344" s="3">
        <v>12500</v>
      </c>
      <c r="H1344" t="s">
        <v>3</v>
      </c>
      <c r="I1344" t="s">
        <v>3</v>
      </c>
      <c r="J1344" t="s">
        <v>298</v>
      </c>
      <c r="K1344" t="s">
        <v>13</v>
      </c>
      <c r="L1344" t="s">
        <v>14</v>
      </c>
      <c r="M1344" t="s">
        <v>114</v>
      </c>
      <c r="N1344" s="2">
        <v>46023</v>
      </c>
    </row>
    <row r="1345" spans="1:14" x14ac:dyDescent="0.25">
      <c r="A1345" s="4" t="s">
        <v>234</v>
      </c>
      <c r="B1345" s="5"/>
      <c r="C1345" s="4" t="s">
        <v>9</v>
      </c>
      <c r="D1345" s="4" t="s">
        <v>9</v>
      </c>
      <c r="E1345" s="4" t="s">
        <v>9</v>
      </c>
      <c r="F1345" s="6">
        <v>0</v>
      </c>
      <c r="G1345" s="6">
        <v>0</v>
      </c>
      <c r="H1345" s="4" t="s">
        <v>9</v>
      </c>
      <c r="I1345" s="4" t="s">
        <v>3</v>
      </c>
      <c r="J1345" s="4" t="s">
        <v>9</v>
      </c>
      <c r="K1345" s="4" t="s">
        <v>9</v>
      </c>
      <c r="L1345" s="4" t="s">
        <v>9</v>
      </c>
      <c r="M1345" s="4" t="s">
        <v>9</v>
      </c>
      <c r="N1345" s="5"/>
    </row>
    <row r="1346" spans="1:14" x14ac:dyDescent="0.25">
      <c r="A1346" t="s">
        <v>416</v>
      </c>
      <c r="B1346" s="2">
        <v>45720</v>
      </c>
      <c r="C1346" t="s">
        <v>416</v>
      </c>
      <c r="D1346" t="s">
        <v>112</v>
      </c>
      <c r="E1346" t="s">
        <v>9</v>
      </c>
      <c r="F1346" s="3">
        <v>-6600</v>
      </c>
      <c r="G1346" s="3">
        <v>-6600</v>
      </c>
      <c r="H1346" t="s">
        <v>3</v>
      </c>
      <c r="I1346" t="s">
        <v>3</v>
      </c>
      <c r="J1346" t="s">
        <v>9</v>
      </c>
      <c r="K1346" t="s">
        <v>9</v>
      </c>
      <c r="L1346" t="s">
        <v>15</v>
      </c>
      <c r="M1346" t="s">
        <v>114</v>
      </c>
      <c r="N1346" s="2">
        <v>45716</v>
      </c>
    </row>
    <row r="1347" spans="1:14" x14ac:dyDescent="0.25">
      <c r="A1347" t="s">
        <v>416</v>
      </c>
      <c r="B1347" s="2">
        <v>45688</v>
      </c>
      <c r="C1347" t="s">
        <v>416</v>
      </c>
      <c r="D1347" t="s">
        <v>112</v>
      </c>
      <c r="E1347" t="s">
        <v>9</v>
      </c>
      <c r="F1347" s="3">
        <v>-2750</v>
      </c>
      <c r="G1347" s="3">
        <v>-2750</v>
      </c>
      <c r="H1347" t="s">
        <v>3</v>
      </c>
      <c r="I1347" t="s">
        <v>3</v>
      </c>
      <c r="J1347" t="s">
        <v>297</v>
      </c>
      <c r="K1347" t="s">
        <v>5</v>
      </c>
      <c r="L1347" t="s">
        <v>15</v>
      </c>
      <c r="M1347" t="s">
        <v>114</v>
      </c>
      <c r="N1347" s="2">
        <v>45689</v>
      </c>
    </row>
    <row r="1348" spans="1:14" x14ac:dyDescent="0.25">
      <c r="A1348" t="s">
        <v>416</v>
      </c>
      <c r="B1348" s="2">
        <v>45716</v>
      </c>
      <c r="C1348" t="s">
        <v>416</v>
      </c>
      <c r="D1348" t="s">
        <v>112</v>
      </c>
      <c r="E1348" t="s">
        <v>9</v>
      </c>
      <c r="F1348" s="3">
        <v>9350</v>
      </c>
      <c r="G1348" s="3">
        <v>9350</v>
      </c>
      <c r="H1348" t="s">
        <v>3</v>
      </c>
      <c r="I1348" t="s">
        <v>3</v>
      </c>
      <c r="J1348" t="s">
        <v>303</v>
      </c>
      <c r="K1348" t="s">
        <v>5</v>
      </c>
      <c r="L1348" t="s">
        <v>15</v>
      </c>
      <c r="M1348" t="s">
        <v>114</v>
      </c>
      <c r="N1348" s="2">
        <v>45716</v>
      </c>
    </row>
    <row r="1349" spans="1:14" x14ac:dyDescent="0.25">
      <c r="A1349" s="4" t="s">
        <v>239</v>
      </c>
      <c r="B1349" s="5"/>
      <c r="C1349" s="4" t="s">
        <v>9</v>
      </c>
      <c r="D1349" s="4" t="s">
        <v>9</v>
      </c>
      <c r="E1349" s="4" t="s">
        <v>9</v>
      </c>
      <c r="F1349" s="6">
        <v>0</v>
      </c>
      <c r="G1349" s="6">
        <v>0</v>
      </c>
      <c r="H1349" s="4" t="s">
        <v>9</v>
      </c>
      <c r="I1349" s="4" t="s">
        <v>3</v>
      </c>
      <c r="J1349" s="4" t="s">
        <v>9</v>
      </c>
      <c r="K1349" s="4" t="s">
        <v>9</v>
      </c>
      <c r="L1349" s="4" t="s">
        <v>9</v>
      </c>
      <c r="M1349" s="4" t="s">
        <v>9</v>
      </c>
      <c r="N1349" s="5"/>
    </row>
    <row r="1350" spans="1:14" x14ac:dyDescent="0.25">
      <c r="A1350" t="s">
        <v>416</v>
      </c>
      <c r="B1350" s="2">
        <v>45749</v>
      </c>
      <c r="C1350" t="s">
        <v>416</v>
      </c>
      <c r="D1350" t="s">
        <v>112</v>
      </c>
      <c r="E1350" t="s">
        <v>9</v>
      </c>
      <c r="F1350" s="3">
        <v>-800</v>
      </c>
      <c r="G1350" s="3">
        <v>-800</v>
      </c>
      <c r="H1350" t="s">
        <v>3</v>
      </c>
      <c r="I1350" t="s">
        <v>3</v>
      </c>
      <c r="J1350" t="s">
        <v>9</v>
      </c>
      <c r="K1350" t="s">
        <v>9</v>
      </c>
      <c r="L1350" t="s">
        <v>16</v>
      </c>
      <c r="M1350" t="s">
        <v>114</v>
      </c>
      <c r="N1350" s="2">
        <v>45747</v>
      </c>
    </row>
    <row r="1351" spans="1:14" x14ac:dyDescent="0.25">
      <c r="A1351" t="s">
        <v>416</v>
      </c>
      <c r="B1351" s="2">
        <v>45717</v>
      </c>
      <c r="C1351" t="s">
        <v>416</v>
      </c>
      <c r="D1351" t="s">
        <v>112</v>
      </c>
      <c r="E1351" t="s">
        <v>9</v>
      </c>
      <c r="F1351" s="3">
        <v>-9350</v>
      </c>
      <c r="G1351" s="3">
        <v>-9350</v>
      </c>
      <c r="H1351" t="s">
        <v>3</v>
      </c>
      <c r="I1351" t="s">
        <v>3</v>
      </c>
      <c r="J1351" t="s">
        <v>303</v>
      </c>
      <c r="K1351" t="s">
        <v>5</v>
      </c>
      <c r="L1351" t="s">
        <v>16</v>
      </c>
      <c r="M1351" t="s">
        <v>114</v>
      </c>
      <c r="N1351" s="2">
        <v>45717</v>
      </c>
    </row>
    <row r="1352" spans="1:14" x14ac:dyDescent="0.25">
      <c r="A1352" t="s">
        <v>416</v>
      </c>
      <c r="B1352" s="2">
        <v>45747</v>
      </c>
      <c r="C1352" t="s">
        <v>416</v>
      </c>
      <c r="D1352" t="s">
        <v>112</v>
      </c>
      <c r="E1352" t="s">
        <v>9</v>
      </c>
      <c r="F1352" s="3">
        <v>10150</v>
      </c>
      <c r="G1352" s="3">
        <v>10150</v>
      </c>
      <c r="H1352" t="s">
        <v>3</v>
      </c>
      <c r="I1352" t="s">
        <v>3</v>
      </c>
      <c r="J1352" t="s">
        <v>305</v>
      </c>
      <c r="K1352" t="s">
        <v>5</v>
      </c>
      <c r="L1352" t="s">
        <v>16</v>
      </c>
      <c r="M1352" t="s">
        <v>114</v>
      </c>
      <c r="N1352" s="2">
        <v>45747</v>
      </c>
    </row>
    <row r="1353" spans="1:14" x14ac:dyDescent="0.25">
      <c r="A1353" s="4" t="s">
        <v>244</v>
      </c>
      <c r="B1353" s="5"/>
      <c r="C1353" s="4" t="s">
        <v>9</v>
      </c>
      <c r="D1353" s="4" t="s">
        <v>9</v>
      </c>
      <c r="E1353" s="4" t="s">
        <v>9</v>
      </c>
      <c r="F1353" s="6">
        <v>0</v>
      </c>
      <c r="G1353" s="6">
        <v>0</v>
      </c>
      <c r="H1353" s="4" t="s">
        <v>9</v>
      </c>
      <c r="I1353" s="4" t="s">
        <v>3</v>
      </c>
      <c r="J1353" s="4" t="s">
        <v>9</v>
      </c>
      <c r="K1353" s="4" t="s">
        <v>9</v>
      </c>
      <c r="L1353" s="4" t="s">
        <v>9</v>
      </c>
      <c r="M1353" s="4" t="s">
        <v>9</v>
      </c>
      <c r="N1353" s="5"/>
    </row>
    <row r="1354" spans="1:14" x14ac:dyDescent="0.25">
      <c r="A1354" t="s">
        <v>416</v>
      </c>
      <c r="B1354" s="2">
        <v>45782</v>
      </c>
      <c r="C1354" t="s">
        <v>416</v>
      </c>
      <c r="D1354" t="s">
        <v>112</v>
      </c>
      <c r="E1354" t="s">
        <v>9</v>
      </c>
      <c r="F1354" s="3">
        <v>-650</v>
      </c>
      <c r="G1354" s="3">
        <v>-650</v>
      </c>
      <c r="H1354" t="s">
        <v>3</v>
      </c>
      <c r="I1354" t="s">
        <v>3</v>
      </c>
      <c r="J1354" t="s">
        <v>9</v>
      </c>
      <c r="K1354" t="s">
        <v>9</v>
      </c>
      <c r="L1354" t="s">
        <v>17</v>
      </c>
      <c r="M1354" t="s">
        <v>114</v>
      </c>
      <c r="N1354" s="2">
        <v>45777</v>
      </c>
    </row>
    <row r="1355" spans="1:14" x14ac:dyDescent="0.25">
      <c r="A1355" t="s">
        <v>416</v>
      </c>
      <c r="B1355" s="2">
        <v>45747</v>
      </c>
      <c r="C1355" t="s">
        <v>416</v>
      </c>
      <c r="D1355" t="s">
        <v>112</v>
      </c>
      <c r="E1355" t="s">
        <v>9</v>
      </c>
      <c r="F1355" s="3">
        <v>-10150</v>
      </c>
      <c r="G1355" s="3">
        <v>-10150</v>
      </c>
      <c r="H1355" t="s">
        <v>3</v>
      </c>
      <c r="I1355" t="s">
        <v>3</v>
      </c>
      <c r="J1355" t="s">
        <v>305</v>
      </c>
      <c r="K1355" t="s">
        <v>5</v>
      </c>
      <c r="L1355" t="s">
        <v>17</v>
      </c>
      <c r="M1355" t="s">
        <v>114</v>
      </c>
      <c r="N1355" s="2">
        <v>45748</v>
      </c>
    </row>
    <row r="1356" spans="1:14" x14ac:dyDescent="0.25">
      <c r="A1356" t="s">
        <v>416</v>
      </c>
      <c r="B1356" s="2">
        <v>45777</v>
      </c>
      <c r="C1356" t="s">
        <v>416</v>
      </c>
      <c r="D1356" t="s">
        <v>112</v>
      </c>
      <c r="E1356" t="s">
        <v>9</v>
      </c>
      <c r="F1356" s="3">
        <v>10800</v>
      </c>
      <c r="G1356" s="3">
        <v>10800</v>
      </c>
      <c r="H1356" t="s">
        <v>3</v>
      </c>
      <c r="I1356" t="s">
        <v>3</v>
      </c>
      <c r="J1356" t="s">
        <v>308</v>
      </c>
      <c r="K1356" t="s">
        <v>5</v>
      </c>
      <c r="L1356" t="s">
        <v>17</v>
      </c>
      <c r="M1356" t="s">
        <v>114</v>
      </c>
      <c r="N1356" s="2">
        <v>45777</v>
      </c>
    </row>
    <row r="1357" spans="1:14" x14ac:dyDescent="0.25">
      <c r="A1357" s="4" t="s">
        <v>249</v>
      </c>
      <c r="B1357" s="5"/>
      <c r="C1357" s="4" t="s">
        <v>9</v>
      </c>
      <c r="D1357" s="4" t="s">
        <v>9</v>
      </c>
      <c r="E1357" s="4" t="s">
        <v>9</v>
      </c>
      <c r="F1357" s="6">
        <v>0</v>
      </c>
      <c r="G1357" s="6">
        <v>0</v>
      </c>
      <c r="H1357" s="4" t="s">
        <v>9</v>
      </c>
      <c r="I1357" s="4" t="s">
        <v>3</v>
      </c>
      <c r="J1357" s="4" t="s">
        <v>9</v>
      </c>
      <c r="K1357" s="4" t="s">
        <v>9</v>
      </c>
      <c r="L1357" s="4" t="s">
        <v>9</v>
      </c>
      <c r="M1357" s="4" t="s">
        <v>9</v>
      </c>
      <c r="N1357" s="5"/>
    </row>
    <row r="1358" spans="1:14" x14ac:dyDescent="0.25">
      <c r="A1358" t="s">
        <v>416</v>
      </c>
      <c r="B1358" s="2">
        <v>45777</v>
      </c>
      <c r="C1358" t="s">
        <v>416</v>
      </c>
      <c r="D1358" t="s">
        <v>112</v>
      </c>
      <c r="E1358" t="s">
        <v>9</v>
      </c>
      <c r="F1358" s="3">
        <v>-10800</v>
      </c>
      <c r="G1358" s="3">
        <v>-10800</v>
      </c>
      <c r="H1358" t="s">
        <v>3</v>
      </c>
      <c r="I1358" t="s">
        <v>3</v>
      </c>
      <c r="J1358" t="s">
        <v>308</v>
      </c>
      <c r="K1358" t="s">
        <v>5</v>
      </c>
      <c r="L1358" t="s">
        <v>18</v>
      </c>
      <c r="M1358" t="s">
        <v>114</v>
      </c>
      <c r="N1358" s="2">
        <v>45778</v>
      </c>
    </row>
    <row r="1359" spans="1:14" x14ac:dyDescent="0.25">
      <c r="A1359" t="s">
        <v>416</v>
      </c>
      <c r="B1359" s="2">
        <v>45808</v>
      </c>
      <c r="C1359" t="s">
        <v>416</v>
      </c>
      <c r="D1359" t="s">
        <v>112</v>
      </c>
      <c r="E1359" t="s">
        <v>9</v>
      </c>
      <c r="F1359" s="3">
        <v>10800</v>
      </c>
      <c r="G1359" s="3">
        <v>10800</v>
      </c>
      <c r="H1359" t="s">
        <v>3</v>
      </c>
      <c r="I1359" t="s">
        <v>3</v>
      </c>
      <c r="J1359" t="s">
        <v>311</v>
      </c>
      <c r="K1359" t="s">
        <v>5</v>
      </c>
      <c r="L1359" t="s">
        <v>18</v>
      </c>
      <c r="M1359" t="s">
        <v>114</v>
      </c>
      <c r="N1359" s="2">
        <v>45808</v>
      </c>
    </row>
    <row r="1360" spans="1:14" x14ac:dyDescent="0.25">
      <c r="A1360" s="4" t="s">
        <v>223</v>
      </c>
      <c r="B1360" s="5"/>
      <c r="C1360" s="4" t="s">
        <v>9</v>
      </c>
      <c r="D1360" s="4" t="s">
        <v>9</v>
      </c>
      <c r="E1360" s="4" t="s">
        <v>9</v>
      </c>
      <c r="F1360" s="6">
        <v>0</v>
      </c>
      <c r="G1360" s="6">
        <v>0</v>
      </c>
      <c r="H1360" s="4" t="s">
        <v>9</v>
      </c>
      <c r="I1360" s="4" t="s">
        <v>3</v>
      </c>
      <c r="J1360" s="4" t="s">
        <v>9</v>
      </c>
      <c r="K1360" s="4" t="s">
        <v>9</v>
      </c>
      <c r="L1360" s="4" t="s">
        <v>9</v>
      </c>
      <c r="M1360" s="4" t="s">
        <v>9</v>
      </c>
      <c r="N1360" s="5"/>
    </row>
    <row r="1361" spans="1:14" x14ac:dyDescent="0.25">
      <c r="A1361" t="s">
        <v>416</v>
      </c>
      <c r="B1361" s="2">
        <v>45808</v>
      </c>
      <c r="C1361" t="s">
        <v>416</v>
      </c>
      <c r="D1361" t="s">
        <v>112</v>
      </c>
      <c r="E1361" t="s">
        <v>9</v>
      </c>
      <c r="F1361" s="3">
        <v>-10800</v>
      </c>
      <c r="G1361" s="3">
        <v>-10800</v>
      </c>
      <c r="H1361" t="s">
        <v>3</v>
      </c>
      <c r="I1361" t="s">
        <v>3</v>
      </c>
      <c r="J1361" t="s">
        <v>311</v>
      </c>
      <c r="K1361" t="s">
        <v>5</v>
      </c>
      <c r="L1361" t="s">
        <v>19</v>
      </c>
      <c r="M1361" t="s">
        <v>114</v>
      </c>
      <c r="N1361" s="2">
        <v>45809</v>
      </c>
    </row>
    <row r="1362" spans="1:14" x14ac:dyDescent="0.25">
      <c r="A1362" t="s">
        <v>416</v>
      </c>
      <c r="B1362" s="2">
        <v>45838</v>
      </c>
      <c r="C1362" t="s">
        <v>416</v>
      </c>
      <c r="D1362" t="s">
        <v>112</v>
      </c>
      <c r="E1362" t="s">
        <v>9</v>
      </c>
      <c r="F1362" s="3">
        <v>10800</v>
      </c>
      <c r="G1362" s="3">
        <v>10800</v>
      </c>
      <c r="H1362" t="s">
        <v>3</v>
      </c>
      <c r="I1362" t="s">
        <v>3</v>
      </c>
      <c r="J1362" t="s">
        <v>314</v>
      </c>
      <c r="K1362" t="s">
        <v>5</v>
      </c>
      <c r="L1362" t="s">
        <v>19</v>
      </c>
      <c r="M1362" t="s">
        <v>114</v>
      </c>
      <c r="N1362" s="2">
        <v>45838</v>
      </c>
    </row>
    <row r="1363" spans="1:14" x14ac:dyDescent="0.25">
      <c r="A1363" s="4" t="s">
        <v>224</v>
      </c>
      <c r="B1363" s="5"/>
      <c r="C1363" s="4" t="s">
        <v>9</v>
      </c>
      <c r="D1363" s="4" t="s">
        <v>9</v>
      </c>
      <c r="E1363" s="4" t="s">
        <v>9</v>
      </c>
      <c r="F1363" s="6">
        <v>0</v>
      </c>
      <c r="G1363" s="6">
        <v>0</v>
      </c>
      <c r="H1363" s="4" t="s">
        <v>9</v>
      </c>
      <c r="I1363" s="4" t="s">
        <v>3</v>
      </c>
      <c r="J1363" s="4" t="s">
        <v>9</v>
      </c>
      <c r="K1363" s="4" t="s">
        <v>9</v>
      </c>
      <c r="L1363" s="4" t="s">
        <v>9</v>
      </c>
      <c r="M1363" s="4" t="s">
        <v>9</v>
      </c>
      <c r="N1363" s="5"/>
    </row>
    <row r="1364" spans="1:14" x14ac:dyDescent="0.25">
      <c r="A1364" t="s">
        <v>416</v>
      </c>
      <c r="B1364" s="2">
        <v>45870</v>
      </c>
      <c r="C1364" t="s">
        <v>416</v>
      </c>
      <c r="D1364" t="s">
        <v>112</v>
      </c>
      <c r="E1364" t="s">
        <v>9</v>
      </c>
      <c r="F1364" s="3">
        <v>-1650</v>
      </c>
      <c r="G1364" s="3">
        <v>-1650</v>
      </c>
      <c r="H1364" t="s">
        <v>3</v>
      </c>
      <c r="I1364" t="s">
        <v>3</v>
      </c>
      <c r="J1364" t="s">
        <v>9</v>
      </c>
      <c r="K1364" t="s">
        <v>9</v>
      </c>
      <c r="L1364" t="s">
        <v>21</v>
      </c>
      <c r="M1364" t="s">
        <v>114</v>
      </c>
      <c r="N1364" s="2">
        <v>45869</v>
      </c>
    </row>
    <row r="1365" spans="1:14" x14ac:dyDescent="0.25">
      <c r="A1365" t="s">
        <v>416</v>
      </c>
      <c r="B1365" s="2">
        <v>45838</v>
      </c>
      <c r="C1365" t="s">
        <v>416</v>
      </c>
      <c r="D1365" t="s">
        <v>112</v>
      </c>
      <c r="E1365" t="s">
        <v>9</v>
      </c>
      <c r="F1365" s="3">
        <v>-10800</v>
      </c>
      <c r="G1365" s="3">
        <v>-10800</v>
      </c>
      <c r="H1365" t="s">
        <v>3</v>
      </c>
      <c r="I1365" t="s">
        <v>3</v>
      </c>
      <c r="J1365" t="s">
        <v>314</v>
      </c>
      <c r="K1365" t="s">
        <v>5</v>
      </c>
      <c r="L1365" t="s">
        <v>21</v>
      </c>
      <c r="M1365" t="s">
        <v>114</v>
      </c>
      <c r="N1365" s="2">
        <v>45839</v>
      </c>
    </row>
    <row r="1366" spans="1:14" x14ac:dyDescent="0.25">
      <c r="A1366" t="s">
        <v>416</v>
      </c>
      <c r="B1366" s="2">
        <v>45869</v>
      </c>
      <c r="C1366" t="s">
        <v>416</v>
      </c>
      <c r="D1366" t="s">
        <v>112</v>
      </c>
      <c r="E1366" t="s">
        <v>9</v>
      </c>
      <c r="F1366" s="3">
        <v>12450</v>
      </c>
      <c r="G1366" s="3">
        <v>12450</v>
      </c>
      <c r="H1366" t="s">
        <v>3</v>
      </c>
      <c r="I1366" t="s">
        <v>3</v>
      </c>
      <c r="J1366" t="s">
        <v>317</v>
      </c>
      <c r="K1366" t="s">
        <v>5</v>
      </c>
      <c r="L1366" t="s">
        <v>21</v>
      </c>
      <c r="M1366" t="s">
        <v>114</v>
      </c>
      <c r="N1366" s="2">
        <v>45869</v>
      </c>
    </row>
    <row r="1367" spans="1:14" x14ac:dyDescent="0.25">
      <c r="A1367" s="4" t="s">
        <v>262</v>
      </c>
      <c r="B1367" s="5"/>
      <c r="C1367" s="4" t="s">
        <v>9</v>
      </c>
      <c r="D1367" s="4" t="s">
        <v>9</v>
      </c>
      <c r="E1367" s="4" t="s">
        <v>9</v>
      </c>
      <c r="F1367" s="6">
        <v>0</v>
      </c>
      <c r="G1367" s="6">
        <v>0</v>
      </c>
      <c r="H1367" s="4" t="s">
        <v>9</v>
      </c>
      <c r="I1367" s="4" t="s">
        <v>3</v>
      </c>
      <c r="J1367" s="4" t="s">
        <v>9</v>
      </c>
      <c r="K1367" s="4" t="s">
        <v>9</v>
      </c>
      <c r="L1367" s="4" t="s">
        <v>9</v>
      </c>
      <c r="M1367" s="4" t="s">
        <v>9</v>
      </c>
      <c r="N1367" s="5"/>
    </row>
    <row r="1368" spans="1:14" x14ac:dyDescent="0.25">
      <c r="A1368" t="s">
        <v>416</v>
      </c>
      <c r="B1368" s="2">
        <v>45869</v>
      </c>
      <c r="C1368" t="s">
        <v>416</v>
      </c>
      <c r="D1368" t="s">
        <v>112</v>
      </c>
      <c r="E1368" t="s">
        <v>9</v>
      </c>
      <c r="F1368" s="3">
        <v>-12450</v>
      </c>
      <c r="G1368" s="3">
        <v>-12450</v>
      </c>
      <c r="H1368" t="s">
        <v>3</v>
      </c>
      <c r="I1368" t="s">
        <v>3</v>
      </c>
      <c r="J1368" t="s">
        <v>317</v>
      </c>
      <c r="K1368" t="s">
        <v>5</v>
      </c>
      <c r="L1368" t="s">
        <v>22</v>
      </c>
      <c r="M1368" t="s">
        <v>114</v>
      </c>
      <c r="N1368" s="2">
        <v>45870</v>
      </c>
    </row>
    <row r="1369" spans="1:14" x14ac:dyDescent="0.25">
      <c r="A1369" t="s">
        <v>416</v>
      </c>
      <c r="B1369" s="2">
        <v>45900</v>
      </c>
      <c r="C1369" t="s">
        <v>416</v>
      </c>
      <c r="D1369" t="s">
        <v>112</v>
      </c>
      <c r="E1369" t="s">
        <v>9</v>
      </c>
      <c r="F1369" s="3">
        <v>12450</v>
      </c>
      <c r="G1369" s="3">
        <v>12450</v>
      </c>
      <c r="H1369" t="s">
        <v>3</v>
      </c>
      <c r="I1369" t="s">
        <v>3</v>
      </c>
      <c r="J1369" t="s">
        <v>320</v>
      </c>
      <c r="K1369" t="s">
        <v>5</v>
      </c>
      <c r="L1369" t="s">
        <v>22</v>
      </c>
      <c r="M1369" t="s">
        <v>114</v>
      </c>
      <c r="N1369" s="2">
        <v>45900</v>
      </c>
    </row>
    <row r="1370" spans="1:14" x14ac:dyDescent="0.25">
      <c r="A1370" t="s">
        <v>416</v>
      </c>
      <c r="B1370" s="2">
        <v>45900</v>
      </c>
      <c r="C1370" t="s">
        <v>416</v>
      </c>
      <c r="D1370" t="s">
        <v>112</v>
      </c>
      <c r="E1370" t="s">
        <v>9</v>
      </c>
      <c r="F1370" s="3">
        <v>-12450</v>
      </c>
      <c r="G1370" s="3">
        <v>-12450</v>
      </c>
      <c r="H1370" t="s">
        <v>3</v>
      </c>
      <c r="I1370" t="s">
        <v>3</v>
      </c>
      <c r="J1370" t="s">
        <v>320</v>
      </c>
      <c r="K1370" t="s">
        <v>5</v>
      </c>
      <c r="L1370" t="s">
        <v>22</v>
      </c>
      <c r="M1370" t="s">
        <v>114</v>
      </c>
      <c r="N1370" s="2">
        <v>45900</v>
      </c>
    </row>
    <row r="1371" spans="1:14" x14ac:dyDescent="0.25">
      <c r="A1371" t="s">
        <v>416</v>
      </c>
      <c r="B1371" s="2">
        <v>45900</v>
      </c>
      <c r="C1371" t="s">
        <v>416</v>
      </c>
      <c r="D1371" t="s">
        <v>112</v>
      </c>
      <c r="E1371" t="s">
        <v>9</v>
      </c>
      <c r="F1371" s="3">
        <v>12450</v>
      </c>
      <c r="G1371" s="3">
        <v>12450</v>
      </c>
      <c r="H1371" t="s">
        <v>3</v>
      </c>
      <c r="I1371" t="s">
        <v>3</v>
      </c>
      <c r="J1371" t="s">
        <v>320</v>
      </c>
      <c r="K1371" t="s">
        <v>5</v>
      </c>
      <c r="L1371" t="s">
        <v>22</v>
      </c>
      <c r="M1371" t="s">
        <v>114</v>
      </c>
      <c r="N1371" s="2">
        <v>45900</v>
      </c>
    </row>
    <row r="1372" spans="1:14" x14ac:dyDescent="0.25">
      <c r="A1372" t="s">
        <v>416</v>
      </c>
      <c r="B1372" s="2">
        <v>45900</v>
      </c>
      <c r="C1372" t="s">
        <v>416</v>
      </c>
      <c r="D1372" t="s">
        <v>112</v>
      </c>
      <c r="E1372" t="s">
        <v>9</v>
      </c>
      <c r="F1372" s="3">
        <v>12450</v>
      </c>
      <c r="G1372" s="3">
        <v>12450</v>
      </c>
      <c r="H1372" t="s">
        <v>3</v>
      </c>
      <c r="I1372" t="s">
        <v>3</v>
      </c>
      <c r="J1372" t="s">
        <v>320</v>
      </c>
      <c r="K1372" t="s">
        <v>5</v>
      </c>
      <c r="L1372" t="s">
        <v>22</v>
      </c>
      <c r="M1372" t="s">
        <v>114</v>
      </c>
      <c r="N1372" s="2">
        <v>45900</v>
      </c>
    </row>
    <row r="1373" spans="1:14" x14ac:dyDescent="0.25">
      <c r="A1373" t="s">
        <v>416</v>
      </c>
      <c r="B1373" s="2">
        <v>45900</v>
      </c>
      <c r="C1373" t="s">
        <v>416</v>
      </c>
      <c r="D1373" t="s">
        <v>112</v>
      </c>
      <c r="E1373" t="s">
        <v>9</v>
      </c>
      <c r="F1373" s="3">
        <v>-12450</v>
      </c>
      <c r="G1373" s="3">
        <v>-12450</v>
      </c>
      <c r="H1373" t="s">
        <v>3</v>
      </c>
      <c r="I1373" t="s">
        <v>3</v>
      </c>
      <c r="J1373" t="s">
        <v>320</v>
      </c>
      <c r="K1373" t="s">
        <v>5</v>
      </c>
      <c r="L1373" t="s">
        <v>22</v>
      </c>
      <c r="M1373" t="s">
        <v>114</v>
      </c>
      <c r="N1373" s="2">
        <v>45900</v>
      </c>
    </row>
    <row r="1374" spans="1:14" x14ac:dyDescent="0.25">
      <c r="A1374" s="4" t="s">
        <v>267</v>
      </c>
      <c r="B1374" s="5"/>
      <c r="C1374" s="4" t="s">
        <v>9</v>
      </c>
      <c r="D1374" s="4" t="s">
        <v>9</v>
      </c>
      <c r="E1374" s="4" t="s">
        <v>9</v>
      </c>
      <c r="F1374" s="6">
        <v>0</v>
      </c>
      <c r="G1374" s="6">
        <v>0</v>
      </c>
      <c r="H1374" s="4" t="s">
        <v>9</v>
      </c>
      <c r="I1374" s="4" t="s">
        <v>3</v>
      </c>
      <c r="J1374" s="4" t="s">
        <v>9</v>
      </c>
      <c r="K1374" s="4" t="s">
        <v>9</v>
      </c>
      <c r="L1374" s="4" t="s">
        <v>9</v>
      </c>
      <c r="M1374" s="4" t="s">
        <v>9</v>
      </c>
      <c r="N1374" s="5"/>
    </row>
    <row r="1375" spans="1:14" x14ac:dyDescent="0.25">
      <c r="A1375" t="s">
        <v>416</v>
      </c>
      <c r="B1375" s="2">
        <v>45932</v>
      </c>
      <c r="C1375" t="s">
        <v>416</v>
      </c>
      <c r="D1375" t="s">
        <v>112</v>
      </c>
      <c r="E1375" t="s">
        <v>9</v>
      </c>
      <c r="F1375" s="3">
        <v>-50</v>
      </c>
      <c r="G1375" s="3">
        <v>-50</v>
      </c>
      <c r="H1375" t="s">
        <v>3</v>
      </c>
      <c r="I1375" t="s">
        <v>3</v>
      </c>
      <c r="J1375" t="s">
        <v>9</v>
      </c>
      <c r="K1375" t="s">
        <v>9</v>
      </c>
      <c r="L1375" t="s">
        <v>6</v>
      </c>
      <c r="M1375" t="s">
        <v>114</v>
      </c>
      <c r="N1375" s="2">
        <v>45930</v>
      </c>
    </row>
    <row r="1376" spans="1:14" x14ac:dyDescent="0.25">
      <c r="A1376" t="s">
        <v>416</v>
      </c>
      <c r="B1376" s="2">
        <v>45900</v>
      </c>
      <c r="C1376" t="s">
        <v>416</v>
      </c>
      <c r="D1376" t="s">
        <v>112</v>
      </c>
      <c r="E1376" t="s">
        <v>9</v>
      </c>
      <c r="F1376" s="3">
        <v>-12450</v>
      </c>
      <c r="G1376" s="3">
        <v>-12450</v>
      </c>
      <c r="H1376" t="s">
        <v>3</v>
      </c>
      <c r="I1376" t="s">
        <v>3</v>
      </c>
      <c r="J1376" t="s">
        <v>320</v>
      </c>
      <c r="K1376" t="s">
        <v>5</v>
      </c>
      <c r="L1376" t="s">
        <v>6</v>
      </c>
      <c r="M1376" t="s">
        <v>114</v>
      </c>
      <c r="N1376" s="2">
        <v>45901</v>
      </c>
    </row>
    <row r="1377" spans="1:14" x14ac:dyDescent="0.25">
      <c r="A1377" t="s">
        <v>416</v>
      </c>
      <c r="B1377" s="2">
        <v>45900</v>
      </c>
      <c r="C1377" t="s">
        <v>416</v>
      </c>
      <c r="D1377" t="s">
        <v>112</v>
      </c>
      <c r="E1377" t="s">
        <v>9</v>
      </c>
      <c r="F1377" s="3">
        <v>12450</v>
      </c>
      <c r="G1377" s="3">
        <v>12450</v>
      </c>
      <c r="H1377" t="s">
        <v>3</v>
      </c>
      <c r="I1377" t="s">
        <v>3</v>
      </c>
      <c r="J1377" t="s">
        <v>320</v>
      </c>
      <c r="K1377" t="s">
        <v>5</v>
      </c>
      <c r="L1377" t="s">
        <v>6</v>
      </c>
      <c r="M1377" t="s">
        <v>114</v>
      </c>
      <c r="N1377" s="2">
        <v>45901</v>
      </c>
    </row>
    <row r="1378" spans="1:14" x14ac:dyDescent="0.25">
      <c r="A1378" t="s">
        <v>416</v>
      </c>
      <c r="B1378" s="2">
        <v>45900</v>
      </c>
      <c r="C1378" t="s">
        <v>416</v>
      </c>
      <c r="D1378" t="s">
        <v>112</v>
      </c>
      <c r="E1378" t="s">
        <v>9</v>
      </c>
      <c r="F1378" s="3">
        <v>-12450</v>
      </c>
      <c r="G1378" s="3">
        <v>-12450</v>
      </c>
      <c r="H1378" t="s">
        <v>3</v>
      </c>
      <c r="I1378" t="s">
        <v>3</v>
      </c>
      <c r="J1378" t="s">
        <v>320</v>
      </c>
      <c r="K1378" t="s">
        <v>5</v>
      </c>
      <c r="L1378" t="s">
        <v>6</v>
      </c>
      <c r="M1378" t="s">
        <v>114</v>
      </c>
      <c r="N1378" s="2">
        <v>45901</v>
      </c>
    </row>
    <row r="1379" spans="1:14" x14ac:dyDescent="0.25">
      <c r="A1379" t="s">
        <v>416</v>
      </c>
      <c r="B1379" s="2">
        <v>45900</v>
      </c>
      <c r="C1379" t="s">
        <v>416</v>
      </c>
      <c r="D1379" t="s">
        <v>112</v>
      </c>
      <c r="E1379" t="s">
        <v>9</v>
      </c>
      <c r="F1379" s="3">
        <v>12450</v>
      </c>
      <c r="G1379" s="3">
        <v>12450</v>
      </c>
      <c r="H1379" t="s">
        <v>3</v>
      </c>
      <c r="I1379" t="s">
        <v>3</v>
      </c>
      <c r="J1379" t="s">
        <v>320</v>
      </c>
      <c r="K1379" t="s">
        <v>5</v>
      </c>
      <c r="L1379" t="s">
        <v>6</v>
      </c>
      <c r="M1379" t="s">
        <v>114</v>
      </c>
      <c r="N1379" s="2">
        <v>45901</v>
      </c>
    </row>
    <row r="1380" spans="1:14" x14ac:dyDescent="0.25">
      <c r="A1380" t="s">
        <v>416</v>
      </c>
      <c r="B1380" s="2">
        <v>45900</v>
      </c>
      <c r="C1380" t="s">
        <v>416</v>
      </c>
      <c r="D1380" t="s">
        <v>112</v>
      </c>
      <c r="E1380" t="s">
        <v>9</v>
      </c>
      <c r="F1380" s="3">
        <v>-12450</v>
      </c>
      <c r="G1380" s="3">
        <v>-12450</v>
      </c>
      <c r="H1380" t="s">
        <v>3</v>
      </c>
      <c r="I1380" t="s">
        <v>3</v>
      </c>
      <c r="J1380" t="s">
        <v>320</v>
      </c>
      <c r="K1380" t="s">
        <v>5</v>
      </c>
      <c r="L1380" t="s">
        <v>6</v>
      </c>
      <c r="M1380" t="s">
        <v>114</v>
      </c>
      <c r="N1380" s="2">
        <v>45901</v>
      </c>
    </row>
    <row r="1381" spans="1:14" x14ac:dyDescent="0.25">
      <c r="A1381" t="s">
        <v>416</v>
      </c>
      <c r="B1381" s="2">
        <v>45930</v>
      </c>
      <c r="C1381" t="s">
        <v>416</v>
      </c>
      <c r="D1381" t="s">
        <v>112</v>
      </c>
      <c r="E1381" t="s">
        <v>9</v>
      </c>
      <c r="F1381" s="3">
        <v>12500</v>
      </c>
      <c r="G1381" s="3">
        <v>12500</v>
      </c>
      <c r="H1381" t="s">
        <v>3</v>
      </c>
      <c r="I1381" t="s">
        <v>3</v>
      </c>
      <c r="J1381" t="s">
        <v>323</v>
      </c>
      <c r="K1381" t="s">
        <v>5</v>
      </c>
      <c r="L1381" t="s">
        <v>6</v>
      </c>
      <c r="M1381" t="s">
        <v>114</v>
      </c>
      <c r="N1381" s="2">
        <v>45930</v>
      </c>
    </row>
    <row r="1382" spans="1:14" x14ac:dyDescent="0.25">
      <c r="A1382" s="4" t="s">
        <v>272</v>
      </c>
      <c r="B1382" s="5"/>
      <c r="C1382" s="4" t="s">
        <v>9</v>
      </c>
      <c r="D1382" s="4" t="s">
        <v>9</v>
      </c>
      <c r="E1382" s="4" t="s">
        <v>9</v>
      </c>
      <c r="F1382" s="6">
        <v>0</v>
      </c>
      <c r="G1382" s="6">
        <v>0</v>
      </c>
      <c r="H1382" s="4" t="s">
        <v>9</v>
      </c>
      <c r="I1382" s="4" t="s">
        <v>3</v>
      </c>
      <c r="J1382" s="4" t="s">
        <v>9</v>
      </c>
      <c r="K1382" s="4" t="s">
        <v>9</v>
      </c>
      <c r="L1382" s="4" t="s">
        <v>9</v>
      </c>
      <c r="M1382" s="4" t="s">
        <v>9</v>
      </c>
      <c r="N1382" s="5"/>
    </row>
    <row r="1383" spans="1:14" x14ac:dyDescent="0.25">
      <c r="A1383" t="s">
        <v>416</v>
      </c>
      <c r="B1383" s="2">
        <v>45930</v>
      </c>
      <c r="C1383" t="s">
        <v>416</v>
      </c>
      <c r="D1383" t="s">
        <v>112</v>
      </c>
      <c r="E1383" t="s">
        <v>9</v>
      </c>
      <c r="F1383" s="3">
        <v>-12500</v>
      </c>
      <c r="G1383" s="3">
        <v>-12500</v>
      </c>
      <c r="H1383" t="s">
        <v>3</v>
      </c>
      <c r="I1383" t="s">
        <v>3</v>
      </c>
      <c r="J1383" t="s">
        <v>323</v>
      </c>
      <c r="K1383" t="s">
        <v>5</v>
      </c>
      <c r="L1383" t="s">
        <v>8</v>
      </c>
      <c r="M1383" t="s">
        <v>114</v>
      </c>
      <c r="N1383" s="2">
        <v>45931</v>
      </c>
    </row>
    <row r="1384" spans="1:14" x14ac:dyDescent="0.25">
      <c r="A1384" t="s">
        <v>416</v>
      </c>
      <c r="B1384" s="2">
        <v>45961</v>
      </c>
      <c r="C1384" t="s">
        <v>416</v>
      </c>
      <c r="D1384" t="s">
        <v>112</v>
      </c>
      <c r="E1384" t="s">
        <v>9</v>
      </c>
      <c r="F1384" s="3">
        <v>12500</v>
      </c>
      <c r="G1384" s="3">
        <v>12500</v>
      </c>
      <c r="H1384" t="s">
        <v>3</v>
      </c>
      <c r="I1384" t="s">
        <v>3</v>
      </c>
      <c r="J1384" t="s">
        <v>325</v>
      </c>
      <c r="K1384" t="s">
        <v>5</v>
      </c>
      <c r="L1384" t="s">
        <v>8</v>
      </c>
      <c r="M1384" t="s">
        <v>114</v>
      </c>
      <c r="N1384" s="2">
        <v>45961</v>
      </c>
    </row>
    <row r="1385" spans="1:14" x14ac:dyDescent="0.25">
      <c r="A1385" s="4" t="s">
        <v>278</v>
      </c>
      <c r="B1385" s="5"/>
      <c r="C1385" s="4" t="s">
        <v>9</v>
      </c>
      <c r="D1385" s="4" t="s">
        <v>9</v>
      </c>
      <c r="E1385" s="4" t="s">
        <v>9</v>
      </c>
      <c r="F1385" s="6">
        <v>0</v>
      </c>
      <c r="G1385" s="6">
        <v>0</v>
      </c>
      <c r="H1385" s="4" t="s">
        <v>9</v>
      </c>
      <c r="I1385" s="4" t="s">
        <v>3</v>
      </c>
      <c r="J1385" s="4" t="s">
        <v>9</v>
      </c>
      <c r="K1385" s="4" t="s">
        <v>9</v>
      </c>
      <c r="L1385" s="4" t="s">
        <v>9</v>
      </c>
      <c r="M1385" s="4" t="s">
        <v>9</v>
      </c>
      <c r="N1385" s="5"/>
    </row>
    <row r="1386" spans="1:14" x14ac:dyDescent="0.25">
      <c r="A1386" t="s">
        <v>416</v>
      </c>
      <c r="B1386" s="2">
        <v>45629</v>
      </c>
      <c r="C1386" t="s">
        <v>416</v>
      </c>
      <c r="D1386" t="s">
        <v>112</v>
      </c>
      <c r="E1386" t="s">
        <v>9</v>
      </c>
      <c r="F1386" s="3">
        <v>-2900</v>
      </c>
      <c r="G1386" s="3">
        <v>-2900</v>
      </c>
      <c r="H1386" t="s">
        <v>3</v>
      </c>
      <c r="I1386" t="s">
        <v>3</v>
      </c>
      <c r="J1386" t="s">
        <v>9</v>
      </c>
      <c r="K1386" t="s">
        <v>9</v>
      </c>
      <c r="L1386" t="s">
        <v>11</v>
      </c>
      <c r="M1386" t="s">
        <v>114</v>
      </c>
      <c r="N1386" s="2">
        <v>45626</v>
      </c>
    </row>
    <row r="1387" spans="1:14" x14ac:dyDescent="0.25">
      <c r="A1387" t="s">
        <v>416</v>
      </c>
      <c r="B1387" s="2">
        <v>45626</v>
      </c>
      <c r="C1387" t="s">
        <v>416</v>
      </c>
      <c r="D1387" t="s">
        <v>112</v>
      </c>
      <c r="E1387" t="s">
        <v>9</v>
      </c>
      <c r="F1387" s="3">
        <v>2900</v>
      </c>
      <c r="G1387" s="3">
        <v>2900</v>
      </c>
      <c r="H1387" t="s">
        <v>3</v>
      </c>
      <c r="I1387" t="s">
        <v>3</v>
      </c>
      <c r="J1387" t="s">
        <v>283</v>
      </c>
      <c r="K1387" t="s">
        <v>222</v>
      </c>
      <c r="L1387" t="s">
        <v>11</v>
      </c>
      <c r="M1387" t="s">
        <v>114</v>
      </c>
      <c r="N1387" s="2">
        <v>45626</v>
      </c>
    </row>
    <row r="1388" spans="1:14" x14ac:dyDescent="0.25">
      <c r="A1388" t="s">
        <v>416</v>
      </c>
      <c r="B1388" s="2">
        <v>45961</v>
      </c>
      <c r="C1388" t="s">
        <v>416</v>
      </c>
      <c r="D1388" t="s">
        <v>112</v>
      </c>
      <c r="E1388" t="s">
        <v>9</v>
      </c>
      <c r="F1388" s="3">
        <v>-12500</v>
      </c>
      <c r="G1388" s="3">
        <v>-12500</v>
      </c>
      <c r="H1388" t="s">
        <v>3</v>
      </c>
      <c r="I1388" t="s">
        <v>3</v>
      </c>
      <c r="J1388" t="s">
        <v>325</v>
      </c>
      <c r="K1388" t="s">
        <v>5</v>
      </c>
      <c r="L1388" t="s">
        <v>11</v>
      </c>
      <c r="M1388" t="s">
        <v>114</v>
      </c>
      <c r="N1388" s="2">
        <v>45962</v>
      </c>
    </row>
    <row r="1389" spans="1:14" x14ac:dyDescent="0.25">
      <c r="A1389" t="s">
        <v>416</v>
      </c>
      <c r="B1389" s="2">
        <v>45991</v>
      </c>
      <c r="C1389" t="s">
        <v>416</v>
      </c>
      <c r="D1389" t="s">
        <v>112</v>
      </c>
      <c r="E1389" t="s">
        <v>9</v>
      </c>
      <c r="F1389" s="3">
        <v>12500</v>
      </c>
      <c r="G1389" s="3">
        <v>12500</v>
      </c>
      <c r="H1389" t="s">
        <v>3</v>
      </c>
      <c r="I1389" t="s">
        <v>3</v>
      </c>
      <c r="J1389" t="s">
        <v>328</v>
      </c>
      <c r="K1389" t="s">
        <v>5</v>
      </c>
      <c r="L1389" t="s">
        <v>11</v>
      </c>
      <c r="M1389" t="s">
        <v>114</v>
      </c>
      <c r="N1389" s="2">
        <v>45991</v>
      </c>
    </row>
    <row r="1390" spans="1:14" x14ac:dyDescent="0.25">
      <c r="A1390" s="4" t="s">
        <v>226</v>
      </c>
      <c r="B1390" s="5"/>
      <c r="C1390" s="4" t="s">
        <v>9</v>
      </c>
      <c r="D1390" s="4" t="s">
        <v>9</v>
      </c>
      <c r="E1390" s="4" t="s">
        <v>9</v>
      </c>
      <c r="F1390" s="6">
        <v>0</v>
      </c>
      <c r="G1390" s="6">
        <v>0</v>
      </c>
      <c r="H1390" s="4" t="s">
        <v>9</v>
      </c>
      <c r="I1390" s="4" t="s">
        <v>3</v>
      </c>
      <c r="J1390" s="4" t="s">
        <v>9</v>
      </c>
      <c r="K1390" s="4" t="s">
        <v>9</v>
      </c>
      <c r="L1390" s="4" t="s">
        <v>9</v>
      </c>
      <c r="M1390" s="4" t="s">
        <v>9</v>
      </c>
      <c r="N1390" s="5"/>
    </row>
    <row r="1391" spans="1:14" x14ac:dyDescent="0.25">
      <c r="A1391" t="s">
        <v>416</v>
      </c>
      <c r="B1391" s="2">
        <v>45660</v>
      </c>
      <c r="C1391" t="s">
        <v>416</v>
      </c>
      <c r="D1391" t="s">
        <v>112</v>
      </c>
      <c r="E1391" t="s">
        <v>9</v>
      </c>
      <c r="F1391" s="3">
        <v>-4200</v>
      </c>
      <c r="G1391" s="3">
        <v>-4200</v>
      </c>
      <c r="H1391" t="s">
        <v>3</v>
      </c>
      <c r="I1391" t="s">
        <v>3</v>
      </c>
      <c r="J1391" t="s">
        <v>9</v>
      </c>
      <c r="K1391" t="s">
        <v>9</v>
      </c>
      <c r="L1391" t="s">
        <v>12</v>
      </c>
      <c r="M1391" t="s">
        <v>114</v>
      </c>
      <c r="N1391" s="2">
        <v>45657</v>
      </c>
    </row>
    <row r="1392" spans="1:14" x14ac:dyDescent="0.25">
      <c r="A1392" t="s">
        <v>416</v>
      </c>
      <c r="B1392" s="2">
        <v>45626</v>
      </c>
      <c r="C1392" t="s">
        <v>416</v>
      </c>
      <c r="D1392" t="s">
        <v>112</v>
      </c>
      <c r="E1392" t="s">
        <v>9</v>
      </c>
      <c r="F1392" s="3">
        <v>-2900</v>
      </c>
      <c r="G1392" s="3">
        <v>-2900</v>
      </c>
      <c r="H1392" t="s">
        <v>3</v>
      </c>
      <c r="I1392" t="s">
        <v>3</v>
      </c>
      <c r="J1392" t="s">
        <v>283</v>
      </c>
      <c r="K1392" t="s">
        <v>222</v>
      </c>
      <c r="L1392" t="s">
        <v>12</v>
      </c>
      <c r="M1392" t="s">
        <v>114</v>
      </c>
      <c r="N1392" s="2">
        <v>45627</v>
      </c>
    </row>
    <row r="1393" spans="1:14" x14ac:dyDescent="0.25">
      <c r="A1393" t="s">
        <v>416</v>
      </c>
      <c r="B1393" s="2">
        <v>45657</v>
      </c>
      <c r="C1393" t="s">
        <v>416</v>
      </c>
      <c r="D1393" t="s">
        <v>112</v>
      </c>
      <c r="E1393" t="s">
        <v>9</v>
      </c>
      <c r="F1393" s="3">
        <v>7100</v>
      </c>
      <c r="G1393" s="3">
        <v>7100</v>
      </c>
      <c r="H1393" t="s">
        <v>3</v>
      </c>
      <c r="I1393" t="s">
        <v>3</v>
      </c>
      <c r="J1393" t="s">
        <v>292</v>
      </c>
      <c r="K1393" t="s">
        <v>222</v>
      </c>
      <c r="L1393" t="s">
        <v>12</v>
      </c>
      <c r="M1393" t="s">
        <v>114</v>
      </c>
      <c r="N1393" s="2">
        <v>45657</v>
      </c>
    </row>
    <row r="1394" spans="1:14" x14ac:dyDescent="0.25">
      <c r="A1394" t="s">
        <v>416</v>
      </c>
      <c r="B1394" s="2">
        <v>45991</v>
      </c>
      <c r="C1394" t="s">
        <v>416</v>
      </c>
      <c r="D1394" t="s">
        <v>112</v>
      </c>
      <c r="E1394" t="s">
        <v>9</v>
      </c>
      <c r="F1394" s="3">
        <v>-12500</v>
      </c>
      <c r="G1394" s="3">
        <v>-12500</v>
      </c>
      <c r="H1394" t="s">
        <v>3</v>
      </c>
      <c r="I1394" t="s">
        <v>3</v>
      </c>
      <c r="J1394" t="s">
        <v>328</v>
      </c>
      <c r="K1394" t="s">
        <v>5</v>
      </c>
      <c r="L1394" t="s">
        <v>12</v>
      </c>
      <c r="M1394" t="s">
        <v>114</v>
      </c>
      <c r="N1394" s="2">
        <v>45992</v>
      </c>
    </row>
    <row r="1395" spans="1:14" x14ac:dyDescent="0.25">
      <c r="A1395" t="s">
        <v>416</v>
      </c>
      <c r="B1395" s="2">
        <v>46022</v>
      </c>
      <c r="C1395" t="s">
        <v>416</v>
      </c>
      <c r="D1395" t="s">
        <v>112</v>
      </c>
      <c r="E1395" t="s">
        <v>9</v>
      </c>
      <c r="F1395" s="3">
        <v>12500</v>
      </c>
      <c r="G1395" s="3">
        <v>12500</v>
      </c>
      <c r="H1395" t="s">
        <v>3</v>
      </c>
      <c r="I1395" t="s">
        <v>3</v>
      </c>
      <c r="J1395" t="s">
        <v>298</v>
      </c>
      <c r="K1395" t="s">
        <v>5</v>
      </c>
      <c r="L1395" t="s">
        <v>12</v>
      </c>
      <c r="M1395" t="s">
        <v>114</v>
      </c>
      <c r="N1395" s="2">
        <v>46022</v>
      </c>
    </row>
    <row r="1396" spans="1:14" x14ac:dyDescent="0.25">
      <c r="A1396" t="s">
        <v>416</v>
      </c>
      <c r="B1396" s="2">
        <v>46022</v>
      </c>
      <c r="C1396" t="s">
        <v>416</v>
      </c>
      <c r="D1396" t="s">
        <v>112</v>
      </c>
      <c r="E1396" t="s">
        <v>9</v>
      </c>
      <c r="F1396" s="3">
        <v>12500</v>
      </c>
      <c r="G1396" s="3">
        <v>12500</v>
      </c>
      <c r="H1396" t="s">
        <v>3</v>
      </c>
      <c r="I1396" t="s">
        <v>3</v>
      </c>
      <c r="J1396" t="s">
        <v>298</v>
      </c>
      <c r="K1396" t="s">
        <v>5</v>
      </c>
      <c r="L1396" t="s">
        <v>12</v>
      </c>
      <c r="M1396" t="s">
        <v>114</v>
      </c>
      <c r="N1396" s="2">
        <v>46022</v>
      </c>
    </row>
    <row r="1397" spans="1:14" x14ac:dyDescent="0.25">
      <c r="A1397" t="s">
        <v>416</v>
      </c>
      <c r="B1397" s="2">
        <v>46022</v>
      </c>
      <c r="C1397" t="s">
        <v>416</v>
      </c>
      <c r="D1397" t="s">
        <v>112</v>
      </c>
      <c r="E1397" t="s">
        <v>9</v>
      </c>
      <c r="F1397" s="3">
        <v>-12500</v>
      </c>
      <c r="G1397" s="3">
        <v>-12500</v>
      </c>
      <c r="H1397" t="s">
        <v>3</v>
      </c>
      <c r="I1397" t="s">
        <v>3</v>
      </c>
      <c r="J1397" t="s">
        <v>298</v>
      </c>
      <c r="K1397" t="s">
        <v>5</v>
      </c>
      <c r="L1397" t="s">
        <v>12</v>
      </c>
      <c r="M1397" t="s">
        <v>114</v>
      </c>
      <c r="N1397" s="2">
        <v>46022</v>
      </c>
    </row>
    <row r="1398" spans="1:14" x14ac:dyDescent="0.25">
      <c r="A1398" s="4" t="s">
        <v>228</v>
      </c>
      <c r="B1398" s="5"/>
      <c r="C1398" s="4" t="s">
        <v>9</v>
      </c>
      <c r="D1398" s="4" t="s">
        <v>9</v>
      </c>
      <c r="E1398" s="4" t="s">
        <v>9</v>
      </c>
      <c r="F1398" s="6">
        <v>0</v>
      </c>
      <c r="G1398" s="6">
        <v>0</v>
      </c>
      <c r="H1398" s="4" t="s">
        <v>9</v>
      </c>
      <c r="I1398" s="4" t="s">
        <v>3</v>
      </c>
      <c r="J1398" s="4" t="s">
        <v>9</v>
      </c>
      <c r="K1398" s="4" t="s">
        <v>9</v>
      </c>
      <c r="L1398" s="4" t="s">
        <v>9</v>
      </c>
      <c r="M1398" s="4" t="s">
        <v>9</v>
      </c>
      <c r="N1398" s="5"/>
    </row>
    <row r="1399" spans="1:14" x14ac:dyDescent="0.25">
      <c r="A1399" s="4" t="s">
        <v>416</v>
      </c>
      <c r="B1399" s="5"/>
      <c r="C1399" s="4" t="s">
        <v>9</v>
      </c>
      <c r="D1399" s="4" t="s">
        <v>9</v>
      </c>
      <c r="E1399" s="4" t="s">
        <v>9</v>
      </c>
      <c r="F1399" s="6">
        <v>0</v>
      </c>
      <c r="G1399" s="6">
        <v>0</v>
      </c>
      <c r="H1399" s="4" t="s">
        <v>9</v>
      </c>
      <c r="I1399" s="4" t="s">
        <v>3</v>
      </c>
      <c r="J1399" s="4" t="s">
        <v>9</v>
      </c>
      <c r="K1399" s="4" t="s">
        <v>9</v>
      </c>
      <c r="L1399" s="4" t="s">
        <v>9</v>
      </c>
      <c r="M1399" s="4" t="s">
        <v>9</v>
      </c>
      <c r="N1399" s="5"/>
    </row>
    <row r="1400" spans="1:14" x14ac:dyDescent="0.25">
      <c r="A1400" t="s">
        <v>417</v>
      </c>
      <c r="B1400" s="2">
        <v>45720</v>
      </c>
      <c r="C1400" t="s">
        <v>417</v>
      </c>
      <c r="D1400" t="s">
        <v>99</v>
      </c>
      <c r="E1400" t="s">
        <v>9</v>
      </c>
      <c r="F1400" s="3">
        <v>-6256.25</v>
      </c>
      <c r="G1400" s="3">
        <v>-6256.25</v>
      </c>
      <c r="H1400" t="s">
        <v>3</v>
      </c>
      <c r="I1400" t="s">
        <v>3</v>
      </c>
      <c r="J1400" t="s">
        <v>9</v>
      </c>
      <c r="K1400" t="s">
        <v>9</v>
      </c>
      <c r="L1400" t="s">
        <v>15</v>
      </c>
      <c r="M1400" t="s">
        <v>102</v>
      </c>
      <c r="N1400" s="2">
        <v>45716</v>
      </c>
    </row>
    <row r="1401" spans="1:14" x14ac:dyDescent="0.25">
      <c r="A1401" t="s">
        <v>417</v>
      </c>
      <c r="B1401" s="2">
        <v>45719</v>
      </c>
      <c r="C1401" t="s">
        <v>417</v>
      </c>
      <c r="D1401" t="s">
        <v>99</v>
      </c>
      <c r="E1401" t="s">
        <v>418</v>
      </c>
      <c r="F1401" s="3">
        <v>6256.25</v>
      </c>
      <c r="G1401" s="3">
        <v>6256.25</v>
      </c>
      <c r="H1401" t="s">
        <v>3</v>
      </c>
      <c r="I1401" t="s">
        <v>3</v>
      </c>
      <c r="J1401" t="s">
        <v>419</v>
      </c>
      <c r="K1401" t="s">
        <v>5</v>
      </c>
      <c r="L1401" t="s">
        <v>15</v>
      </c>
      <c r="M1401" t="s">
        <v>102</v>
      </c>
      <c r="N1401" s="2">
        <v>45716</v>
      </c>
    </row>
    <row r="1402" spans="1:14" x14ac:dyDescent="0.25">
      <c r="A1402" s="4" t="s">
        <v>239</v>
      </c>
      <c r="B1402" s="5"/>
      <c r="C1402" s="4" t="s">
        <v>9</v>
      </c>
      <c r="D1402" s="4" t="s">
        <v>9</v>
      </c>
      <c r="E1402" s="4" t="s">
        <v>9</v>
      </c>
      <c r="F1402" s="6">
        <v>0</v>
      </c>
      <c r="G1402" s="6">
        <v>0</v>
      </c>
      <c r="H1402" s="4" t="s">
        <v>9</v>
      </c>
      <c r="I1402" s="4" t="s">
        <v>3</v>
      </c>
      <c r="J1402" s="4" t="s">
        <v>9</v>
      </c>
      <c r="K1402" s="4" t="s">
        <v>9</v>
      </c>
      <c r="L1402" s="4" t="s">
        <v>9</v>
      </c>
      <c r="M1402" s="4" t="s">
        <v>9</v>
      </c>
      <c r="N1402" s="5"/>
    </row>
    <row r="1403" spans="1:14" x14ac:dyDescent="0.25">
      <c r="A1403" t="s">
        <v>417</v>
      </c>
      <c r="B1403" s="2">
        <v>45810</v>
      </c>
      <c r="C1403" t="s">
        <v>417</v>
      </c>
      <c r="D1403" t="s">
        <v>99</v>
      </c>
      <c r="E1403" t="s">
        <v>9</v>
      </c>
      <c r="F1403" s="3">
        <v>-5740.63</v>
      </c>
      <c r="G1403" s="3">
        <v>-5740.63</v>
      </c>
      <c r="H1403" t="s">
        <v>3</v>
      </c>
      <c r="I1403" t="s">
        <v>3</v>
      </c>
      <c r="J1403" t="s">
        <v>9</v>
      </c>
      <c r="K1403" t="s">
        <v>9</v>
      </c>
      <c r="L1403" t="s">
        <v>18</v>
      </c>
      <c r="M1403" t="s">
        <v>102</v>
      </c>
      <c r="N1403" s="2">
        <v>45808</v>
      </c>
    </row>
    <row r="1404" spans="1:14" x14ac:dyDescent="0.25">
      <c r="A1404" t="s">
        <v>417</v>
      </c>
      <c r="B1404" s="2">
        <v>45798</v>
      </c>
      <c r="C1404" t="s">
        <v>417</v>
      </c>
      <c r="D1404" t="s">
        <v>99</v>
      </c>
      <c r="E1404" t="s">
        <v>418</v>
      </c>
      <c r="F1404" s="3">
        <v>2406.25</v>
      </c>
      <c r="G1404" s="3">
        <v>2406.25</v>
      </c>
      <c r="H1404" t="s">
        <v>3</v>
      </c>
      <c r="I1404" t="s">
        <v>3</v>
      </c>
      <c r="J1404" t="s">
        <v>419</v>
      </c>
      <c r="K1404" t="s">
        <v>5</v>
      </c>
      <c r="L1404" t="s">
        <v>18</v>
      </c>
      <c r="M1404" t="s">
        <v>102</v>
      </c>
      <c r="N1404" s="2">
        <v>45798</v>
      </c>
    </row>
    <row r="1405" spans="1:14" x14ac:dyDescent="0.25">
      <c r="A1405" t="s">
        <v>417</v>
      </c>
      <c r="B1405" s="2">
        <v>45798</v>
      </c>
      <c r="C1405" t="s">
        <v>417</v>
      </c>
      <c r="D1405" t="s">
        <v>99</v>
      </c>
      <c r="E1405" t="s">
        <v>418</v>
      </c>
      <c r="F1405" s="3">
        <v>3334.38</v>
      </c>
      <c r="G1405" s="3">
        <v>3334.38</v>
      </c>
      <c r="H1405" t="s">
        <v>3</v>
      </c>
      <c r="I1405" t="s">
        <v>3</v>
      </c>
      <c r="J1405" t="s">
        <v>419</v>
      </c>
      <c r="K1405" t="s">
        <v>5</v>
      </c>
      <c r="L1405" t="s">
        <v>18</v>
      </c>
      <c r="M1405" t="s">
        <v>102</v>
      </c>
      <c r="N1405" s="2">
        <v>45798</v>
      </c>
    </row>
    <row r="1406" spans="1:14" x14ac:dyDescent="0.25">
      <c r="A1406" s="4" t="s">
        <v>223</v>
      </c>
      <c r="B1406" s="5"/>
      <c r="C1406" s="4" t="s">
        <v>9</v>
      </c>
      <c r="D1406" s="4" t="s">
        <v>9</v>
      </c>
      <c r="E1406" s="4" t="s">
        <v>9</v>
      </c>
      <c r="F1406" s="6">
        <v>0</v>
      </c>
      <c r="G1406" s="6">
        <v>0</v>
      </c>
      <c r="H1406" s="4" t="s">
        <v>9</v>
      </c>
      <c r="I1406" s="4" t="s">
        <v>3</v>
      </c>
      <c r="J1406" s="4" t="s">
        <v>9</v>
      </c>
      <c r="K1406" s="4" t="s">
        <v>9</v>
      </c>
      <c r="L1406" s="4" t="s">
        <v>9</v>
      </c>
      <c r="M1406" s="4" t="s">
        <v>9</v>
      </c>
      <c r="N1406" s="5"/>
    </row>
    <row r="1407" spans="1:14" x14ac:dyDescent="0.25">
      <c r="A1407" t="s">
        <v>417</v>
      </c>
      <c r="B1407" s="2">
        <v>45839</v>
      </c>
      <c r="C1407" t="s">
        <v>417</v>
      </c>
      <c r="D1407" t="s">
        <v>99</v>
      </c>
      <c r="E1407" t="s">
        <v>9</v>
      </c>
      <c r="F1407" s="3">
        <v>-1925</v>
      </c>
      <c r="G1407" s="3">
        <v>-1925</v>
      </c>
      <c r="H1407" t="s">
        <v>3</v>
      </c>
      <c r="I1407" t="s">
        <v>3</v>
      </c>
      <c r="J1407" t="s">
        <v>9</v>
      </c>
      <c r="K1407" t="s">
        <v>9</v>
      </c>
      <c r="L1407" t="s">
        <v>19</v>
      </c>
      <c r="M1407" t="s">
        <v>102</v>
      </c>
      <c r="N1407" s="2">
        <v>45838</v>
      </c>
    </row>
    <row r="1408" spans="1:14" x14ac:dyDescent="0.25">
      <c r="A1408" t="s">
        <v>417</v>
      </c>
      <c r="B1408" s="2">
        <v>45814</v>
      </c>
      <c r="C1408" t="s">
        <v>417</v>
      </c>
      <c r="D1408" t="s">
        <v>99</v>
      </c>
      <c r="E1408" t="s">
        <v>418</v>
      </c>
      <c r="F1408" s="3">
        <v>1925</v>
      </c>
      <c r="G1408" s="3">
        <v>1925</v>
      </c>
      <c r="H1408" t="s">
        <v>3</v>
      </c>
      <c r="I1408" t="s">
        <v>3</v>
      </c>
      <c r="J1408" t="s">
        <v>419</v>
      </c>
      <c r="K1408" t="s">
        <v>5</v>
      </c>
      <c r="L1408" t="s">
        <v>19</v>
      </c>
      <c r="M1408" t="s">
        <v>102</v>
      </c>
      <c r="N1408" s="2">
        <v>45814</v>
      </c>
    </row>
    <row r="1409" spans="1:14" x14ac:dyDescent="0.25">
      <c r="A1409" s="4" t="s">
        <v>224</v>
      </c>
      <c r="B1409" s="5"/>
      <c r="C1409" s="4" t="s">
        <v>9</v>
      </c>
      <c r="D1409" s="4" t="s">
        <v>9</v>
      </c>
      <c r="E1409" s="4" t="s">
        <v>9</v>
      </c>
      <c r="F1409" s="6">
        <v>0</v>
      </c>
      <c r="G1409" s="6">
        <v>0</v>
      </c>
      <c r="H1409" s="4" t="s">
        <v>9</v>
      </c>
      <c r="I1409" s="4" t="s">
        <v>3</v>
      </c>
      <c r="J1409" s="4" t="s">
        <v>9</v>
      </c>
      <c r="K1409" s="4" t="s">
        <v>9</v>
      </c>
      <c r="L1409" s="4" t="s">
        <v>9</v>
      </c>
      <c r="M1409" s="4" t="s">
        <v>9</v>
      </c>
      <c r="N1409" s="5"/>
    </row>
    <row r="1410" spans="1:14" x14ac:dyDescent="0.25">
      <c r="A1410" t="s">
        <v>417</v>
      </c>
      <c r="B1410" s="2">
        <v>45629</v>
      </c>
      <c r="C1410" t="s">
        <v>417</v>
      </c>
      <c r="D1410" t="s">
        <v>408</v>
      </c>
      <c r="E1410" t="s">
        <v>9</v>
      </c>
      <c r="F1410" s="3">
        <v>-2700</v>
      </c>
      <c r="G1410" s="3">
        <v>-2700</v>
      </c>
      <c r="H1410" t="s">
        <v>3</v>
      </c>
      <c r="I1410" t="s">
        <v>3</v>
      </c>
      <c r="J1410" t="s">
        <v>9</v>
      </c>
      <c r="K1410" t="s">
        <v>9</v>
      </c>
      <c r="L1410" t="s">
        <v>11</v>
      </c>
      <c r="M1410" t="s">
        <v>409</v>
      </c>
      <c r="N1410" s="2">
        <v>45626</v>
      </c>
    </row>
    <row r="1411" spans="1:14" x14ac:dyDescent="0.25">
      <c r="A1411" t="s">
        <v>417</v>
      </c>
      <c r="B1411" s="2">
        <v>45626</v>
      </c>
      <c r="C1411" t="s">
        <v>417</v>
      </c>
      <c r="D1411" t="s">
        <v>408</v>
      </c>
      <c r="E1411" t="s">
        <v>9</v>
      </c>
      <c r="F1411" s="3">
        <v>2700</v>
      </c>
      <c r="G1411" s="3">
        <v>2700</v>
      </c>
      <c r="H1411" t="s">
        <v>3</v>
      </c>
      <c r="I1411" t="s">
        <v>3</v>
      </c>
      <c r="J1411" t="s">
        <v>414</v>
      </c>
      <c r="K1411" t="s">
        <v>222</v>
      </c>
      <c r="L1411" t="s">
        <v>11</v>
      </c>
      <c r="M1411" t="s">
        <v>409</v>
      </c>
      <c r="N1411" s="2">
        <v>45626</v>
      </c>
    </row>
    <row r="1412" spans="1:14" x14ac:dyDescent="0.25">
      <c r="A1412" s="4" t="s">
        <v>226</v>
      </c>
      <c r="B1412" s="5"/>
      <c r="C1412" s="4" t="s">
        <v>9</v>
      </c>
      <c r="D1412" s="4" t="s">
        <v>9</v>
      </c>
      <c r="E1412" s="4" t="s">
        <v>9</v>
      </c>
      <c r="F1412" s="6">
        <v>0</v>
      </c>
      <c r="G1412" s="6">
        <v>0</v>
      </c>
      <c r="H1412" s="4" t="s">
        <v>9</v>
      </c>
      <c r="I1412" s="4" t="s">
        <v>3</v>
      </c>
      <c r="J1412" s="4" t="s">
        <v>9</v>
      </c>
      <c r="K1412" s="4" t="s">
        <v>9</v>
      </c>
      <c r="L1412" s="4" t="s">
        <v>9</v>
      </c>
      <c r="M1412" s="4" t="s">
        <v>9</v>
      </c>
      <c r="N1412" s="5"/>
    </row>
    <row r="1413" spans="1:14" x14ac:dyDescent="0.25">
      <c r="A1413" t="s">
        <v>417</v>
      </c>
      <c r="B1413" s="2">
        <v>45660</v>
      </c>
      <c r="C1413" t="s">
        <v>417</v>
      </c>
      <c r="D1413" t="s">
        <v>99</v>
      </c>
      <c r="E1413" t="s">
        <v>9</v>
      </c>
      <c r="F1413" s="3">
        <v>-19318.75</v>
      </c>
      <c r="G1413" s="3">
        <v>-19318.75</v>
      </c>
      <c r="H1413" t="s">
        <v>3</v>
      </c>
      <c r="I1413" t="s">
        <v>3</v>
      </c>
      <c r="J1413" t="s">
        <v>9</v>
      </c>
      <c r="K1413" t="s">
        <v>9</v>
      </c>
      <c r="L1413" t="s">
        <v>12</v>
      </c>
      <c r="M1413" t="s">
        <v>102</v>
      </c>
      <c r="N1413" s="2">
        <v>45657</v>
      </c>
    </row>
    <row r="1414" spans="1:14" x14ac:dyDescent="0.25">
      <c r="A1414" t="s">
        <v>417</v>
      </c>
      <c r="B1414" s="2">
        <v>45639</v>
      </c>
      <c r="C1414" t="s">
        <v>417</v>
      </c>
      <c r="D1414" t="s">
        <v>99</v>
      </c>
      <c r="E1414" t="s">
        <v>418</v>
      </c>
      <c r="F1414" s="3">
        <v>19318.75</v>
      </c>
      <c r="G1414" s="3">
        <v>19318.75</v>
      </c>
      <c r="H1414" t="s">
        <v>3</v>
      </c>
      <c r="I1414" t="s">
        <v>3</v>
      </c>
      <c r="J1414" t="s">
        <v>419</v>
      </c>
      <c r="K1414" t="s">
        <v>222</v>
      </c>
      <c r="L1414" t="s">
        <v>12</v>
      </c>
      <c r="M1414" t="s">
        <v>102</v>
      </c>
      <c r="N1414" s="2">
        <v>45639</v>
      </c>
    </row>
    <row r="1415" spans="1:14" x14ac:dyDescent="0.25">
      <c r="A1415" s="4" t="s">
        <v>228</v>
      </c>
      <c r="B1415" s="5"/>
      <c r="C1415" s="4" t="s">
        <v>9</v>
      </c>
      <c r="D1415" s="4" t="s">
        <v>9</v>
      </c>
      <c r="E1415" s="4" t="s">
        <v>9</v>
      </c>
      <c r="F1415" s="6">
        <v>0</v>
      </c>
      <c r="G1415" s="6">
        <v>0</v>
      </c>
      <c r="H1415" s="4" t="s">
        <v>9</v>
      </c>
      <c r="I1415" s="4" t="s">
        <v>3</v>
      </c>
      <c r="J1415" s="4" t="s">
        <v>9</v>
      </c>
      <c r="K1415" s="4" t="s">
        <v>9</v>
      </c>
      <c r="L1415" s="4" t="s">
        <v>9</v>
      </c>
      <c r="M1415" s="4" t="s">
        <v>9</v>
      </c>
      <c r="N1415" s="5"/>
    </row>
    <row r="1416" spans="1:14" x14ac:dyDescent="0.25">
      <c r="A1416" s="4" t="s">
        <v>417</v>
      </c>
      <c r="B1416" s="5"/>
      <c r="C1416" s="4" t="s">
        <v>9</v>
      </c>
      <c r="D1416" s="4" t="s">
        <v>9</v>
      </c>
      <c r="E1416" s="4" t="s">
        <v>9</v>
      </c>
      <c r="F1416" s="6">
        <v>0</v>
      </c>
      <c r="G1416" s="6">
        <v>0</v>
      </c>
      <c r="H1416" s="4" t="s">
        <v>9</v>
      </c>
      <c r="I1416" s="4" t="s">
        <v>3</v>
      </c>
      <c r="J1416" s="4" t="s">
        <v>9</v>
      </c>
      <c r="K1416" s="4" t="s">
        <v>9</v>
      </c>
      <c r="L1416" s="4" t="s">
        <v>9</v>
      </c>
      <c r="M1416" s="4" t="s">
        <v>9</v>
      </c>
      <c r="N1416" s="5"/>
    </row>
    <row r="1417" spans="1:14" x14ac:dyDescent="0.25">
      <c r="A1417" t="s">
        <v>420</v>
      </c>
      <c r="B1417" s="2">
        <v>45693</v>
      </c>
      <c r="C1417" t="s">
        <v>420</v>
      </c>
      <c r="D1417" t="s">
        <v>112</v>
      </c>
      <c r="E1417" t="s">
        <v>9</v>
      </c>
      <c r="F1417" s="3">
        <v>-600</v>
      </c>
      <c r="G1417" s="3">
        <v>-600</v>
      </c>
      <c r="H1417" t="s">
        <v>3</v>
      </c>
      <c r="I1417" t="s">
        <v>3</v>
      </c>
      <c r="J1417" t="s">
        <v>9</v>
      </c>
      <c r="K1417" t="s">
        <v>9</v>
      </c>
      <c r="L1417" t="s">
        <v>14</v>
      </c>
      <c r="M1417" t="s">
        <v>114</v>
      </c>
      <c r="N1417" s="2">
        <v>45688</v>
      </c>
    </row>
    <row r="1418" spans="1:14" x14ac:dyDescent="0.25">
      <c r="A1418" t="s">
        <v>420</v>
      </c>
      <c r="B1418" s="2">
        <v>46056</v>
      </c>
      <c r="C1418" t="s">
        <v>420</v>
      </c>
      <c r="D1418" t="s">
        <v>112</v>
      </c>
      <c r="E1418" t="s">
        <v>9</v>
      </c>
      <c r="F1418" s="3">
        <v>-200</v>
      </c>
      <c r="G1418" s="3">
        <v>-200</v>
      </c>
      <c r="H1418" t="s">
        <v>3</v>
      </c>
      <c r="I1418" t="s">
        <v>3</v>
      </c>
      <c r="J1418" t="s">
        <v>9</v>
      </c>
      <c r="K1418" t="s">
        <v>9</v>
      </c>
      <c r="L1418" t="s">
        <v>14</v>
      </c>
      <c r="M1418" t="s">
        <v>114</v>
      </c>
      <c r="N1418" s="2">
        <v>46053</v>
      </c>
    </row>
    <row r="1419" spans="1:14" x14ac:dyDescent="0.25">
      <c r="A1419" t="s">
        <v>420</v>
      </c>
      <c r="B1419" s="2">
        <v>45688</v>
      </c>
      <c r="C1419" t="s">
        <v>420</v>
      </c>
      <c r="D1419" t="s">
        <v>112</v>
      </c>
      <c r="E1419" t="s">
        <v>9</v>
      </c>
      <c r="F1419" s="3">
        <v>600</v>
      </c>
      <c r="G1419" s="3">
        <v>600</v>
      </c>
      <c r="H1419" t="s">
        <v>3</v>
      </c>
      <c r="I1419" t="s">
        <v>3</v>
      </c>
      <c r="J1419" t="s">
        <v>297</v>
      </c>
      <c r="K1419" t="s">
        <v>5</v>
      </c>
      <c r="L1419" t="s">
        <v>14</v>
      </c>
      <c r="M1419" t="s">
        <v>114</v>
      </c>
      <c r="N1419" s="2">
        <v>45688</v>
      </c>
    </row>
    <row r="1420" spans="1:14" x14ac:dyDescent="0.25">
      <c r="A1420" t="s">
        <v>420</v>
      </c>
      <c r="B1420" s="2">
        <v>46022</v>
      </c>
      <c r="C1420" t="s">
        <v>420</v>
      </c>
      <c r="D1420" t="s">
        <v>112</v>
      </c>
      <c r="E1420" t="s">
        <v>9</v>
      </c>
      <c r="F1420" s="3">
        <v>-4650</v>
      </c>
      <c r="G1420" s="3">
        <v>-4650</v>
      </c>
      <c r="H1420" t="s">
        <v>3</v>
      </c>
      <c r="I1420" t="s">
        <v>3</v>
      </c>
      <c r="J1420" t="s">
        <v>298</v>
      </c>
      <c r="K1420" t="s">
        <v>13</v>
      </c>
      <c r="L1420" t="s">
        <v>14</v>
      </c>
      <c r="M1420" t="s">
        <v>114</v>
      </c>
      <c r="N1420" s="2">
        <v>46023</v>
      </c>
    </row>
    <row r="1421" spans="1:14" x14ac:dyDescent="0.25">
      <c r="A1421" t="s">
        <v>420</v>
      </c>
      <c r="B1421" s="2">
        <v>46023</v>
      </c>
      <c r="C1421" t="s">
        <v>420</v>
      </c>
      <c r="D1421" t="s">
        <v>112</v>
      </c>
      <c r="E1421" t="s">
        <v>9</v>
      </c>
      <c r="F1421" s="3">
        <v>4650</v>
      </c>
      <c r="G1421" s="3">
        <v>4650</v>
      </c>
      <c r="H1421" t="s">
        <v>3</v>
      </c>
      <c r="I1421" t="s">
        <v>3</v>
      </c>
      <c r="J1421" t="s">
        <v>298</v>
      </c>
      <c r="K1421" t="s">
        <v>13</v>
      </c>
      <c r="L1421" t="s">
        <v>14</v>
      </c>
      <c r="M1421" t="s">
        <v>114</v>
      </c>
      <c r="N1421" s="2">
        <v>46023</v>
      </c>
    </row>
    <row r="1422" spans="1:14" x14ac:dyDescent="0.25">
      <c r="A1422" t="s">
        <v>420</v>
      </c>
      <c r="B1422" s="2">
        <v>46053</v>
      </c>
      <c r="C1422" t="s">
        <v>420</v>
      </c>
      <c r="D1422" t="s">
        <v>112</v>
      </c>
      <c r="E1422" t="s">
        <v>9</v>
      </c>
      <c r="F1422" s="3">
        <v>200</v>
      </c>
      <c r="G1422" s="3">
        <v>200</v>
      </c>
      <c r="H1422" t="s">
        <v>3</v>
      </c>
      <c r="I1422" t="s">
        <v>3</v>
      </c>
      <c r="J1422" t="s">
        <v>300</v>
      </c>
      <c r="K1422" t="s">
        <v>13</v>
      </c>
      <c r="L1422" t="s">
        <v>14</v>
      </c>
      <c r="M1422" t="s">
        <v>114</v>
      </c>
      <c r="N1422" s="2">
        <v>46053</v>
      </c>
    </row>
    <row r="1423" spans="1:14" x14ac:dyDescent="0.25">
      <c r="A1423" s="4" t="s">
        <v>234</v>
      </c>
      <c r="B1423" s="5"/>
      <c r="C1423" s="4" t="s">
        <v>9</v>
      </c>
      <c r="D1423" s="4" t="s">
        <v>9</v>
      </c>
      <c r="E1423" s="4" t="s">
        <v>9</v>
      </c>
      <c r="F1423" s="6">
        <v>0</v>
      </c>
      <c r="G1423" s="6">
        <v>0</v>
      </c>
      <c r="H1423" s="4" t="s">
        <v>9</v>
      </c>
      <c r="I1423" s="4" t="s">
        <v>3</v>
      </c>
      <c r="J1423" s="4" t="s">
        <v>9</v>
      </c>
      <c r="K1423" s="4" t="s">
        <v>9</v>
      </c>
      <c r="L1423" s="4" t="s">
        <v>9</v>
      </c>
      <c r="M1423" s="4" t="s">
        <v>9</v>
      </c>
      <c r="N1423" s="5"/>
    </row>
    <row r="1424" spans="1:14" x14ac:dyDescent="0.25">
      <c r="A1424" t="s">
        <v>420</v>
      </c>
      <c r="B1424" s="2">
        <v>45720</v>
      </c>
      <c r="C1424" t="s">
        <v>420</v>
      </c>
      <c r="D1424" t="s">
        <v>112</v>
      </c>
      <c r="E1424" t="s">
        <v>9</v>
      </c>
      <c r="F1424" s="3">
        <v>-1150</v>
      </c>
      <c r="G1424" s="3">
        <v>-1150</v>
      </c>
      <c r="H1424" t="s">
        <v>3</v>
      </c>
      <c r="I1424" t="s">
        <v>3</v>
      </c>
      <c r="J1424" t="s">
        <v>9</v>
      </c>
      <c r="K1424" t="s">
        <v>9</v>
      </c>
      <c r="L1424" t="s">
        <v>15</v>
      </c>
      <c r="M1424" t="s">
        <v>114</v>
      </c>
      <c r="N1424" s="2">
        <v>45716</v>
      </c>
    </row>
    <row r="1425" spans="1:14" x14ac:dyDescent="0.25">
      <c r="A1425" t="s">
        <v>420</v>
      </c>
      <c r="B1425" s="2">
        <v>45688</v>
      </c>
      <c r="C1425" t="s">
        <v>420</v>
      </c>
      <c r="D1425" t="s">
        <v>112</v>
      </c>
      <c r="E1425" t="s">
        <v>9</v>
      </c>
      <c r="F1425" s="3">
        <v>-600</v>
      </c>
      <c r="G1425" s="3">
        <v>-600</v>
      </c>
      <c r="H1425" t="s">
        <v>3</v>
      </c>
      <c r="I1425" t="s">
        <v>3</v>
      </c>
      <c r="J1425" t="s">
        <v>297</v>
      </c>
      <c r="K1425" t="s">
        <v>5</v>
      </c>
      <c r="L1425" t="s">
        <v>15</v>
      </c>
      <c r="M1425" t="s">
        <v>114</v>
      </c>
      <c r="N1425" s="2">
        <v>45689</v>
      </c>
    </row>
    <row r="1426" spans="1:14" x14ac:dyDescent="0.25">
      <c r="A1426" t="s">
        <v>420</v>
      </c>
      <c r="B1426" s="2">
        <v>45716</v>
      </c>
      <c r="C1426" t="s">
        <v>420</v>
      </c>
      <c r="D1426" t="s">
        <v>112</v>
      </c>
      <c r="E1426" t="s">
        <v>9</v>
      </c>
      <c r="F1426" s="3">
        <v>1750</v>
      </c>
      <c r="G1426" s="3">
        <v>1750</v>
      </c>
      <c r="H1426" t="s">
        <v>3</v>
      </c>
      <c r="I1426" t="s">
        <v>3</v>
      </c>
      <c r="J1426" t="s">
        <v>303</v>
      </c>
      <c r="K1426" t="s">
        <v>5</v>
      </c>
      <c r="L1426" t="s">
        <v>15</v>
      </c>
      <c r="M1426" t="s">
        <v>114</v>
      </c>
      <c r="N1426" s="2">
        <v>45716</v>
      </c>
    </row>
    <row r="1427" spans="1:14" x14ac:dyDescent="0.25">
      <c r="A1427" t="s">
        <v>420</v>
      </c>
      <c r="B1427" s="2">
        <v>46054</v>
      </c>
      <c r="C1427" t="s">
        <v>420</v>
      </c>
      <c r="D1427" t="s">
        <v>112</v>
      </c>
      <c r="E1427" t="s">
        <v>9</v>
      </c>
      <c r="F1427" s="3">
        <v>-200</v>
      </c>
      <c r="G1427" s="3">
        <v>-200</v>
      </c>
      <c r="H1427" t="s">
        <v>3</v>
      </c>
      <c r="I1427" t="s">
        <v>3</v>
      </c>
      <c r="J1427" t="s">
        <v>300</v>
      </c>
      <c r="K1427" t="s">
        <v>13</v>
      </c>
      <c r="L1427" t="s">
        <v>15</v>
      </c>
      <c r="M1427" t="s">
        <v>114</v>
      </c>
      <c r="N1427" s="2">
        <v>46054</v>
      </c>
    </row>
    <row r="1428" spans="1:14" x14ac:dyDescent="0.25">
      <c r="A1428" t="s">
        <v>420</v>
      </c>
      <c r="B1428" s="2">
        <v>46054</v>
      </c>
      <c r="C1428" t="s">
        <v>420</v>
      </c>
      <c r="D1428" t="s">
        <v>112</v>
      </c>
      <c r="E1428" t="s">
        <v>9</v>
      </c>
      <c r="F1428" s="3">
        <v>200</v>
      </c>
      <c r="G1428" s="3">
        <v>200</v>
      </c>
      <c r="H1428" t="s">
        <v>3</v>
      </c>
      <c r="I1428" t="s">
        <v>3</v>
      </c>
      <c r="J1428" t="s">
        <v>300</v>
      </c>
      <c r="K1428" t="s">
        <v>13</v>
      </c>
      <c r="L1428" t="s">
        <v>15</v>
      </c>
      <c r="M1428" t="s">
        <v>114</v>
      </c>
      <c r="N1428" s="2">
        <v>46055</v>
      </c>
    </row>
    <row r="1429" spans="1:14" x14ac:dyDescent="0.25">
      <c r="A1429" t="s">
        <v>420</v>
      </c>
      <c r="B1429" s="2">
        <v>46054</v>
      </c>
      <c r="C1429" t="s">
        <v>420</v>
      </c>
      <c r="D1429" t="s">
        <v>112</v>
      </c>
      <c r="E1429" t="s">
        <v>9</v>
      </c>
      <c r="F1429" s="3">
        <v>-200</v>
      </c>
      <c r="G1429" s="3">
        <v>-200</v>
      </c>
      <c r="H1429" t="s">
        <v>3</v>
      </c>
      <c r="I1429" t="s">
        <v>3</v>
      </c>
      <c r="J1429" t="s">
        <v>300</v>
      </c>
      <c r="K1429" t="s">
        <v>13</v>
      </c>
      <c r="L1429" t="s">
        <v>15</v>
      </c>
      <c r="M1429" t="s">
        <v>114</v>
      </c>
      <c r="N1429" s="2">
        <v>46054</v>
      </c>
    </row>
    <row r="1430" spans="1:14" x14ac:dyDescent="0.25">
      <c r="A1430" t="s">
        <v>420</v>
      </c>
      <c r="B1430" s="2">
        <v>46081</v>
      </c>
      <c r="C1430" t="s">
        <v>420</v>
      </c>
      <c r="D1430" t="s">
        <v>112</v>
      </c>
      <c r="E1430" t="s">
        <v>9</v>
      </c>
      <c r="F1430" s="3">
        <v>200</v>
      </c>
      <c r="G1430" s="3">
        <v>200</v>
      </c>
      <c r="H1430" t="s">
        <v>3</v>
      </c>
      <c r="I1430" t="s">
        <v>3</v>
      </c>
      <c r="J1430" t="s">
        <v>304</v>
      </c>
      <c r="K1430" t="s">
        <v>13</v>
      </c>
      <c r="L1430" t="s">
        <v>15</v>
      </c>
      <c r="M1430" t="s">
        <v>114</v>
      </c>
      <c r="N1430" s="2">
        <v>46081</v>
      </c>
    </row>
    <row r="1431" spans="1:14" x14ac:dyDescent="0.25">
      <c r="A1431" s="4" t="s">
        <v>239</v>
      </c>
      <c r="B1431" s="5"/>
      <c r="C1431" s="4" t="s">
        <v>9</v>
      </c>
      <c r="D1431" s="4" t="s">
        <v>9</v>
      </c>
      <c r="E1431" s="4" t="s">
        <v>9</v>
      </c>
      <c r="F1431" s="6">
        <v>0</v>
      </c>
      <c r="G1431" s="6">
        <v>0</v>
      </c>
      <c r="H1431" s="4" t="s">
        <v>9</v>
      </c>
      <c r="I1431" s="4" t="s">
        <v>3</v>
      </c>
      <c r="J1431" s="4" t="s">
        <v>9</v>
      </c>
      <c r="K1431" s="4" t="s">
        <v>9</v>
      </c>
      <c r="L1431" s="4" t="s">
        <v>9</v>
      </c>
      <c r="M1431" s="4" t="s">
        <v>9</v>
      </c>
      <c r="N1431" s="5"/>
    </row>
    <row r="1432" spans="1:14" x14ac:dyDescent="0.25">
      <c r="A1432" t="s">
        <v>420</v>
      </c>
      <c r="B1432" s="2">
        <v>45749</v>
      </c>
      <c r="C1432" t="s">
        <v>420</v>
      </c>
      <c r="D1432" t="s">
        <v>112</v>
      </c>
      <c r="E1432" t="s">
        <v>9</v>
      </c>
      <c r="F1432" s="3">
        <v>-300</v>
      </c>
      <c r="G1432" s="3">
        <v>-300</v>
      </c>
      <c r="H1432" t="s">
        <v>3</v>
      </c>
      <c r="I1432" t="s">
        <v>3</v>
      </c>
      <c r="J1432" t="s">
        <v>9</v>
      </c>
      <c r="K1432" t="s">
        <v>9</v>
      </c>
      <c r="L1432" t="s">
        <v>16</v>
      </c>
      <c r="M1432" t="s">
        <v>114</v>
      </c>
      <c r="N1432" s="2">
        <v>45747</v>
      </c>
    </row>
    <row r="1433" spans="1:14" x14ac:dyDescent="0.25">
      <c r="A1433" t="s">
        <v>420</v>
      </c>
      <c r="B1433" s="2">
        <v>45717</v>
      </c>
      <c r="C1433" t="s">
        <v>420</v>
      </c>
      <c r="D1433" t="s">
        <v>112</v>
      </c>
      <c r="E1433" t="s">
        <v>9</v>
      </c>
      <c r="F1433" s="3">
        <v>-1750</v>
      </c>
      <c r="G1433" s="3">
        <v>-1750</v>
      </c>
      <c r="H1433" t="s">
        <v>3</v>
      </c>
      <c r="I1433" t="s">
        <v>3</v>
      </c>
      <c r="J1433" t="s">
        <v>303</v>
      </c>
      <c r="K1433" t="s">
        <v>5</v>
      </c>
      <c r="L1433" t="s">
        <v>16</v>
      </c>
      <c r="M1433" t="s">
        <v>114</v>
      </c>
      <c r="N1433" s="2">
        <v>45717</v>
      </c>
    </row>
    <row r="1434" spans="1:14" x14ac:dyDescent="0.25">
      <c r="A1434" t="s">
        <v>420</v>
      </c>
      <c r="B1434" s="2">
        <v>45747</v>
      </c>
      <c r="C1434" t="s">
        <v>420</v>
      </c>
      <c r="D1434" t="s">
        <v>112</v>
      </c>
      <c r="E1434" t="s">
        <v>9</v>
      </c>
      <c r="F1434" s="3">
        <v>2050</v>
      </c>
      <c r="G1434" s="3">
        <v>2050</v>
      </c>
      <c r="H1434" t="s">
        <v>3</v>
      </c>
      <c r="I1434" t="s">
        <v>3</v>
      </c>
      <c r="J1434" t="s">
        <v>305</v>
      </c>
      <c r="K1434" t="s">
        <v>5</v>
      </c>
      <c r="L1434" t="s">
        <v>16</v>
      </c>
      <c r="M1434" t="s">
        <v>114</v>
      </c>
      <c r="N1434" s="2">
        <v>45747</v>
      </c>
    </row>
    <row r="1435" spans="1:14" x14ac:dyDescent="0.25">
      <c r="A1435" s="4" t="s">
        <v>244</v>
      </c>
      <c r="B1435" s="5"/>
      <c r="C1435" s="4" t="s">
        <v>9</v>
      </c>
      <c r="D1435" s="4" t="s">
        <v>9</v>
      </c>
      <c r="E1435" s="4" t="s">
        <v>9</v>
      </c>
      <c r="F1435" s="6">
        <v>0</v>
      </c>
      <c r="G1435" s="6">
        <v>0</v>
      </c>
      <c r="H1435" s="4" t="s">
        <v>9</v>
      </c>
      <c r="I1435" s="4" t="s">
        <v>3</v>
      </c>
      <c r="J1435" s="4" t="s">
        <v>9</v>
      </c>
      <c r="K1435" s="4" t="s">
        <v>9</v>
      </c>
      <c r="L1435" s="4" t="s">
        <v>9</v>
      </c>
      <c r="M1435" s="4" t="s">
        <v>9</v>
      </c>
      <c r="N1435" s="5"/>
    </row>
    <row r="1436" spans="1:14" x14ac:dyDescent="0.25">
      <c r="A1436" t="s">
        <v>420</v>
      </c>
      <c r="B1436" s="2">
        <v>45782</v>
      </c>
      <c r="C1436" t="s">
        <v>420</v>
      </c>
      <c r="D1436" t="s">
        <v>112</v>
      </c>
      <c r="E1436" t="s">
        <v>9</v>
      </c>
      <c r="F1436" s="3">
        <v>-600</v>
      </c>
      <c r="G1436" s="3">
        <v>-600</v>
      </c>
      <c r="H1436" t="s">
        <v>3</v>
      </c>
      <c r="I1436" t="s">
        <v>3</v>
      </c>
      <c r="J1436" t="s">
        <v>9</v>
      </c>
      <c r="K1436" t="s">
        <v>9</v>
      </c>
      <c r="L1436" t="s">
        <v>17</v>
      </c>
      <c r="M1436" t="s">
        <v>114</v>
      </c>
      <c r="N1436" s="2">
        <v>45777</v>
      </c>
    </row>
    <row r="1437" spans="1:14" x14ac:dyDescent="0.25">
      <c r="A1437" t="s">
        <v>420</v>
      </c>
      <c r="B1437" s="2">
        <v>45747</v>
      </c>
      <c r="C1437" t="s">
        <v>420</v>
      </c>
      <c r="D1437" t="s">
        <v>112</v>
      </c>
      <c r="E1437" t="s">
        <v>9</v>
      </c>
      <c r="F1437" s="3">
        <v>-2050</v>
      </c>
      <c r="G1437" s="3">
        <v>-2050</v>
      </c>
      <c r="H1437" t="s">
        <v>3</v>
      </c>
      <c r="I1437" t="s">
        <v>3</v>
      </c>
      <c r="J1437" t="s">
        <v>305</v>
      </c>
      <c r="K1437" t="s">
        <v>5</v>
      </c>
      <c r="L1437" t="s">
        <v>17</v>
      </c>
      <c r="M1437" t="s">
        <v>114</v>
      </c>
      <c r="N1437" s="2">
        <v>45748</v>
      </c>
    </row>
    <row r="1438" spans="1:14" x14ac:dyDescent="0.25">
      <c r="A1438" t="s">
        <v>420</v>
      </c>
      <c r="B1438" s="2">
        <v>45777</v>
      </c>
      <c r="C1438" t="s">
        <v>420</v>
      </c>
      <c r="D1438" t="s">
        <v>112</v>
      </c>
      <c r="E1438" t="s">
        <v>9</v>
      </c>
      <c r="F1438" s="3">
        <v>2650</v>
      </c>
      <c r="G1438" s="3">
        <v>2650</v>
      </c>
      <c r="H1438" t="s">
        <v>3</v>
      </c>
      <c r="I1438" t="s">
        <v>3</v>
      </c>
      <c r="J1438" t="s">
        <v>308</v>
      </c>
      <c r="K1438" t="s">
        <v>5</v>
      </c>
      <c r="L1438" t="s">
        <v>17</v>
      </c>
      <c r="M1438" t="s">
        <v>114</v>
      </c>
      <c r="N1438" s="2">
        <v>45777</v>
      </c>
    </row>
    <row r="1439" spans="1:14" x14ac:dyDescent="0.25">
      <c r="A1439" s="4" t="s">
        <v>249</v>
      </c>
      <c r="B1439" s="5"/>
      <c r="C1439" s="4" t="s">
        <v>9</v>
      </c>
      <c r="D1439" s="4" t="s">
        <v>9</v>
      </c>
      <c r="E1439" s="4" t="s">
        <v>9</v>
      </c>
      <c r="F1439" s="6">
        <v>0</v>
      </c>
      <c r="G1439" s="6">
        <v>0</v>
      </c>
      <c r="H1439" s="4" t="s">
        <v>9</v>
      </c>
      <c r="I1439" s="4" t="s">
        <v>3</v>
      </c>
      <c r="J1439" s="4" t="s">
        <v>9</v>
      </c>
      <c r="K1439" s="4" t="s">
        <v>9</v>
      </c>
      <c r="L1439" s="4" t="s">
        <v>9</v>
      </c>
      <c r="M1439" s="4" t="s">
        <v>9</v>
      </c>
      <c r="N1439" s="5"/>
    </row>
    <row r="1440" spans="1:14" x14ac:dyDescent="0.25">
      <c r="A1440" t="s">
        <v>420</v>
      </c>
      <c r="B1440" s="2">
        <v>45810</v>
      </c>
      <c r="C1440" t="s">
        <v>420</v>
      </c>
      <c r="D1440" t="s">
        <v>112</v>
      </c>
      <c r="E1440" t="s">
        <v>9</v>
      </c>
      <c r="F1440" s="3">
        <v>-400</v>
      </c>
      <c r="G1440" s="3">
        <v>-400</v>
      </c>
      <c r="H1440" t="s">
        <v>3</v>
      </c>
      <c r="I1440" t="s">
        <v>3</v>
      </c>
      <c r="J1440" t="s">
        <v>9</v>
      </c>
      <c r="K1440" t="s">
        <v>9</v>
      </c>
      <c r="L1440" t="s">
        <v>18</v>
      </c>
      <c r="M1440" t="s">
        <v>114</v>
      </c>
      <c r="N1440" s="2">
        <v>45808</v>
      </c>
    </row>
    <row r="1441" spans="1:14" x14ac:dyDescent="0.25">
      <c r="A1441" t="s">
        <v>420</v>
      </c>
      <c r="B1441" s="2">
        <v>45777</v>
      </c>
      <c r="C1441" t="s">
        <v>420</v>
      </c>
      <c r="D1441" t="s">
        <v>112</v>
      </c>
      <c r="E1441" t="s">
        <v>9</v>
      </c>
      <c r="F1441" s="3">
        <v>-2650</v>
      </c>
      <c r="G1441" s="3">
        <v>-2650</v>
      </c>
      <c r="H1441" t="s">
        <v>3</v>
      </c>
      <c r="I1441" t="s">
        <v>3</v>
      </c>
      <c r="J1441" t="s">
        <v>308</v>
      </c>
      <c r="K1441" t="s">
        <v>5</v>
      </c>
      <c r="L1441" t="s">
        <v>18</v>
      </c>
      <c r="M1441" t="s">
        <v>114</v>
      </c>
      <c r="N1441" s="2">
        <v>45778</v>
      </c>
    </row>
    <row r="1442" spans="1:14" x14ac:dyDescent="0.25">
      <c r="A1442" t="s">
        <v>420</v>
      </c>
      <c r="B1442" s="2">
        <v>45808</v>
      </c>
      <c r="C1442" t="s">
        <v>420</v>
      </c>
      <c r="D1442" t="s">
        <v>112</v>
      </c>
      <c r="E1442" t="s">
        <v>9</v>
      </c>
      <c r="F1442" s="3">
        <v>3050</v>
      </c>
      <c r="G1442" s="3">
        <v>3050</v>
      </c>
      <c r="H1442" t="s">
        <v>3</v>
      </c>
      <c r="I1442" t="s">
        <v>3</v>
      </c>
      <c r="J1442" t="s">
        <v>311</v>
      </c>
      <c r="K1442" t="s">
        <v>5</v>
      </c>
      <c r="L1442" t="s">
        <v>18</v>
      </c>
      <c r="M1442" t="s">
        <v>114</v>
      </c>
      <c r="N1442" s="2">
        <v>45808</v>
      </c>
    </row>
    <row r="1443" spans="1:14" x14ac:dyDescent="0.25">
      <c r="A1443" s="4" t="s">
        <v>223</v>
      </c>
      <c r="B1443" s="5"/>
      <c r="C1443" s="4" t="s">
        <v>9</v>
      </c>
      <c r="D1443" s="4" t="s">
        <v>9</v>
      </c>
      <c r="E1443" s="4" t="s">
        <v>9</v>
      </c>
      <c r="F1443" s="6">
        <v>0</v>
      </c>
      <c r="G1443" s="6">
        <v>0</v>
      </c>
      <c r="H1443" s="4" t="s">
        <v>9</v>
      </c>
      <c r="I1443" s="4" t="s">
        <v>3</v>
      </c>
      <c r="J1443" s="4" t="s">
        <v>9</v>
      </c>
      <c r="K1443" s="4" t="s">
        <v>9</v>
      </c>
      <c r="L1443" s="4" t="s">
        <v>9</v>
      </c>
      <c r="M1443" s="4" t="s">
        <v>9</v>
      </c>
      <c r="N1443" s="5"/>
    </row>
    <row r="1444" spans="1:14" x14ac:dyDescent="0.25">
      <c r="A1444" t="s">
        <v>420</v>
      </c>
      <c r="B1444" s="2">
        <v>45839</v>
      </c>
      <c r="C1444" t="s">
        <v>420</v>
      </c>
      <c r="D1444" t="s">
        <v>112</v>
      </c>
      <c r="E1444" t="s">
        <v>9</v>
      </c>
      <c r="F1444" s="3">
        <v>-100</v>
      </c>
      <c r="G1444" s="3">
        <v>-100</v>
      </c>
      <c r="H1444" t="s">
        <v>3</v>
      </c>
      <c r="I1444" t="s">
        <v>3</v>
      </c>
      <c r="J1444" t="s">
        <v>9</v>
      </c>
      <c r="K1444" t="s">
        <v>9</v>
      </c>
      <c r="L1444" t="s">
        <v>19</v>
      </c>
      <c r="M1444" t="s">
        <v>114</v>
      </c>
      <c r="N1444" s="2">
        <v>45838</v>
      </c>
    </row>
    <row r="1445" spans="1:14" x14ac:dyDescent="0.25">
      <c r="A1445" t="s">
        <v>420</v>
      </c>
      <c r="B1445" s="2">
        <v>45808</v>
      </c>
      <c r="C1445" t="s">
        <v>420</v>
      </c>
      <c r="D1445" t="s">
        <v>112</v>
      </c>
      <c r="E1445" t="s">
        <v>9</v>
      </c>
      <c r="F1445" s="3">
        <v>-3050</v>
      </c>
      <c r="G1445" s="3">
        <v>-3050</v>
      </c>
      <c r="H1445" t="s">
        <v>3</v>
      </c>
      <c r="I1445" t="s">
        <v>3</v>
      </c>
      <c r="J1445" t="s">
        <v>311</v>
      </c>
      <c r="K1445" t="s">
        <v>5</v>
      </c>
      <c r="L1445" t="s">
        <v>19</v>
      </c>
      <c r="M1445" t="s">
        <v>114</v>
      </c>
      <c r="N1445" s="2">
        <v>45809</v>
      </c>
    </row>
    <row r="1446" spans="1:14" x14ac:dyDescent="0.25">
      <c r="A1446" t="s">
        <v>420</v>
      </c>
      <c r="B1446" s="2">
        <v>45838</v>
      </c>
      <c r="C1446" t="s">
        <v>420</v>
      </c>
      <c r="D1446" t="s">
        <v>112</v>
      </c>
      <c r="E1446" t="s">
        <v>9</v>
      </c>
      <c r="F1446" s="3">
        <v>3150</v>
      </c>
      <c r="G1446" s="3">
        <v>3150</v>
      </c>
      <c r="H1446" t="s">
        <v>3</v>
      </c>
      <c r="I1446" t="s">
        <v>3</v>
      </c>
      <c r="J1446" t="s">
        <v>314</v>
      </c>
      <c r="K1446" t="s">
        <v>5</v>
      </c>
      <c r="L1446" t="s">
        <v>19</v>
      </c>
      <c r="M1446" t="s">
        <v>114</v>
      </c>
      <c r="N1446" s="2">
        <v>45838</v>
      </c>
    </row>
    <row r="1447" spans="1:14" x14ac:dyDescent="0.25">
      <c r="A1447" s="4" t="s">
        <v>224</v>
      </c>
      <c r="B1447" s="5"/>
      <c r="C1447" s="4" t="s">
        <v>9</v>
      </c>
      <c r="D1447" s="4" t="s">
        <v>9</v>
      </c>
      <c r="E1447" s="4" t="s">
        <v>9</v>
      </c>
      <c r="F1447" s="6">
        <v>0</v>
      </c>
      <c r="G1447" s="6">
        <v>0</v>
      </c>
      <c r="H1447" s="4" t="s">
        <v>9</v>
      </c>
      <c r="I1447" s="4" t="s">
        <v>3</v>
      </c>
      <c r="J1447" s="4" t="s">
        <v>9</v>
      </c>
      <c r="K1447" s="4" t="s">
        <v>9</v>
      </c>
      <c r="L1447" s="4" t="s">
        <v>9</v>
      </c>
      <c r="M1447" s="4" t="s">
        <v>9</v>
      </c>
      <c r="N1447" s="5"/>
    </row>
    <row r="1448" spans="1:14" x14ac:dyDescent="0.25">
      <c r="A1448" t="s">
        <v>420</v>
      </c>
      <c r="B1448" s="2">
        <v>45870</v>
      </c>
      <c r="C1448" t="s">
        <v>420</v>
      </c>
      <c r="D1448" t="s">
        <v>112</v>
      </c>
      <c r="E1448" t="s">
        <v>9</v>
      </c>
      <c r="F1448" s="3">
        <v>-800</v>
      </c>
      <c r="G1448" s="3">
        <v>-800</v>
      </c>
      <c r="H1448" t="s">
        <v>3</v>
      </c>
      <c r="I1448" t="s">
        <v>3</v>
      </c>
      <c r="J1448" t="s">
        <v>9</v>
      </c>
      <c r="K1448" t="s">
        <v>9</v>
      </c>
      <c r="L1448" t="s">
        <v>21</v>
      </c>
      <c r="M1448" t="s">
        <v>114</v>
      </c>
      <c r="N1448" s="2">
        <v>45869</v>
      </c>
    </row>
    <row r="1449" spans="1:14" x14ac:dyDescent="0.25">
      <c r="A1449" t="s">
        <v>420</v>
      </c>
      <c r="B1449" s="2">
        <v>45838</v>
      </c>
      <c r="C1449" t="s">
        <v>420</v>
      </c>
      <c r="D1449" t="s">
        <v>112</v>
      </c>
      <c r="E1449" t="s">
        <v>9</v>
      </c>
      <c r="F1449" s="3">
        <v>-3150</v>
      </c>
      <c r="G1449" s="3">
        <v>-3150</v>
      </c>
      <c r="H1449" t="s">
        <v>3</v>
      </c>
      <c r="I1449" t="s">
        <v>3</v>
      </c>
      <c r="J1449" t="s">
        <v>314</v>
      </c>
      <c r="K1449" t="s">
        <v>5</v>
      </c>
      <c r="L1449" t="s">
        <v>21</v>
      </c>
      <c r="M1449" t="s">
        <v>114</v>
      </c>
      <c r="N1449" s="2">
        <v>45839</v>
      </c>
    </row>
    <row r="1450" spans="1:14" x14ac:dyDescent="0.25">
      <c r="A1450" t="s">
        <v>420</v>
      </c>
      <c r="B1450" s="2">
        <v>45869</v>
      </c>
      <c r="C1450" t="s">
        <v>420</v>
      </c>
      <c r="D1450" t="s">
        <v>112</v>
      </c>
      <c r="E1450" t="s">
        <v>9</v>
      </c>
      <c r="F1450" s="3">
        <v>3950</v>
      </c>
      <c r="G1450" s="3">
        <v>3950</v>
      </c>
      <c r="H1450" t="s">
        <v>3</v>
      </c>
      <c r="I1450" t="s">
        <v>3</v>
      </c>
      <c r="J1450" t="s">
        <v>317</v>
      </c>
      <c r="K1450" t="s">
        <v>5</v>
      </c>
      <c r="L1450" t="s">
        <v>21</v>
      </c>
      <c r="M1450" t="s">
        <v>114</v>
      </c>
      <c r="N1450" s="2">
        <v>45869</v>
      </c>
    </row>
    <row r="1451" spans="1:14" x14ac:dyDescent="0.25">
      <c r="A1451" s="4" t="s">
        <v>262</v>
      </c>
      <c r="B1451" s="5"/>
      <c r="C1451" s="4" t="s">
        <v>9</v>
      </c>
      <c r="D1451" s="4" t="s">
        <v>9</v>
      </c>
      <c r="E1451" s="4" t="s">
        <v>9</v>
      </c>
      <c r="F1451" s="6">
        <v>0</v>
      </c>
      <c r="G1451" s="6">
        <v>0</v>
      </c>
      <c r="H1451" s="4" t="s">
        <v>9</v>
      </c>
      <c r="I1451" s="4" t="s">
        <v>3</v>
      </c>
      <c r="J1451" s="4" t="s">
        <v>9</v>
      </c>
      <c r="K1451" s="4" t="s">
        <v>9</v>
      </c>
      <c r="L1451" s="4" t="s">
        <v>9</v>
      </c>
      <c r="M1451" s="4" t="s">
        <v>9</v>
      </c>
      <c r="N1451" s="5"/>
    </row>
    <row r="1452" spans="1:14" x14ac:dyDescent="0.25">
      <c r="A1452" t="s">
        <v>420</v>
      </c>
      <c r="B1452" s="2">
        <v>45903</v>
      </c>
      <c r="C1452" t="s">
        <v>420</v>
      </c>
      <c r="D1452" t="s">
        <v>112</v>
      </c>
      <c r="E1452" t="s">
        <v>9</v>
      </c>
      <c r="F1452" s="3">
        <v>-400</v>
      </c>
      <c r="G1452" s="3">
        <v>-400</v>
      </c>
      <c r="H1452" t="s">
        <v>3</v>
      </c>
      <c r="I1452" t="s">
        <v>3</v>
      </c>
      <c r="J1452" t="s">
        <v>9</v>
      </c>
      <c r="K1452" t="s">
        <v>9</v>
      </c>
      <c r="L1452" t="s">
        <v>22</v>
      </c>
      <c r="M1452" t="s">
        <v>114</v>
      </c>
      <c r="N1452" s="2">
        <v>45900</v>
      </c>
    </row>
    <row r="1453" spans="1:14" x14ac:dyDescent="0.25">
      <c r="A1453" t="s">
        <v>420</v>
      </c>
      <c r="B1453" s="2">
        <v>45869</v>
      </c>
      <c r="C1453" t="s">
        <v>420</v>
      </c>
      <c r="D1453" t="s">
        <v>112</v>
      </c>
      <c r="E1453" t="s">
        <v>9</v>
      </c>
      <c r="F1453" s="3">
        <v>-3950</v>
      </c>
      <c r="G1453" s="3">
        <v>-3950</v>
      </c>
      <c r="H1453" t="s">
        <v>3</v>
      </c>
      <c r="I1453" t="s">
        <v>3</v>
      </c>
      <c r="J1453" t="s">
        <v>317</v>
      </c>
      <c r="K1453" t="s">
        <v>5</v>
      </c>
      <c r="L1453" t="s">
        <v>22</v>
      </c>
      <c r="M1453" t="s">
        <v>114</v>
      </c>
      <c r="N1453" s="2">
        <v>45870</v>
      </c>
    </row>
    <row r="1454" spans="1:14" x14ac:dyDescent="0.25">
      <c r="A1454" t="s">
        <v>420</v>
      </c>
      <c r="B1454" s="2">
        <v>45900</v>
      </c>
      <c r="C1454" t="s">
        <v>420</v>
      </c>
      <c r="D1454" t="s">
        <v>112</v>
      </c>
      <c r="E1454" t="s">
        <v>9</v>
      </c>
      <c r="F1454" s="3">
        <v>3950</v>
      </c>
      <c r="G1454" s="3">
        <v>3950</v>
      </c>
      <c r="H1454" t="s">
        <v>3</v>
      </c>
      <c r="I1454" t="s">
        <v>3</v>
      </c>
      <c r="J1454" t="s">
        <v>320</v>
      </c>
      <c r="K1454" t="s">
        <v>5</v>
      </c>
      <c r="L1454" t="s">
        <v>22</v>
      </c>
      <c r="M1454" t="s">
        <v>114</v>
      </c>
      <c r="N1454" s="2">
        <v>45900</v>
      </c>
    </row>
    <row r="1455" spans="1:14" x14ac:dyDescent="0.25">
      <c r="A1455" t="s">
        <v>420</v>
      </c>
      <c r="B1455" s="2">
        <v>45900</v>
      </c>
      <c r="C1455" t="s">
        <v>420</v>
      </c>
      <c r="D1455" t="s">
        <v>112</v>
      </c>
      <c r="E1455" t="s">
        <v>9</v>
      </c>
      <c r="F1455" s="3">
        <v>-3950</v>
      </c>
      <c r="G1455" s="3">
        <v>-3950</v>
      </c>
      <c r="H1455" t="s">
        <v>3</v>
      </c>
      <c r="I1455" t="s">
        <v>3</v>
      </c>
      <c r="J1455" t="s">
        <v>320</v>
      </c>
      <c r="K1455" t="s">
        <v>5</v>
      </c>
      <c r="L1455" t="s">
        <v>22</v>
      </c>
      <c r="M1455" t="s">
        <v>114</v>
      </c>
      <c r="N1455" s="2">
        <v>45900</v>
      </c>
    </row>
    <row r="1456" spans="1:14" x14ac:dyDescent="0.25">
      <c r="A1456" t="s">
        <v>420</v>
      </c>
      <c r="B1456" s="2">
        <v>45900</v>
      </c>
      <c r="C1456" t="s">
        <v>420</v>
      </c>
      <c r="D1456" t="s">
        <v>112</v>
      </c>
      <c r="E1456" t="s">
        <v>9</v>
      </c>
      <c r="F1456" s="3">
        <v>3950</v>
      </c>
      <c r="G1456" s="3">
        <v>3950</v>
      </c>
      <c r="H1456" t="s">
        <v>3</v>
      </c>
      <c r="I1456" t="s">
        <v>3</v>
      </c>
      <c r="J1456" t="s">
        <v>320</v>
      </c>
      <c r="K1456" t="s">
        <v>5</v>
      </c>
      <c r="L1456" t="s">
        <v>22</v>
      </c>
      <c r="M1456" t="s">
        <v>114</v>
      </c>
      <c r="N1456" s="2">
        <v>45900</v>
      </c>
    </row>
    <row r="1457" spans="1:14" x14ac:dyDescent="0.25">
      <c r="A1457" t="s">
        <v>420</v>
      </c>
      <c r="B1457" s="2">
        <v>45900</v>
      </c>
      <c r="C1457" t="s">
        <v>420</v>
      </c>
      <c r="D1457" t="s">
        <v>112</v>
      </c>
      <c r="E1457" t="s">
        <v>9</v>
      </c>
      <c r="F1457" s="3">
        <v>4350</v>
      </c>
      <c r="G1457" s="3">
        <v>4350</v>
      </c>
      <c r="H1457" t="s">
        <v>3</v>
      </c>
      <c r="I1457" t="s">
        <v>3</v>
      </c>
      <c r="J1457" t="s">
        <v>320</v>
      </c>
      <c r="K1457" t="s">
        <v>5</v>
      </c>
      <c r="L1457" t="s">
        <v>22</v>
      </c>
      <c r="M1457" t="s">
        <v>114</v>
      </c>
      <c r="N1457" s="2">
        <v>45900</v>
      </c>
    </row>
    <row r="1458" spans="1:14" x14ac:dyDescent="0.25">
      <c r="A1458" t="s">
        <v>420</v>
      </c>
      <c r="B1458" s="2">
        <v>45900</v>
      </c>
      <c r="C1458" t="s">
        <v>420</v>
      </c>
      <c r="D1458" t="s">
        <v>112</v>
      </c>
      <c r="E1458" t="s">
        <v>9</v>
      </c>
      <c r="F1458" s="3">
        <v>-3950</v>
      </c>
      <c r="G1458" s="3">
        <v>-3950</v>
      </c>
      <c r="H1458" t="s">
        <v>3</v>
      </c>
      <c r="I1458" t="s">
        <v>3</v>
      </c>
      <c r="J1458" t="s">
        <v>320</v>
      </c>
      <c r="K1458" t="s">
        <v>5</v>
      </c>
      <c r="L1458" t="s">
        <v>22</v>
      </c>
      <c r="M1458" t="s">
        <v>114</v>
      </c>
      <c r="N1458" s="2">
        <v>45900</v>
      </c>
    </row>
    <row r="1459" spans="1:14" x14ac:dyDescent="0.25">
      <c r="A1459" s="4" t="s">
        <v>267</v>
      </c>
      <c r="B1459" s="5"/>
      <c r="C1459" s="4" t="s">
        <v>9</v>
      </c>
      <c r="D1459" s="4" t="s">
        <v>9</v>
      </c>
      <c r="E1459" s="4" t="s">
        <v>9</v>
      </c>
      <c r="F1459" s="6">
        <v>0</v>
      </c>
      <c r="G1459" s="6">
        <v>0</v>
      </c>
      <c r="H1459" s="4" t="s">
        <v>9</v>
      </c>
      <c r="I1459" s="4" t="s">
        <v>3</v>
      </c>
      <c r="J1459" s="4" t="s">
        <v>9</v>
      </c>
      <c r="K1459" s="4" t="s">
        <v>9</v>
      </c>
      <c r="L1459" s="4" t="s">
        <v>9</v>
      </c>
      <c r="M1459" s="4" t="s">
        <v>9</v>
      </c>
      <c r="N1459" s="5"/>
    </row>
    <row r="1460" spans="1:14" x14ac:dyDescent="0.25">
      <c r="A1460" t="s">
        <v>420</v>
      </c>
      <c r="B1460" s="2">
        <v>45900</v>
      </c>
      <c r="C1460" t="s">
        <v>420</v>
      </c>
      <c r="D1460" t="s">
        <v>112</v>
      </c>
      <c r="E1460" t="s">
        <v>9</v>
      </c>
      <c r="F1460" s="3">
        <v>-3950</v>
      </c>
      <c r="G1460" s="3">
        <v>-3950</v>
      </c>
      <c r="H1460" t="s">
        <v>3</v>
      </c>
      <c r="I1460" t="s">
        <v>3</v>
      </c>
      <c r="J1460" t="s">
        <v>320</v>
      </c>
      <c r="K1460" t="s">
        <v>5</v>
      </c>
      <c r="L1460" t="s">
        <v>6</v>
      </c>
      <c r="M1460" t="s">
        <v>114</v>
      </c>
      <c r="N1460" s="2">
        <v>45901</v>
      </c>
    </row>
    <row r="1461" spans="1:14" x14ac:dyDescent="0.25">
      <c r="A1461" t="s">
        <v>420</v>
      </c>
      <c r="B1461" s="2">
        <v>45900</v>
      </c>
      <c r="C1461" t="s">
        <v>420</v>
      </c>
      <c r="D1461" t="s">
        <v>112</v>
      </c>
      <c r="E1461" t="s">
        <v>9</v>
      </c>
      <c r="F1461" s="3">
        <v>3950</v>
      </c>
      <c r="G1461" s="3">
        <v>3950</v>
      </c>
      <c r="H1461" t="s">
        <v>3</v>
      </c>
      <c r="I1461" t="s">
        <v>3</v>
      </c>
      <c r="J1461" t="s">
        <v>320</v>
      </c>
      <c r="K1461" t="s">
        <v>5</v>
      </c>
      <c r="L1461" t="s">
        <v>6</v>
      </c>
      <c r="M1461" t="s">
        <v>114</v>
      </c>
      <c r="N1461" s="2">
        <v>45901</v>
      </c>
    </row>
    <row r="1462" spans="1:14" x14ac:dyDescent="0.25">
      <c r="A1462" t="s">
        <v>420</v>
      </c>
      <c r="B1462" s="2">
        <v>45900</v>
      </c>
      <c r="C1462" t="s">
        <v>420</v>
      </c>
      <c r="D1462" t="s">
        <v>112</v>
      </c>
      <c r="E1462" t="s">
        <v>9</v>
      </c>
      <c r="F1462" s="3">
        <v>-3950</v>
      </c>
      <c r="G1462" s="3">
        <v>-3950</v>
      </c>
      <c r="H1462" t="s">
        <v>3</v>
      </c>
      <c r="I1462" t="s">
        <v>3</v>
      </c>
      <c r="J1462" t="s">
        <v>320</v>
      </c>
      <c r="K1462" t="s">
        <v>5</v>
      </c>
      <c r="L1462" t="s">
        <v>6</v>
      </c>
      <c r="M1462" t="s">
        <v>114</v>
      </c>
      <c r="N1462" s="2">
        <v>45901</v>
      </c>
    </row>
    <row r="1463" spans="1:14" x14ac:dyDescent="0.25">
      <c r="A1463" t="s">
        <v>420</v>
      </c>
      <c r="B1463" s="2">
        <v>45900</v>
      </c>
      <c r="C1463" t="s">
        <v>420</v>
      </c>
      <c r="D1463" t="s">
        <v>112</v>
      </c>
      <c r="E1463" t="s">
        <v>9</v>
      </c>
      <c r="F1463" s="3">
        <v>3950</v>
      </c>
      <c r="G1463" s="3">
        <v>3950</v>
      </c>
      <c r="H1463" t="s">
        <v>3</v>
      </c>
      <c r="I1463" t="s">
        <v>3</v>
      </c>
      <c r="J1463" t="s">
        <v>320</v>
      </c>
      <c r="K1463" t="s">
        <v>5</v>
      </c>
      <c r="L1463" t="s">
        <v>6</v>
      </c>
      <c r="M1463" t="s">
        <v>114</v>
      </c>
      <c r="N1463" s="2">
        <v>45901</v>
      </c>
    </row>
    <row r="1464" spans="1:14" x14ac:dyDescent="0.25">
      <c r="A1464" t="s">
        <v>420</v>
      </c>
      <c r="B1464" s="2">
        <v>45900</v>
      </c>
      <c r="C1464" t="s">
        <v>420</v>
      </c>
      <c r="D1464" t="s">
        <v>112</v>
      </c>
      <c r="E1464" t="s">
        <v>9</v>
      </c>
      <c r="F1464" s="3">
        <v>-4350</v>
      </c>
      <c r="G1464" s="3">
        <v>-4350</v>
      </c>
      <c r="H1464" t="s">
        <v>3</v>
      </c>
      <c r="I1464" t="s">
        <v>3</v>
      </c>
      <c r="J1464" t="s">
        <v>320</v>
      </c>
      <c r="K1464" t="s">
        <v>5</v>
      </c>
      <c r="L1464" t="s">
        <v>6</v>
      </c>
      <c r="M1464" t="s">
        <v>114</v>
      </c>
      <c r="N1464" s="2">
        <v>45901</v>
      </c>
    </row>
    <row r="1465" spans="1:14" x14ac:dyDescent="0.25">
      <c r="A1465" t="s">
        <v>420</v>
      </c>
      <c r="B1465" s="2">
        <v>45930</v>
      </c>
      <c r="C1465" t="s">
        <v>420</v>
      </c>
      <c r="D1465" t="s">
        <v>112</v>
      </c>
      <c r="E1465" t="s">
        <v>9</v>
      </c>
      <c r="F1465" s="3">
        <v>4350</v>
      </c>
      <c r="G1465" s="3">
        <v>4350</v>
      </c>
      <c r="H1465" t="s">
        <v>3</v>
      </c>
      <c r="I1465" t="s">
        <v>3</v>
      </c>
      <c r="J1465" t="s">
        <v>323</v>
      </c>
      <c r="K1465" t="s">
        <v>5</v>
      </c>
      <c r="L1465" t="s">
        <v>6</v>
      </c>
      <c r="M1465" t="s">
        <v>114</v>
      </c>
      <c r="N1465" s="2">
        <v>45930</v>
      </c>
    </row>
    <row r="1466" spans="1:14" x14ac:dyDescent="0.25">
      <c r="A1466" s="4" t="s">
        <v>272</v>
      </c>
      <c r="B1466" s="5"/>
      <c r="C1466" s="4" t="s">
        <v>9</v>
      </c>
      <c r="D1466" s="4" t="s">
        <v>9</v>
      </c>
      <c r="E1466" s="4" t="s">
        <v>9</v>
      </c>
      <c r="F1466" s="6">
        <v>0</v>
      </c>
      <c r="G1466" s="6">
        <v>0</v>
      </c>
      <c r="H1466" s="4" t="s">
        <v>9</v>
      </c>
      <c r="I1466" s="4" t="s">
        <v>3</v>
      </c>
      <c r="J1466" s="4" t="s">
        <v>9</v>
      </c>
      <c r="K1466" s="4" t="s">
        <v>9</v>
      </c>
      <c r="L1466" s="4" t="s">
        <v>9</v>
      </c>
      <c r="M1466" s="4" t="s">
        <v>9</v>
      </c>
      <c r="N1466" s="5"/>
    </row>
    <row r="1467" spans="1:14" x14ac:dyDescent="0.25">
      <c r="A1467" t="s">
        <v>420</v>
      </c>
      <c r="B1467" s="2">
        <v>45965</v>
      </c>
      <c r="C1467" t="s">
        <v>420</v>
      </c>
      <c r="D1467" t="s">
        <v>112</v>
      </c>
      <c r="E1467" t="s">
        <v>9</v>
      </c>
      <c r="F1467" s="3">
        <v>-300</v>
      </c>
      <c r="G1467" s="3">
        <v>-300</v>
      </c>
      <c r="H1467" t="s">
        <v>3</v>
      </c>
      <c r="I1467" t="s">
        <v>3</v>
      </c>
      <c r="J1467" t="s">
        <v>9</v>
      </c>
      <c r="K1467" t="s">
        <v>9</v>
      </c>
      <c r="L1467" t="s">
        <v>8</v>
      </c>
      <c r="M1467" t="s">
        <v>114</v>
      </c>
      <c r="N1467" s="2">
        <v>45961</v>
      </c>
    </row>
    <row r="1468" spans="1:14" x14ac:dyDescent="0.25">
      <c r="A1468" t="s">
        <v>420</v>
      </c>
      <c r="B1468" s="2">
        <v>45930</v>
      </c>
      <c r="C1468" t="s">
        <v>420</v>
      </c>
      <c r="D1468" t="s">
        <v>112</v>
      </c>
      <c r="E1468" t="s">
        <v>9</v>
      </c>
      <c r="F1468" s="3">
        <v>-4350</v>
      </c>
      <c r="G1468" s="3">
        <v>-4350</v>
      </c>
      <c r="H1468" t="s">
        <v>3</v>
      </c>
      <c r="I1468" t="s">
        <v>3</v>
      </c>
      <c r="J1468" t="s">
        <v>323</v>
      </c>
      <c r="K1468" t="s">
        <v>5</v>
      </c>
      <c r="L1468" t="s">
        <v>8</v>
      </c>
      <c r="M1468" t="s">
        <v>114</v>
      </c>
      <c r="N1468" s="2">
        <v>45931</v>
      </c>
    </row>
    <row r="1469" spans="1:14" x14ac:dyDescent="0.25">
      <c r="A1469" t="s">
        <v>420</v>
      </c>
      <c r="B1469" s="2">
        <v>45961</v>
      </c>
      <c r="C1469" t="s">
        <v>420</v>
      </c>
      <c r="D1469" t="s">
        <v>112</v>
      </c>
      <c r="E1469" t="s">
        <v>9</v>
      </c>
      <c r="F1469" s="3">
        <v>4650</v>
      </c>
      <c r="G1469" s="3">
        <v>4650</v>
      </c>
      <c r="H1469" t="s">
        <v>3</v>
      </c>
      <c r="I1469" t="s">
        <v>3</v>
      </c>
      <c r="J1469" t="s">
        <v>325</v>
      </c>
      <c r="K1469" t="s">
        <v>5</v>
      </c>
      <c r="L1469" t="s">
        <v>8</v>
      </c>
      <c r="M1469" t="s">
        <v>114</v>
      </c>
      <c r="N1469" s="2">
        <v>45961</v>
      </c>
    </row>
    <row r="1470" spans="1:14" x14ac:dyDescent="0.25">
      <c r="A1470" s="4" t="s">
        <v>278</v>
      </c>
      <c r="B1470" s="5"/>
      <c r="C1470" s="4" t="s">
        <v>9</v>
      </c>
      <c r="D1470" s="4" t="s">
        <v>9</v>
      </c>
      <c r="E1470" s="4" t="s">
        <v>9</v>
      </c>
      <c r="F1470" s="6">
        <v>0</v>
      </c>
      <c r="G1470" s="6">
        <v>0</v>
      </c>
      <c r="H1470" s="4" t="s">
        <v>9</v>
      </c>
      <c r="I1470" s="4" t="s">
        <v>3</v>
      </c>
      <c r="J1470" s="4" t="s">
        <v>9</v>
      </c>
      <c r="K1470" s="4" t="s">
        <v>9</v>
      </c>
      <c r="L1470" s="4" t="s">
        <v>9</v>
      </c>
      <c r="M1470" s="4" t="s">
        <v>9</v>
      </c>
      <c r="N1470" s="5"/>
    </row>
    <row r="1471" spans="1:14" x14ac:dyDescent="0.25">
      <c r="A1471" t="s">
        <v>420</v>
      </c>
      <c r="B1471" s="2">
        <v>45629</v>
      </c>
      <c r="C1471" t="s">
        <v>420</v>
      </c>
      <c r="D1471" t="s">
        <v>112</v>
      </c>
      <c r="E1471" t="s">
        <v>9</v>
      </c>
      <c r="F1471" s="3">
        <v>-2700</v>
      </c>
      <c r="G1471" s="3">
        <v>-2700</v>
      </c>
      <c r="H1471" t="s">
        <v>3</v>
      </c>
      <c r="I1471" t="s">
        <v>3</v>
      </c>
      <c r="J1471" t="s">
        <v>9</v>
      </c>
      <c r="K1471" t="s">
        <v>9</v>
      </c>
      <c r="L1471" t="s">
        <v>11</v>
      </c>
      <c r="M1471" t="s">
        <v>114</v>
      </c>
      <c r="N1471" s="2">
        <v>45626</v>
      </c>
    </row>
    <row r="1472" spans="1:14" x14ac:dyDescent="0.25">
      <c r="A1472" t="s">
        <v>420</v>
      </c>
      <c r="B1472" s="2">
        <v>45626</v>
      </c>
      <c r="C1472" t="s">
        <v>420</v>
      </c>
      <c r="D1472" t="s">
        <v>112</v>
      </c>
      <c r="E1472" t="s">
        <v>9</v>
      </c>
      <c r="F1472" s="3">
        <v>2700</v>
      </c>
      <c r="G1472" s="3">
        <v>2700</v>
      </c>
      <c r="H1472" t="s">
        <v>3</v>
      </c>
      <c r="I1472" t="s">
        <v>3</v>
      </c>
      <c r="J1472" t="s">
        <v>283</v>
      </c>
      <c r="K1472" t="s">
        <v>222</v>
      </c>
      <c r="L1472" t="s">
        <v>11</v>
      </c>
      <c r="M1472" t="s">
        <v>114</v>
      </c>
      <c r="N1472" s="2">
        <v>45626</v>
      </c>
    </row>
    <row r="1473" spans="1:14" x14ac:dyDescent="0.25">
      <c r="A1473" t="s">
        <v>420</v>
      </c>
      <c r="B1473" s="2">
        <v>45961</v>
      </c>
      <c r="C1473" t="s">
        <v>420</v>
      </c>
      <c r="D1473" t="s">
        <v>112</v>
      </c>
      <c r="E1473" t="s">
        <v>9</v>
      </c>
      <c r="F1473" s="3">
        <v>-4650</v>
      </c>
      <c r="G1473" s="3">
        <v>-4650</v>
      </c>
      <c r="H1473" t="s">
        <v>3</v>
      </c>
      <c r="I1473" t="s">
        <v>3</v>
      </c>
      <c r="J1473" t="s">
        <v>325</v>
      </c>
      <c r="K1473" t="s">
        <v>5</v>
      </c>
      <c r="L1473" t="s">
        <v>11</v>
      </c>
      <c r="M1473" t="s">
        <v>114</v>
      </c>
      <c r="N1473" s="2">
        <v>45962</v>
      </c>
    </row>
    <row r="1474" spans="1:14" x14ac:dyDescent="0.25">
      <c r="A1474" t="s">
        <v>420</v>
      </c>
      <c r="B1474" s="2">
        <v>45991</v>
      </c>
      <c r="C1474" t="s">
        <v>420</v>
      </c>
      <c r="D1474" t="s">
        <v>112</v>
      </c>
      <c r="E1474" t="s">
        <v>9</v>
      </c>
      <c r="F1474" s="3">
        <v>4650</v>
      </c>
      <c r="G1474" s="3">
        <v>4650</v>
      </c>
      <c r="H1474" t="s">
        <v>3</v>
      </c>
      <c r="I1474" t="s">
        <v>3</v>
      </c>
      <c r="J1474" t="s">
        <v>328</v>
      </c>
      <c r="K1474" t="s">
        <v>5</v>
      </c>
      <c r="L1474" t="s">
        <v>11</v>
      </c>
      <c r="M1474" t="s">
        <v>114</v>
      </c>
      <c r="N1474" s="2">
        <v>45991</v>
      </c>
    </row>
    <row r="1475" spans="1:14" x14ac:dyDescent="0.25">
      <c r="A1475" s="4" t="s">
        <v>226</v>
      </c>
      <c r="B1475" s="5"/>
      <c r="C1475" s="4" t="s">
        <v>9</v>
      </c>
      <c r="D1475" s="4" t="s">
        <v>9</v>
      </c>
      <c r="E1475" s="4" t="s">
        <v>9</v>
      </c>
      <c r="F1475" s="6">
        <v>0</v>
      </c>
      <c r="G1475" s="6">
        <v>0</v>
      </c>
      <c r="H1475" s="4" t="s">
        <v>9</v>
      </c>
      <c r="I1475" s="4" t="s">
        <v>3</v>
      </c>
      <c r="J1475" s="4" t="s">
        <v>9</v>
      </c>
      <c r="K1475" s="4" t="s">
        <v>9</v>
      </c>
      <c r="L1475" s="4" t="s">
        <v>9</v>
      </c>
      <c r="M1475" s="4" t="s">
        <v>9</v>
      </c>
      <c r="N1475" s="5"/>
    </row>
    <row r="1476" spans="1:14" x14ac:dyDescent="0.25">
      <c r="A1476" t="s">
        <v>420</v>
      </c>
      <c r="B1476" s="2">
        <v>45660</v>
      </c>
      <c r="C1476" t="s">
        <v>420</v>
      </c>
      <c r="D1476" t="s">
        <v>112</v>
      </c>
      <c r="E1476" t="s">
        <v>9</v>
      </c>
      <c r="F1476" s="3">
        <v>-2300</v>
      </c>
      <c r="G1476" s="3">
        <v>-2300</v>
      </c>
      <c r="H1476" t="s">
        <v>3</v>
      </c>
      <c r="I1476" t="s">
        <v>3</v>
      </c>
      <c r="J1476" t="s">
        <v>9</v>
      </c>
      <c r="K1476" t="s">
        <v>9</v>
      </c>
      <c r="L1476" t="s">
        <v>12</v>
      </c>
      <c r="M1476" t="s">
        <v>114</v>
      </c>
      <c r="N1476" s="2">
        <v>45657</v>
      </c>
    </row>
    <row r="1477" spans="1:14" x14ac:dyDescent="0.25">
      <c r="A1477" t="s">
        <v>420</v>
      </c>
      <c r="B1477" s="2">
        <v>45626</v>
      </c>
      <c r="C1477" t="s">
        <v>420</v>
      </c>
      <c r="D1477" t="s">
        <v>112</v>
      </c>
      <c r="E1477" t="s">
        <v>9</v>
      </c>
      <c r="F1477" s="3">
        <v>-2700</v>
      </c>
      <c r="G1477" s="3">
        <v>-2700</v>
      </c>
      <c r="H1477" t="s">
        <v>3</v>
      </c>
      <c r="I1477" t="s">
        <v>3</v>
      </c>
      <c r="J1477" t="s">
        <v>283</v>
      </c>
      <c r="K1477" t="s">
        <v>222</v>
      </c>
      <c r="L1477" t="s">
        <v>12</v>
      </c>
      <c r="M1477" t="s">
        <v>114</v>
      </c>
      <c r="N1477" s="2">
        <v>45627</v>
      </c>
    </row>
    <row r="1478" spans="1:14" x14ac:dyDescent="0.25">
      <c r="A1478" t="s">
        <v>420</v>
      </c>
      <c r="B1478" s="2">
        <v>45657</v>
      </c>
      <c r="C1478" t="s">
        <v>420</v>
      </c>
      <c r="D1478" t="s">
        <v>112</v>
      </c>
      <c r="E1478" t="s">
        <v>9</v>
      </c>
      <c r="F1478" s="3">
        <v>5000</v>
      </c>
      <c r="G1478" s="3">
        <v>5000</v>
      </c>
      <c r="H1478" t="s">
        <v>3</v>
      </c>
      <c r="I1478" t="s">
        <v>3</v>
      </c>
      <c r="J1478" t="s">
        <v>292</v>
      </c>
      <c r="K1478" t="s">
        <v>222</v>
      </c>
      <c r="L1478" t="s">
        <v>12</v>
      </c>
      <c r="M1478" t="s">
        <v>114</v>
      </c>
      <c r="N1478" s="2">
        <v>45657</v>
      </c>
    </row>
    <row r="1479" spans="1:14" x14ac:dyDescent="0.25">
      <c r="A1479" t="s">
        <v>420</v>
      </c>
      <c r="B1479" s="2">
        <v>45991</v>
      </c>
      <c r="C1479" t="s">
        <v>420</v>
      </c>
      <c r="D1479" t="s">
        <v>112</v>
      </c>
      <c r="E1479" t="s">
        <v>9</v>
      </c>
      <c r="F1479" s="3">
        <v>-4650</v>
      </c>
      <c r="G1479" s="3">
        <v>-4650</v>
      </c>
      <c r="H1479" t="s">
        <v>3</v>
      </c>
      <c r="I1479" t="s">
        <v>3</v>
      </c>
      <c r="J1479" t="s">
        <v>328</v>
      </c>
      <c r="K1479" t="s">
        <v>5</v>
      </c>
      <c r="L1479" t="s">
        <v>12</v>
      </c>
      <c r="M1479" t="s">
        <v>114</v>
      </c>
      <c r="N1479" s="2">
        <v>45992</v>
      </c>
    </row>
    <row r="1480" spans="1:14" x14ac:dyDescent="0.25">
      <c r="A1480" t="s">
        <v>420</v>
      </c>
      <c r="B1480" s="2">
        <v>46022</v>
      </c>
      <c r="C1480" t="s">
        <v>420</v>
      </c>
      <c r="D1480" t="s">
        <v>112</v>
      </c>
      <c r="E1480" t="s">
        <v>9</v>
      </c>
      <c r="F1480" s="3">
        <v>4650</v>
      </c>
      <c r="G1480" s="3">
        <v>4650</v>
      </c>
      <c r="H1480" t="s">
        <v>3</v>
      </c>
      <c r="I1480" t="s">
        <v>3</v>
      </c>
      <c r="J1480" t="s">
        <v>298</v>
      </c>
      <c r="K1480" t="s">
        <v>5</v>
      </c>
      <c r="L1480" t="s">
        <v>12</v>
      </c>
      <c r="M1480" t="s">
        <v>114</v>
      </c>
      <c r="N1480" s="2">
        <v>46022</v>
      </c>
    </row>
    <row r="1481" spans="1:14" x14ac:dyDescent="0.25">
      <c r="A1481" t="s">
        <v>420</v>
      </c>
      <c r="B1481" s="2">
        <v>46022</v>
      </c>
      <c r="C1481" t="s">
        <v>420</v>
      </c>
      <c r="D1481" t="s">
        <v>112</v>
      </c>
      <c r="E1481" t="s">
        <v>9</v>
      </c>
      <c r="F1481" s="3">
        <v>4650</v>
      </c>
      <c r="G1481" s="3">
        <v>4650</v>
      </c>
      <c r="H1481" t="s">
        <v>3</v>
      </c>
      <c r="I1481" t="s">
        <v>3</v>
      </c>
      <c r="J1481" t="s">
        <v>298</v>
      </c>
      <c r="K1481" t="s">
        <v>5</v>
      </c>
      <c r="L1481" t="s">
        <v>12</v>
      </c>
      <c r="M1481" t="s">
        <v>114</v>
      </c>
      <c r="N1481" s="2">
        <v>46022</v>
      </c>
    </row>
    <row r="1482" spans="1:14" x14ac:dyDescent="0.25">
      <c r="A1482" t="s">
        <v>420</v>
      </c>
      <c r="B1482" s="2">
        <v>46022</v>
      </c>
      <c r="C1482" t="s">
        <v>420</v>
      </c>
      <c r="D1482" t="s">
        <v>112</v>
      </c>
      <c r="E1482" t="s">
        <v>9</v>
      </c>
      <c r="F1482" s="3">
        <v>-4650</v>
      </c>
      <c r="G1482" s="3">
        <v>-4650</v>
      </c>
      <c r="H1482" t="s">
        <v>3</v>
      </c>
      <c r="I1482" t="s">
        <v>3</v>
      </c>
      <c r="J1482" t="s">
        <v>298</v>
      </c>
      <c r="K1482" t="s">
        <v>5</v>
      </c>
      <c r="L1482" t="s">
        <v>12</v>
      </c>
      <c r="M1482" t="s">
        <v>114</v>
      </c>
      <c r="N1482" s="2">
        <v>46022</v>
      </c>
    </row>
    <row r="1483" spans="1:14" x14ac:dyDescent="0.25">
      <c r="A1483" s="4" t="s">
        <v>228</v>
      </c>
      <c r="B1483" s="5"/>
      <c r="C1483" s="4" t="s">
        <v>9</v>
      </c>
      <c r="D1483" s="4" t="s">
        <v>9</v>
      </c>
      <c r="E1483" s="4" t="s">
        <v>9</v>
      </c>
      <c r="F1483" s="6">
        <v>0</v>
      </c>
      <c r="G1483" s="6">
        <v>0</v>
      </c>
      <c r="H1483" s="4" t="s">
        <v>9</v>
      </c>
      <c r="I1483" s="4" t="s">
        <v>3</v>
      </c>
      <c r="J1483" s="4" t="s">
        <v>9</v>
      </c>
      <c r="K1483" s="4" t="s">
        <v>9</v>
      </c>
      <c r="L1483" s="4" t="s">
        <v>9</v>
      </c>
      <c r="M1483" s="4" t="s">
        <v>9</v>
      </c>
      <c r="N1483" s="5"/>
    </row>
    <row r="1484" spans="1:14" x14ac:dyDescent="0.25">
      <c r="A1484" s="4" t="s">
        <v>420</v>
      </c>
      <c r="B1484" s="5"/>
      <c r="C1484" s="4" t="s">
        <v>9</v>
      </c>
      <c r="D1484" s="4" t="s">
        <v>9</v>
      </c>
      <c r="E1484" s="4" t="s">
        <v>9</v>
      </c>
      <c r="F1484" s="6">
        <v>0</v>
      </c>
      <c r="G1484" s="6">
        <v>0</v>
      </c>
      <c r="H1484" s="4" t="s">
        <v>9</v>
      </c>
      <c r="I1484" s="4" t="s">
        <v>3</v>
      </c>
      <c r="J1484" s="4" t="s">
        <v>9</v>
      </c>
      <c r="K1484" s="4" t="s">
        <v>9</v>
      </c>
      <c r="L1484" s="4" t="s">
        <v>9</v>
      </c>
      <c r="M1484" s="4" t="s">
        <v>9</v>
      </c>
      <c r="N1484" s="5"/>
    </row>
    <row r="1485" spans="1:14" x14ac:dyDescent="0.25">
      <c r="A1485" t="s">
        <v>421</v>
      </c>
      <c r="B1485" s="2">
        <v>46084</v>
      </c>
      <c r="C1485" t="s">
        <v>421</v>
      </c>
      <c r="D1485" t="s">
        <v>33</v>
      </c>
      <c r="E1485" t="s">
        <v>9</v>
      </c>
      <c r="F1485" s="3">
        <v>82035</v>
      </c>
      <c r="G1485" s="3">
        <v>82035</v>
      </c>
      <c r="H1485" t="s">
        <v>3</v>
      </c>
      <c r="I1485" t="s">
        <v>3</v>
      </c>
      <c r="J1485" t="s">
        <v>9</v>
      </c>
      <c r="K1485" t="s">
        <v>9</v>
      </c>
      <c r="L1485" t="s">
        <v>15</v>
      </c>
      <c r="M1485" t="s">
        <v>35</v>
      </c>
      <c r="N1485" s="2">
        <v>46081</v>
      </c>
    </row>
    <row r="1486" spans="1:14" x14ac:dyDescent="0.25">
      <c r="A1486" t="s">
        <v>421</v>
      </c>
      <c r="B1486" s="2">
        <v>46065</v>
      </c>
      <c r="C1486" t="s">
        <v>421</v>
      </c>
      <c r="D1486" t="s">
        <v>33</v>
      </c>
      <c r="E1486" t="s">
        <v>9</v>
      </c>
      <c r="F1486" s="3">
        <v>-82035</v>
      </c>
      <c r="G1486" s="3">
        <v>-82035</v>
      </c>
      <c r="H1486" t="s">
        <v>3</v>
      </c>
      <c r="I1486" t="s">
        <v>3</v>
      </c>
      <c r="J1486" t="s">
        <v>9</v>
      </c>
      <c r="K1486" t="s">
        <v>13</v>
      </c>
      <c r="L1486" t="s">
        <v>15</v>
      </c>
      <c r="M1486" t="s">
        <v>35</v>
      </c>
      <c r="N1486" s="2">
        <v>46065</v>
      </c>
    </row>
    <row r="1487" spans="1:14" x14ac:dyDescent="0.25">
      <c r="A1487" s="4" t="s">
        <v>239</v>
      </c>
      <c r="B1487" s="5"/>
      <c r="C1487" s="4" t="s">
        <v>9</v>
      </c>
      <c r="D1487" s="4" t="s">
        <v>9</v>
      </c>
      <c r="E1487" s="4" t="s">
        <v>9</v>
      </c>
      <c r="F1487" s="6">
        <v>0</v>
      </c>
      <c r="G1487" s="6">
        <v>0</v>
      </c>
      <c r="H1487" s="4" t="s">
        <v>9</v>
      </c>
      <c r="I1487" s="4" t="s">
        <v>3</v>
      </c>
      <c r="J1487" s="4" t="s">
        <v>9</v>
      </c>
      <c r="K1487" s="4" t="s">
        <v>9</v>
      </c>
      <c r="L1487" s="4" t="s">
        <v>9</v>
      </c>
      <c r="M1487" s="4" t="s">
        <v>9</v>
      </c>
      <c r="N1487" s="5"/>
    </row>
    <row r="1488" spans="1:14" x14ac:dyDescent="0.25">
      <c r="A1488" t="s">
        <v>421</v>
      </c>
      <c r="B1488" s="2">
        <v>46115</v>
      </c>
      <c r="C1488" t="s">
        <v>421</v>
      </c>
      <c r="D1488" t="s">
        <v>33</v>
      </c>
      <c r="E1488" t="s">
        <v>9</v>
      </c>
      <c r="F1488" s="3">
        <v>240965</v>
      </c>
      <c r="G1488" s="3">
        <v>240965</v>
      </c>
      <c r="H1488" t="s">
        <v>3</v>
      </c>
      <c r="I1488" t="s">
        <v>3</v>
      </c>
      <c r="J1488" t="s">
        <v>9</v>
      </c>
      <c r="K1488" t="s">
        <v>9</v>
      </c>
      <c r="L1488" t="s">
        <v>16</v>
      </c>
      <c r="M1488" t="s">
        <v>35</v>
      </c>
      <c r="N1488" s="2">
        <v>46112</v>
      </c>
    </row>
    <row r="1489" spans="1:14" x14ac:dyDescent="0.25">
      <c r="A1489" t="s">
        <v>421</v>
      </c>
      <c r="B1489" s="2">
        <v>46100</v>
      </c>
      <c r="C1489" t="s">
        <v>421</v>
      </c>
      <c r="D1489" t="s">
        <v>33</v>
      </c>
      <c r="E1489" t="s">
        <v>9</v>
      </c>
      <c r="F1489" s="3">
        <v>-240965</v>
      </c>
      <c r="G1489" s="3">
        <v>-240965</v>
      </c>
      <c r="H1489" t="s">
        <v>3</v>
      </c>
      <c r="I1489" t="s">
        <v>3</v>
      </c>
      <c r="J1489" t="s">
        <v>9</v>
      </c>
      <c r="K1489" t="s">
        <v>13</v>
      </c>
      <c r="L1489" t="s">
        <v>16</v>
      </c>
      <c r="M1489" t="s">
        <v>35</v>
      </c>
      <c r="N1489" s="2">
        <v>46100</v>
      </c>
    </row>
    <row r="1490" spans="1:14" x14ac:dyDescent="0.25">
      <c r="A1490" s="4" t="s">
        <v>244</v>
      </c>
      <c r="B1490" s="5"/>
      <c r="C1490" s="4" t="s">
        <v>9</v>
      </c>
      <c r="D1490" s="4" t="s">
        <v>9</v>
      </c>
      <c r="E1490" s="4" t="s">
        <v>9</v>
      </c>
      <c r="F1490" s="6">
        <v>0</v>
      </c>
      <c r="G1490" s="6">
        <v>0</v>
      </c>
      <c r="H1490" s="4" t="s">
        <v>9</v>
      </c>
      <c r="I1490" s="4" t="s">
        <v>3</v>
      </c>
      <c r="J1490" s="4" t="s">
        <v>9</v>
      </c>
      <c r="K1490" s="4" t="s">
        <v>9</v>
      </c>
      <c r="L1490" s="4" t="s">
        <v>9</v>
      </c>
      <c r="M1490" s="4" t="s">
        <v>9</v>
      </c>
      <c r="N1490" s="5"/>
    </row>
    <row r="1491" spans="1:14" x14ac:dyDescent="0.25">
      <c r="A1491" t="s">
        <v>421</v>
      </c>
      <c r="B1491" s="2">
        <v>45782</v>
      </c>
      <c r="C1491" t="s">
        <v>421</v>
      </c>
      <c r="D1491" t="s">
        <v>33</v>
      </c>
      <c r="E1491" t="s">
        <v>9</v>
      </c>
      <c r="F1491" s="3">
        <v>13860</v>
      </c>
      <c r="G1491" s="3">
        <v>13860</v>
      </c>
      <c r="H1491" t="s">
        <v>3</v>
      </c>
      <c r="I1491" t="s">
        <v>3</v>
      </c>
      <c r="J1491" t="s">
        <v>9</v>
      </c>
      <c r="K1491" t="s">
        <v>9</v>
      </c>
      <c r="L1491" t="s">
        <v>17</v>
      </c>
      <c r="M1491" t="s">
        <v>35</v>
      </c>
      <c r="N1491" s="2">
        <v>45777</v>
      </c>
    </row>
    <row r="1492" spans="1:14" x14ac:dyDescent="0.25">
      <c r="A1492" t="s">
        <v>421</v>
      </c>
      <c r="B1492" s="2">
        <v>46147</v>
      </c>
      <c r="C1492" t="s">
        <v>421</v>
      </c>
      <c r="D1492" t="s">
        <v>33</v>
      </c>
      <c r="E1492" t="s">
        <v>9</v>
      </c>
      <c r="F1492" s="3">
        <v>190044</v>
      </c>
      <c r="G1492" s="3">
        <v>190044</v>
      </c>
      <c r="H1492" t="s">
        <v>3</v>
      </c>
      <c r="I1492" t="s">
        <v>3</v>
      </c>
      <c r="J1492" t="s">
        <v>9</v>
      </c>
      <c r="K1492" t="s">
        <v>9</v>
      </c>
      <c r="L1492" t="s">
        <v>17</v>
      </c>
      <c r="M1492" t="s">
        <v>35</v>
      </c>
      <c r="N1492" s="2">
        <v>46142</v>
      </c>
    </row>
    <row r="1493" spans="1:14" x14ac:dyDescent="0.25">
      <c r="A1493" t="s">
        <v>421</v>
      </c>
      <c r="B1493" s="2">
        <v>45763</v>
      </c>
      <c r="C1493" t="s">
        <v>421</v>
      </c>
      <c r="D1493" t="s">
        <v>33</v>
      </c>
      <c r="E1493" t="s">
        <v>9</v>
      </c>
      <c r="F1493" s="3">
        <v>-13860</v>
      </c>
      <c r="G1493" s="3">
        <v>-13860</v>
      </c>
      <c r="H1493" t="s">
        <v>3</v>
      </c>
      <c r="I1493" t="s">
        <v>3</v>
      </c>
      <c r="J1493" t="s">
        <v>9</v>
      </c>
      <c r="K1493" t="s">
        <v>5</v>
      </c>
      <c r="L1493" t="s">
        <v>17</v>
      </c>
      <c r="M1493" t="s">
        <v>35</v>
      </c>
      <c r="N1493" s="2">
        <v>45763</v>
      </c>
    </row>
    <row r="1494" spans="1:14" x14ac:dyDescent="0.25">
      <c r="A1494" t="s">
        <v>421</v>
      </c>
      <c r="B1494" s="2">
        <v>46127</v>
      </c>
      <c r="C1494" t="s">
        <v>421</v>
      </c>
      <c r="D1494" t="s">
        <v>33</v>
      </c>
      <c r="E1494" t="s">
        <v>9</v>
      </c>
      <c r="F1494" s="3">
        <v>-188917</v>
      </c>
      <c r="G1494" s="3">
        <v>-188917</v>
      </c>
      <c r="H1494" t="s">
        <v>3</v>
      </c>
      <c r="I1494" t="s">
        <v>3</v>
      </c>
      <c r="J1494" t="s">
        <v>9</v>
      </c>
      <c r="K1494" t="s">
        <v>13</v>
      </c>
      <c r="L1494" t="s">
        <v>17</v>
      </c>
      <c r="M1494" t="s">
        <v>35</v>
      </c>
      <c r="N1494" s="2">
        <v>46127</v>
      </c>
    </row>
    <row r="1495" spans="1:14" x14ac:dyDescent="0.25">
      <c r="A1495" t="s">
        <v>421</v>
      </c>
      <c r="B1495" s="2">
        <v>46127</v>
      </c>
      <c r="C1495" t="s">
        <v>421</v>
      </c>
      <c r="D1495" t="s">
        <v>33</v>
      </c>
      <c r="E1495" t="s">
        <v>9</v>
      </c>
      <c r="F1495" s="3">
        <v>-1127</v>
      </c>
      <c r="G1495" s="3">
        <v>-1127</v>
      </c>
      <c r="H1495" t="s">
        <v>3</v>
      </c>
      <c r="I1495" t="s">
        <v>3</v>
      </c>
      <c r="J1495" t="s">
        <v>9</v>
      </c>
      <c r="K1495" t="s">
        <v>13</v>
      </c>
      <c r="L1495" t="s">
        <v>17</v>
      </c>
      <c r="M1495" t="s">
        <v>35</v>
      </c>
      <c r="N1495" s="2">
        <v>46127</v>
      </c>
    </row>
    <row r="1496" spans="1:14" x14ac:dyDescent="0.25">
      <c r="A1496" t="s">
        <v>421</v>
      </c>
      <c r="B1496" s="2">
        <v>46127</v>
      </c>
      <c r="C1496" t="s">
        <v>421</v>
      </c>
      <c r="D1496" t="s">
        <v>33</v>
      </c>
      <c r="E1496" t="s">
        <v>9</v>
      </c>
      <c r="F1496" s="3">
        <v>-22265</v>
      </c>
      <c r="G1496" s="3">
        <v>-22265</v>
      </c>
      <c r="H1496" t="s">
        <v>3</v>
      </c>
      <c r="I1496" t="s">
        <v>3</v>
      </c>
      <c r="J1496" t="s">
        <v>9</v>
      </c>
      <c r="K1496" t="s">
        <v>13</v>
      </c>
      <c r="L1496" t="s">
        <v>17</v>
      </c>
      <c r="M1496" t="s">
        <v>35</v>
      </c>
      <c r="N1496" s="2">
        <v>46127</v>
      </c>
    </row>
    <row r="1497" spans="1:14" x14ac:dyDescent="0.25">
      <c r="A1497" t="s">
        <v>421</v>
      </c>
      <c r="B1497" s="2">
        <v>46142</v>
      </c>
      <c r="C1497" t="s">
        <v>421</v>
      </c>
      <c r="D1497" t="s">
        <v>33</v>
      </c>
      <c r="E1497" t="s">
        <v>9</v>
      </c>
      <c r="F1497" s="3">
        <v>22265</v>
      </c>
      <c r="G1497" s="3">
        <v>22265</v>
      </c>
      <c r="H1497" t="s">
        <v>3</v>
      </c>
      <c r="I1497" t="s">
        <v>3</v>
      </c>
      <c r="J1497" t="s">
        <v>45</v>
      </c>
      <c r="K1497" t="s">
        <v>13</v>
      </c>
      <c r="L1497" t="s">
        <v>17</v>
      </c>
      <c r="M1497" t="s">
        <v>35</v>
      </c>
      <c r="N1497" s="2">
        <v>46142</v>
      </c>
    </row>
    <row r="1498" spans="1:14" x14ac:dyDescent="0.25">
      <c r="A1498" s="4" t="s">
        <v>249</v>
      </c>
      <c r="B1498" s="5"/>
      <c r="C1498" s="4" t="s">
        <v>9</v>
      </c>
      <c r="D1498" s="4" t="s">
        <v>9</v>
      </c>
      <c r="E1498" s="4" t="s">
        <v>9</v>
      </c>
      <c r="F1498" s="6">
        <v>0</v>
      </c>
      <c r="G1498" s="6">
        <v>0</v>
      </c>
      <c r="H1498" s="4" t="s">
        <v>9</v>
      </c>
      <c r="I1498" s="4" t="s">
        <v>3</v>
      </c>
      <c r="J1498" s="4" t="s">
        <v>9</v>
      </c>
      <c r="K1498" s="4" t="s">
        <v>9</v>
      </c>
      <c r="L1498" s="4" t="s">
        <v>9</v>
      </c>
      <c r="M1498" s="4" t="s">
        <v>9</v>
      </c>
      <c r="N1498" s="5"/>
    </row>
    <row r="1499" spans="1:14" x14ac:dyDescent="0.25">
      <c r="A1499" t="s">
        <v>421</v>
      </c>
      <c r="B1499" s="2">
        <v>45810</v>
      </c>
      <c r="C1499" t="s">
        <v>421</v>
      </c>
      <c r="D1499" t="s">
        <v>33</v>
      </c>
      <c r="E1499" t="s">
        <v>9</v>
      </c>
      <c r="F1499" s="3">
        <v>171262</v>
      </c>
      <c r="G1499" s="3">
        <v>171262</v>
      </c>
      <c r="H1499" t="s">
        <v>3</v>
      </c>
      <c r="I1499" t="s">
        <v>3</v>
      </c>
      <c r="J1499" t="s">
        <v>9</v>
      </c>
      <c r="K1499" t="s">
        <v>9</v>
      </c>
      <c r="L1499" t="s">
        <v>18</v>
      </c>
      <c r="M1499" t="s">
        <v>35</v>
      </c>
      <c r="N1499" s="2">
        <v>45808</v>
      </c>
    </row>
    <row r="1500" spans="1:14" x14ac:dyDescent="0.25">
      <c r="A1500" t="s">
        <v>421</v>
      </c>
      <c r="B1500" s="2">
        <v>46175</v>
      </c>
      <c r="C1500" t="s">
        <v>421</v>
      </c>
      <c r="D1500" t="s">
        <v>33</v>
      </c>
      <c r="E1500" t="s">
        <v>9</v>
      </c>
      <c r="F1500" s="3">
        <v>468246</v>
      </c>
      <c r="G1500" s="3">
        <v>468246</v>
      </c>
      <c r="H1500" t="s">
        <v>3</v>
      </c>
      <c r="I1500" t="s">
        <v>3</v>
      </c>
      <c r="J1500" t="s">
        <v>9</v>
      </c>
      <c r="K1500" t="s">
        <v>9</v>
      </c>
      <c r="L1500" t="s">
        <v>18</v>
      </c>
      <c r="M1500" t="s">
        <v>35</v>
      </c>
      <c r="N1500" s="2">
        <v>46173</v>
      </c>
    </row>
    <row r="1501" spans="1:14" x14ac:dyDescent="0.25">
      <c r="A1501" t="s">
        <v>421</v>
      </c>
      <c r="B1501" s="2">
        <v>45799</v>
      </c>
      <c r="C1501" t="s">
        <v>421</v>
      </c>
      <c r="D1501" t="s">
        <v>33</v>
      </c>
      <c r="E1501" t="s">
        <v>9</v>
      </c>
      <c r="F1501" s="3">
        <v>-171262</v>
      </c>
      <c r="G1501" s="3">
        <v>-171262</v>
      </c>
      <c r="H1501" t="s">
        <v>3</v>
      </c>
      <c r="I1501" t="s">
        <v>3</v>
      </c>
      <c r="J1501" t="s">
        <v>9</v>
      </c>
      <c r="K1501" t="s">
        <v>5</v>
      </c>
      <c r="L1501" t="s">
        <v>18</v>
      </c>
      <c r="M1501" t="s">
        <v>35</v>
      </c>
      <c r="N1501" s="2">
        <v>45799</v>
      </c>
    </row>
    <row r="1502" spans="1:14" x14ac:dyDescent="0.25">
      <c r="A1502" t="s">
        <v>421</v>
      </c>
      <c r="B1502" s="2">
        <v>46161</v>
      </c>
      <c r="C1502" t="s">
        <v>421</v>
      </c>
      <c r="D1502" t="s">
        <v>33</v>
      </c>
      <c r="E1502" t="s">
        <v>9</v>
      </c>
      <c r="F1502" s="3">
        <v>-416989</v>
      </c>
      <c r="G1502" s="3">
        <v>-416989</v>
      </c>
      <c r="H1502" t="s">
        <v>3</v>
      </c>
      <c r="I1502" t="s">
        <v>3</v>
      </c>
      <c r="J1502" t="s">
        <v>9</v>
      </c>
      <c r="K1502" t="s">
        <v>13</v>
      </c>
      <c r="L1502" t="s">
        <v>18</v>
      </c>
      <c r="M1502" t="s">
        <v>35</v>
      </c>
      <c r="N1502" s="2">
        <v>46161</v>
      </c>
    </row>
    <row r="1503" spans="1:14" x14ac:dyDescent="0.25">
      <c r="A1503" t="s">
        <v>421</v>
      </c>
      <c r="B1503" s="2">
        <v>46161</v>
      </c>
      <c r="C1503" t="s">
        <v>421</v>
      </c>
      <c r="D1503" t="s">
        <v>33</v>
      </c>
      <c r="E1503" t="s">
        <v>9</v>
      </c>
      <c r="F1503" s="3">
        <v>-51257</v>
      </c>
      <c r="G1503" s="3">
        <v>-51257</v>
      </c>
      <c r="H1503" t="s">
        <v>3</v>
      </c>
      <c r="I1503" t="s">
        <v>3</v>
      </c>
      <c r="J1503" t="s">
        <v>9</v>
      </c>
      <c r="K1503" t="s">
        <v>13</v>
      </c>
      <c r="L1503" t="s">
        <v>18</v>
      </c>
      <c r="M1503" t="s">
        <v>35</v>
      </c>
      <c r="N1503" s="2">
        <v>46161</v>
      </c>
    </row>
    <row r="1504" spans="1:14" x14ac:dyDescent="0.25">
      <c r="A1504" s="4" t="s">
        <v>223</v>
      </c>
      <c r="B1504" s="5"/>
      <c r="C1504" s="4" t="s">
        <v>9</v>
      </c>
      <c r="D1504" s="4" t="s">
        <v>9</v>
      </c>
      <c r="E1504" s="4" t="s">
        <v>9</v>
      </c>
      <c r="F1504" s="6">
        <v>0</v>
      </c>
      <c r="G1504" s="6">
        <v>0</v>
      </c>
      <c r="H1504" s="4" t="s">
        <v>9</v>
      </c>
      <c r="I1504" s="4" t="s">
        <v>3</v>
      </c>
      <c r="J1504" s="4" t="s">
        <v>9</v>
      </c>
      <c r="K1504" s="4" t="s">
        <v>9</v>
      </c>
      <c r="L1504" s="4" t="s">
        <v>9</v>
      </c>
      <c r="M1504" s="4" t="s">
        <v>9</v>
      </c>
      <c r="N1504" s="5"/>
    </row>
    <row r="1505" spans="1:14" x14ac:dyDescent="0.25">
      <c r="A1505" t="s">
        <v>421</v>
      </c>
      <c r="B1505" s="2">
        <v>45839</v>
      </c>
      <c r="C1505" t="s">
        <v>421</v>
      </c>
      <c r="D1505" t="s">
        <v>33</v>
      </c>
      <c r="E1505" t="s">
        <v>9</v>
      </c>
      <c r="F1505" s="3">
        <v>139419</v>
      </c>
      <c r="G1505" s="3">
        <v>139419</v>
      </c>
      <c r="H1505" t="s">
        <v>3</v>
      </c>
      <c r="I1505" t="s">
        <v>3</v>
      </c>
      <c r="J1505" t="s">
        <v>9</v>
      </c>
      <c r="K1505" t="s">
        <v>9</v>
      </c>
      <c r="L1505" t="s">
        <v>19</v>
      </c>
      <c r="M1505" t="s">
        <v>35</v>
      </c>
      <c r="N1505" s="2">
        <v>45838</v>
      </c>
    </row>
    <row r="1506" spans="1:14" x14ac:dyDescent="0.25">
      <c r="A1506" t="s">
        <v>421</v>
      </c>
      <c r="B1506" s="2">
        <v>46205</v>
      </c>
      <c r="C1506" t="s">
        <v>421</v>
      </c>
      <c r="D1506" t="s">
        <v>33</v>
      </c>
      <c r="E1506" t="s">
        <v>9</v>
      </c>
      <c r="F1506" s="3">
        <v>-481291</v>
      </c>
      <c r="G1506" s="3">
        <v>-481291</v>
      </c>
      <c r="H1506" t="s">
        <v>3</v>
      </c>
      <c r="I1506" t="s">
        <v>3</v>
      </c>
      <c r="J1506" t="s">
        <v>9</v>
      </c>
      <c r="K1506" t="s">
        <v>9</v>
      </c>
      <c r="L1506" t="s">
        <v>19</v>
      </c>
      <c r="M1506" t="s">
        <v>35</v>
      </c>
      <c r="N1506" s="2">
        <v>46203</v>
      </c>
    </row>
    <row r="1507" spans="1:14" x14ac:dyDescent="0.25">
      <c r="A1507" t="s">
        <v>421</v>
      </c>
      <c r="B1507" s="2">
        <v>45825</v>
      </c>
      <c r="C1507" t="s">
        <v>421</v>
      </c>
      <c r="D1507" t="s">
        <v>33</v>
      </c>
      <c r="E1507" t="s">
        <v>9</v>
      </c>
      <c r="F1507" s="3">
        <v>-139419</v>
      </c>
      <c r="G1507" s="3">
        <v>-139419</v>
      </c>
      <c r="H1507" t="s">
        <v>3</v>
      </c>
      <c r="I1507" t="s">
        <v>3</v>
      </c>
      <c r="J1507" t="s">
        <v>9</v>
      </c>
      <c r="K1507" t="s">
        <v>5</v>
      </c>
      <c r="L1507" t="s">
        <v>19</v>
      </c>
      <c r="M1507" t="s">
        <v>35</v>
      </c>
      <c r="N1507" s="2">
        <v>45825</v>
      </c>
    </row>
    <row r="1508" spans="1:14" x14ac:dyDescent="0.25">
      <c r="A1508" t="s">
        <v>421</v>
      </c>
      <c r="B1508" s="2">
        <v>46184</v>
      </c>
      <c r="C1508" t="s">
        <v>421</v>
      </c>
      <c r="D1508" t="s">
        <v>33</v>
      </c>
      <c r="E1508" t="s">
        <v>9</v>
      </c>
      <c r="F1508" s="3">
        <v>481291</v>
      </c>
      <c r="G1508" s="3">
        <v>481291</v>
      </c>
      <c r="H1508" t="s">
        <v>3</v>
      </c>
      <c r="I1508" t="s">
        <v>3</v>
      </c>
      <c r="J1508" t="s">
        <v>9</v>
      </c>
      <c r="K1508" t="s">
        <v>13</v>
      </c>
      <c r="L1508" t="s">
        <v>19</v>
      </c>
      <c r="M1508" t="s">
        <v>35</v>
      </c>
      <c r="N1508" s="2">
        <v>46184</v>
      </c>
    </row>
    <row r="1509" spans="1:14" x14ac:dyDescent="0.25">
      <c r="A1509" s="4" t="s">
        <v>224</v>
      </c>
      <c r="B1509" s="5"/>
      <c r="C1509" s="4" t="s">
        <v>9</v>
      </c>
      <c r="D1509" s="4" t="s">
        <v>9</v>
      </c>
      <c r="E1509" s="4" t="s">
        <v>9</v>
      </c>
      <c r="F1509" s="6">
        <v>0</v>
      </c>
      <c r="G1509" s="6">
        <v>0</v>
      </c>
      <c r="H1509" s="4" t="s">
        <v>9</v>
      </c>
      <c r="I1509" s="4" t="s">
        <v>3</v>
      </c>
      <c r="J1509" s="4" t="s">
        <v>9</v>
      </c>
      <c r="K1509" s="4" t="s">
        <v>9</v>
      </c>
      <c r="L1509" s="4" t="s">
        <v>9</v>
      </c>
      <c r="M1509" s="4" t="s">
        <v>9</v>
      </c>
      <c r="N1509" s="5"/>
    </row>
    <row r="1510" spans="1:14" x14ac:dyDescent="0.25">
      <c r="A1510" t="s">
        <v>421</v>
      </c>
      <c r="B1510" s="2">
        <v>45870</v>
      </c>
      <c r="C1510" t="s">
        <v>421</v>
      </c>
      <c r="D1510" t="s">
        <v>33</v>
      </c>
      <c r="E1510" t="s">
        <v>9</v>
      </c>
      <c r="F1510" s="3">
        <v>75548</v>
      </c>
      <c r="G1510" s="3">
        <v>75548</v>
      </c>
      <c r="H1510" t="s">
        <v>3</v>
      </c>
      <c r="I1510" t="s">
        <v>3</v>
      </c>
      <c r="J1510" t="s">
        <v>9</v>
      </c>
      <c r="K1510" t="s">
        <v>9</v>
      </c>
      <c r="L1510" t="s">
        <v>21</v>
      </c>
      <c r="M1510" t="s">
        <v>35</v>
      </c>
      <c r="N1510" s="2">
        <v>45869</v>
      </c>
    </row>
    <row r="1511" spans="1:14" x14ac:dyDescent="0.25">
      <c r="A1511" t="s">
        <v>421</v>
      </c>
      <c r="B1511" s="2">
        <v>45849</v>
      </c>
      <c r="C1511" t="s">
        <v>421</v>
      </c>
      <c r="D1511" t="s">
        <v>33</v>
      </c>
      <c r="E1511" t="s">
        <v>9</v>
      </c>
      <c r="F1511" s="3">
        <v>-69249</v>
      </c>
      <c r="G1511" s="3">
        <v>-69249</v>
      </c>
      <c r="H1511" t="s">
        <v>3</v>
      </c>
      <c r="I1511" t="s">
        <v>3</v>
      </c>
      <c r="J1511" t="s">
        <v>9</v>
      </c>
      <c r="K1511" t="s">
        <v>5</v>
      </c>
      <c r="L1511" t="s">
        <v>21</v>
      </c>
      <c r="M1511" t="s">
        <v>35</v>
      </c>
      <c r="N1511" s="2">
        <v>45849</v>
      </c>
    </row>
    <row r="1512" spans="1:14" x14ac:dyDescent="0.25">
      <c r="A1512" t="s">
        <v>421</v>
      </c>
      <c r="B1512" s="2">
        <v>45849</v>
      </c>
      <c r="C1512" t="s">
        <v>421</v>
      </c>
      <c r="D1512" t="s">
        <v>33</v>
      </c>
      <c r="E1512" t="s">
        <v>9</v>
      </c>
      <c r="F1512" s="3">
        <v>-6299</v>
      </c>
      <c r="G1512" s="3">
        <v>-6299</v>
      </c>
      <c r="H1512" t="s">
        <v>3</v>
      </c>
      <c r="I1512" t="s">
        <v>3</v>
      </c>
      <c r="J1512" t="s">
        <v>9</v>
      </c>
      <c r="K1512" t="s">
        <v>5</v>
      </c>
      <c r="L1512" t="s">
        <v>21</v>
      </c>
      <c r="M1512" t="s">
        <v>35</v>
      </c>
      <c r="N1512" s="2">
        <v>45849</v>
      </c>
    </row>
    <row r="1513" spans="1:14" x14ac:dyDescent="0.25">
      <c r="A1513" s="4" t="s">
        <v>262</v>
      </c>
      <c r="B1513" s="5"/>
      <c r="C1513" s="4" t="s">
        <v>9</v>
      </c>
      <c r="D1513" s="4" t="s">
        <v>9</v>
      </c>
      <c r="E1513" s="4" t="s">
        <v>9</v>
      </c>
      <c r="F1513" s="6">
        <v>0</v>
      </c>
      <c r="G1513" s="6">
        <v>0</v>
      </c>
      <c r="H1513" s="4" t="s">
        <v>9</v>
      </c>
      <c r="I1513" s="4" t="s">
        <v>3</v>
      </c>
      <c r="J1513" s="4" t="s">
        <v>9</v>
      </c>
      <c r="K1513" s="4" t="s">
        <v>9</v>
      </c>
      <c r="L1513" s="4" t="s">
        <v>9</v>
      </c>
      <c r="M1513" s="4" t="s">
        <v>9</v>
      </c>
      <c r="N1513" s="5"/>
    </row>
    <row r="1514" spans="1:14" x14ac:dyDescent="0.25">
      <c r="A1514" t="s">
        <v>421</v>
      </c>
      <c r="B1514" s="2">
        <v>45901</v>
      </c>
      <c r="C1514" t="s">
        <v>421</v>
      </c>
      <c r="D1514" t="s">
        <v>33</v>
      </c>
      <c r="E1514" t="s">
        <v>9</v>
      </c>
      <c r="F1514" s="3">
        <v>252381</v>
      </c>
      <c r="G1514" s="3">
        <v>252381</v>
      </c>
      <c r="H1514" t="s">
        <v>3</v>
      </c>
      <c r="I1514" t="s">
        <v>3</v>
      </c>
      <c r="J1514" t="s">
        <v>9</v>
      </c>
      <c r="K1514" t="s">
        <v>9</v>
      </c>
      <c r="L1514" t="s">
        <v>22</v>
      </c>
      <c r="M1514" t="s">
        <v>35</v>
      </c>
      <c r="N1514" s="2">
        <v>45900</v>
      </c>
    </row>
    <row r="1515" spans="1:14" x14ac:dyDescent="0.25">
      <c r="A1515" t="s">
        <v>421</v>
      </c>
      <c r="B1515" s="2">
        <v>46267</v>
      </c>
      <c r="C1515" t="s">
        <v>421</v>
      </c>
      <c r="D1515" t="s">
        <v>33</v>
      </c>
      <c r="E1515" t="s">
        <v>9</v>
      </c>
      <c r="F1515" s="3">
        <v>2281</v>
      </c>
      <c r="G1515" s="3">
        <v>2281</v>
      </c>
      <c r="H1515" t="s">
        <v>3</v>
      </c>
      <c r="I1515" t="s">
        <v>3</v>
      </c>
      <c r="J1515" t="s">
        <v>9</v>
      </c>
      <c r="K1515" t="s">
        <v>9</v>
      </c>
      <c r="L1515" t="s">
        <v>22</v>
      </c>
      <c r="M1515" t="s">
        <v>35</v>
      </c>
      <c r="N1515" s="2">
        <v>46265</v>
      </c>
    </row>
    <row r="1516" spans="1:14" x14ac:dyDescent="0.25">
      <c r="A1516" t="s">
        <v>421</v>
      </c>
      <c r="B1516" s="2">
        <v>45888</v>
      </c>
      <c r="C1516" t="s">
        <v>421</v>
      </c>
      <c r="D1516" t="s">
        <v>33</v>
      </c>
      <c r="E1516" t="s">
        <v>9</v>
      </c>
      <c r="F1516" s="3">
        <v>-252346</v>
      </c>
      <c r="G1516" s="3">
        <v>-252346</v>
      </c>
      <c r="H1516" t="s">
        <v>3</v>
      </c>
      <c r="I1516" t="s">
        <v>3</v>
      </c>
      <c r="J1516" t="s">
        <v>9</v>
      </c>
      <c r="K1516" t="s">
        <v>5</v>
      </c>
      <c r="L1516" t="s">
        <v>22</v>
      </c>
      <c r="M1516" t="s">
        <v>35</v>
      </c>
      <c r="N1516" s="2">
        <v>45888</v>
      </c>
    </row>
    <row r="1517" spans="1:14" x14ac:dyDescent="0.25">
      <c r="A1517" t="s">
        <v>421</v>
      </c>
      <c r="B1517" s="2">
        <v>45888</v>
      </c>
      <c r="C1517" t="s">
        <v>421</v>
      </c>
      <c r="D1517" t="s">
        <v>33</v>
      </c>
      <c r="E1517" t="s">
        <v>9</v>
      </c>
      <c r="F1517" s="3">
        <v>-35</v>
      </c>
      <c r="G1517" s="3">
        <v>-35</v>
      </c>
      <c r="H1517" t="s">
        <v>3</v>
      </c>
      <c r="I1517" t="s">
        <v>3</v>
      </c>
      <c r="J1517" t="s">
        <v>9</v>
      </c>
      <c r="K1517" t="s">
        <v>5</v>
      </c>
      <c r="L1517" t="s">
        <v>22</v>
      </c>
      <c r="M1517" t="s">
        <v>35</v>
      </c>
      <c r="N1517" s="2">
        <v>45888</v>
      </c>
    </row>
    <row r="1518" spans="1:14" x14ac:dyDescent="0.25">
      <c r="A1518" t="s">
        <v>421</v>
      </c>
      <c r="B1518" s="2">
        <v>46246</v>
      </c>
      <c r="C1518" t="s">
        <v>421</v>
      </c>
      <c r="D1518" t="s">
        <v>33</v>
      </c>
      <c r="E1518" t="s">
        <v>9</v>
      </c>
      <c r="F1518" s="3">
        <v>-2281</v>
      </c>
      <c r="G1518" s="3">
        <v>-2281</v>
      </c>
      <c r="H1518" t="s">
        <v>3</v>
      </c>
      <c r="I1518" t="s">
        <v>3</v>
      </c>
      <c r="J1518" t="s">
        <v>9</v>
      </c>
      <c r="K1518" t="s">
        <v>13</v>
      </c>
      <c r="L1518" t="s">
        <v>22</v>
      </c>
      <c r="M1518" t="s">
        <v>35</v>
      </c>
      <c r="N1518" s="2">
        <v>46246</v>
      </c>
    </row>
    <row r="1519" spans="1:14" x14ac:dyDescent="0.25">
      <c r="A1519" s="4" t="s">
        <v>267</v>
      </c>
      <c r="B1519" s="5"/>
      <c r="C1519" s="4" t="s">
        <v>9</v>
      </c>
      <c r="D1519" s="4" t="s">
        <v>9</v>
      </c>
      <c r="E1519" s="4" t="s">
        <v>9</v>
      </c>
      <c r="F1519" s="6">
        <v>0</v>
      </c>
      <c r="G1519" s="6">
        <v>0</v>
      </c>
      <c r="H1519" s="4" t="s">
        <v>9</v>
      </c>
      <c r="I1519" s="4" t="s">
        <v>3</v>
      </c>
      <c r="J1519" s="4" t="s">
        <v>9</v>
      </c>
      <c r="K1519" s="4" t="s">
        <v>9</v>
      </c>
      <c r="L1519" s="4" t="s">
        <v>9</v>
      </c>
      <c r="M1519" s="4" t="s">
        <v>9</v>
      </c>
      <c r="N1519" s="5"/>
    </row>
    <row r="1520" spans="1:14" x14ac:dyDescent="0.25">
      <c r="A1520" t="s">
        <v>421</v>
      </c>
      <c r="B1520" s="2">
        <v>45932</v>
      </c>
      <c r="C1520" t="s">
        <v>421</v>
      </c>
      <c r="D1520" t="s">
        <v>33</v>
      </c>
      <c r="E1520" t="s">
        <v>9</v>
      </c>
      <c r="F1520" s="3">
        <v>90885</v>
      </c>
      <c r="G1520" s="3">
        <v>90885</v>
      </c>
      <c r="H1520" t="s">
        <v>3</v>
      </c>
      <c r="I1520" t="s">
        <v>3</v>
      </c>
      <c r="J1520" t="s">
        <v>9</v>
      </c>
      <c r="K1520" t="s">
        <v>9</v>
      </c>
      <c r="L1520" t="s">
        <v>6</v>
      </c>
      <c r="M1520" t="s">
        <v>35</v>
      </c>
      <c r="N1520" s="2">
        <v>45930</v>
      </c>
    </row>
    <row r="1521" spans="1:14" x14ac:dyDescent="0.25">
      <c r="A1521" t="s">
        <v>421</v>
      </c>
      <c r="B1521" s="2">
        <v>45910</v>
      </c>
      <c r="C1521" t="s">
        <v>421</v>
      </c>
      <c r="D1521" t="s">
        <v>33</v>
      </c>
      <c r="E1521" t="s">
        <v>9</v>
      </c>
      <c r="F1521" s="3">
        <v>-90885</v>
      </c>
      <c r="G1521" s="3">
        <v>-90885</v>
      </c>
      <c r="H1521" t="s">
        <v>3</v>
      </c>
      <c r="I1521" t="s">
        <v>3</v>
      </c>
      <c r="J1521" t="s">
        <v>9</v>
      </c>
      <c r="K1521" t="s">
        <v>5</v>
      </c>
      <c r="L1521" t="s">
        <v>6</v>
      </c>
      <c r="M1521" t="s">
        <v>35</v>
      </c>
      <c r="N1521" s="2">
        <v>45910</v>
      </c>
    </row>
    <row r="1522" spans="1:14" x14ac:dyDescent="0.25">
      <c r="A1522" s="4" t="s">
        <v>272</v>
      </c>
      <c r="B1522" s="5"/>
      <c r="C1522" s="4" t="s">
        <v>9</v>
      </c>
      <c r="D1522" s="4" t="s">
        <v>9</v>
      </c>
      <c r="E1522" s="4" t="s">
        <v>9</v>
      </c>
      <c r="F1522" s="6">
        <v>0</v>
      </c>
      <c r="G1522" s="6">
        <v>0</v>
      </c>
      <c r="H1522" s="4" t="s">
        <v>9</v>
      </c>
      <c r="I1522" s="4" t="s">
        <v>3</v>
      </c>
      <c r="J1522" s="4" t="s">
        <v>9</v>
      </c>
      <c r="K1522" s="4" t="s">
        <v>9</v>
      </c>
      <c r="L1522" s="4" t="s">
        <v>9</v>
      </c>
      <c r="M1522" s="4" t="s">
        <v>9</v>
      </c>
      <c r="N1522" s="5"/>
    </row>
    <row r="1523" spans="1:14" x14ac:dyDescent="0.25">
      <c r="A1523" t="s">
        <v>421</v>
      </c>
      <c r="B1523" s="2">
        <v>45965</v>
      </c>
      <c r="C1523" t="s">
        <v>421</v>
      </c>
      <c r="D1523" t="s">
        <v>33</v>
      </c>
      <c r="E1523" t="s">
        <v>9</v>
      </c>
      <c r="F1523" s="3">
        <v>68203</v>
      </c>
      <c r="G1523" s="3">
        <v>68203</v>
      </c>
      <c r="H1523" t="s">
        <v>3</v>
      </c>
      <c r="I1523" t="s">
        <v>3</v>
      </c>
      <c r="J1523" t="s">
        <v>9</v>
      </c>
      <c r="K1523" t="s">
        <v>9</v>
      </c>
      <c r="L1523" t="s">
        <v>8</v>
      </c>
      <c r="M1523" t="s">
        <v>35</v>
      </c>
      <c r="N1523" s="2">
        <v>45961</v>
      </c>
    </row>
    <row r="1524" spans="1:14" x14ac:dyDescent="0.25">
      <c r="A1524" t="s">
        <v>421</v>
      </c>
      <c r="B1524" s="2">
        <v>45947</v>
      </c>
      <c r="C1524" t="s">
        <v>421</v>
      </c>
      <c r="D1524" t="s">
        <v>33</v>
      </c>
      <c r="E1524" t="s">
        <v>9</v>
      </c>
      <c r="F1524" s="3">
        <v>-64980</v>
      </c>
      <c r="G1524" s="3">
        <v>-64980</v>
      </c>
      <c r="H1524" t="s">
        <v>3</v>
      </c>
      <c r="I1524" t="s">
        <v>3</v>
      </c>
      <c r="J1524" t="s">
        <v>9</v>
      </c>
      <c r="K1524" t="s">
        <v>5</v>
      </c>
      <c r="L1524" t="s">
        <v>8</v>
      </c>
      <c r="M1524" t="s">
        <v>35</v>
      </c>
      <c r="N1524" s="2">
        <v>45947</v>
      </c>
    </row>
    <row r="1525" spans="1:14" x14ac:dyDescent="0.25">
      <c r="A1525" t="s">
        <v>421</v>
      </c>
      <c r="B1525" s="2">
        <v>45947</v>
      </c>
      <c r="C1525" t="s">
        <v>421</v>
      </c>
      <c r="D1525" t="s">
        <v>33</v>
      </c>
      <c r="E1525" t="s">
        <v>9</v>
      </c>
      <c r="F1525" s="3">
        <v>-3223</v>
      </c>
      <c r="G1525" s="3">
        <v>-3223</v>
      </c>
      <c r="H1525" t="s">
        <v>3</v>
      </c>
      <c r="I1525" t="s">
        <v>3</v>
      </c>
      <c r="J1525" t="s">
        <v>9</v>
      </c>
      <c r="K1525" t="s">
        <v>5</v>
      </c>
      <c r="L1525" t="s">
        <v>8</v>
      </c>
      <c r="M1525" t="s">
        <v>35</v>
      </c>
      <c r="N1525" s="2">
        <v>45947</v>
      </c>
    </row>
    <row r="1526" spans="1:14" x14ac:dyDescent="0.25">
      <c r="A1526" s="4" t="s">
        <v>278</v>
      </c>
      <c r="B1526" s="5"/>
      <c r="C1526" s="4" t="s">
        <v>9</v>
      </c>
      <c r="D1526" s="4" t="s">
        <v>9</v>
      </c>
      <c r="E1526" s="4" t="s">
        <v>9</v>
      </c>
      <c r="F1526" s="6">
        <v>0</v>
      </c>
      <c r="G1526" s="6">
        <v>0</v>
      </c>
      <c r="H1526" s="4" t="s">
        <v>9</v>
      </c>
      <c r="I1526" s="4" t="s">
        <v>3</v>
      </c>
      <c r="J1526" s="4" t="s">
        <v>9</v>
      </c>
      <c r="K1526" s="4" t="s">
        <v>9</v>
      </c>
      <c r="L1526" s="4" t="s">
        <v>9</v>
      </c>
      <c r="M1526" s="4" t="s">
        <v>9</v>
      </c>
      <c r="N1526" s="5"/>
    </row>
    <row r="1527" spans="1:14" x14ac:dyDescent="0.25">
      <c r="A1527" t="s">
        <v>421</v>
      </c>
      <c r="B1527" s="2">
        <v>45993</v>
      </c>
      <c r="C1527" t="s">
        <v>421</v>
      </c>
      <c r="D1527" t="s">
        <v>33</v>
      </c>
      <c r="E1527" t="s">
        <v>9</v>
      </c>
      <c r="F1527" s="3">
        <v>75124</v>
      </c>
      <c r="G1527" s="3">
        <v>75124</v>
      </c>
      <c r="H1527" t="s">
        <v>3</v>
      </c>
      <c r="I1527" t="s">
        <v>3</v>
      </c>
      <c r="J1527" t="s">
        <v>9</v>
      </c>
      <c r="K1527" t="s">
        <v>9</v>
      </c>
      <c r="L1527" t="s">
        <v>11</v>
      </c>
      <c r="M1527" t="s">
        <v>35</v>
      </c>
      <c r="N1527" s="2">
        <v>45991</v>
      </c>
    </row>
    <row r="1528" spans="1:14" x14ac:dyDescent="0.25">
      <c r="A1528" t="s">
        <v>421</v>
      </c>
      <c r="B1528" s="2">
        <v>45979</v>
      </c>
      <c r="C1528" t="s">
        <v>421</v>
      </c>
      <c r="D1528" t="s">
        <v>33</v>
      </c>
      <c r="E1528" t="s">
        <v>9</v>
      </c>
      <c r="F1528" s="3">
        <v>-75124</v>
      </c>
      <c r="G1528" s="3">
        <v>-75124</v>
      </c>
      <c r="H1528" t="s">
        <v>3</v>
      </c>
      <c r="I1528" t="s">
        <v>3</v>
      </c>
      <c r="J1528" t="s">
        <v>9</v>
      </c>
      <c r="K1528" t="s">
        <v>5</v>
      </c>
      <c r="L1528" t="s">
        <v>11</v>
      </c>
      <c r="M1528" t="s">
        <v>35</v>
      </c>
      <c r="N1528" s="2">
        <v>45979</v>
      </c>
    </row>
    <row r="1529" spans="1:14" x14ac:dyDescent="0.25">
      <c r="A1529" s="4" t="s">
        <v>226</v>
      </c>
      <c r="B1529" s="5"/>
      <c r="C1529" s="4" t="s">
        <v>9</v>
      </c>
      <c r="D1529" s="4" t="s">
        <v>9</v>
      </c>
      <c r="E1529" s="4" t="s">
        <v>9</v>
      </c>
      <c r="F1529" s="6">
        <v>0</v>
      </c>
      <c r="G1529" s="6">
        <v>0</v>
      </c>
      <c r="H1529" s="4" t="s">
        <v>9</v>
      </c>
      <c r="I1529" s="4" t="s">
        <v>3</v>
      </c>
      <c r="J1529" s="4" t="s">
        <v>9</v>
      </c>
      <c r="K1529" s="4" t="s">
        <v>9</v>
      </c>
      <c r="L1529" s="4" t="s">
        <v>9</v>
      </c>
      <c r="M1529" s="4" t="s">
        <v>9</v>
      </c>
      <c r="N1529" s="5"/>
    </row>
    <row r="1530" spans="1:14" x14ac:dyDescent="0.25">
      <c r="A1530" t="s">
        <v>421</v>
      </c>
      <c r="B1530" s="2">
        <v>46028</v>
      </c>
      <c r="C1530" t="s">
        <v>421</v>
      </c>
      <c r="D1530" t="s">
        <v>33</v>
      </c>
      <c r="E1530" t="s">
        <v>9</v>
      </c>
      <c r="F1530" s="3">
        <v>785933</v>
      </c>
      <c r="G1530" s="3">
        <v>785933</v>
      </c>
      <c r="H1530" t="s">
        <v>3</v>
      </c>
      <c r="I1530" t="s">
        <v>3</v>
      </c>
      <c r="J1530" t="s">
        <v>9</v>
      </c>
      <c r="K1530" t="s">
        <v>9</v>
      </c>
      <c r="L1530" t="s">
        <v>12</v>
      </c>
      <c r="M1530" t="s">
        <v>35</v>
      </c>
      <c r="N1530" s="2">
        <v>46022</v>
      </c>
    </row>
    <row r="1531" spans="1:14" x14ac:dyDescent="0.25">
      <c r="A1531" t="s">
        <v>421</v>
      </c>
      <c r="B1531" s="2">
        <v>46007</v>
      </c>
      <c r="C1531" t="s">
        <v>421</v>
      </c>
      <c r="D1531" t="s">
        <v>33</v>
      </c>
      <c r="E1531" t="s">
        <v>9</v>
      </c>
      <c r="F1531" s="3">
        <v>-772659</v>
      </c>
      <c r="G1531" s="3">
        <v>-772659</v>
      </c>
      <c r="H1531" t="s">
        <v>3</v>
      </c>
      <c r="I1531" t="s">
        <v>3</v>
      </c>
      <c r="J1531" t="s">
        <v>9</v>
      </c>
      <c r="K1531" t="s">
        <v>5</v>
      </c>
      <c r="L1531" t="s">
        <v>12</v>
      </c>
      <c r="M1531" t="s">
        <v>35</v>
      </c>
      <c r="N1531" s="2">
        <v>46007</v>
      </c>
    </row>
    <row r="1532" spans="1:14" x14ac:dyDescent="0.25">
      <c r="A1532" t="s">
        <v>421</v>
      </c>
      <c r="B1532" s="2">
        <v>46007</v>
      </c>
      <c r="C1532" t="s">
        <v>421</v>
      </c>
      <c r="D1532" t="s">
        <v>33</v>
      </c>
      <c r="E1532" t="s">
        <v>9</v>
      </c>
      <c r="F1532" s="3">
        <v>-13274</v>
      </c>
      <c r="G1532" s="3">
        <v>-13274</v>
      </c>
      <c r="H1532" t="s">
        <v>3</v>
      </c>
      <c r="I1532" t="s">
        <v>3</v>
      </c>
      <c r="J1532" t="s">
        <v>9</v>
      </c>
      <c r="K1532" t="s">
        <v>5</v>
      </c>
      <c r="L1532" t="s">
        <v>12</v>
      </c>
      <c r="M1532" t="s">
        <v>35</v>
      </c>
      <c r="N1532" s="2">
        <v>46007</v>
      </c>
    </row>
    <row r="1533" spans="1:14" x14ac:dyDescent="0.25">
      <c r="A1533" s="4" t="s">
        <v>228</v>
      </c>
      <c r="B1533" s="5"/>
      <c r="C1533" s="4" t="s">
        <v>9</v>
      </c>
      <c r="D1533" s="4" t="s">
        <v>9</v>
      </c>
      <c r="E1533" s="4" t="s">
        <v>9</v>
      </c>
      <c r="F1533" s="6">
        <v>0</v>
      </c>
      <c r="G1533" s="6">
        <v>0</v>
      </c>
      <c r="H1533" s="4" t="s">
        <v>9</v>
      </c>
      <c r="I1533" s="4" t="s">
        <v>3</v>
      </c>
      <c r="J1533" s="4" t="s">
        <v>9</v>
      </c>
      <c r="K1533" s="4" t="s">
        <v>9</v>
      </c>
      <c r="L1533" s="4" t="s">
        <v>9</v>
      </c>
      <c r="M1533" s="4" t="s">
        <v>9</v>
      </c>
      <c r="N1533" s="5"/>
    </row>
    <row r="1534" spans="1:14" x14ac:dyDescent="0.25">
      <c r="A1534" s="4" t="s">
        <v>421</v>
      </c>
      <c r="B1534" s="5"/>
      <c r="C1534" s="4" t="s">
        <v>9</v>
      </c>
      <c r="D1534" s="4" t="s">
        <v>9</v>
      </c>
      <c r="E1534" s="4" t="s">
        <v>9</v>
      </c>
      <c r="F1534" s="6">
        <v>0</v>
      </c>
      <c r="G1534" s="6">
        <v>0</v>
      </c>
      <c r="H1534" s="4" t="s">
        <v>9</v>
      </c>
      <c r="I1534" s="4" t="s">
        <v>3</v>
      </c>
      <c r="J1534" s="4" t="s">
        <v>9</v>
      </c>
      <c r="K1534" s="4" t="s">
        <v>9</v>
      </c>
      <c r="L1534" s="4" t="s">
        <v>9</v>
      </c>
      <c r="M1534" s="4" t="s">
        <v>9</v>
      </c>
      <c r="N1534" s="5"/>
    </row>
    <row r="1535" spans="1:14" x14ac:dyDescent="0.25">
      <c r="A1535" t="s">
        <v>422</v>
      </c>
      <c r="B1535" s="2">
        <v>45693</v>
      </c>
      <c r="C1535" t="s">
        <v>422</v>
      </c>
      <c r="D1535" t="s">
        <v>112</v>
      </c>
      <c r="E1535" t="s">
        <v>9</v>
      </c>
      <c r="F1535" s="3">
        <v>-400</v>
      </c>
      <c r="G1535" s="3">
        <v>-400</v>
      </c>
      <c r="H1535" t="s">
        <v>3</v>
      </c>
      <c r="I1535" t="s">
        <v>3</v>
      </c>
      <c r="J1535" t="s">
        <v>9</v>
      </c>
      <c r="K1535" t="s">
        <v>9</v>
      </c>
      <c r="L1535" t="s">
        <v>14</v>
      </c>
      <c r="M1535" t="s">
        <v>114</v>
      </c>
      <c r="N1535" s="2">
        <v>45688</v>
      </c>
    </row>
    <row r="1536" spans="1:14" x14ac:dyDescent="0.25">
      <c r="A1536" t="s">
        <v>422</v>
      </c>
      <c r="B1536" s="2">
        <v>46056</v>
      </c>
      <c r="C1536" t="s">
        <v>422</v>
      </c>
      <c r="D1536" t="s">
        <v>112</v>
      </c>
      <c r="E1536" t="s">
        <v>9</v>
      </c>
      <c r="F1536" s="3">
        <v>-78129</v>
      </c>
      <c r="G1536" s="3">
        <v>-78129</v>
      </c>
      <c r="H1536" t="s">
        <v>3</v>
      </c>
      <c r="I1536" t="s">
        <v>3</v>
      </c>
      <c r="J1536" t="s">
        <v>9</v>
      </c>
      <c r="K1536" t="s">
        <v>9</v>
      </c>
      <c r="L1536" t="s">
        <v>14</v>
      </c>
      <c r="M1536" t="s">
        <v>114</v>
      </c>
      <c r="N1536" s="2">
        <v>46053</v>
      </c>
    </row>
    <row r="1537" spans="1:14" x14ac:dyDescent="0.25">
      <c r="A1537" t="s">
        <v>422</v>
      </c>
      <c r="B1537" s="2">
        <v>45688</v>
      </c>
      <c r="C1537" t="s">
        <v>422</v>
      </c>
      <c r="D1537" t="s">
        <v>112</v>
      </c>
      <c r="E1537" t="s">
        <v>9</v>
      </c>
      <c r="F1537" s="3">
        <v>400</v>
      </c>
      <c r="G1537" s="3">
        <v>400</v>
      </c>
      <c r="H1537" t="s">
        <v>3</v>
      </c>
      <c r="I1537" t="s">
        <v>3</v>
      </c>
      <c r="J1537" t="s">
        <v>297</v>
      </c>
      <c r="K1537" t="s">
        <v>5</v>
      </c>
      <c r="L1537" t="s">
        <v>14</v>
      </c>
      <c r="M1537" t="s">
        <v>114</v>
      </c>
      <c r="N1537" s="2">
        <v>45688</v>
      </c>
    </row>
    <row r="1538" spans="1:14" x14ac:dyDescent="0.25">
      <c r="A1538" t="s">
        <v>422</v>
      </c>
      <c r="B1538" s="2">
        <v>46022</v>
      </c>
      <c r="C1538" t="s">
        <v>422</v>
      </c>
      <c r="D1538" t="s">
        <v>112</v>
      </c>
      <c r="E1538" t="s">
        <v>9</v>
      </c>
      <c r="F1538" s="3">
        <v>-550178.25</v>
      </c>
      <c r="G1538" s="3">
        <v>-550178.25</v>
      </c>
      <c r="H1538" t="s">
        <v>3</v>
      </c>
      <c r="I1538" t="s">
        <v>3</v>
      </c>
      <c r="J1538" t="s">
        <v>298</v>
      </c>
      <c r="K1538" t="s">
        <v>13</v>
      </c>
      <c r="L1538" t="s">
        <v>14</v>
      </c>
      <c r="M1538" t="s">
        <v>114</v>
      </c>
      <c r="N1538" s="2">
        <v>46023</v>
      </c>
    </row>
    <row r="1539" spans="1:14" x14ac:dyDescent="0.25">
      <c r="A1539" t="s">
        <v>422</v>
      </c>
      <c r="B1539" s="2">
        <v>46022</v>
      </c>
      <c r="C1539" t="s">
        <v>422</v>
      </c>
      <c r="D1539" t="s">
        <v>112</v>
      </c>
      <c r="E1539" t="s">
        <v>9</v>
      </c>
      <c r="F1539" s="3">
        <v>-5700</v>
      </c>
      <c r="G1539" s="3">
        <v>-5700</v>
      </c>
      <c r="H1539" t="s">
        <v>3</v>
      </c>
      <c r="I1539" t="s">
        <v>3</v>
      </c>
      <c r="J1539" t="s">
        <v>299</v>
      </c>
      <c r="K1539" t="s">
        <v>13</v>
      </c>
      <c r="L1539" t="s">
        <v>14</v>
      </c>
      <c r="M1539" t="s">
        <v>114</v>
      </c>
      <c r="N1539" s="2">
        <v>46023</v>
      </c>
    </row>
    <row r="1540" spans="1:14" x14ac:dyDescent="0.25">
      <c r="A1540" t="s">
        <v>422</v>
      </c>
      <c r="B1540" s="2">
        <v>46022</v>
      </c>
      <c r="C1540" t="s">
        <v>422</v>
      </c>
      <c r="D1540" t="s">
        <v>112</v>
      </c>
      <c r="E1540" t="s">
        <v>9</v>
      </c>
      <c r="F1540" s="3">
        <v>-12800</v>
      </c>
      <c r="G1540" s="3">
        <v>-12800</v>
      </c>
      <c r="H1540" t="s">
        <v>3</v>
      </c>
      <c r="I1540" t="s">
        <v>3</v>
      </c>
      <c r="J1540" t="s">
        <v>381</v>
      </c>
      <c r="K1540" t="s">
        <v>13</v>
      </c>
      <c r="L1540" t="s">
        <v>14</v>
      </c>
      <c r="M1540" t="s">
        <v>114</v>
      </c>
      <c r="N1540" s="2">
        <v>46023</v>
      </c>
    </row>
    <row r="1541" spans="1:14" x14ac:dyDescent="0.25">
      <c r="A1541" t="s">
        <v>422</v>
      </c>
      <c r="B1541" s="2">
        <v>46023</v>
      </c>
      <c r="C1541" t="s">
        <v>422</v>
      </c>
      <c r="D1541" t="s">
        <v>112</v>
      </c>
      <c r="E1541" t="s">
        <v>9</v>
      </c>
      <c r="F1541" s="3">
        <v>550178.25</v>
      </c>
      <c r="G1541" s="3">
        <v>550178.25</v>
      </c>
      <c r="H1541" t="s">
        <v>3</v>
      </c>
      <c r="I1541" t="s">
        <v>3</v>
      </c>
      <c r="J1541" t="s">
        <v>298</v>
      </c>
      <c r="K1541" t="s">
        <v>13</v>
      </c>
      <c r="L1541" t="s">
        <v>14</v>
      </c>
      <c r="M1541" t="s">
        <v>114</v>
      </c>
      <c r="N1541" s="2">
        <v>46023</v>
      </c>
    </row>
    <row r="1542" spans="1:14" x14ac:dyDescent="0.25">
      <c r="A1542" t="s">
        <v>422</v>
      </c>
      <c r="B1542" s="2">
        <v>46023</v>
      </c>
      <c r="C1542" t="s">
        <v>422</v>
      </c>
      <c r="D1542" t="s">
        <v>112</v>
      </c>
      <c r="E1542" t="s">
        <v>9</v>
      </c>
      <c r="F1542" s="3">
        <v>5700</v>
      </c>
      <c r="G1542" s="3">
        <v>5700</v>
      </c>
      <c r="H1542" t="s">
        <v>3</v>
      </c>
      <c r="I1542" t="s">
        <v>3</v>
      </c>
      <c r="J1542" t="s">
        <v>299</v>
      </c>
      <c r="K1542" t="s">
        <v>13</v>
      </c>
      <c r="L1542" t="s">
        <v>14</v>
      </c>
      <c r="M1542" t="s">
        <v>114</v>
      </c>
      <c r="N1542" s="2">
        <v>46023</v>
      </c>
    </row>
    <row r="1543" spans="1:14" x14ac:dyDescent="0.25">
      <c r="A1543" t="s">
        <v>422</v>
      </c>
      <c r="B1543" s="2">
        <v>46023</v>
      </c>
      <c r="C1543" t="s">
        <v>422</v>
      </c>
      <c r="D1543" t="s">
        <v>112</v>
      </c>
      <c r="E1543" t="s">
        <v>9</v>
      </c>
      <c r="F1543" s="3">
        <v>12800</v>
      </c>
      <c r="G1543" s="3">
        <v>12800</v>
      </c>
      <c r="H1543" t="s">
        <v>3</v>
      </c>
      <c r="I1543" t="s">
        <v>3</v>
      </c>
      <c r="J1543" t="s">
        <v>381</v>
      </c>
      <c r="K1543" t="s">
        <v>13</v>
      </c>
      <c r="L1543" t="s">
        <v>14</v>
      </c>
      <c r="M1543" t="s">
        <v>114</v>
      </c>
      <c r="N1543" s="2">
        <v>46023</v>
      </c>
    </row>
    <row r="1544" spans="1:14" x14ac:dyDescent="0.25">
      <c r="A1544" t="s">
        <v>422</v>
      </c>
      <c r="B1544" s="2">
        <v>46053</v>
      </c>
      <c r="C1544" t="s">
        <v>422</v>
      </c>
      <c r="D1544" t="s">
        <v>112</v>
      </c>
      <c r="E1544" t="s">
        <v>9</v>
      </c>
      <c r="F1544" s="3">
        <v>76729</v>
      </c>
      <c r="G1544" s="3">
        <v>76729</v>
      </c>
      <c r="H1544" t="s">
        <v>3</v>
      </c>
      <c r="I1544" t="s">
        <v>3</v>
      </c>
      <c r="J1544" t="s">
        <v>300</v>
      </c>
      <c r="K1544" t="s">
        <v>13</v>
      </c>
      <c r="L1544" t="s">
        <v>14</v>
      </c>
      <c r="M1544" t="s">
        <v>114</v>
      </c>
      <c r="N1544" s="2">
        <v>46053</v>
      </c>
    </row>
    <row r="1545" spans="1:14" x14ac:dyDescent="0.25">
      <c r="A1545" t="s">
        <v>422</v>
      </c>
      <c r="B1545" s="2">
        <v>46053</v>
      </c>
      <c r="C1545" t="s">
        <v>422</v>
      </c>
      <c r="D1545" t="s">
        <v>112</v>
      </c>
      <c r="E1545" t="s">
        <v>9</v>
      </c>
      <c r="F1545" s="3">
        <v>1100</v>
      </c>
      <c r="G1545" s="3">
        <v>1100</v>
      </c>
      <c r="H1545" t="s">
        <v>3</v>
      </c>
      <c r="I1545" t="s">
        <v>3</v>
      </c>
      <c r="J1545" t="s">
        <v>367</v>
      </c>
      <c r="K1545" t="s">
        <v>13</v>
      </c>
      <c r="L1545" t="s">
        <v>14</v>
      </c>
      <c r="M1545" t="s">
        <v>114</v>
      </c>
      <c r="N1545" s="2">
        <v>46053</v>
      </c>
    </row>
    <row r="1546" spans="1:14" x14ac:dyDescent="0.25">
      <c r="A1546" t="s">
        <v>422</v>
      </c>
      <c r="B1546" s="2">
        <v>46053</v>
      </c>
      <c r="C1546" t="s">
        <v>422</v>
      </c>
      <c r="D1546" t="s">
        <v>112</v>
      </c>
      <c r="E1546" t="s">
        <v>9</v>
      </c>
      <c r="F1546" s="3">
        <v>300</v>
      </c>
      <c r="G1546" s="3">
        <v>300</v>
      </c>
      <c r="H1546" t="s">
        <v>3</v>
      </c>
      <c r="I1546" t="s">
        <v>3</v>
      </c>
      <c r="J1546" t="s">
        <v>391</v>
      </c>
      <c r="K1546" t="s">
        <v>13</v>
      </c>
      <c r="L1546" t="s">
        <v>14</v>
      </c>
      <c r="M1546" t="s">
        <v>114</v>
      </c>
      <c r="N1546" s="2">
        <v>46053</v>
      </c>
    </row>
    <row r="1547" spans="1:14" x14ac:dyDescent="0.25">
      <c r="A1547" s="4" t="s">
        <v>234</v>
      </c>
      <c r="B1547" s="5"/>
      <c r="C1547" s="4" t="s">
        <v>9</v>
      </c>
      <c r="D1547" s="4" t="s">
        <v>9</v>
      </c>
      <c r="E1547" s="4" t="s">
        <v>9</v>
      </c>
      <c r="F1547" s="6">
        <v>0</v>
      </c>
      <c r="G1547" s="6">
        <v>0</v>
      </c>
      <c r="H1547" s="4" t="s">
        <v>9</v>
      </c>
      <c r="I1547" s="4" t="s">
        <v>3</v>
      </c>
      <c r="J1547" s="4" t="s">
        <v>9</v>
      </c>
      <c r="K1547" s="4" t="s">
        <v>9</v>
      </c>
      <c r="L1547" s="4" t="s">
        <v>9</v>
      </c>
      <c r="M1547" s="4" t="s">
        <v>9</v>
      </c>
      <c r="N1547" s="5"/>
    </row>
    <row r="1548" spans="1:14" x14ac:dyDescent="0.25">
      <c r="A1548" t="s">
        <v>422</v>
      </c>
      <c r="B1548" s="2">
        <v>45720</v>
      </c>
      <c r="C1548" t="s">
        <v>422</v>
      </c>
      <c r="D1548" t="s">
        <v>112</v>
      </c>
      <c r="E1548" t="s">
        <v>9</v>
      </c>
      <c r="F1548" s="3">
        <v>-1700</v>
      </c>
      <c r="G1548" s="3">
        <v>-1700</v>
      </c>
      <c r="H1548" t="s">
        <v>3</v>
      </c>
      <c r="I1548" t="s">
        <v>3</v>
      </c>
      <c r="J1548" t="s">
        <v>9</v>
      </c>
      <c r="K1548" t="s">
        <v>9</v>
      </c>
      <c r="L1548" t="s">
        <v>15</v>
      </c>
      <c r="M1548" t="s">
        <v>114</v>
      </c>
      <c r="N1548" s="2">
        <v>45716</v>
      </c>
    </row>
    <row r="1549" spans="1:14" x14ac:dyDescent="0.25">
      <c r="A1549" t="s">
        <v>422</v>
      </c>
      <c r="B1549" s="2">
        <v>46084</v>
      </c>
      <c r="C1549" t="s">
        <v>422</v>
      </c>
      <c r="D1549" t="s">
        <v>112</v>
      </c>
      <c r="E1549" t="s">
        <v>9</v>
      </c>
      <c r="F1549" s="3">
        <v>-77151.5</v>
      </c>
      <c r="G1549" s="3">
        <v>-77151.5</v>
      </c>
      <c r="H1549" t="s">
        <v>3</v>
      </c>
      <c r="I1549" t="s">
        <v>3</v>
      </c>
      <c r="J1549" t="s">
        <v>9</v>
      </c>
      <c r="K1549" t="s">
        <v>9</v>
      </c>
      <c r="L1549" t="s">
        <v>15</v>
      </c>
      <c r="M1549" t="s">
        <v>114</v>
      </c>
      <c r="N1549" s="2">
        <v>46081</v>
      </c>
    </row>
    <row r="1550" spans="1:14" x14ac:dyDescent="0.25">
      <c r="A1550" t="s">
        <v>422</v>
      </c>
      <c r="B1550" s="2">
        <v>45688</v>
      </c>
      <c r="C1550" t="s">
        <v>422</v>
      </c>
      <c r="D1550" t="s">
        <v>112</v>
      </c>
      <c r="E1550" t="s">
        <v>9</v>
      </c>
      <c r="F1550" s="3">
        <v>-400</v>
      </c>
      <c r="G1550" s="3">
        <v>-400</v>
      </c>
      <c r="H1550" t="s">
        <v>3</v>
      </c>
      <c r="I1550" t="s">
        <v>3</v>
      </c>
      <c r="J1550" t="s">
        <v>297</v>
      </c>
      <c r="K1550" t="s">
        <v>5</v>
      </c>
      <c r="L1550" t="s">
        <v>15</v>
      </c>
      <c r="M1550" t="s">
        <v>114</v>
      </c>
      <c r="N1550" s="2">
        <v>45689</v>
      </c>
    </row>
    <row r="1551" spans="1:14" x14ac:dyDescent="0.25">
      <c r="A1551" t="s">
        <v>422</v>
      </c>
      <c r="B1551" s="2">
        <v>45716</v>
      </c>
      <c r="C1551" t="s">
        <v>422</v>
      </c>
      <c r="D1551" t="s">
        <v>112</v>
      </c>
      <c r="E1551" t="s">
        <v>9</v>
      </c>
      <c r="F1551" s="3">
        <v>2100</v>
      </c>
      <c r="G1551" s="3">
        <v>2100</v>
      </c>
      <c r="H1551" t="s">
        <v>3</v>
      </c>
      <c r="I1551" t="s">
        <v>3</v>
      </c>
      <c r="J1551" t="s">
        <v>303</v>
      </c>
      <c r="K1551" t="s">
        <v>5</v>
      </c>
      <c r="L1551" t="s">
        <v>15</v>
      </c>
      <c r="M1551" t="s">
        <v>114</v>
      </c>
      <c r="N1551" s="2">
        <v>45716</v>
      </c>
    </row>
    <row r="1552" spans="1:14" x14ac:dyDescent="0.25">
      <c r="A1552" t="s">
        <v>422</v>
      </c>
      <c r="B1552" s="2">
        <v>46054</v>
      </c>
      <c r="C1552" t="s">
        <v>422</v>
      </c>
      <c r="D1552" t="s">
        <v>112</v>
      </c>
      <c r="E1552" t="s">
        <v>9</v>
      </c>
      <c r="F1552" s="3">
        <v>-76729</v>
      </c>
      <c r="G1552" s="3">
        <v>-76729</v>
      </c>
      <c r="H1552" t="s">
        <v>3</v>
      </c>
      <c r="I1552" t="s">
        <v>3</v>
      </c>
      <c r="J1552" t="s">
        <v>300</v>
      </c>
      <c r="K1552" t="s">
        <v>13</v>
      </c>
      <c r="L1552" t="s">
        <v>15</v>
      </c>
      <c r="M1552" t="s">
        <v>114</v>
      </c>
      <c r="N1552" s="2">
        <v>46054</v>
      </c>
    </row>
    <row r="1553" spans="1:14" x14ac:dyDescent="0.25">
      <c r="A1553" t="s">
        <v>422</v>
      </c>
      <c r="B1553" s="2">
        <v>46054</v>
      </c>
      <c r="C1553" t="s">
        <v>422</v>
      </c>
      <c r="D1553" t="s">
        <v>112</v>
      </c>
      <c r="E1553" t="s">
        <v>9</v>
      </c>
      <c r="F1553" s="3">
        <v>-1100</v>
      </c>
      <c r="G1553" s="3">
        <v>-1100</v>
      </c>
      <c r="H1553" t="s">
        <v>3</v>
      </c>
      <c r="I1553" t="s">
        <v>3</v>
      </c>
      <c r="J1553" t="s">
        <v>367</v>
      </c>
      <c r="K1553" t="s">
        <v>13</v>
      </c>
      <c r="L1553" t="s">
        <v>15</v>
      </c>
      <c r="M1553" t="s">
        <v>114</v>
      </c>
      <c r="N1553" s="2">
        <v>46054</v>
      </c>
    </row>
    <row r="1554" spans="1:14" x14ac:dyDescent="0.25">
      <c r="A1554" t="s">
        <v>422</v>
      </c>
      <c r="B1554" s="2">
        <v>46054</v>
      </c>
      <c r="C1554" t="s">
        <v>422</v>
      </c>
      <c r="D1554" t="s">
        <v>112</v>
      </c>
      <c r="E1554" t="s">
        <v>9</v>
      </c>
      <c r="F1554" s="3">
        <v>-300</v>
      </c>
      <c r="G1554" s="3">
        <v>-300</v>
      </c>
      <c r="H1554" t="s">
        <v>3</v>
      </c>
      <c r="I1554" t="s">
        <v>3</v>
      </c>
      <c r="J1554" t="s">
        <v>391</v>
      </c>
      <c r="K1554" t="s">
        <v>13</v>
      </c>
      <c r="L1554" t="s">
        <v>15</v>
      </c>
      <c r="M1554" t="s">
        <v>114</v>
      </c>
      <c r="N1554" s="2">
        <v>46054</v>
      </c>
    </row>
    <row r="1555" spans="1:14" x14ac:dyDescent="0.25">
      <c r="A1555" t="s">
        <v>422</v>
      </c>
      <c r="B1555" s="2">
        <v>46054</v>
      </c>
      <c r="C1555" t="s">
        <v>422</v>
      </c>
      <c r="D1555" t="s">
        <v>112</v>
      </c>
      <c r="E1555" t="s">
        <v>9</v>
      </c>
      <c r="F1555" s="3">
        <v>76729</v>
      </c>
      <c r="G1555" s="3">
        <v>76729</v>
      </c>
      <c r="H1555" t="s">
        <v>3</v>
      </c>
      <c r="I1555" t="s">
        <v>3</v>
      </c>
      <c r="J1555" t="s">
        <v>300</v>
      </c>
      <c r="K1555" t="s">
        <v>13</v>
      </c>
      <c r="L1555" t="s">
        <v>15</v>
      </c>
      <c r="M1555" t="s">
        <v>114</v>
      </c>
      <c r="N1555" s="2">
        <v>46055</v>
      </c>
    </row>
    <row r="1556" spans="1:14" x14ac:dyDescent="0.25">
      <c r="A1556" t="s">
        <v>422</v>
      </c>
      <c r="B1556" s="2">
        <v>46054</v>
      </c>
      <c r="C1556" t="s">
        <v>422</v>
      </c>
      <c r="D1556" t="s">
        <v>112</v>
      </c>
      <c r="E1556" t="s">
        <v>9</v>
      </c>
      <c r="F1556" s="3">
        <v>1100</v>
      </c>
      <c r="G1556" s="3">
        <v>1100</v>
      </c>
      <c r="H1556" t="s">
        <v>3</v>
      </c>
      <c r="I1556" t="s">
        <v>3</v>
      </c>
      <c r="J1556" t="s">
        <v>367</v>
      </c>
      <c r="K1556" t="s">
        <v>13</v>
      </c>
      <c r="L1556" t="s">
        <v>15</v>
      </c>
      <c r="M1556" t="s">
        <v>114</v>
      </c>
      <c r="N1556" s="2">
        <v>46055</v>
      </c>
    </row>
    <row r="1557" spans="1:14" x14ac:dyDescent="0.25">
      <c r="A1557" t="s">
        <v>422</v>
      </c>
      <c r="B1557" s="2">
        <v>46054</v>
      </c>
      <c r="C1557" t="s">
        <v>422</v>
      </c>
      <c r="D1557" t="s">
        <v>112</v>
      </c>
      <c r="E1557" t="s">
        <v>9</v>
      </c>
      <c r="F1557" s="3">
        <v>300</v>
      </c>
      <c r="G1557" s="3">
        <v>300</v>
      </c>
      <c r="H1557" t="s">
        <v>3</v>
      </c>
      <c r="I1557" t="s">
        <v>3</v>
      </c>
      <c r="J1557" t="s">
        <v>391</v>
      </c>
      <c r="K1557" t="s">
        <v>13</v>
      </c>
      <c r="L1557" t="s">
        <v>15</v>
      </c>
      <c r="M1557" t="s">
        <v>114</v>
      </c>
      <c r="N1557" s="2">
        <v>46055</v>
      </c>
    </row>
    <row r="1558" spans="1:14" x14ac:dyDescent="0.25">
      <c r="A1558" t="s">
        <v>422</v>
      </c>
      <c r="B1558" s="2">
        <v>46054</v>
      </c>
      <c r="C1558" t="s">
        <v>422</v>
      </c>
      <c r="D1558" t="s">
        <v>112</v>
      </c>
      <c r="E1558" t="s">
        <v>9</v>
      </c>
      <c r="F1558" s="3">
        <v>-76729</v>
      </c>
      <c r="G1558" s="3">
        <v>-76729</v>
      </c>
      <c r="H1558" t="s">
        <v>3</v>
      </c>
      <c r="I1558" t="s">
        <v>3</v>
      </c>
      <c r="J1558" t="s">
        <v>300</v>
      </c>
      <c r="K1558" t="s">
        <v>13</v>
      </c>
      <c r="L1558" t="s">
        <v>15</v>
      </c>
      <c r="M1558" t="s">
        <v>114</v>
      </c>
      <c r="N1558" s="2">
        <v>46054</v>
      </c>
    </row>
    <row r="1559" spans="1:14" x14ac:dyDescent="0.25">
      <c r="A1559" t="s">
        <v>422</v>
      </c>
      <c r="B1559" s="2">
        <v>46054</v>
      </c>
      <c r="C1559" t="s">
        <v>422</v>
      </c>
      <c r="D1559" t="s">
        <v>112</v>
      </c>
      <c r="E1559" t="s">
        <v>9</v>
      </c>
      <c r="F1559" s="3">
        <v>-1100</v>
      </c>
      <c r="G1559" s="3">
        <v>-1100</v>
      </c>
      <c r="H1559" t="s">
        <v>3</v>
      </c>
      <c r="I1559" t="s">
        <v>3</v>
      </c>
      <c r="J1559" t="s">
        <v>367</v>
      </c>
      <c r="K1559" t="s">
        <v>13</v>
      </c>
      <c r="L1559" t="s">
        <v>15</v>
      </c>
      <c r="M1559" t="s">
        <v>114</v>
      </c>
      <c r="N1559" s="2">
        <v>46054</v>
      </c>
    </row>
    <row r="1560" spans="1:14" x14ac:dyDescent="0.25">
      <c r="A1560" t="s">
        <v>422</v>
      </c>
      <c r="B1560" s="2">
        <v>46054</v>
      </c>
      <c r="C1560" t="s">
        <v>422</v>
      </c>
      <c r="D1560" t="s">
        <v>112</v>
      </c>
      <c r="E1560" t="s">
        <v>9</v>
      </c>
      <c r="F1560" s="3">
        <v>-300</v>
      </c>
      <c r="G1560" s="3">
        <v>-300</v>
      </c>
      <c r="H1560" t="s">
        <v>3</v>
      </c>
      <c r="I1560" t="s">
        <v>3</v>
      </c>
      <c r="J1560" t="s">
        <v>391</v>
      </c>
      <c r="K1560" t="s">
        <v>13</v>
      </c>
      <c r="L1560" t="s">
        <v>15</v>
      </c>
      <c r="M1560" t="s">
        <v>114</v>
      </c>
      <c r="N1560" s="2">
        <v>46054</v>
      </c>
    </row>
    <row r="1561" spans="1:14" x14ac:dyDescent="0.25">
      <c r="A1561" t="s">
        <v>422</v>
      </c>
      <c r="B1561" s="2">
        <v>46081</v>
      </c>
      <c r="C1561" t="s">
        <v>422</v>
      </c>
      <c r="D1561" t="s">
        <v>112</v>
      </c>
      <c r="E1561" t="s">
        <v>9</v>
      </c>
      <c r="F1561" s="3">
        <v>149530.5</v>
      </c>
      <c r="G1561" s="3">
        <v>149530.5</v>
      </c>
      <c r="H1561" t="s">
        <v>3</v>
      </c>
      <c r="I1561" t="s">
        <v>3</v>
      </c>
      <c r="J1561" t="s">
        <v>304</v>
      </c>
      <c r="K1561" t="s">
        <v>13</v>
      </c>
      <c r="L1561" t="s">
        <v>15</v>
      </c>
      <c r="M1561" t="s">
        <v>114</v>
      </c>
      <c r="N1561" s="2">
        <v>46081</v>
      </c>
    </row>
    <row r="1562" spans="1:14" x14ac:dyDescent="0.25">
      <c r="A1562" t="s">
        <v>422</v>
      </c>
      <c r="B1562" s="2">
        <v>46081</v>
      </c>
      <c r="C1562" t="s">
        <v>422</v>
      </c>
      <c r="D1562" t="s">
        <v>112</v>
      </c>
      <c r="E1562" t="s">
        <v>9</v>
      </c>
      <c r="F1562" s="3">
        <v>1600</v>
      </c>
      <c r="G1562" s="3">
        <v>1600</v>
      </c>
      <c r="H1562" t="s">
        <v>3</v>
      </c>
      <c r="I1562" t="s">
        <v>3</v>
      </c>
      <c r="J1562" t="s">
        <v>368</v>
      </c>
      <c r="K1562" t="s">
        <v>13</v>
      </c>
      <c r="L1562" t="s">
        <v>15</v>
      </c>
      <c r="M1562" t="s">
        <v>114</v>
      </c>
      <c r="N1562" s="2">
        <v>46081</v>
      </c>
    </row>
    <row r="1563" spans="1:14" x14ac:dyDescent="0.25">
      <c r="A1563" t="s">
        <v>422</v>
      </c>
      <c r="B1563" s="2">
        <v>46081</v>
      </c>
      <c r="C1563" t="s">
        <v>422</v>
      </c>
      <c r="D1563" t="s">
        <v>112</v>
      </c>
      <c r="E1563" t="s">
        <v>9</v>
      </c>
      <c r="F1563" s="3">
        <v>4150</v>
      </c>
      <c r="G1563" s="3">
        <v>4150</v>
      </c>
      <c r="H1563" t="s">
        <v>3</v>
      </c>
      <c r="I1563" t="s">
        <v>3</v>
      </c>
      <c r="J1563" t="s">
        <v>393</v>
      </c>
      <c r="K1563" t="s">
        <v>13</v>
      </c>
      <c r="L1563" t="s">
        <v>15</v>
      </c>
      <c r="M1563" t="s">
        <v>114</v>
      </c>
      <c r="N1563" s="2">
        <v>46081</v>
      </c>
    </row>
    <row r="1564" spans="1:14" x14ac:dyDescent="0.25">
      <c r="A1564" s="4" t="s">
        <v>239</v>
      </c>
      <c r="B1564" s="5"/>
      <c r="C1564" s="4" t="s">
        <v>9</v>
      </c>
      <c r="D1564" s="4" t="s">
        <v>9</v>
      </c>
      <c r="E1564" s="4" t="s">
        <v>9</v>
      </c>
      <c r="F1564" s="6">
        <v>0</v>
      </c>
      <c r="G1564" s="6">
        <v>0</v>
      </c>
      <c r="H1564" s="4" t="s">
        <v>9</v>
      </c>
      <c r="I1564" s="4" t="s">
        <v>3</v>
      </c>
      <c r="J1564" s="4" t="s">
        <v>9</v>
      </c>
      <c r="K1564" s="4" t="s">
        <v>9</v>
      </c>
      <c r="L1564" s="4" t="s">
        <v>9</v>
      </c>
      <c r="M1564" s="4" t="s">
        <v>9</v>
      </c>
      <c r="N1564" s="5"/>
    </row>
    <row r="1565" spans="1:14" x14ac:dyDescent="0.25">
      <c r="A1565" t="s">
        <v>422</v>
      </c>
      <c r="B1565" s="2">
        <v>45749</v>
      </c>
      <c r="C1565" t="s">
        <v>422</v>
      </c>
      <c r="D1565" t="s">
        <v>112</v>
      </c>
      <c r="E1565" t="s">
        <v>9</v>
      </c>
      <c r="F1565" s="3">
        <v>-11100</v>
      </c>
      <c r="G1565" s="3">
        <v>-11100</v>
      </c>
      <c r="H1565" t="s">
        <v>3</v>
      </c>
      <c r="I1565" t="s">
        <v>3</v>
      </c>
      <c r="J1565" t="s">
        <v>9</v>
      </c>
      <c r="K1565" t="s">
        <v>9</v>
      </c>
      <c r="L1565" t="s">
        <v>16</v>
      </c>
      <c r="M1565" t="s">
        <v>114</v>
      </c>
      <c r="N1565" s="2">
        <v>45747</v>
      </c>
    </row>
    <row r="1566" spans="1:14" x14ac:dyDescent="0.25">
      <c r="A1566" t="s">
        <v>422</v>
      </c>
      <c r="B1566" s="2">
        <v>46115</v>
      </c>
      <c r="C1566" t="s">
        <v>422</v>
      </c>
      <c r="D1566" t="s">
        <v>112</v>
      </c>
      <c r="E1566" t="s">
        <v>9</v>
      </c>
      <c r="F1566" s="3">
        <v>-168493</v>
      </c>
      <c r="G1566" s="3">
        <v>-168493</v>
      </c>
      <c r="H1566" t="s">
        <v>3</v>
      </c>
      <c r="I1566" t="s">
        <v>3</v>
      </c>
      <c r="J1566" t="s">
        <v>9</v>
      </c>
      <c r="K1566" t="s">
        <v>9</v>
      </c>
      <c r="L1566" t="s">
        <v>16</v>
      </c>
      <c r="M1566" t="s">
        <v>114</v>
      </c>
      <c r="N1566" s="2">
        <v>46112</v>
      </c>
    </row>
    <row r="1567" spans="1:14" x14ac:dyDescent="0.25">
      <c r="A1567" t="s">
        <v>422</v>
      </c>
      <c r="B1567" s="2">
        <v>45717</v>
      </c>
      <c r="C1567" t="s">
        <v>422</v>
      </c>
      <c r="D1567" t="s">
        <v>112</v>
      </c>
      <c r="E1567" t="s">
        <v>9</v>
      </c>
      <c r="F1567" s="3">
        <v>-2100</v>
      </c>
      <c r="G1567" s="3">
        <v>-2100</v>
      </c>
      <c r="H1567" t="s">
        <v>3</v>
      </c>
      <c r="I1567" t="s">
        <v>3</v>
      </c>
      <c r="J1567" t="s">
        <v>303</v>
      </c>
      <c r="K1567" t="s">
        <v>5</v>
      </c>
      <c r="L1567" t="s">
        <v>16</v>
      </c>
      <c r="M1567" t="s">
        <v>114</v>
      </c>
      <c r="N1567" s="2">
        <v>45717</v>
      </c>
    </row>
    <row r="1568" spans="1:14" x14ac:dyDescent="0.25">
      <c r="A1568" t="s">
        <v>422</v>
      </c>
      <c r="B1568" s="2">
        <v>45747</v>
      </c>
      <c r="C1568" t="s">
        <v>422</v>
      </c>
      <c r="D1568" t="s">
        <v>112</v>
      </c>
      <c r="E1568" t="s">
        <v>9</v>
      </c>
      <c r="F1568" s="3">
        <v>11600</v>
      </c>
      <c r="G1568" s="3">
        <v>11600</v>
      </c>
      <c r="H1568" t="s">
        <v>3</v>
      </c>
      <c r="I1568" t="s">
        <v>3</v>
      </c>
      <c r="J1568" t="s">
        <v>305</v>
      </c>
      <c r="K1568" t="s">
        <v>5</v>
      </c>
      <c r="L1568" t="s">
        <v>16</v>
      </c>
      <c r="M1568" t="s">
        <v>114</v>
      </c>
      <c r="N1568" s="2">
        <v>45747</v>
      </c>
    </row>
    <row r="1569" spans="1:14" x14ac:dyDescent="0.25">
      <c r="A1569" t="s">
        <v>422</v>
      </c>
      <c r="B1569" s="2">
        <v>45747</v>
      </c>
      <c r="C1569" t="s">
        <v>422</v>
      </c>
      <c r="D1569" t="s">
        <v>112</v>
      </c>
      <c r="E1569" t="s">
        <v>9</v>
      </c>
      <c r="F1569" s="3">
        <v>800</v>
      </c>
      <c r="G1569" s="3">
        <v>800</v>
      </c>
      <c r="H1569" t="s">
        <v>3</v>
      </c>
      <c r="I1569" t="s">
        <v>3</v>
      </c>
      <c r="J1569" t="s">
        <v>306</v>
      </c>
      <c r="K1569" t="s">
        <v>5</v>
      </c>
      <c r="L1569" t="s">
        <v>16</v>
      </c>
      <c r="M1569" t="s">
        <v>114</v>
      </c>
      <c r="N1569" s="2">
        <v>45747</v>
      </c>
    </row>
    <row r="1570" spans="1:14" x14ac:dyDescent="0.25">
      <c r="A1570" t="s">
        <v>422</v>
      </c>
      <c r="B1570" s="2">
        <v>45747</v>
      </c>
      <c r="C1570" t="s">
        <v>422</v>
      </c>
      <c r="D1570" t="s">
        <v>112</v>
      </c>
      <c r="E1570" t="s">
        <v>9</v>
      </c>
      <c r="F1570" s="3">
        <v>800</v>
      </c>
      <c r="G1570" s="3">
        <v>800</v>
      </c>
      <c r="H1570" t="s">
        <v>3</v>
      </c>
      <c r="I1570" t="s">
        <v>3</v>
      </c>
      <c r="J1570" t="s">
        <v>394</v>
      </c>
      <c r="K1570" t="s">
        <v>5</v>
      </c>
      <c r="L1570" t="s">
        <v>16</v>
      </c>
      <c r="M1570" t="s">
        <v>114</v>
      </c>
      <c r="N1570" s="2">
        <v>45747</v>
      </c>
    </row>
    <row r="1571" spans="1:14" x14ac:dyDescent="0.25">
      <c r="A1571" t="s">
        <v>422</v>
      </c>
      <c r="B1571" s="2">
        <v>46081</v>
      </c>
      <c r="C1571" t="s">
        <v>422</v>
      </c>
      <c r="D1571" t="s">
        <v>112</v>
      </c>
      <c r="E1571" t="s">
        <v>9</v>
      </c>
      <c r="F1571" s="3">
        <v>-149530.5</v>
      </c>
      <c r="G1571" s="3">
        <v>-149530.5</v>
      </c>
      <c r="H1571" t="s">
        <v>3</v>
      </c>
      <c r="I1571" t="s">
        <v>3</v>
      </c>
      <c r="J1571" t="s">
        <v>304</v>
      </c>
      <c r="K1571" t="s">
        <v>13</v>
      </c>
      <c r="L1571" t="s">
        <v>16</v>
      </c>
      <c r="M1571" t="s">
        <v>114</v>
      </c>
      <c r="N1571" s="2">
        <v>46082</v>
      </c>
    </row>
    <row r="1572" spans="1:14" x14ac:dyDescent="0.25">
      <c r="A1572" t="s">
        <v>422</v>
      </c>
      <c r="B1572" s="2">
        <v>46081</v>
      </c>
      <c r="C1572" t="s">
        <v>422</v>
      </c>
      <c r="D1572" t="s">
        <v>112</v>
      </c>
      <c r="E1572" t="s">
        <v>9</v>
      </c>
      <c r="F1572" s="3">
        <v>-1600</v>
      </c>
      <c r="G1572" s="3">
        <v>-1600</v>
      </c>
      <c r="H1572" t="s">
        <v>3</v>
      </c>
      <c r="I1572" t="s">
        <v>3</v>
      </c>
      <c r="J1572" t="s">
        <v>368</v>
      </c>
      <c r="K1572" t="s">
        <v>13</v>
      </c>
      <c r="L1572" t="s">
        <v>16</v>
      </c>
      <c r="M1572" t="s">
        <v>114</v>
      </c>
      <c r="N1572" s="2">
        <v>46082</v>
      </c>
    </row>
    <row r="1573" spans="1:14" x14ac:dyDescent="0.25">
      <c r="A1573" t="s">
        <v>422</v>
      </c>
      <c r="B1573" s="2">
        <v>46081</v>
      </c>
      <c r="C1573" t="s">
        <v>422</v>
      </c>
      <c r="D1573" t="s">
        <v>112</v>
      </c>
      <c r="E1573" t="s">
        <v>9</v>
      </c>
      <c r="F1573" s="3">
        <v>-4150</v>
      </c>
      <c r="G1573" s="3">
        <v>-4150</v>
      </c>
      <c r="H1573" t="s">
        <v>3</v>
      </c>
      <c r="I1573" t="s">
        <v>3</v>
      </c>
      <c r="J1573" t="s">
        <v>393</v>
      </c>
      <c r="K1573" t="s">
        <v>13</v>
      </c>
      <c r="L1573" t="s">
        <v>16</v>
      </c>
      <c r="M1573" t="s">
        <v>114</v>
      </c>
      <c r="N1573" s="2">
        <v>46082</v>
      </c>
    </row>
    <row r="1574" spans="1:14" x14ac:dyDescent="0.25">
      <c r="A1574" t="s">
        <v>422</v>
      </c>
      <c r="B1574" s="2">
        <v>46112</v>
      </c>
      <c r="C1574" t="s">
        <v>422</v>
      </c>
      <c r="D1574" t="s">
        <v>112</v>
      </c>
      <c r="E1574" t="s">
        <v>9</v>
      </c>
      <c r="F1574" s="3">
        <v>312673.5</v>
      </c>
      <c r="G1574" s="3">
        <v>312673.5</v>
      </c>
      <c r="H1574" t="s">
        <v>3</v>
      </c>
      <c r="I1574" t="s">
        <v>3</v>
      </c>
      <c r="J1574" t="s">
        <v>307</v>
      </c>
      <c r="K1574" t="s">
        <v>13</v>
      </c>
      <c r="L1574" t="s">
        <v>16</v>
      </c>
      <c r="M1574" t="s">
        <v>114</v>
      </c>
      <c r="N1574" s="2">
        <v>46112</v>
      </c>
    </row>
    <row r="1575" spans="1:14" x14ac:dyDescent="0.25">
      <c r="A1575" t="s">
        <v>422</v>
      </c>
      <c r="B1575" s="2">
        <v>46112</v>
      </c>
      <c r="C1575" t="s">
        <v>422</v>
      </c>
      <c r="D1575" t="s">
        <v>112</v>
      </c>
      <c r="E1575" t="s">
        <v>9</v>
      </c>
      <c r="F1575" s="3">
        <v>1900</v>
      </c>
      <c r="G1575" s="3">
        <v>1900</v>
      </c>
      <c r="H1575" t="s">
        <v>3</v>
      </c>
      <c r="I1575" t="s">
        <v>3</v>
      </c>
      <c r="J1575" t="s">
        <v>369</v>
      </c>
      <c r="K1575" t="s">
        <v>13</v>
      </c>
      <c r="L1575" t="s">
        <v>16</v>
      </c>
      <c r="M1575" t="s">
        <v>114</v>
      </c>
      <c r="N1575" s="2">
        <v>46112</v>
      </c>
    </row>
    <row r="1576" spans="1:14" x14ac:dyDescent="0.25">
      <c r="A1576" t="s">
        <v>422</v>
      </c>
      <c r="B1576" s="2">
        <v>46112</v>
      </c>
      <c r="C1576" t="s">
        <v>422</v>
      </c>
      <c r="D1576" t="s">
        <v>112</v>
      </c>
      <c r="E1576" t="s">
        <v>9</v>
      </c>
      <c r="F1576" s="3">
        <v>9200</v>
      </c>
      <c r="G1576" s="3">
        <v>9200</v>
      </c>
      <c r="H1576" t="s">
        <v>3</v>
      </c>
      <c r="I1576" t="s">
        <v>3</v>
      </c>
      <c r="J1576" t="s">
        <v>395</v>
      </c>
      <c r="K1576" t="s">
        <v>13</v>
      </c>
      <c r="L1576" t="s">
        <v>16</v>
      </c>
      <c r="M1576" t="s">
        <v>114</v>
      </c>
      <c r="N1576" s="2">
        <v>46112</v>
      </c>
    </row>
    <row r="1577" spans="1:14" x14ac:dyDescent="0.25">
      <c r="A1577" s="4" t="s">
        <v>244</v>
      </c>
      <c r="B1577" s="5"/>
      <c r="C1577" s="4" t="s">
        <v>9</v>
      </c>
      <c r="D1577" s="4" t="s">
        <v>9</v>
      </c>
      <c r="E1577" s="4" t="s">
        <v>9</v>
      </c>
      <c r="F1577" s="6">
        <v>0</v>
      </c>
      <c r="G1577" s="6">
        <v>0</v>
      </c>
      <c r="H1577" s="4" t="s">
        <v>9</v>
      </c>
      <c r="I1577" s="4" t="s">
        <v>3</v>
      </c>
      <c r="J1577" s="4" t="s">
        <v>9</v>
      </c>
      <c r="K1577" s="4" t="s">
        <v>9</v>
      </c>
      <c r="L1577" s="4" t="s">
        <v>9</v>
      </c>
      <c r="M1577" s="4" t="s">
        <v>9</v>
      </c>
      <c r="N1577" s="5"/>
    </row>
    <row r="1578" spans="1:14" x14ac:dyDescent="0.25">
      <c r="A1578" t="s">
        <v>422</v>
      </c>
      <c r="B1578" s="2">
        <v>45782</v>
      </c>
      <c r="C1578" t="s">
        <v>422</v>
      </c>
      <c r="D1578" t="s">
        <v>112</v>
      </c>
      <c r="E1578" t="s">
        <v>9</v>
      </c>
      <c r="F1578" s="3">
        <v>-53500</v>
      </c>
      <c r="G1578" s="3">
        <v>-53500</v>
      </c>
      <c r="H1578" t="s">
        <v>3</v>
      </c>
      <c r="I1578" t="s">
        <v>3</v>
      </c>
      <c r="J1578" t="s">
        <v>9</v>
      </c>
      <c r="K1578" t="s">
        <v>9</v>
      </c>
      <c r="L1578" t="s">
        <v>17</v>
      </c>
      <c r="M1578" t="s">
        <v>114</v>
      </c>
      <c r="N1578" s="2">
        <v>45777</v>
      </c>
    </row>
    <row r="1579" spans="1:14" x14ac:dyDescent="0.25">
      <c r="A1579" t="s">
        <v>422</v>
      </c>
      <c r="B1579" s="2">
        <v>46147</v>
      </c>
      <c r="C1579" t="s">
        <v>422</v>
      </c>
      <c r="D1579" t="s">
        <v>112</v>
      </c>
      <c r="E1579" t="s">
        <v>9</v>
      </c>
      <c r="F1579" s="3">
        <v>-108995</v>
      </c>
      <c r="G1579" s="3">
        <v>-108995</v>
      </c>
      <c r="H1579" t="s">
        <v>3</v>
      </c>
      <c r="I1579" t="s">
        <v>3</v>
      </c>
      <c r="J1579" t="s">
        <v>9</v>
      </c>
      <c r="K1579" t="s">
        <v>9</v>
      </c>
      <c r="L1579" t="s">
        <v>17</v>
      </c>
      <c r="M1579" t="s">
        <v>114</v>
      </c>
      <c r="N1579" s="2">
        <v>46142</v>
      </c>
    </row>
    <row r="1580" spans="1:14" x14ac:dyDescent="0.25">
      <c r="A1580" t="s">
        <v>422</v>
      </c>
      <c r="B1580" s="2">
        <v>45747</v>
      </c>
      <c r="C1580" t="s">
        <v>422</v>
      </c>
      <c r="D1580" t="s">
        <v>112</v>
      </c>
      <c r="E1580" t="s">
        <v>9</v>
      </c>
      <c r="F1580" s="3">
        <v>-11600</v>
      </c>
      <c r="G1580" s="3">
        <v>-11600</v>
      </c>
      <c r="H1580" t="s">
        <v>3</v>
      </c>
      <c r="I1580" t="s">
        <v>3</v>
      </c>
      <c r="J1580" t="s">
        <v>305</v>
      </c>
      <c r="K1580" t="s">
        <v>5</v>
      </c>
      <c r="L1580" t="s">
        <v>17</v>
      </c>
      <c r="M1580" t="s">
        <v>114</v>
      </c>
      <c r="N1580" s="2">
        <v>45748</v>
      </c>
    </row>
    <row r="1581" spans="1:14" x14ac:dyDescent="0.25">
      <c r="A1581" t="s">
        <v>422</v>
      </c>
      <c r="B1581" s="2">
        <v>45747</v>
      </c>
      <c r="C1581" t="s">
        <v>422</v>
      </c>
      <c r="D1581" t="s">
        <v>112</v>
      </c>
      <c r="E1581" t="s">
        <v>9</v>
      </c>
      <c r="F1581" s="3">
        <v>-800</v>
      </c>
      <c r="G1581" s="3">
        <v>-800</v>
      </c>
      <c r="H1581" t="s">
        <v>3</v>
      </c>
      <c r="I1581" t="s">
        <v>3</v>
      </c>
      <c r="J1581" t="s">
        <v>306</v>
      </c>
      <c r="K1581" t="s">
        <v>5</v>
      </c>
      <c r="L1581" t="s">
        <v>17</v>
      </c>
      <c r="M1581" t="s">
        <v>114</v>
      </c>
      <c r="N1581" s="2">
        <v>45748</v>
      </c>
    </row>
    <row r="1582" spans="1:14" x14ac:dyDescent="0.25">
      <c r="A1582" t="s">
        <v>422</v>
      </c>
      <c r="B1582" s="2">
        <v>45747</v>
      </c>
      <c r="C1582" t="s">
        <v>422</v>
      </c>
      <c r="D1582" t="s">
        <v>112</v>
      </c>
      <c r="E1582" t="s">
        <v>9</v>
      </c>
      <c r="F1582" s="3">
        <v>-800</v>
      </c>
      <c r="G1582" s="3">
        <v>-800</v>
      </c>
      <c r="H1582" t="s">
        <v>3</v>
      </c>
      <c r="I1582" t="s">
        <v>3</v>
      </c>
      <c r="J1582" t="s">
        <v>394</v>
      </c>
      <c r="K1582" t="s">
        <v>5</v>
      </c>
      <c r="L1582" t="s">
        <v>17</v>
      </c>
      <c r="M1582" t="s">
        <v>114</v>
      </c>
      <c r="N1582" s="2">
        <v>45748</v>
      </c>
    </row>
    <row r="1583" spans="1:14" x14ac:dyDescent="0.25">
      <c r="A1583" t="s">
        <v>422</v>
      </c>
      <c r="B1583" s="2">
        <v>45777</v>
      </c>
      <c r="C1583" t="s">
        <v>422</v>
      </c>
      <c r="D1583" t="s">
        <v>112</v>
      </c>
      <c r="E1583" t="s">
        <v>9</v>
      </c>
      <c r="F1583" s="3">
        <v>64850</v>
      </c>
      <c r="G1583" s="3">
        <v>64850</v>
      </c>
      <c r="H1583" t="s">
        <v>3</v>
      </c>
      <c r="I1583" t="s">
        <v>3</v>
      </c>
      <c r="J1583" t="s">
        <v>308</v>
      </c>
      <c r="K1583" t="s">
        <v>5</v>
      </c>
      <c r="L1583" t="s">
        <v>17</v>
      </c>
      <c r="M1583" t="s">
        <v>114</v>
      </c>
      <c r="N1583" s="2">
        <v>45777</v>
      </c>
    </row>
    <row r="1584" spans="1:14" x14ac:dyDescent="0.25">
      <c r="A1584" t="s">
        <v>422</v>
      </c>
      <c r="B1584" s="2">
        <v>45777</v>
      </c>
      <c r="C1584" t="s">
        <v>422</v>
      </c>
      <c r="D1584" t="s">
        <v>112</v>
      </c>
      <c r="E1584" t="s">
        <v>9</v>
      </c>
      <c r="F1584" s="3">
        <v>800</v>
      </c>
      <c r="G1584" s="3">
        <v>800</v>
      </c>
      <c r="H1584" t="s">
        <v>3</v>
      </c>
      <c r="I1584" t="s">
        <v>3</v>
      </c>
      <c r="J1584" t="s">
        <v>309</v>
      </c>
      <c r="K1584" t="s">
        <v>5</v>
      </c>
      <c r="L1584" t="s">
        <v>17</v>
      </c>
      <c r="M1584" t="s">
        <v>114</v>
      </c>
      <c r="N1584" s="2">
        <v>45777</v>
      </c>
    </row>
    <row r="1585" spans="1:14" x14ac:dyDescent="0.25">
      <c r="A1585" t="s">
        <v>422</v>
      </c>
      <c r="B1585" s="2">
        <v>45777</v>
      </c>
      <c r="C1585" t="s">
        <v>422</v>
      </c>
      <c r="D1585" t="s">
        <v>112</v>
      </c>
      <c r="E1585" t="s">
        <v>9</v>
      </c>
      <c r="F1585" s="3">
        <v>1050</v>
      </c>
      <c r="G1585" s="3">
        <v>1050</v>
      </c>
      <c r="H1585" t="s">
        <v>3</v>
      </c>
      <c r="I1585" t="s">
        <v>3</v>
      </c>
      <c r="J1585" t="s">
        <v>396</v>
      </c>
      <c r="K1585" t="s">
        <v>5</v>
      </c>
      <c r="L1585" t="s">
        <v>17</v>
      </c>
      <c r="M1585" t="s">
        <v>114</v>
      </c>
      <c r="N1585" s="2">
        <v>45777</v>
      </c>
    </row>
    <row r="1586" spans="1:14" x14ac:dyDescent="0.25">
      <c r="A1586" t="s">
        <v>422</v>
      </c>
      <c r="B1586" s="2">
        <v>46112</v>
      </c>
      <c r="C1586" t="s">
        <v>422</v>
      </c>
      <c r="D1586" t="s">
        <v>112</v>
      </c>
      <c r="E1586" t="s">
        <v>9</v>
      </c>
      <c r="F1586" s="3">
        <v>-312673.5</v>
      </c>
      <c r="G1586" s="3">
        <v>-312673.5</v>
      </c>
      <c r="H1586" t="s">
        <v>3</v>
      </c>
      <c r="I1586" t="s">
        <v>3</v>
      </c>
      <c r="J1586" t="s">
        <v>307</v>
      </c>
      <c r="K1586" t="s">
        <v>13</v>
      </c>
      <c r="L1586" t="s">
        <v>17</v>
      </c>
      <c r="M1586" t="s">
        <v>114</v>
      </c>
      <c r="N1586" s="2">
        <v>46113</v>
      </c>
    </row>
    <row r="1587" spans="1:14" x14ac:dyDescent="0.25">
      <c r="A1587" t="s">
        <v>422</v>
      </c>
      <c r="B1587" s="2">
        <v>46112</v>
      </c>
      <c r="C1587" t="s">
        <v>422</v>
      </c>
      <c r="D1587" t="s">
        <v>112</v>
      </c>
      <c r="E1587" t="s">
        <v>9</v>
      </c>
      <c r="F1587" s="3">
        <v>-1900</v>
      </c>
      <c r="G1587" s="3">
        <v>-1900</v>
      </c>
      <c r="H1587" t="s">
        <v>3</v>
      </c>
      <c r="I1587" t="s">
        <v>3</v>
      </c>
      <c r="J1587" t="s">
        <v>369</v>
      </c>
      <c r="K1587" t="s">
        <v>13</v>
      </c>
      <c r="L1587" t="s">
        <v>17</v>
      </c>
      <c r="M1587" t="s">
        <v>114</v>
      </c>
      <c r="N1587" s="2">
        <v>46113</v>
      </c>
    </row>
    <row r="1588" spans="1:14" x14ac:dyDescent="0.25">
      <c r="A1588" t="s">
        <v>422</v>
      </c>
      <c r="B1588" s="2">
        <v>46112</v>
      </c>
      <c r="C1588" t="s">
        <v>422</v>
      </c>
      <c r="D1588" t="s">
        <v>112</v>
      </c>
      <c r="E1588" t="s">
        <v>9</v>
      </c>
      <c r="F1588" s="3">
        <v>-9200</v>
      </c>
      <c r="G1588" s="3">
        <v>-9200</v>
      </c>
      <c r="H1588" t="s">
        <v>3</v>
      </c>
      <c r="I1588" t="s">
        <v>3</v>
      </c>
      <c r="J1588" t="s">
        <v>395</v>
      </c>
      <c r="K1588" t="s">
        <v>13</v>
      </c>
      <c r="L1588" t="s">
        <v>17</v>
      </c>
      <c r="M1588" t="s">
        <v>114</v>
      </c>
      <c r="N1588" s="2">
        <v>46113</v>
      </c>
    </row>
    <row r="1589" spans="1:14" x14ac:dyDescent="0.25">
      <c r="A1589" t="s">
        <v>422</v>
      </c>
      <c r="B1589" s="2">
        <v>46142</v>
      </c>
      <c r="C1589" t="s">
        <v>422</v>
      </c>
      <c r="D1589" t="s">
        <v>112</v>
      </c>
      <c r="E1589" t="s">
        <v>9</v>
      </c>
      <c r="F1589" s="3">
        <v>416368.5</v>
      </c>
      <c r="G1589" s="3">
        <v>416368.5</v>
      </c>
      <c r="H1589" t="s">
        <v>3</v>
      </c>
      <c r="I1589" t="s">
        <v>3</v>
      </c>
      <c r="J1589" t="s">
        <v>310</v>
      </c>
      <c r="K1589" t="s">
        <v>13</v>
      </c>
      <c r="L1589" t="s">
        <v>17</v>
      </c>
      <c r="M1589" t="s">
        <v>114</v>
      </c>
      <c r="N1589" s="2">
        <v>46142</v>
      </c>
    </row>
    <row r="1590" spans="1:14" x14ac:dyDescent="0.25">
      <c r="A1590" t="s">
        <v>422</v>
      </c>
      <c r="B1590" s="2">
        <v>46142</v>
      </c>
      <c r="C1590" t="s">
        <v>422</v>
      </c>
      <c r="D1590" t="s">
        <v>112</v>
      </c>
      <c r="E1590" t="s">
        <v>9</v>
      </c>
      <c r="F1590" s="3">
        <v>3400</v>
      </c>
      <c r="G1590" s="3">
        <v>3400</v>
      </c>
      <c r="H1590" t="s">
        <v>3</v>
      </c>
      <c r="I1590" t="s">
        <v>3</v>
      </c>
      <c r="J1590" t="s">
        <v>370</v>
      </c>
      <c r="K1590" t="s">
        <v>13</v>
      </c>
      <c r="L1590" t="s">
        <v>17</v>
      </c>
      <c r="M1590" t="s">
        <v>114</v>
      </c>
      <c r="N1590" s="2">
        <v>46142</v>
      </c>
    </row>
    <row r="1591" spans="1:14" x14ac:dyDescent="0.25">
      <c r="A1591" t="s">
        <v>422</v>
      </c>
      <c r="B1591" s="2">
        <v>46142</v>
      </c>
      <c r="C1591" t="s">
        <v>422</v>
      </c>
      <c r="D1591" t="s">
        <v>112</v>
      </c>
      <c r="E1591" t="s">
        <v>9</v>
      </c>
      <c r="F1591" s="3">
        <v>13000</v>
      </c>
      <c r="G1591" s="3">
        <v>13000</v>
      </c>
      <c r="H1591" t="s">
        <v>3</v>
      </c>
      <c r="I1591" t="s">
        <v>3</v>
      </c>
      <c r="J1591" t="s">
        <v>423</v>
      </c>
      <c r="K1591" t="s">
        <v>13</v>
      </c>
      <c r="L1591" t="s">
        <v>17</v>
      </c>
      <c r="M1591" t="s">
        <v>114</v>
      </c>
      <c r="N1591" s="2">
        <v>46142</v>
      </c>
    </row>
    <row r="1592" spans="1:14" x14ac:dyDescent="0.25">
      <c r="A1592" s="4" t="s">
        <v>249</v>
      </c>
      <c r="B1592" s="5"/>
      <c r="C1592" s="4" t="s">
        <v>9</v>
      </c>
      <c r="D1592" s="4" t="s">
        <v>9</v>
      </c>
      <c r="E1592" s="4" t="s">
        <v>9</v>
      </c>
      <c r="F1592" s="6">
        <v>0</v>
      </c>
      <c r="G1592" s="6">
        <v>0</v>
      </c>
      <c r="H1592" s="4" t="s">
        <v>9</v>
      </c>
      <c r="I1592" s="4" t="s">
        <v>3</v>
      </c>
      <c r="J1592" s="4" t="s">
        <v>9</v>
      </c>
      <c r="K1592" s="4" t="s">
        <v>9</v>
      </c>
      <c r="L1592" s="4" t="s">
        <v>9</v>
      </c>
      <c r="M1592" s="4" t="s">
        <v>9</v>
      </c>
      <c r="N1592" s="5"/>
    </row>
    <row r="1593" spans="1:14" x14ac:dyDescent="0.25">
      <c r="A1593" t="s">
        <v>422</v>
      </c>
      <c r="B1593" s="2">
        <v>45810</v>
      </c>
      <c r="C1593" t="s">
        <v>422</v>
      </c>
      <c r="D1593" t="s">
        <v>112</v>
      </c>
      <c r="E1593" t="s">
        <v>9</v>
      </c>
      <c r="F1593" s="3">
        <v>-23700</v>
      </c>
      <c r="G1593" s="3">
        <v>-23700</v>
      </c>
      <c r="H1593" t="s">
        <v>3</v>
      </c>
      <c r="I1593" t="s">
        <v>3</v>
      </c>
      <c r="J1593" t="s">
        <v>9</v>
      </c>
      <c r="K1593" t="s">
        <v>9</v>
      </c>
      <c r="L1593" t="s">
        <v>18</v>
      </c>
      <c r="M1593" t="s">
        <v>114</v>
      </c>
      <c r="N1593" s="2">
        <v>45808</v>
      </c>
    </row>
    <row r="1594" spans="1:14" x14ac:dyDescent="0.25">
      <c r="A1594" t="s">
        <v>422</v>
      </c>
      <c r="B1594" s="2">
        <v>45810</v>
      </c>
      <c r="C1594" t="s">
        <v>422</v>
      </c>
      <c r="D1594" t="s">
        <v>424</v>
      </c>
      <c r="E1594" t="s">
        <v>9</v>
      </c>
      <c r="F1594" s="3">
        <v>-5998.48</v>
      </c>
      <c r="G1594" s="3">
        <v>-5998.48</v>
      </c>
      <c r="H1594" t="s">
        <v>3</v>
      </c>
      <c r="I1594" t="s">
        <v>3</v>
      </c>
      <c r="J1594" t="s">
        <v>9</v>
      </c>
      <c r="K1594" t="s">
        <v>9</v>
      </c>
      <c r="L1594" t="s">
        <v>18</v>
      </c>
      <c r="M1594" t="s">
        <v>425</v>
      </c>
      <c r="N1594" s="2">
        <v>45808</v>
      </c>
    </row>
    <row r="1595" spans="1:14" x14ac:dyDescent="0.25">
      <c r="A1595" t="s">
        <v>422</v>
      </c>
      <c r="B1595" s="2">
        <v>46175</v>
      </c>
      <c r="C1595" t="s">
        <v>422</v>
      </c>
      <c r="D1595" t="s">
        <v>112</v>
      </c>
      <c r="E1595" t="s">
        <v>9</v>
      </c>
      <c r="F1595" s="3">
        <v>-80993.5</v>
      </c>
      <c r="G1595" s="3">
        <v>-80993.5</v>
      </c>
      <c r="H1595" t="s">
        <v>3</v>
      </c>
      <c r="I1595" t="s">
        <v>3</v>
      </c>
      <c r="J1595" t="s">
        <v>9</v>
      </c>
      <c r="K1595" t="s">
        <v>9</v>
      </c>
      <c r="L1595" t="s">
        <v>18</v>
      </c>
      <c r="M1595" t="s">
        <v>114</v>
      </c>
      <c r="N1595" s="2">
        <v>46173</v>
      </c>
    </row>
    <row r="1596" spans="1:14" x14ac:dyDescent="0.25">
      <c r="A1596" t="s">
        <v>422</v>
      </c>
      <c r="B1596" s="2">
        <v>45777</v>
      </c>
      <c r="C1596" t="s">
        <v>422</v>
      </c>
      <c r="D1596" t="s">
        <v>112</v>
      </c>
      <c r="E1596" t="s">
        <v>9</v>
      </c>
      <c r="F1596" s="3">
        <v>-64850</v>
      </c>
      <c r="G1596" s="3">
        <v>-64850</v>
      </c>
      <c r="H1596" t="s">
        <v>3</v>
      </c>
      <c r="I1596" t="s">
        <v>3</v>
      </c>
      <c r="J1596" t="s">
        <v>308</v>
      </c>
      <c r="K1596" t="s">
        <v>5</v>
      </c>
      <c r="L1596" t="s">
        <v>18</v>
      </c>
      <c r="M1596" t="s">
        <v>114</v>
      </c>
      <c r="N1596" s="2">
        <v>45778</v>
      </c>
    </row>
    <row r="1597" spans="1:14" x14ac:dyDescent="0.25">
      <c r="A1597" t="s">
        <v>422</v>
      </c>
      <c r="B1597" s="2">
        <v>45777</v>
      </c>
      <c r="C1597" t="s">
        <v>422</v>
      </c>
      <c r="D1597" t="s">
        <v>112</v>
      </c>
      <c r="E1597" t="s">
        <v>9</v>
      </c>
      <c r="F1597" s="3">
        <v>-800</v>
      </c>
      <c r="G1597" s="3">
        <v>-800</v>
      </c>
      <c r="H1597" t="s">
        <v>3</v>
      </c>
      <c r="I1597" t="s">
        <v>3</v>
      </c>
      <c r="J1597" t="s">
        <v>309</v>
      </c>
      <c r="K1597" t="s">
        <v>5</v>
      </c>
      <c r="L1597" t="s">
        <v>18</v>
      </c>
      <c r="M1597" t="s">
        <v>114</v>
      </c>
      <c r="N1597" s="2">
        <v>45778</v>
      </c>
    </row>
    <row r="1598" spans="1:14" x14ac:dyDescent="0.25">
      <c r="A1598" t="s">
        <v>422</v>
      </c>
      <c r="B1598" s="2">
        <v>45777</v>
      </c>
      <c r="C1598" t="s">
        <v>422</v>
      </c>
      <c r="D1598" t="s">
        <v>112</v>
      </c>
      <c r="E1598" t="s">
        <v>9</v>
      </c>
      <c r="F1598" s="3">
        <v>-1050</v>
      </c>
      <c r="G1598" s="3">
        <v>-1050</v>
      </c>
      <c r="H1598" t="s">
        <v>3</v>
      </c>
      <c r="I1598" t="s">
        <v>3</v>
      </c>
      <c r="J1598" t="s">
        <v>396</v>
      </c>
      <c r="K1598" t="s">
        <v>5</v>
      </c>
      <c r="L1598" t="s">
        <v>18</v>
      </c>
      <c r="M1598" t="s">
        <v>114</v>
      </c>
      <c r="N1598" s="2">
        <v>45778</v>
      </c>
    </row>
    <row r="1599" spans="1:14" x14ac:dyDescent="0.25">
      <c r="A1599" t="s">
        <v>422</v>
      </c>
      <c r="B1599" s="2">
        <v>45808</v>
      </c>
      <c r="C1599" t="s">
        <v>422</v>
      </c>
      <c r="D1599" t="s">
        <v>424</v>
      </c>
      <c r="E1599" t="s">
        <v>9</v>
      </c>
      <c r="F1599" s="3">
        <v>5998.48</v>
      </c>
      <c r="G1599" s="3">
        <v>5998.48</v>
      </c>
      <c r="H1599" t="s">
        <v>3</v>
      </c>
      <c r="I1599" t="s">
        <v>3</v>
      </c>
      <c r="J1599" t="s">
        <v>426</v>
      </c>
      <c r="K1599" t="s">
        <v>5</v>
      </c>
      <c r="L1599" t="s">
        <v>18</v>
      </c>
      <c r="M1599" t="s">
        <v>425</v>
      </c>
      <c r="N1599" s="2">
        <v>45808</v>
      </c>
    </row>
    <row r="1600" spans="1:14" x14ac:dyDescent="0.25">
      <c r="A1600" t="s">
        <v>422</v>
      </c>
      <c r="B1600" s="2">
        <v>45808</v>
      </c>
      <c r="C1600" t="s">
        <v>422</v>
      </c>
      <c r="D1600" t="s">
        <v>112</v>
      </c>
      <c r="E1600" t="s">
        <v>9</v>
      </c>
      <c r="F1600" s="3">
        <v>87800</v>
      </c>
      <c r="G1600" s="3">
        <v>87800</v>
      </c>
      <c r="H1600" t="s">
        <v>3</v>
      </c>
      <c r="I1600" t="s">
        <v>3</v>
      </c>
      <c r="J1600" t="s">
        <v>311</v>
      </c>
      <c r="K1600" t="s">
        <v>5</v>
      </c>
      <c r="L1600" t="s">
        <v>18</v>
      </c>
      <c r="M1600" t="s">
        <v>114</v>
      </c>
      <c r="N1600" s="2">
        <v>45808</v>
      </c>
    </row>
    <row r="1601" spans="1:14" x14ac:dyDescent="0.25">
      <c r="A1601" t="s">
        <v>422</v>
      </c>
      <c r="B1601" s="2">
        <v>45808</v>
      </c>
      <c r="C1601" t="s">
        <v>422</v>
      </c>
      <c r="D1601" t="s">
        <v>112</v>
      </c>
      <c r="E1601" t="s">
        <v>9</v>
      </c>
      <c r="F1601" s="3">
        <v>800</v>
      </c>
      <c r="G1601" s="3">
        <v>800</v>
      </c>
      <c r="H1601" t="s">
        <v>3</v>
      </c>
      <c r="I1601" t="s">
        <v>3</v>
      </c>
      <c r="J1601" t="s">
        <v>312</v>
      </c>
      <c r="K1601" t="s">
        <v>5</v>
      </c>
      <c r="L1601" t="s">
        <v>18</v>
      </c>
      <c r="M1601" t="s">
        <v>114</v>
      </c>
      <c r="N1601" s="2">
        <v>45808</v>
      </c>
    </row>
    <row r="1602" spans="1:14" x14ac:dyDescent="0.25">
      <c r="A1602" t="s">
        <v>422</v>
      </c>
      <c r="B1602" s="2">
        <v>45808</v>
      </c>
      <c r="C1602" t="s">
        <v>422</v>
      </c>
      <c r="D1602" t="s">
        <v>112</v>
      </c>
      <c r="E1602" t="s">
        <v>9</v>
      </c>
      <c r="F1602" s="3">
        <v>1800</v>
      </c>
      <c r="G1602" s="3">
        <v>1800</v>
      </c>
      <c r="H1602" t="s">
        <v>3</v>
      </c>
      <c r="I1602" t="s">
        <v>3</v>
      </c>
      <c r="J1602" t="s">
        <v>397</v>
      </c>
      <c r="K1602" t="s">
        <v>5</v>
      </c>
      <c r="L1602" t="s">
        <v>18</v>
      </c>
      <c r="M1602" t="s">
        <v>114</v>
      </c>
      <c r="N1602" s="2">
        <v>45808</v>
      </c>
    </row>
    <row r="1603" spans="1:14" x14ac:dyDescent="0.25">
      <c r="A1603" t="s">
        <v>422</v>
      </c>
      <c r="B1603" s="2">
        <v>46142</v>
      </c>
      <c r="C1603" t="s">
        <v>422</v>
      </c>
      <c r="D1603" t="s">
        <v>112</v>
      </c>
      <c r="E1603" t="s">
        <v>9</v>
      </c>
      <c r="F1603" s="3">
        <v>-416368.5</v>
      </c>
      <c r="G1603" s="3">
        <v>-416368.5</v>
      </c>
      <c r="H1603" t="s">
        <v>3</v>
      </c>
      <c r="I1603" t="s">
        <v>3</v>
      </c>
      <c r="J1603" t="s">
        <v>310</v>
      </c>
      <c r="K1603" t="s">
        <v>13</v>
      </c>
      <c r="L1603" t="s">
        <v>18</v>
      </c>
      <c r="M1603" t="s">
        <v>114</v>
      </c>
      <c r="N1603" s="2">
        <v>46143</v>
      </c>
    </row>
    <row r="1604" spans="1:14" x14ac:dyDescent="0.25">
      <c r="A1604" t="s">
        <v>422</v>
      </c>
      <c r="B1604" s="2">
        <v>46142</v>
      </c>
      <c r="C1604" t="s">
        <v>422</v>
      </c>
      <c r="D1604" t="s">
        <v>112</v>
      </c>
      <c r="E1604" t="s">
        <v>9</v>
      </c>
      <c r="F1604" s="3">
        <v>-3400</v>
      </c>
      <c r="G1604" s="3">
        <v>-3400</v>
      </c>
      <c r="H1604" t="s">
        <v>3</v>
      </c>
      <c r="I1604" t="s">
        <v>3</v>
      </c>
      <c r="J1604" t="s">
        <v>370</v>
      </c>
      <c r="K1604" t="s">
        <v>13</v>
      </c>
      <c r="L1604" t="s">
        <v>18</v>
      </c>
      <c r="M1604" t="s">
        <v>114</v>
      </c>
      <c r="N1604" s="2">
        <v>46143</v>
      </c>
    </row>
    <row r="1605" spans="1:14" x14ac:dyDescent="0.25">
      <c r="A1605" t="s">
        <v>422</v>
      </c>
      <c r="B1605" s="2">
        <v>46142</v>
      </c>
      <c r="C1605" t="s">
        <v>422</v>
      </c>
      <c r="D1605" t="s">
        <v>112</v>
      </c>
      <c r="E1605" t="s">
        <v>9</v>
      </c>
      <c r="F1605" s="3">
        <v>-13000</v>
      </c>
      <c r="G1605" s="3">
        <v>-13000</v>
      </c>
      <c r="H1605" t="s">
        <v>3</v>
      </c>
      <c r="I1605" t="s">
        <v>3</v>
      </c>
      <c r="J1605" t="s">
        <v>423</v>
      </c>
      <c r="K1605" t="s">
        <v>13</v>
      </c>
      <c r="L1605" t="s">
        <v>18</v>
      </c>
      <c r="M1605" t="s">
        <v>114</v>
      </c>
      <c r="N1605" s="2">
        <v>46143</v>
      </c>
    </row>
    <row r="1606" spans="1:14" x14ac:dyDescent="0.25">
      <c r="A1606" t="s">
        <v>422</v>
      </c>
      <c r="B1606" s="2">
        <v>46173</v>
      </c>
      <c r="C1606" t="s">
        <v>422</v>
      </c>
      <c r="D1606" t="s">
        <v>112</v>
      </c>
      <c r="E1606" t="s">
        <v>9</v>
      </c>
      <c r="F1606" s="3">
        <v>495962</v>
      </c>
      <c r="G1606" s="3">
        <v>495962</v>
      </c>
      <c r="H1606" t="s">
        <v>3</v>
      </c>
      <c r="I1606" t="s">
        <v>3</v>
      </c>
      <c r="J1606" t="s">
        <v>313</v>
      </c>
      <c r="K1606" t="s">
        <v>13</v>
      </c>
      <c r="L1606" t="s">
        <v>18</v>
      </c>
      <c r="M1606" t="s">
        <v>114</v>
      </c>
      <c r="N1606" s="2">
        <v>46173</v>
      </c>
    </row>
    <row r="1607" spans="1:14" x14ac:dyDescent="0.25">
      <c r="A1607" t="s">
        <v>422</v>
      </c>
      <c r="B1607" s="2">
        <v>46173</v>
      </c>
      <c r="C1607" t="s">
        <v>422</v>
      </c>
      <c r="D1607" t="s">
        <v>112</v>
      </c>
      <c r="E1607" t="s">
        <v>9</v>
      </c>
      <c r="F1607" s="3">
        <v>3600</v>
      </c>
      <c r="G1607" s="3">
        <v>3600</v>
      </c>
      <c r="H1607" t="s">
        <v>3</v>
      </c>
      <c r="I1607" t="s">
        <v>3</v>
      </c>
      <c r="J1607" t="s">
        <v>371</v>
      </c>
      <c r="K1607" t="s">
        <v>13</v>
      </c>
      <c r="L1607" t="s">
        <v>18</v>
      </c>
      <c r="M1607" t="s">
        <v>114</v>
      </c>
      <c r="N1607" s="2">
        <v>46173</v>
      </c>
    </row>
    <row r="1608" spans="1:14" x14ac:dyDescent="0.25">
      <c r="A1608" t="s">
        <v>422</v>
      </c>
      <c r="B1608" s="2">
        <v>46173</v>
      </c>
      <c r="C1608" t="s">
        <v>422</v>
      </c>
      <c r="D1608" t="s">
        <v>112</v>
      </c>
      <c r="E1608" t="s">
        <v>9</v>
      </c>
      <c r="F1608" s="3">
        <v>14200</v>
      </c>
      <c r="G1608" s="3">
        <v>14200</v>
      </c>
      <c r="H1608" t="s">
        <v>3</v>
      </c>
      <c r="I1608" t="s">
        <v>3</v>
      </c>
      <c r="J1608" t="s">
        <v>427</v>
      </c>
      <c r="K1608" t="s">
        <v>13</v>
      </c>
      <c r="L1608" t="s">
        <v>18</v>
      </c>
      <c r="M1608" t="s">
        <v>114</v>
      </c>
      <c r="N1608" s="2">
        <v>46173</v>
      </c>
    </row>
    <row r="1609" spans="1:14" x14ac:dyDescent="0.25">
      <c r="A1609" s="4" t="s">
        <v>223</v>
      </c>
      <c r="B1609" s="5"/>
      <c r="C1609" s="4" t="s">
        <v>9</v>
      </c>
      <c r="D1609" s="4" t="s">
        <v>9</v>
      </c>
      <c r="E1609" s="4" t="s">
        <v>9</v>
      </c>
      <c r="F1609" s="6">
        <v>0</v>
      </c>
      <c r="G1609" s="6">
        <v>0</v>
      </c>
      <c r="H1609" s="4" t="s">
        <v>9</v>
      </c>
      <c r="I1609" s="4" t="s">
        <v>3</v>
      </c>
      <c r="J1609" s="4" t="s">
        <v>9</v>
      </c>
      <c r="K1609" s="4" t="s">
        <v>9</v>
      </c>
      <c r="L1609" s="4" t="s">
        <v>9</v>
      </c>
      <c r="M1609" s="4" t="s">
        <v>9</v>
      </c>
      <c r="N1609" s="5"/>
    </row>
    <row r="1610" spans="1:14" x14ac:dyDescent="0.25">
      <c r="A1610" t="s">
        <v>422</v>
      </c>
      <c r="B1610" s="2">
        <v>45839</v>
      </c>
      <c r="C1610" t="s">
        <v>422</v>
      </c>
      <c r="D1610" t="s">
        <v>112</v>
      </c>
      <c r="E1610" t="s">
        <v>9</v>
      </c>
      <c r="F1610" s="3">
        <v>-71950</v>
      </c>
      <c r="G1610" s="3">
        <v>-71950</v>
      </c>
      <c r="H1610" t="s">
        <v>3</v>
      </c>
      <c r="I1610" t="s">
        <v>3</v>
      </c>
      <c r="J1610" t="s">
        <v>9</v>
      </c>
      <c r="K1610" t="s">
        <v>9</v>
      </c>
      <c r="L1610" t="s">
        <v>19</v>
      </c>
      <c r="M1610" t="s">
        <v>114</v>
      </c>
      <c r="N1610" s="2">
        <v>45838</v>
      </c>
    </row>
    <row r="1611" spans="1:14" x14ac:dyDescent="0.25">
      <c r="A1611" t="s">
        <v>422</v>
      </c>
      <c r="B1611" s="2">
        <v>46205</v>
      </c>
      <c r="C1611" t="s">
        <v>422</v>
      </c>
      <c r="D1611" t="s">
        <v>112</v>
      </c>
      <c r="E1611" t="s">
        <v>9</v>
      </c>
      <c r="F1611" s="3">
        <v>-50617.17</v>
      </c>
      <c r="G1611" s="3">
        <v>-50617.17</v>
      </c>
      <c r="H1611" t="s">
        <v>3</v>
      </c>
      <c r="I1611" t="s">
        <v>3</v>
      </c>
      <c r="J1611" t="s">
        <v>9</v>
      </c>
      <c r="K1611" t="s">
        <v>9</v>
      </c>
      <c r="L1611" t="s">
        <v>19</v>
      </c>
      <c r="M1611" t="s">
        <v>114</v>
      </c>
      <c r="N1611" s="2">
        <v>46203</v>
      </c>
    </row>
    <row r="1612" spans="1:14" x14ac:dyDescent="0.25">
      <c r="A1612" t="s">
        <v>422</v>
      </c>
      <c r="B1612" s="2">
        <v>46205</v>
      </c>
      <c r="C1612" t="s">
        <v>422</v>
      </c>
      <c r="D1612" t="s">
        <v>301</v>
      </c>
      <c r="E1612" t="s">
        <v>9</v>
      </c>
      <c r="F1612" s="3">
        <v>120790</v>
      </c>
      <c r="G1612" s="3">
        <v>120790</v>
      </c>
      <c r="H1612" t="s">
        <v>3</v>
      </c>
      <c r="I1612" t="s">
        <v>3</v>
      </c>
      <c r="J1612" t="s">
        <v>9</v>
      </c>
      <c r="K1612" t="s">
        <v>9</v>
      </c>
      <c r="L1612" t="s">
        <v>19</v>
      </c>
      <c r="M1612" t="s">
        <v>302</v>
      </c>
      <c r="N1612" s="2">
        <v>46203</v>
      </c>
    </row>
    <row r="1613" spans="1:14" x14ac:dyDescent="0.25">
      <c r="A1613" t="s">
        <v>422</v>
      </c>
      <c r="B1613" s="2">
        <v>45808</v>
      </c>
      <c r="C1613" t="s">
        <v>422</v>
      </c>
      <c r="D1613" t="s">
        <v>112</v>
      </c>
      <c r="E1613" t="s">
        <v>9</v>
      </c>
      <c r="F1613" s="3">
        <v>-87800</v>
      </c>
      <c r="G1613" s="3">
        <v>-87800</v>
      </c>
      <c r="H1613" t="s">
        <v>3</v>
      </c>
      <c r="I1613" t="s">
        <v>3</v>
      </c>
      <c r="J1613" t="s">
        <v>311</v>
      </c>
      <c r="K1613" t="s">
        <v>5</v>
      </c>
      <c r="L1613" t="s">
        <v>19</v>
      </c>
      <c r="M1613" t="s">
        <v>114</v>
      </c>
      <c r="N1613" s="2">
        <v>45809</v>
      </c>
    </row>
    <row r="1614" spans="1:14" x14ac:dyDescent="0.25">
      <c r="A1614" t="s">
        <v>422</v>
      </c>
      <c r="B1614" s="2">
        <v>45808</v>
      </c>
      <c r="C1614" t="s">
        <v>422</v>
      </c>
      <c r="D1614" t="s">
        <v>112</v>
      </c>
      <c r="E1614" t="s">
        <v>9</v>
      </c>
      <c r="F1614" s="3">
        <v>-800</v>
      </c>
      <c r="G1614" s="3">
        <v>-800</v>
      </c>
      <c r="H1614" t="s">
        <v>3</v>
      </c>
      <c r="I1614" t="s">
        <v>3</v>
      </c>
      <c r="J1614" t="s">
        <v>312</v>
      </c>
      <c r="K1614" t="s">
        <v>5</v>
      </c>
      <c r="L1614" t="s">
        <v>19</v>
      </c>
      <c r="M1614" t="s">
        <v>114</v>
      </c>
      <c r="N1614" s="2">
        <v>45809</v>
      </c>
    </row>
    <row r="1615" spans="1:14" x14ac:dyDescent="0.25">
      <c r="A1615" t="s">
        <v>422</v>
      </c>
      <c r="B1615" s="2">
        <v>45808</v>
      </c>
      <c r="C1615" t="s">
        <v>422</v>
      </c>
      <c r="D1615" t="s">
        <v>112</v>
      </c>
      <c r="E1615" t="s">
        <v>9</v>
      </c>
      <c r="F1615" s="3">
        <v>-1800</v>
      </c>
      <c r="G1615" s="3">
        <v>-1800</v>
      </c>
      <c r="H1615" t="s">
        <v>3</v>
      </c>
      <c r="I1615" t="s">
        <v>3</v>
      </c>
      <c r="J1615" t="s">
        <v>397</v>
      </c>
      <c r="K1615" t="s">
        <v>5</v>
      </c>
      <c r="L1615" t="s">
        <v>19</v>
      </c>
      <c r="M1615" t="s">
        <v>114</v>
      </c>
      <c r="N1615" s="2">
        <v>45809</v>
      </c>
    </row>
    <row r="1616" spans="1:14" x14ac:dyDescent="0.25">
      <c r="A1616" t="s">
        <v>422</v>
      </c>
      <c r="B1616" s="2">
        <v>45838</v>
      </c>
      <c r="C1616" t="s">
        <v>422</v>
      </c>
      <c r="D1616" t="s">
        <v>112</v>
      </c>
      <c r="E1616" t="s">
        <v>9</v>
      </c>
      <c r="F1616" s="3">
        <v>158500</v>
      </c>
      <c r="G1616" s="3">
        <v>158500</v>
      </c>
      <c r="H1616" t="s">
        <v>3</v>
      </c>
      <c r="I1616" t="s">
        <v>3</v>
      </c>
      <c r="J1616" t="s">
        <v>314</v>
      </c>
      <c r="K1616" t="s">
        <v>5</v>
      </c>
      <c r="L1616" t="s">
        <v>19</v>
      </c>
      <c r="M1616" t="s">
        <v>114</v>
      </c>
      <c r="N1616" s="2">
        <v>45838</v>
      </c>
    </row>
    <row r="1617" spans="1:14" x14ac:dyDescent="0.25">
      <c r="A1617" t="s">
        <v>422</v>
      </c>
      <c r="B1617" s="2">
        <v>45838</v>
      </c>
      <c r="C1617" t="s">
        <v>422</v>
      </c>
      <c r="D1617" t="s">
        <v>112</v>
      </c>
      <c r="E1617" t="s">
        <v>9</v>
      </c>
      <c r="F1617" s="3">
        <v>800</v>
      </c>
      <c r="G1617" s="3">
        <v>800</v>
      </c>
      <c r="H1617" t="s">
        <v>3</v>
      </c>
      <c r="I1617" t="s">
        <v>3</v>
      </c>
      <c r="J1617" t="s">
        <v>315</v>
      </c>
      <c r="K1617" t="s">
        <v>5</v>
      </c>
      <c r="L1617" t="s">
        <v>19</v>
      </c>
      <c r="M1617" t="s">
        <v>114</v>
      </c>
      <c r="N1617" s="2">
        <v>45838</v>
      </c>
    </row>
    <row r="1618" spans="1:14" x14ac:dyDescent="0.25">
      <c r="A1618" t="s">
        <v>422</v>
      </c>
      <c r="B1618" s="2">
        <v>45838</v>
      </c>
      <c r="C1618" t="s">
        <v>422</v>
      </c>
      <c r="D1618" t="s">
        <v>112</v>
      </c>
      <c r="E1618" t="s">
        <v>9</v>
      </c>
      <c r="F1618" s="3">
        <v>3050</v>
      </c>
      <c r="G1618" s="3">
        <v>3050</v>
      </c>
      <c r="H1618" t="s">
        <v>3</v>
      </c>
      <c r="I1618" t="s">
        <v>3</v>
      </c>
      <c r="J1618" t="s">
        <v>398</v>
      </c>
      <c r="K1618" t="s">
        <v>5</v>
      </c>
      <c r="L1618" t="s">
        <v>19</v>
      </c>
      <c r="M1618" t="s">
        <v>114</v>
      </c>
      <c r="N1618" s="2">
        <v>45838</v>
      </c>
    </row>
    <row r="1619" spans="1:14" x14ac:dyDescent="0.25">
      <c r="A1619" t="s">
        <v>422</v>
      </c>
      <c r="B1619" s="2">
        <v>46173</v>
      </c>
      <c r="C1619" t="s">
        <v>422</v>
      </c>
      <c r="D1619" t="s">
        <v>112</v>
      </c>
      <c r="E1619" t="s">
        <v>9</v>
      </c>
      <c r="F1619" s="3">
        <v>-495962</v>
      </c>
      <c r="G1619" s="3">
        <v>-495962</v>
      </c>
      <c r="H1619" t="s">
        <v>3</v>
      </c>
      <c r="I1619" t="s">
        <v>3</v>
      </c>
      <c r="J1619" t="s">
        <v>313</v>
      </c>
      <c r="K1619" t="s">
        <v>13</v>
      </c>
      <c r="L1619" t="s">
        <v>19</v>
      </c>
      <c r="M1619" t="s">
        <v>114</v>
      </c>
      <c r="N1619" s="2">
        <v>46174</v>
      </c>
    </row>
    <row r="1620" spans="1:14" x14ac:dyDescent="0.25">
      <c r="A1620" t="s">
        <v>422</v>
      </c>
      <c r="B1620" s="2">
        <v>46173</v>
      </c>
      <c r="C1620" t="s">
        <v>422</v>
      </c>
      <c r="D1620" t="s">
        <v>112</v>
      </c>
      <c r="E1620" t="s">
        <v>9</v>
      </c>
      <c r="F1620" s="3">
        <v>-3600</v>
      </c>
      <c r="G1620" s="3">
        <v>-3600</v>
      </c>
      <c r="H1620" t="s">
        <v>3</v>
      </c>
      <c r="I1620" t="s">
        <v>3</v>
      </c>
      <c r="J1620" t="s">
        <v>371</v>
      </c>
      <c r="K1620" t="s">
        <v>13</v>
      </c>
      <c r="L1620" t="s">
        <v>19</v>
      </c>
      <c r="M1620" t="s">
        <v>114</v>
      </c>
      <c r="N1620" s="2">
        <v>46174</v>
      </c>
    </row>
    <row r="1621" spans="1:14" x14ac:dyDescent="0.25">
      <c r="A1621" t="s">
        <v>422</v>
      </c>
      <c r="B1621" s="2">
        <v>46173</v>
      </c>
      <c r="C1621" t="s">
        <v>422</v>
      </c>
      <c r="D1621" t="s">
        <v>112</v>
      </c>
      <c r="E1621" t="s">
        <v>9</v>
      </c>
      <c r="F1621" s="3">
        <v>-14200</v>
      </c>
      <c r="G1621" s="3">
        <v>-14200</v>
      </c>
      <c r="H1621" t="s">
        <v>3</v>
      </c>
      <c r="I1621" t="s">
        <v>3</v>
      </c>
      <c r="J1621" t="s">
        <v>427</v>
      </c>
      <c r="K1621" t="s">
        <v>13</v>
      </c>
      <c r="L1621" t="s">
        <v>19</v>
      </c>
      <c r="M1621" t="s">
        <v>114</v>
      </c>
      <c r="N1621" s="2">
        <v>46174</v>
      </c>
    </row>
    <row r="1622" spans="1:14" x14ac:dyDescent="0.25">
      <c r="A1622" t="s">
        <v>422</v>
      </c>
      <c r="B1622" s="2">
        <v>46203</v>
      </c>
      <c r="C1622" t="s">
        <v>422</v>
      </c>
      <c r="D1622" t="s">
        <v>112</v>
      </c>
      <c r="E1622" t="s">
        <v>9</v>
      </c>
      <c r="F1622" s="3">
        <v>546179.17000000004</v>
      </c>
      <c r="G1622" s="3">
        <v>546179.17000000004</v>
      </c>
      <c r="H1622" t="s">
        <v>3</v>
      </c>
      <c r="I1622" t="s">
        <v>3</v>
      </c>
      <c r="J1622" t="s">
        <v>316</v>
      </c>
      <c r="K1622" t="s">
        <v>13</v>
      </c>
      <c r="L1622" t="s">
        <v>19</v>
      </c>
      <c r="M1622" t="s">
        <v>114</v>
      </c>
      <c r="N1622" s="2">
        <v>46203</v>
      </c>
    </row>
    <row r="1623" spans="1:14" x14ac:dyDescent="0.25">
      <c r="A1623" t="s">
        <v>422</v>
      </c>
      <c r="B1623" s="2">
        <v>46203</v>
      </c>
      <c r="C1623" t="s">
        <v>422</v>
      </c>
      <c r="D1623" t="s">
        <v>112</v>
      </c>
      <c r="E1623" t="s">
        <v>9</v>
      </c>
      <c r="F1623" s="3">
        <v>3600</v>
      </c>
      <c r="G1623" s="3">
        <v>3600</v>
      </c>
      <c r="H1623" t="s">
        <v>3</v>
      </c>
      <c r="I1623" t="s">
        <v>3</v>
      </c>
      <c r="J1623" t="s">
        <v>372</v>
      </c>
      <c r="K1623" t="s">
        <v>13</v>
      </c>
      <c r="L1623" t="s">
        <v>19</v>
      </c>
      <c r="M1623" t="s">
        <v>114</v>
      </c>
      <c r="N1623" s="2">
        <v>46203</v>
      </c>
    </row>
    <row r="1624" spans="1:14" x14ac:dyDescent="0.25">
      <c r="A1624" t="s">
        <v>422</v>
      </c>
      <c r="B1624" s="2">
        <v>46203</v>
      </c>
      <c r="C1624" t="s">
        <v>422</v>
      </c>
      <c r="D1624" t="s">
        <v>112</v>
      </c>
      <c r="E1624" t="s">
        <v>9</v>
      </c>
      <c r="F1624" s="3">
        <v>14600</v>
      </c>
      <c r="G1624" s="3">
        <v>14600</v>
      </c>
      <c r="H1624" t="s">
        <v>3</v>
      </c>
      <c r="I1624" t="s">
        <v>3</v>
      </c>
      <c r="J1624" t="s">
        <v>428</v>
      </c>
      <c r="K1624" t="s">
        <v>13</v>
      </c>
      <c r="L1624" t="s">
        <v>19</v>
      </c>
      <c r="M1624" t="s">
        <v>114</v>
      </c>
      <c r="N1624" s="2">
        <v>46203</v>
      </c>
    </row>
    <row r="1625" spans="1:14" x14ac:dyDescent="0.25">
      <c r="A1625" t="s">
        <v>422</v>
      </c>
      <c r="B1625" s="2">
        <v>46203</v>
      </c>
      <c r="C1625" t="s">
        <v>422</v>
      </c>
      <c r="D1625" t="s">
        <v>301</v>
      </c>
      <c r="E1625" t="s">
        <v>9</v>
      </c>
      <c r="F1625" s="3">
        <v>-28000</v>
      </c>
      <c r="G1625" s="3">
        <v>-28000</v>
      </c>
      <c r="H1625" t="s">
        <v>3</v>
      </c>
      <c r="I1625" t="s">
        <v>3</v>
      </c>
      <c r="J1625" t="s">
        <v>185</v>
      </c>
      <c r="K1625" t="s">
        <v>13</v>
      </c>
      <c r="L1625" t="s">
        <v>19</v>
      </c>
      <c r="M1625" t="s">
        <v>302</v>
      </c>
      <c r="N1625" s="2">
        <v>46203</v>
      </c>
    </row>
    <row r="1626" spans="1:14" x14ac:dyDescent="0.25">
      <c r="A1626" t="s">
        <v>422</v>
      </c>
      <c r="B1626" s="2">
        <v>46203</v>
      </c>
      <c r="C1626" t="s">
        <v>422</v>
      </c>
      <c r="D1626" t="s">
        <v>301</v>
      </c>
      <c r="E1626" t="s">
        <v>9</v>
      </c>
      <c r="F1626" s="3">
        <v>-10000</v>
      </c>
      <c r="G1626" s="3">
        <v>-10000</v>
      </c>
      <c r="H1626" t="s">
        <v>3</v>
      </c>
      <c r="I1626" t="s">
        <v>3</v>
      </c>
      <c r="J1626" t="s">
        <v>185</v>
      </c>
      <c r="K1626" t="s">
        <v>13</v>
      </c>
      <c r="L1626" t="s">
        <v>19</v>
      </c>
      <c r="M1626" t="s">
        <v>302</v>
      </c>
      <c r="N1626" s="2">
        <v>46203</v>
      </c>
    </row>
    <row r="1627" spans="1:14" x14ac:dyDescent="0.25">
      <c r="A1627" t="s">
        <v>422</v>
      </c>
      <c r="B1627" s="2">
        <v>46203</v>
      </c>
      <c r="C1627" t="s">
        <v>422</v>
      </c>
      <c r="D1627" t="s">
        <v>301</v>
      </c>
      <c r="E1627" t="s">
        <v>9</v>
      </c>
      <c r="F1627" s="3">
        <v>-10000</v>
      </c>
      <c r="G1627" s="3">
        <v>-10000</v>
      </c>
      <c r="H1627" t="s">
        <v>3</v>
      </c>
      <c r="I1627" t="s">
        <v>3</v>
      </c>
      <c r="J1627" t="s">
        <v>185</v>
      </c>
      <c r="K1627" t="s">
        <v>13</v>
      </c>
      <c r="L1627" t="s">
        <v>19</v>
      </c>
      <c r="M1627" t="s">
        <v>302</v>
      </c>
      <c r="N1627" s="2">
        <v>46203</v>
      </c>
    </row>
    <row r="1628" spans="1:14" x14ac:dyDescent="0.25">
      <c r="A1628" t="s">
        <v>422</v>
      </c>
      <c r="B1628" s="2">
        <v>46203</v>
      </c>
      <c r="C1628" t="s">
        <v>422</v>
      </c>
      <c r="D1628" t="s">
        <v>301</v>
      </c>
      <c r="E1628" t="s">
        <v>9</v>
      </c>
      <c r="F1628" s="3">
        <v>-72790</v>
      </c>
      <c r="G1628" s="3">
        <v>-72790</v>
      </c>
      <c r="H1628" t="s">
        <v>3</v>
      </c>
      <c r="I1628" t="s">
        <v>3</v>
      </c>
      <c r="J1628" t="s">
        <v>185</v>
      </c>
      <c r="K1628" t="s">
        <v>13</v>
      </c>
      <c r="L1628" t="s">
        <v>19</v>
      </c>
      <c r="M1628" t="s">
        <v>302</v>
      </c>
      <c r="N1628" s="2">
        <v>46203</v>
      </c>
    </row>
    <row r="1629" spans="1:14" x14ac:dyDescent="0.25">
      <c r="A1629" s="4" t="s">
        <v>224</v>
      </c>
      <c r="B1629" s="5"/>
      <c r="C1629" s="4" t="s">
        <v>9</v>
      </c>
      <c r="D1629" s="4" t="s">
        <v>9</v>
      </c>
      <c r="E1629" s="4" t="s">
        <v>9</v>
      </c>
      <c r="F1629" s="6">
        <v>0</v>
      </c>
      <c r="G1629" s="6">
        <v>0</v>
      </c>
      <c r="H1629" s="4" t="s">
        <v>9</v>
      </c>
      <c r="I1629" s="4" t="s">
        <v>3</v>
      </c>
      <c r="J1629" s="4" t="s">
        <v>9</v>
      </c>
      <c r="K1629" s="4" t="s">
        <v>9</v>
      </c>
      <c r="L1629" s="4" t="s">
        <v>9</v>
      </c>
      <c r="M1629" s="4" t="s">
        <v>9</v>
      </c>
      <c r="N1629" s="5"/>
    </row>
    <row r="1630" spans="1:14" x14ac:dyDescent="0.25">
      <c r="A1630" t="s">
        <v>422</v>
      </c>
      <c r="B1630" s="2">
        <v>45870</v>
      </c>
      <c r="C1630" t="s">
        <v>422</v>
      </c>
      <c r="D1630" t="s">
        <v>112</v>
      </c>
      <c r="E1630" t="s">
        <v>9</v>
      </c>
      <c r="F1630" s="3">
        <v>-67300</v>
      </c>
      <c r="G1630" s="3">
        <v>-67300</v>
      </c>
      <c r="H1630" t="s">
        <v>3</v>
      </c>
      <c r="I1630" t="s">
        <v>3</v>
      </c>
      <c r="J1630" t="s">
        <v>9</v>
      </c>
      <c r="K1630" t="s">
        <v>9</v>
      </c>
      <c r="L1630" t="s">
        <v>21</v>
      </c>
      <c r="M1630" t="s">
        <v>114</v>
      </c>
      <c r="N1630" s="2">
        <v>45869</v>
      </c>
    </row>
    <row r="1631" spans="1:14" x14ac:dyDescent="0.25">
      <c r="A1631" t="s">
        <v>422</v>
      </c>
      <c r="B1631" s="2">
        <v>45870</v>
      </c>
      <c r="C1631" t="s">
        <v>422</v>
      </c>
      <c r="D1631" t="s">
        <v>424</v>
      </c>
      <c r="E1631" t="s">
        <v>9</v>
      </c>
      <c r="F1631" s="3">
        <v>-33.51</v>
      </c>
      <c r="G1631" s="3">
        <v>-33.51</v>
      </c>
      <c r="H1631" t="s">
        <v>3</v>
      </c>
      <c r="I1631" t="s">
        <v>3</v>
      </c>
      <c r="J1631" t="s">
        <v>9</v>
      </c>
      <c r="K1631" t="s">
        <v>9</v>
      </c>
      <c r="L1631" t="s">
        <v>21</v>
      </c>
      <c r="M1631" t="s">
        <v>425</v>
      </c>
      <c r="N1631" s="2">
        <v>45869</v>
      </c>
    </row>
    <row r="1632" spans="1:14" x14ac:dyDescent="0.25">
      <c r="A1632" t="s">
        <v>422</v>
      </c>
      <c r="B1632" s="2">
        <v>46239</v>
      </c>
      <c r="C1632" t="s">
        <v>422</v>
      </c>
      <c r="D1632" t="s">
        <v>112</v>
      </c>
      <c r="E1632" t="s">
        <v>9</v>
      </c>
      <c r="F1632" s="3">
        <v>564379.17000000004</v>
      </c>
      <c r="G1632" s="3">
        <v>564379.17000000004</v>
      </c>
      <c r="H1632" t="s">
        <v>3</v>
      </c>
      <c r="I1632" t="s">
        <v>3</v>
      </c>
      <c r="J1632" t="s">
        <v>9</v>
      </c>
      <c r="K1632" t="s">
        <v>9</v>
      </c>
      <c r="L1632" t="s">
        <v>21</v>
      </c>
      <c r="M1632" t="s">
        <v>114</v>
      </c>
      <c r="N1632" s="2">
        <v>46234</v>
      </c>
    </row>
    <row r="1633" spans="1:14" x14ac:dyDescent="0.25">
      <c r="A1633" t="s">
        <v>422</v>
      </c>
      <c r="B1633" s="2">
        <v>46239</v>
      </c>
      <c r="C1633" t="s">
        <v>422</v>
      </c>
      <c r="D1633" t="s">
        <v>112</v>
      </c>
      <c r="E1633" t="s">
        <v>9</v>
      </c>
      <c r="F1633" s="3">
        <v>-560737</v>
      </c>
      <c r="G1633" s="3">
        <v>-560737</v>
      </c>
      <c r="H1633" t="s">
        <v>3</v>
      </c>
      <c r="I1633" t="s">
        <v>3</v>
      </c>
      <c r="J1633" t="s">
        <v>9</v>
      </c>
      <c r="K1633" t="s">
        <v>9</v>
      </c>
      <c r="L1633" t="s">
        <v>21</v>
      </c>
      <c r="M1633" t="s">
        <v>114</v>
      </c>
      <c r="N1633" s="2">
        <v>46234</v>
      </c>
    </row>
    <row r="1634" spans="1:14" x14ac:dyDescent="0.25">
      <c r="A1634" t="s">
        <v>422</v>
      </c>
      <c r="B1634" s="2">
        <v>45838</v>
      </c>
      <c r="C1634" t="s">
        <v>422</v>
      </c>
      <c r="D1634" t="s">
        <v>112</v>
      </c>
      <c r="E1634" t="s">
        <v>9</v>
      </c>
      <c r="F1634" s="3">
        <v>-158500</v>
      </c>
      <c r="G1634" s="3">
        <v>-158500</v>
      </c>
      <c r="H1634" t="s">
        <v>3</v>
      </c>
      <c r="I1634" t="s">
        <v>3</v>
      </c>
      <c r="J1634" t="s">
        <v>314</v>
      </c>
      <c r="K1634" t="s">
        <v>5</v>
      </c>
      <c r="L1634" t="s">
        <v>21</v>
      </c>
      <c r="M1634" t="s">
        <v>114</v>
      </c>
      <c r="N1634" s="2">
        <v>45839</v>
      </c>
    </row>
    <row r="1635" spans="1:14" x14ac:dyDescent="0.25">
      <c r="A1635" t="s">
        <v>422</v>
      </c>
      <c r="B1635" s="2">
        <v>45838</v>
      </c>
      <c r="C1635" t="s">
        <v>422</v>
      </c>
      <c r="D1635" t="s">
        <v>112</v>
      </c>
      <c r="E1635" t="s">
        <v>9</v>
      </c>
      <c r="F1635" s="3">
        <v>-800</v>
      </c>
      <c r="G1635" s="3">
        <v>-800</v>
      </c>
      <c r="H1635" t="s">
        <v>3</v>
      </c>
      <c r="I1635" t="s">
        <v>3</v>
      </c>
      <c r="J1635" t="s">
        <v>315</v>
      </c>
      <c r="K1635" t="s">
        <v>5</v>
      </c>
      <c r="L1635" t="s">
        <v>21</v>
      </c>
      <c r="M1635" t="s">
        <v>114</v>
      </c>
      <c r="N1635" s="2">
        <v>45839</v>
      </c>
    </row>
    <row r="1636" spans="1:14" x14ac:dyDescent="0.25">
      <c r="A1636" t="s">
        <v>422</v>
      </c>
      <c r="B1636" s="2">
        <v>45838</v>
      </c>
      <c r="C1636" t="s">
        <v>422</v>
      </c>
      <c r="D1636" t="s">
        <v>112</v>
      </c>
      <c r="E1636" t="s">
        <v>9</v>
      </c>
      <c r="F1636" s="3">
        <v>-3050</v>
      </c>
      <c r="G1636" s="3">
        <v>-3050</v>
      </c>
      <c r="H1636" t="s">
        <v>3</v>
      </c>
      <c r="I1636" t="s">
        <v>3</v>
      </c>
      <c r="J1636" t="s">
        <v>398</v>
      </c>
      <c r="K1636" t="s">
        <v>5</v>
      </c>
      <c r="L1636" t="s">
        <v>21</v>
      </c>
      <c r="M1636" t="s">
        <v>114</v>
      </c>
      <c r="N1636" s="2">
        <v>45839</v>
      </c>
    </row>
    <row r="1637" spans="1:14" x14ac:dyDescent="0.25">
      <c r="A1637" t="s">
        <v>422</v>
      </c>
      <c r="B1637" s="2">
        <v>45869</v>
      </c>
      <c r="C1637" t="s">
        <v>422</v>
      </c>
      <c r="D1637" t="s">
        <v>424</v>
      </c>
      <c r="E1637" t="s">
        <v>9</v>
      </c>
      <c r="F1637" s="3">
        <v>33.51</v>
      </c>
      <c r="G1637" s="3">
        <v>33.51</v>
      </c>
      <c r="H1637" t="s">
        <v>3</v>
      </c>
      <c r="I1637" t="s">
        <v>3</v>
      </c>
      <c r="J1637" t="s">
        <v>426</v>
      </c>
      <c r="K1637" t="s">
        <v>5</v>
      </c>
      <c r="L1637" t="s">
        <v>21</v>
      </c>
      <c r="M1637" t="s">
        <v>425</v>
      </c>
      <c r="N1637" s="2">
        <v>45869</v>
      </c>
    </row>
    <row r="1638" spans="1:14" x14ac:dyDescent="0.25">
      <c r="A1638" t="s">
        <v>422</v>
      </c>
      <c r="B1638" s="2">
        <v>45869</v>
      </c>
      <c r="C1638" t="s">
        <v>422</v>
      </c>
      <c r="D1638" t="s">
        <v>112</v>
      </c>
      <c r="E1638" t="s">
        <v>9</v>
      </c>
      <c r="F1638" s="3">
        <v>224700</v>
      </c>
      <c r="G1638" s="3">
        <v>224700</v>
      </c>
      <c r="H1638" t="s">
        <v>3</v>
      </c>
      <c r="I1638" t="s">
        <v>3</v>
      </c>
      <c r="J1638" t="s">
        <v>317</v>
      </c>
      <c r="K1638" t="s">
        <v>5</v>
      </c>
      <c r="L1638" t="s">
        <v>21</v>
      </c>
      <c r="M1638" t="s">
        <v>114</v>
      </c>
      <c r="N1638" s="2">
        <v>45869</v>
      </c>
    </row>
    <row r="1639" spans="1:14" x14ac:dyDescent="0.25">
      <c r="A1639" t="s">
        <v>422</v>
      </c>
      <c r="B1639" s="2">
        <v>45869</v>
      </c>
      <c r="C1639" t="s">
        <v>422</v>
      </c>
      <c r="D1639" t="s">
        <v>112</v>
      </c>
      <c r="E1639" t="s">
        <v>9</v>
      </c>
      <c r="F1639" s="3">
        <v>800</v>
      </c>
      <c r="G1639" s="3">
        <v>800</v>
      </c>
      <c r="H1639" t="s">
        <v>3</v>
      </c>
      <c r="I1639" t="s">
        <v>3</v>
      </c>
      <c r="J1639" t="s">
        <v>318</v>
      </c>
      <c r="K1639" t="s">
        <v>5</v>
      </c>
      <c r="L1639" t="s">
        <v>21</v>
      </c>
      <c r="M1639" t="s">
        <v>114</v>
      </c>
      <c r="N1639" s="2">
        <v>45869</v>
      </c>
    </row>
    <row r="1640" spans="1:14" x14ac:dyDescent="0.25">
      <c r="A1640" t="s">
        <v>422</v>
      </c>
      <c r="B1640" s="2">
        <v>45869</v>
      </c>
      <c r="C1640" t="s">
        <v>422</v>
      </c>
      <c r="D1640" t="s">
        <v>112</v>
      </c>
      <c r="E1640" t="s">
        <v>9</v>
      </c>
      <c r="F1640" s="3">
        <v>4150</v>
      </c>
      <c r="G1640" s="3">
        <v>4150</v>
      </c>
      <c r="H1640" t="s">
        <v>3</v>
      </c>
      <c r="I1640" t="s">
        <v>3</v>
      </c>
      <c r="J1640" t="s">
        <v>382</v>
      </c>
      <c r="K1640" t="s">
        <v>5</v>
      </c>
      <c r="L1640" t="s">
        <v>21</v>
      </c>
      <c r="M1640" t="s">
        <v>114</v>
      </c>
      <c r="N1640" s="2">
        <v>45869</v>
      </c>
    </row>
    <row r="1641" spans="1:14" x14ac:dyDescent="0.25">
      <c r="A1641" t="s">
        <v>422</v>
      </c>
      <c r="B1641" s="2">
        <v>46203</v>
      </c>
      <c r="C1641" t="s">
        <v>422</v>
      </c>
      <c r="D1641" t="s">
        <v>112</v>
      </c>
      <c r="E1641" t="s">
        <v>9</v>
      </c>
      <c r="F1641" s="3">
        <v>-546179.17000000004</v>
      </c>
      <c r="G1641" s="3">
        <v>-546179.17000000004</v>
      </c>
      <c r="H1641" t="s">
        <v>3</v>
      </c>
      <c r="I1641" t="s">
        <v>3</v>
      </c>
      <c r="J1641" t="s">
        <v>316</v>
      </c>
      <c r="K1641" t="s">
        <v>13</v>
      </c>
      <c r="L1641" t="s">
        <v>21</v>
      </c>
      <c r="M1641" t="s">
        <v>114</v>
      </c>
      <c r="N1641" s="2">
        <v>46204</v>
      </c>
    </row>
    <row r="1642" spans="1:14" x14ac:dyDescent="0.25">
      <c r="A1642" t="s">
        <v>422</v>
      </c>
      <c r="B1642" s="2">
        <v>46203</v>
      </c>
      <c r="C1642" t="s">
        <v>422</v>
      </c>
      <c r="D1642" t="s">
        <v>112</v>
      </c>
      <c r="E1642" t="s">
        <v>9</v>
      </c>
      <c r="F1642" s="3">
        <v>-3600</v>
      </c>
      <c r="G1642" s="3">
        <v>-3600</v>
      </c>
      <c r="H1642" t="s">
        <v>3</v>
      </c>
      <c r="I1642" t="s">
        <v>3</v>
      </c>
      <c r="J1642" t="s">
        <v>372</v>
      </c>
      <c r="K1642" t="s">
        <v>13</v>
      </c>
      <c r="L1642" t="s">
        <v>21</v>
      </c>
      <c r="M1642" t="s">
        <v>114</v>
      </c>
      <c r="N1642" s="2">
        <v>46204</v>
      </c>
    </row>
    <row r="1643" spans="1:14" x14ac:dyDescent="0.25">
      <c r="A1643" t="s">
        <v>422</v>
      </c>
      <c r="B1643" s="2">
        <v>46203</v>
      </c>
      <c r="C1643" t="s">
        <v>422</v>
      </c>
      <c r="D1643" t="s">
        <v>112</v>
      </c>
      <c r="E1643" t="s">
        <v>9</v>
      </c>
      <c r="F1643" s="3">
        <v>-14600</v>
      </c>
      <c r="G1643" s="3">
        <v>-14600</v>
      </c>
      <c r="H1643" t="s">
        <v>3</v>
      </c>
      <c r="I1643" t="s">
        <v>3</v>
      </c>
      <c r="J1643" t="s">
        <v>428</v>
      </c>
      <c r="K1643" t="s">
        <v>13</v>
      </c>
      <c r="L1643" t="s">
        <v>21</v>
      </c>
      <c r="M1643" t="s">
        <v>114</v>
      </c>
      <c r="N1643" s="2">
        <v>46204</v>
      </c>
    </row>
    <row r="1644" spans="1:14" x14ac:dyDescent="0.25">
      <c r="A1644" t="s">
        <v>422</v>
      </c>
      <c r="B1644" s="2">
        <v>46234</v>
      </c>
      <c r="C1644" t="s">
        <v>422</v>
      </c>
      <c r="D1644" t="s">
        <v>112</v>
      </c>
      <c r="E1644" t="s">
        <v>9</v>
      </c>
      <c r="F1644" s="3">
        <v>542337</v>
      </c>
      <c r="G1644" s="3">
        <v>542337</v>
      </c>
      <c r="H1644" t="s">
        <v>3</v>
      </c>
      <c r="I1644" t="s">
        <v>3</v>
      </c>
      <c r="J1644" t="s">
        <v>319</v>
      </c>
      <c r="K1644" t="s">
        <v>13</v>
      </c>
      <c r="L1644" t="s">
        <v>21</v>
      </c>
      <c r="M1644" t="s">
        <v>114</v>
      </c>
      <c r="N1644" s="2">
        <v>46234</v>
      </c>
    </row>
    <row r="1645" spans="1:14" x14ac:dyDescent="0.25">
      <c r="A1645" t="s">
        <v>422</v>
      </c>
      <c r="B1645" s="2">
        <v>46234</v>
      </c>
      <c r="C1645" t="s">
        <v>422</v>
      </c>
      <c r="D1645" t="s">
        <v>112</v>
      </c>
      <c r="E1645" t="s">
        <v>9</v>
      </c>
      <c r="F1645" s="3">
        <v>3600</v>
      </c>
      <c r="G1645" s="3">
        <v>3600</v>
      </c>
      <c r="H1645" t="s">
        <v>3</v>
      </c>
      <c r="I1645" t="s">
        <v>3</v>
      </c>
      <c r="J1645" t="s">
        <v>373</v>
      </c>
      <c r="K1645" t="s">
        <v>13</v>
      </c>
      <c r="L1645" t="s">
        <v>21</v>
      </c>
      <c r="M1645" t="s">
        <v>114</v>
      </c>
      <c r="N1645" s="2">
        <v>46234</v>
      </c>
    </row>
    <row r="1646" spans="1:14" x14ac:dyDescent="0.25">
      <c r="A1646" t="s">
        <v>422</v>
      </c>
      <c r="B1646" s="2">
        <v>46234</v>
      </c>
      <c r="C1646" t="s">
        <v>422</v>
      </c>
      <c r="D1646" t="s">
        <v>112</v>
      </c>
      <c r="E1646" t="s">
        <v>9</v>
      </c>
      <c r="F1646" s="3">
        <v>14800</v>
      </c>
      <c r="G1646" s="3">
        <v>14800</v>
      </c>
      <c r="H1646" t="s">
        <v>3</v>
      </c>
      <c r="I1646" t="s">
        <v>3</v>
      </c>
      <c r="J1646" t="s">
        <v>429</v>
      </c>
      <c r="K1646" t="s">
        <v>13</v>
      </c>
      <c r="L1646" t="s">
        <v>21</v>
      </c>
      <c r="M1646" t="s">
        <v>114</v>
      </c>
      <c r="N1646" s="2">
        <v>46234</v>
      </c>
    </row>
    <row r="1647" spans="1:14" x14ac:dyDescent="0.25">
      <c r="A1647" s="4" t="s">
        <v>262</v>
      </c>
      <c r="B1647" s="5"/>
      <c r="C1647" s="4" t="s">
        <v>9</v>
      </c>
      <c r="D1647" s="4" t="s">
        <v>9</v>
      </c>
      <c r="E1647" s="4" t="s">
        <v>9</v>
      </c>
      <c r="F1647" s="6">
        <v>0</v>
      </c>
      <c r="G1647" s="6">
        <v>0</v>
      </c>
      <c r="H1647" s="4" t="s">
        <v>9</v>
      </c>
      <c r="I1647" s="4" t="s">
        <v>3</v>
      </c>
      <c r="J1647" s="4" t="s">
        <v>9</v>
      </c>
      <c r="K1647" s="4" t="s">
        <v>9</v>
      </c>
      <c r="L1647" s="4" t="s">
        <v>9</v>
      </c>
      <c r="M1647" s="4" t="s">
        <v>9</v>
      </c>
      <c r="N1647" s="5"/>
    </row>
    <row r="1648" spans="1:14" x14ac:dyDescent="0.25">
      <c r="A1648" t="s">
        <v>422</v>
      </c>
      <c r="B1648" s="2">
        <v>45901</v>
      </c>
      <c r="C1648" t="s">
        <v>422</v>
      </c>
      <c r="D1648" t="s">
        <v>112</v>
      </c>
      <c r="E1648" t="s">
        <v>9</v>
      </c>
      <c r="F1648" s="3">
        <v>-46180</v>
      </c>
      <c r="G1648" s="3">
        <v>-46180</v>
      </c>
      <c r="H1648" t="s">
        <v>3</v>
      </c>
      <c r="I1648" t="s">
        <v>3</v>
      </c>
      <c r="J1648" t="s">
        <v>9</v>
      </c>
      <c r="K1648" t="s">
        <v>9</v>
      </c>
      <c r="L1648" t="s">
        <v>22</v>
      </c>
      <c r="M1648" t="s">
        <v>114</v>
      </c>
      <c r="N1648" s="2">
        <v>45900</v>
      </c>
    </row>
    <row r="1649" spans="1:14" x14ac:dyDescent="0.25">
      <c r="A1649" t="s">
        <v>422</v>
      </c>
      <c r="B1649" s="2">
        <v>45903</v>
      </c>
      <c r="C1649" t="s">
        <v>422</v>
      </c>
      <c r="D1649" t="s">
        <v>112</v>
      </c>
      <c r="E1649" t="s">
        <v>9</v>
      </c>
      <c r="F1649" s="3">
        <v>-28540</v>
      </c>
      <c r="G1649" s="3">
        <v>-28540</v>
      </c>
      <c r="H1649" t="s">
        <v>3</v>
      </c>
      <c r="I1649" t="s">
        <v>3</v>
      </c>
      <c r="J1649" t="s">
        <v>9</v>
      </c>
      <c r="K1649" t="s">
        <v>9</v>
      </c>
      <c r="L1649" t="s">
        <v>22</v>
      </c>
      <c r="M1649" t="s">
        <v>114</v>
      </c>
      <c r="N1649" s="2">
        <v>45900</v>
      </c>
    </row>
    <row r="1650" spans="1:14" x14ac:dyDescent="0.25">
      <c r="A1650" t="s">
        <v>422</v>
      </c>
      <c r="B1650" s="2">
        <v>46267</v>
      </c>
      <c r="C1650" t="s">
        <v>422</v>
      </c>
      <c r="D1650" t="s">
        <v>112</v>
      </c>
      <c r="E1650" t="s">
        <v>9</v>
      </c>
      <c r="F1650" s="3">
        <v>-8765</v>
      </c>
      <c r="G1650" s="3">
        <v>-8765</v>
      </c>
      <c r="H1650" t="s">
        <v>3</v>
      </c>
      <c r="I1650" t="s">
        <v>3</v>
      </c>
      <c r="J1650" t="s">
        <v>9</v>
      </c>
      <c r="K1650" t="s">
        <v>9</v>
      </c>
      <c r="L1650" t="s">
        <v>22</v>
      </c>
      <c r="M1650" t="s">
        <v>114</v>
      </c>
      <c r="N1650" s="2">
        <v>46265</v>
      </c>
    </row>
    <row r="1651" spans="1:14" x14ac:dyDescent="0.25">
      <c r="A1651" t="s">
        <v>422</v>
      </c>
      <c r="B1651" s="2">
        <v>45869</v>
      </c>
      <c r="C1651" t="s">
        <v>422</v>
      </c>
      <c r="D1651" t="s">
        <v>112</v>
      </c>
      <c r="E1651" t="s">
        <v>9</v>
      </c>
      <c r="F1651" s="3">
        <v>-224700</v>
      </c>
      <c r="G1651" s="3">
        <v>-224700</v>
      </c>
      <c r="H1651" t="s">
        <v>3</v>
      </c>
      <c r="I1651" t="s">
        <v>3</v>
      </c>
      <c r="J1651" t="s">
        <v>317</v>
      </c>
      <c r="K1651" t="s">
        <v>5</v>
      </c>
      <c r="L1651" t="s">
        <v>22</v>
      </c>
      <c r="M1651" t="s">
        <v>114</v>
      </c>
      <c r="N1651" s="2">
        <v>45870</v>
      </c>
    </row>
    <row r="1652" spans="1:14" x14ac:dyDescent="0.25">
      <c r="A1652" t="s">
        <v>422</v>
      </c>
      <c r="B1652" s="2">
        <v>45869</v>
      </c>
      <c r="C1652" t="s">
        <v>422</v>
      </c>
      <c r="D1652" t="s">
        <v>112</v>
      </c>
      <c r="E1652" t="s">
        <v>9</v>
      </c>
      <c r="F1652" s="3">
        <v>-800</v>
      </c>
      <c r="G1652" s="3">
        <v>-800</v>
      </c>
      <c r="H1652" t="s">
        <v>3</v>
      </c>
      <c r="I1652" t="s">
        <v>3</v>
      </c>
      <c r="J1652" t="s">
        <v>318</v>
      </c>
      <c r="K1652" t="s">
        <v>5</v>
      </c>
      <c r="L1652" t="s">
        <v>22</v>
      </c>
      <c r="M1652" t="s">
        <v>114</v>
      </c>
      <c r="N1652" s="2">
        <v>45870</v>
      </c>
    </row>
    <row r="1653" spans="1:14" x14ac:dyDescent="0.25">
      <c r="A1653" t="s">
        <v>422</v>
      </c>
      <c r="B1653" s="2">
        <v>45869</v>
      </c>
      <c r="C1653" t="s">
        <v>422</v>
      </c>
      <c r="D1653" t="s">
        <v>112</v>
      </c>
      <c r="E1653" t="s">
        <v>9</v>
      </c>
      <c r="F1653" s="3">
        <v>-4150</v>
      </c>
      <c r="G1653" s="3">
        <v>-4150</v>
      </c>
      <c r="H1653" t="s">
        <v>3</v>
      </c>
      <c r="I1653" t="s">
        <v>3</v>
      </c>
      <c r="J1653" t="s">
        <v>382</v>
      </c>
      <c r="K1653" t="s">
        <v>5</v>
      </c>
      <c r="L1653" t="s">
        <v>22</v>
      </c>
      <c r="M1653" t="s">
        <v>114</v>
      </c>
      <c r="N1653" s="2">
        <v>45870</v>
      </c>
    </row>
    <row r="1654" spans="1:14" x14ac:dyDescent="0.25">
      <c r="A1654" t="s">
        <v>422</v>
      </c>
      <c r="B1654" s="2">
        <v>45900</v>
      </c>
      <c r="C1654" t="s">
        <v>422</v>
      </c>
      <c r="D1654" t="s">
        <v>112</v>
      </c>
      <c r="E1654" t="s">
        <v>9</v>
      </c>
      <c r="F1654" s="3">
        <v>269080</v>
      </c>
      <c r="G1654" s="3">
        <v>269080</v>
      </c>
      <c r="H1654" t="s">
        <v>3</v>
      </c>
      <c r="I1654" t="s">
        <v>3</v>
      </c>
      <c r="J1654" t="s">
        <v>320</v>
      </c>
      <c r="K1654" t="s">
        <v>5</v>
      </c>
      <c r="L1654" t="s">
        <v>22</v>
      </c>
      <c r="M1654" t="s">
        <v>114</v>
      </c>
      <c r="N1654" s="2">
        <v>45900</v>
      </c>
    </row>
    <row r="1655" spans="1:14" x14ac:dyDescent="0.25">
      <c r="A1655" t="s">
        <v>422</v>
      </c>
      <c r="B1655" s="2">
        <v>45900</v>
      </c>
      <c r="C1655" t="s">
        <v>422</v>
      </c>
      <c r="D1655" t="s">
        <v>112</v>
      </c>
      <c r="E1655" t="s">
        <v>9</v>
      </c>
      <c r="F1655" s="3">
        <v>800</v>
      </c>
      <c r="G1655" s="3">
        <v>800</v>
      </c>
      <c r="H1655" t="s">
        <v>3</v>
      </c>
      <c r="I1655" t="s">
        <v>3</v>
      </c>
      <c r="J1655" t="s">
        <v>321</v>
      </c>
      <c r="K1655" t="s">
        <v>5</v>
      </c>
      <c r="L1655" t="s">
        <v>22</v>
      </c>
      <c r="M1655" t="s">
        <v>114</v>
      </c>
      <c r="N1655" s="2">
        <v>45900</v>
      </c>
    </row>
    <row r="1656" spans="1:14" x14ac:dyDescent="0.25">
      <c r="A1656" t="s">
        <v>422</v>
      </c>
      <c r="B1656" s="2">
        <v>45900</v>
      </c>
      <c r="C1656" t="s">
        <v>422</v>
      </c>
      <c r="D1656" t="s">
        <v>112</v>
      </c>
      <c r="E1656" t="s">
        <v>9</v>
      </c>
      <c r="F1656" s="3">
        <v>5950</v>
      </c>
      <c r="G1656" s="3">
        <v>5950</v>
      </c>
      <c r="H1656" t="s">
        <v>3</v>
      </c>
      <c r="I1656" t="s">
        <v>3</v>
      </c>
      <c r="J1656" t="s">
        <v>383</v>
      </c>
      <c r="K1656" t="s">
        <v>5</v>
      </c>
      <c r="L1656" t="s">
        <v>22</v>
      </c>
      <c r="M1656" t="s">
        <v>114</v>
      </c>
      <c r="N1656" s="2">
        <v>45900</v>
      </c>
    </row>
    <row r="1657" spans="1:14" x14ac:dyDescent="0.25">
      <c r="A1657" t="s">
        <v>422</v>
      </c>
      <c r="B1657" s="2">
        <v>45900</v>
      </c>
      <c r="C1657" t="s">
        <v>422</v>
      </c>
      <c r="D1657" t="s">
        <v>112</v>
      </c>
      <c r="E1657" t="s">
        <v>9</v>
      </c>
      <c r="F1657" s="3">
        <v>-269080</v>
      </c>
      <c r="G1657" s="3">
        <v>-269080</v>
      </c>
      <c r="H1657" t="s">
        <v>3</v>
      </c>
      <c r="I1657" t="s">
        <v>3</v>
      </c>
      <c r="J1657" t="s">
        <v>320</v>
      </c>
      <c r="K1657" t="s">
        <v>5</v>
      </c>
      <c r="L1657" t="s">
        <v>22</v>
      </c>
      <c r="M1657" t="s">
        <v>114</v>
      </c>
      <c r="N1657" s="2">
        <v>45900</v>
      </c>
    </row>
    <row r="1658" spans="1:14" x14ac:dyDescent="0.25">
      <c r="A1658" t="s">
        <v>422</v>
      </c>
      <c r="B1658" s="2">
        <v>45900</v>
      </c>
      <c r="C1658" t="s">
        <v>422</v>
      </c>
      <c r="D1658" t="s">
        <v>112</v>
      </c>
      <c r="E1658" t="s">
        <v>9</v>
      </c>
      <c r="F1658" s="3">
        <v>-800</v>
      </c>
      <c r="G1658" s="3">
        <v>-800</v>
      </c>
      <c r="H1658" t="s">
        <v>3</v>
      </c>
      <c r="I1658" t="s">
        <v>3</v>
      </c>
      <c r="J1658" t="s">
        <v>321</v>
      </c>
      <c r="K1658" t="s">
        <v>5</v>
      </c>
      <c r="L1658" t="s">
        <v>22</v>
      </c>
      <c r="M1658" t="s">
        <v>114</v>
      </c>
      <c r="N1658" s="2">
        <v>45900</v>
      </c>
    </row>
    <row r="1659" spans="1:14" x14ac:dyDescent="0.25">
      <c r="A1659" t="s">
        <v>422</v>
      </c>
      <c r="B1659" s="2">
        <v>45900</v>
      </c>
      <c r="C1659" t="s">
        <v>422</v>
      </c>
      <c r="D1659" t="s">
        <v>112</v>
      </c>
      <c r="E1659" t="s">
        <v>9</v>
      </c>
      <c r="F1659" s="3">
        <v>-5950</v>
      </c>
      <c r="G1659" s="3">
        <v>-5950</v>
      </c>
      <c r="H1659" t="s">
        <v>3</v>
      </c>
      <c r="I1659" t="s">
        <v>3</v>
      </c>
      <c r="J1659" t="s">
        <v>383</v>
      </c>
      <c r="K1659" t="s">
        <v>5</v>
      </c>
      <c r="L1659" t="s">
        <v>22</v>
      </c>
      <c r="M1659" t="s">
        <v>114</v>
      </c>
      <c r="N1659" s="2">
        <v>45900</v>
      </c>
    </row>
    <row r="1660" spans="1:14" x14ac:dyDescent="0.25">
      <c r="A1660" t="s">
        <v>422</v>
      </c>
      <c r="B1660" s="2">
        <v>45900</v>
      </c>
      <c r="C1660" t="s">
        <v>422</v>
      </c>
      <c r="D1660" t="s">
        <v>112</v>
      </c>
      <c r="E1660" t="s">
        <v>9</v>
      </c>
      <c r="F1660" s="3">
        <v>270310</v>
      </c>
      <c r="G1660" s="3">
        <v>270310</v>
      </c>
      <c r="H1660" t="s">
        <v>3</v>
      </c>
      <c r="I1660" t="s">
        <v>3</v>
      </c>
      <c r="J1660" t="s">
        <v>320</v>
      </c>
      <c r="K1660" t="s">
        <v>5</v>
      </c>
      <c r="L1660" t="s">
        <v>22</v>
      </c>
      <c r="M1660" t="s">
        <v>114</v>
      </c>
      <c r="N1660" s="2">
        <v>45900</v>
      </c>
    </row>
    <row r="1661" spans="1:14" x14ac:dyDescent="0.25">
      <c r="A1661" t="s">
        <v>422</v>
      </c>
      <c r="B1661" s="2">
        <v>45900</v>
      </c>
      <c r="C1661" t="s">
        <v>422</v>
      </c>
      <c r="D1661" t="s">
        <v>112</v>
      </c>
      <c r="E1661" t="s">
        <v>9</v>
      </c>
      <c r="F1661" s="3">
        <v>800</v>
      </c>
      <c r="G1661" s="3">
        <v>800</v>
      </c>
      <c r="H1661" t="s">
        <v>3</v>
      </c>
      <c r="I1661" t="s">
        <v>3</v>
      </c>
      <c r="J1661" t="s">
        <v>321</v>
      </c>
      <c r="K1661" t="s">
        <v>5</v>
      </c>
      <c r="L1661" t="s">
        <v>22</v>
      </c>
      <c r="M1661" t="s">
        <v>114</v>
      </c>
      <c r="N1661" s="2">
        <v>45900</v>
      </c>
    </row>
    <row r="1662" spans="1:14" x14ac:dyDescent="0.25">
      <c r="A1662" t="s">
        <v>422</v>
      </c>
      <c r="B1662" s="2">
        <v>45900</v>
      </c>
      <c r="C1662" t="s">
        <v>422</v>
      </c>
      <c r="D1662" t="s">
        <v>112</v>
      </c>
      <c r="E1662" t="s">
        <v>9</v>
      </c>
      <c r="F1662" s="3">
        <v>4550</v>
      </c>
      <c r="G1662" s="3">
        <v>4550</v>
      </c>
      <c r="H1662" t="s">
        <v>3</v>
      </c>
      <c r="I1662" t="s">
        <v>3</v>
      </c>
      <c r="J1662" t="s">
        <v>383</v>
      </c>
      <c r="K1662" t="s">
        <v>5</v>
      </c>
      <c r="L1662" t="s">
        <v>22</v>
      </c>
      <c r="M1662" t="s">
        <v>114</v>
      </c>
      <c r="N1662" s="2">
        <v>45900</v>
      </c>
    </row>
    <row r="1663" spans="1:14" x14ac:dyDescent="0.25">
      <c r="A1663" t="s">
        <v>422</v>
      </c>
      <c r="B1663" s="2">
        <v>45900</v>
      </c>
      <c r="C1663" t="s">
        <v>422</v>
      </c>
      <c r="D1663" t="s">
        <v>112</v>
      </c>
      <c r="E1663" t="s">
        <v>9</v>
      </c>
      <c r="F1663" s="3">
        <v>297620</v>
      </c>
      <c r="G1663" s="3">
        <v>297620</v>
      </c>
      <c r="H1663" t="s">
        <v>3</v>
      </c>
      <c r="I1663" t="s">
        <v>3</v>
      </c>
      <c r="J1663" t="s">
        <v>320</v>
      </c>
      <c r="K1663" t="s">
        <v>5</v>
      </c>
      <c r="L1663" t="s">
        <v>22</v>
      </c>
      <c r="M1663" t="s">
        <v>114</v>
      </c>
      <c r="N1663" s="2">
        <v>45900</v>
      </c>
    </row>
    <row r="1664" spans="1:14" x14ac:dyDescent="0.25">
      <c r="A1664" t="s">
        <v>422</v>
      </c>
      <c r="B1664" s="2">
        <v>45900</v>
      </c>
      <c r="C1664" t="s">
        <v>422</v>
      </c>
      <c r="D1664" t="s">
        <v>112</v>
      </c>
      <c r="E1664" t="s">
        <v>9</v>
      </c>
      <c r="F1664" s="3">
        <v>800</v>
      </c>
      <c r="G1664" s="3">
        <v>800</v>
      </c>
      <c r="H1664" t="s">
        <v>3</v>
      </c>
      <c r="I1664" t="s">
        <v>3</v>
      </c>
      <c r="J1664" t="s">
        <v>321</v>
      </c>
      <c r="K1664" t="s">
        <v>5</v>
      </c>
      <c r="L1664" t="s">
        <v>22</v>
      </c>
      <c r="M1664" t="s">
        <v>114</v>
      </c>
      <c r="N1664" s="2">
        <v>45900</v>
      </c>
    </row>
    <row r="1665" spans="1:14" x14ac:dyDescent="0.25">
      <c r="A1665" t="s">
        <v>422</v>
      </c>
      <c r="B1665" s="2">
        <v>45900</v>
      </c>
      <c r="C1665" t="s">
        <v>422</v>
      </c>
      <c r="D1665" t="s">
        <v>112</v>
      </c>
      <c r="E1665" t="s">
        <v>9</v>
      </c>
      <c r="F1665" s="3">
        <v>5950</v>
      </c>
      <c r="G1665" s="3">
        <v>5950</v>
      </c>
      <c r="H1665" t="s">
        <v>3</v>
      </c>
      <c r="I1665" t="s">
        <v>3</v>
      </c>
      <c r="J1665" t="s">
        <v>383</v>
      </c>
      <c r="K1665" t="s">
        <v>5</v>
      </c>
      <c r="L1665" t="s">
        <v>22</v>
      </c>
      <c r="M1665" t="s">
        <v>114</v>
      </c>
      <c r="N1665" s="2">
        <v>45900</v>
      </c>
    </row>
    <row r="1666" spans="1:14" x14ac:dyDescent="0.25">
      <c r="A1666" t="s">
        <v>422</v>
      </c>
      <c r="B1666" s="2">
        <v>45900</v>
      </c>
      <c r="C1666" t="s">
        <v>422</v>
      </c>
      <c r="D1666" t="s">
        <v>112</v>
      </c>
      <c r="E1666" t="s">
        <v>9</v>
      </c>
      <c r="F1666" s="3">
        <v>-270310</v>
      </c>
      <c r="G1666" s="3">
        <v>-270310</v>
      </c>
      <c r="H1666" t="s">
        <v>3</v>
      </c>
      <c r="I1666" t="s">
        <v>3</v>
      </c>
      <c r="J1666" t="s">
        <v>320</v>
      </c>
      <c r="K1666" t="s">
        <v>5</v>
      </c>
      <c r="L1666" t="s">
        <v>22</v>
      </c>
      <c r="M1666" t="s">
        <v>114</v>
      </c>
      <c r="N1666" s="2">
        <v>45900</v>
      </c>
    </row>
    <row r="1667" spans="1:14" x14ac:dyDescent="0.25">
      <c r="A1667" t="s">
        <v>422</v>
      </c>
      <c r="B1667" s="2">
        <v>45900</v>
      </c>
      <c r="C1667" t="s">
        <v>422</v>
      </c>
      <c r="D1667" t="s">
        <v>112</v>
      </c>
      <c r="E1667" t="s">
        <v>9</v>
      </c>
      <c r="F1667" s="3">
        <v>-800</v>
      </c>
      <c r="G1667" s="3">
        <v>-800</v>
      </c>
      <c r="H1667" t="s">
        <v>3</v>
      </c>
      <c r="I1667" t="s">
        <v>3</v>
      </c>
      <c r="J1667" t="s">
        <v>321</v>
      </c>
      <c r="K1667" t="s">
        <v>5</v>
      </c>
      <c r="L1667" t="s">
        <v>22</v>
      </c>
      <c r="M1667" t="s">
        <v>114</v>
      </c>
      <c r="N1667" s="2">
        <v>45900</v>
      </c>
    </row>
    <row r="1668" spans="1:14" x14ac:dyDescent="0.25">
      <c r="A1668" t="s">
        <v>422</v>
      </c>
      <c r="B1668" s="2">
        <v>45900</v>
      </c>
      <c r="C1668" t="s">
        <v>422</v>
      </c>
      <c r="D1668" t="s">
        <v>112</v>
      </c>
      <c r="E1668" t="s">
        <v>9</v>
      </c>
      <c r="F1668" s="3">
        <v>-4550</v>
      </c>
      <c r="G1668" s="3">
        <v>-4550</v>
      </c>
      <c r="H1668" t="s">
        <v>3</v>
      </c>
      <c r="I1668" t="s">
        <v>3</v>
      </c>
      <c r="J1668" t="s">
        <v>383</v>
      </c>
      <c r="K1668" t="s">
        <v>5</v>
      </c>
      <c r="L1668" t="s">
        <v>22</v>
      </c>
      <c r="M1668" t="s">
        <v>114</v>
      </c>
      <c r="N1668" s="2">
        <v>45900</v>
      </c>
    </row>
    <row r="1669" spans="1:14" x14ac:dyDescent="0.25">
      <c r="A1669" t="s">
        <v>422</v>
      </c>
      <c r="B1669" s="2">
        <v>46234</v>
      </c>
      <c r="C1669" t="s">
        <v>422</v>
      </c>
      <c r="D1669" t="s">
        <v>112</v>
      </c>
      <c r="E1669" t="s">
        <v>9</v>
      </c>
      <c r="F1669" s="3">
        <v>-542337</v>
      </c>
      <c r="G1669" s="3">
        <v>-542337</v>
      </c>
      <c r="H1669" t="s">
        <v>3</v>
      </c>
      <c r="I1669" t="s">
        <v>3</v>
      </c>
      <c r="J1669" t="s">
        <v>319</v>
      </c>
      <c r="K1669" t="s">
        <v>13</v>
      </c>
      <c r="L1669" t="s">
        <v>22</v>
      </c>
      <c r="M1669" t="s">
        <v>114</v>
      </c>
      <c r="N1669" s="2">
        <v>46235</v>
      </c>
    </row>
    <row r="1670" spans="1:14" x14ac:dyDescent="0.25">
      <c r="A1670" t="s">
        <v>422</v>
      </c>
      <c r="B1670" s="2">
        <v>46234</v>
      </c>
      <c r="C1670" t="s">
        <v>422</v>
      </c>
      <c r="D1670" t="s">
        <v>112</v>
      </c>
      <c r="E1670" t="s">
        <v>9</v>
      </c>
      <c r="F1670" s="3">
        <v>-3600</v>
      </c>
      <c r="G1670" s="3">
        <v>-3600</v>
      </c>
      <c r="H1670" t="s">
        <v>3</v>
      </c>
      <c r="I1670" t="s">
        <v>3</v>
      </c>
      <c r="J1670" t="s">
        <v>373</v>
      </c>
      <c r="K1670" t="s">
        <v>13</v>
      </c>
      <c r="L1670" t="s">
        <v>22</v>
      </c>
      <c r="M1670" t="s">
        <v>114</v>
      </c>
      <c r="N1670" s="2">
        <v>46235</v>
      </c>
    </row>
    <row r="1671" spans="1:14" x14ac:dyDescent="0.25">
      <c r="A1671" t="s">
        <v>422</v>
      </c>
      <c r="B1671" s="2">
        <v>46234</v>
      </c>
      <c r="C1671" t="s">
        <v>422</v>
      </c>
      <c r="D1671" t="s">
        <v>112</v>
      </c>
      <c r="E1671" t="s">
        <v>9</v>
      </c>
      <c r="F1671" s="3">
        <v>-14800</v>
      </c>
      <c r="G1671" s="3">
        <v>-14800</v>
      </c>
      <c r="H1671" t="s">
        <v>3</v>
      </c>
      <c r="I1671" t="s">
        <v>3</v>
      </c>
      <c r="J1671" t="s">
        <v>429</v>
      </c>
      <c r="K1671" t="s">
        <v>13</v>
      </c>
      <c r="L1671" t="s">
        <v>22</v>
      </c>
      <c r="M1671" t="s">
        <v>114</v>
      </c>
      <c r="N1671" s="2">
        <v>46235</v>
      </c>
    </row>
    <row r="1672" spans="1:14" x14ac:dyDescent="0.25">
      <c r="A1672" t="s">
        <v>422</v>
      </c>
      <c r="B1672" s="2">
        <v>46265</v>
      </c>
      <c r="C1672" t="s">
        <v>422</v>
      </c>
      <c r="D1672" t="s">
        <v>112</v>
      </c>
      <c r="E1672" t="s">
        <v>9</v>
      </c>
      <c r="F1672" s="3">
        <v>551102</v>
      </c>
      <c r="G1672" s="3">
        <v>551102</v>
      </c>
      <c r="H1672" t="s">
        <v>3</v>
      </c>
      <c r="I1672" t="s">
        <v>3</v>
      </c>
      <c r="J1672" t="s">
        <v>322</v>
      </c>
      <c r="K1672" t="s">
        <v>13</v>
      </c>
      <c r="L1672" t="s">
        <v>22</v>
      </c>
      <c r="M1672" t="s">
        <v>114</v>
      </c>
      <c r="N1672" s="2">
        <v>46265</v>
      </c>
    </row>
    <row r="1673" spans="1:14" x14ac:dyDescent="0.25">
      <c r="A1673" t="s">
        <v>422</v>
      </c>
      <c r="B1673" s="2">
        <v>46265</v>
      </c>
      <c r="C1673" t="s">
        <v>422</v>
      </c>
      <c r="D1673" t="s">
        <v>112</v>
      </c>
      <c r="E1673" t="s">
        <v>9</v>
      </c>
      <c r="F1673" s="3">
        <v>3600</v>
      </c>
      <c r="G1673" s="3">
        <v>3600</v>
      </c>
      <c r="H1673" t="s">
        <v>3</v>
      </c>
      <c r="I1673" t="s">
        <v>3</v>
      </c>
      <c r="J1673" t="s">
        <v>430</v>
      </c>
      <c r="K1673" t="s">
        <v>13</v>
      </c>
      <c r="L1673" t="s">
        <v>22</v>
      </c>
      <c r="M1673" t="s">
        <v>114</v>
      </c>
      <c r="N1673" s="2">
        <v>46265</v>
      </c>
    </row>
    <row r="1674" spans="1:14" x14ac:dyDescent="0.25">
      <c r="A1674" t="s">
        <v>422</v>
      </c>
      <c r="B1674" s="2">
        <v>46265</v>
      </c>
      <c r="C1674" t="s">
        <v>422</v>
      </c>
      <c r="D1674" t="s">
        <v>112</v>
      </c>
      <c r="E1674" t="s">
        <v>9</v>
      </c>
      <c r="F1674" s="3">
        <v>14800</v>
      </c>
      <c r="G1674" s="3">
        <v>14800</v>
      </c>
      <c r="H1674" t="s">
        <v>3</v>
      </c>
      <c r="I1674" t="s">
        <v>3</v>
      </c>
      <c r="J1674" t="s">
        <v>431</v>
      </c>
      <c r="K1674" t="s">
        <v>13</v>
      </c>
      <c r="L1674" t="s">
        <v>22</v>
      </c>
      <c r="M1674" t="s">
        <v>114</v>
      </c>
      <c r="N1674" s="2">
        <v>46265</v>
      </c>
    </row>
    <row r="1675" spans="1:14" x14ac:dyDescent="0.25">
      <c r="A1675" s="4" t="s">
        <v>267</v>
      </c>
      <c r="B1675" s="5"/>
      <c r="C1675" s="4" t="s">
        <v>9</v>
      </c>
      <c r="D1675" s="4" t="s">
        <v>9</v>
      </c>
      <c r="E1675" s="4" t="s">
        <v>9</v>
      </c>
      <c r="F1675" s="6">
        <v>0</v>
      </c>
      <c r="G1675" s="6">
        <v>0</v>
      </c>
      <c r="H1675" s="4" t="s">
        <v>9</v>
      </c>
      <c r="I1675" s="4" t="s">
        <v>3</v>
      </c>
      <c r="J1675" s="4" t="s">
        <v>9</v>
      </c>
      <c r="K1675" s="4" t="s">
        <v>9</v>
      </c>
      <c r="L1675" s="4" t="s">
        <v>9</v>
      </c>
      <c r="M1675" s="4" t="s">
        <v>9</v>
      </c>
      <c r="N1675" s="5"/>
    </row>
    <row r="1676" spans="1:14" x14ac:dyDescent="0.25">
      <c r="A1676" t="s">
        <v>422</v>
      </c>
      <c r="B1676" s="2">
        <v>45932</v>
      </c>
      <c r="C1676" t="s">
        <v>422</v>
      </c>
      <c r="D1676" t="s">
        <v>112</v>
      </c>
      <c r="E1676" t="s">
        <v>9</v>
      </c>
      <c r="F1676" s="3">
        <v>-59742</v>
      </c>
      <c r="G1676" s="3">
        <v>-59742</v>
      </c>
      <c r="H1676" t="s">
        <v>3</v>
      </c>
      <c r="I1676" t="s">
        <v>3</v>
      </c>
      <c r="J1676" t="s">
        <v>9</v>
      </c>
      <c r="K1676" t="s">
        <v>9</v>
      </c>
      <c r="L1676" t="s">
        <v>6</v>
      </c>
      <c r="M1676" t="s">
        <v>114</v>
      </c>
      <c r="N1676" s="2">
        <v>45930</v>
      </c>
    </row>
    <row r="1677" spans="1:14" x14ac:dyDescent="0.25">
      <c r="A1677" t="s">
        <v>422</v>
      </c>
      <c r="B1677" s="2">
        <v>45900</v>
      </c>
      <c r="C1677" t="s">
        <v>422</v>
      </c>
      <c r="D1677" t="s">
        <v>112</v>
      </c>
      <c r="E1677" t="s">
        <v>9</v>
      </c>
      <c r="F1677" s="3">
        <v>-269080</v>
      </c>
      <c r="G1677" s="3">
        <v>-269080</v>
      </c>
      <c r="H1677" t="s">
        <v>3</v>
      </c>
      <c r="I1677" t="s">
        <v>3</v>
      </c>
      <c r="J1677" t="s">
        <v>320</v>
      </c>
      <c r="K1677" t="s">
        <v>5</v>
      </c>
      <c r="L1677" t="s">
        <v>6</v>
      </c>
      <c r="M1677" t="s">
        <v>114</v>
      </c>
      <c r="N1677" s="2">
        <v>45901</v>
      </c>
    </row>
    <row r="1678" spans="1:14" x14ac:dyDescent="0.25">
      <c r="A1678" t="s">
        <v>422</v>
      </c>
      <c r="B1678" s="2">
        <v>45900</v>
      </c>
      <c r="C1678" t="s">
        <v>422</v>
      </c>
      <c r="D1678" t="s">
        <v>112</v>
      </c>
      <c r="E1678" t="s">
        <v>9</v>
      </c>
      <c r="F1678" s="3">
        <v>-800</v>
      </c>
      <c r="G1678" s="3">
        <v>-800</v>
      </c>
      <c r="H1678" t="s">
        <v>3</v>
      </c>
      <c r="I1678" t="s">
        <v>3</v>
      </c>
      <c r="J1678" t="s">
        <v>321</v>
      </c>
      <c r="K1678" t="s">
        <v>5</v>
      </c>
      <c r="L1678" t="s">
        <v>6</v>
      </c>
      <c r="M1678" t="s">
        <v>114</v>
      </c>
      <c r="N1678" s="2">
        <v>45901</v>
      </c>
    </row>
    <row r="1679" spans="1:14" x14ac:dyDescent="0.25">
      <c r="A1679" t="s">
        <v>422</v>
      </c>
      <c r="B1679" s="2">
        <v>45900</v>
      </c>
      <c r="C1679" t="s">
        <v>422</v>
      </c>
      <c r="D1679" t="s">
        <v>112</v>
      </c>
      <c r="E1679" t="s">
        <v>9</v>
      </c>
      <c r="F1679" s="3">
        <v>-5950</v>
      </c>
      <c r="G1679" s="3">
        <v>-5950</v>
      </c>
      <c r="H1679" t="s">
        <v>3</v>
      </c>
      <c r="I1679" t="s">
        <v>3</v>
      </c>
      <c r="J1679" t="s">
        <v>383</v>
      </c>
      <c r="K1679" t="s">
        <v>5</v>
      </c>
      <c r="L1679" t="s">
        <v>6</v>
      </c>
      <c r="M1679" t="s">
        <v>114</v>
      </c>
      <c r="N1679" s="2">
        <v>45901</v>
      </c>
    </row>
    <row r="1680" spans="1:14" x14ac:dyDescent="0.25">
      <c r="A1680" t="s">
        <v>422</v>
      </c>
      <c r="B1680" s="2">
        <v>45900</v>
      </c>
      <c r="C1680" t="s">
        <v>422</v>
      </c>
      <c r="D1680" t="s">
        <v>112</v>
      </c>
      <c r="E1680" t="s">
        <v>9</v>
      </c>
      <c r="F1680" s="3">
        <v>269080</v>
      </c>
      <c r="G1680" s="3">
        <v>269080</v>
      </c>
      <c r="H1680" t="s">
        <v>3</v>
      </c>
      <c r="I1680" t="s">
        <v>3</v>
      </c>
      <c r="J1680" t="s">
        <v>320</v>
      </c>
      <c r="K1680" t="s">
        <v>5</v>
      </c>
      <c r="L1680" t="s">
        <v>6</v>
      </c>
      <c r="M1680" t="s">
        <v>114</v>
      </c>
      <c r="N1680" s="2">
        <v>45901</v>
      </c>
    </row>
    <row r="1681" spans="1:14" x14ac:dyDescent="0.25">
      <c r="A1681" t="s">
        <v>422</v>
      </c>
      <c r="B1681" s="2">
        <v>45900</v>
      </c>
      <c r="C1681" t="s">
        <v>422</v>
      </c>
      <c r="D1681" t="s">
        <v>112</v>
      </c>
      <c r="E1681" t="s">
        <v>9</v>
      </c>
      <c r="F1681" s="3">
        <v>800</v>
      </c>
      <c r="G1681" s="3">
        <v>800</v>
      </c>
      <c r="H1681" t="s">
        <v>3</v>
      </c>
      <c r="I1681" t="s">
        <v>3</v>
      </c>
      <c r="J1681" t="s">
        <v>321</v>
      </c>
      <c r="K1681" t="s">
        <v>5</v>
      </c>
      <c r="L1681" t="s">
        <v>6</v>
      </c>
      <c r="M1681" t="s">
        <v>114</v>
      </c>
      <c r="N1681" s="2">
        <v>45901</v>
      </c>
    </row>
    <row r="1682" spans="1:14" x14ac:dyDescent="0.25">
      <c r="A1682" t="s">
        <v>422</v>
      </c>
      <c r="B1682" s="2">
        <v>45900</v>
      </c>
      <c r="C1682" t="s">
        <v>422</v>
      </c>
      <c r="D1682" t="s">
        <v>112</v>
      </c>
      <c r="E1682" t="s">
        <v>9</v>
      </c>
      <c r="F1682" s="3">
        <v>5950</v>
      </c>
      <c r="G1682" s="3">
        <v>5950</v>
      </c>
      <c r="H1682" t="s">
        <v>3</v>
      </c>
      <c r="I1682" t="s">
        <v>3</v>
      </c>
      <c r="J1682" t="s">
        <v>383</v>
      </c>
      <c r="K1682" t="s">
        <v>5</v>
      </c>
      <c r="L1682" t="s">
        <v>6</v>
      </c>
      <c r="M1682" t="s">
        <v>114</v>
      </c>
      <c r="N1682" s="2">
        <v>45901</v>
      </c>
    </row>
    <row r="1683" spans="1:14" x14ac:dyDescent="0.25">
      <c r="A1683" t="s">
        <v>422</v>
      </c>
      <c r="B1683" s="2">
        <v>45900</v>
      </c>
      <c r="C1683" t="s">
        <v>422</v>
      </c>
      <c r="D1683" t="s">
        <v>112</v>
      </c>
      <c r="E1683" t="s">
        <v>9</v>
      </c>
      <c r="F1683" s="3">
        <v>-270310</v>
      </c>
      <c r="G1683" s="3">
        <v>-270310</v>
      </c>
      <c r="H1683" t="s">
        <v>3</v>
      </c>
      <c r="I1683" t="s">
        <v>3</v>
      </c>
      <c r="J1683" t="s">
        <v>320</v>
      </c>
      <c r="K1683" t="s">
        <v>5</v>
      </c>
      <c r="L1683" t="s">
        <v>6</v>
      </c>
      <c r="M1683" t="s">
        <v>114</v>
      </c>
      <c r="N1683" s="2">
        <v>45901</v>
      </c>
    </row>
    <row r="1684" spans="1:14" x14ac:dyDescent="0.25">
      <c r="A1684" t="s">
        <v>422</v>
      </c>
      <c r="B1684" s="2">
        <v>45900</v>
      </c>
      <c r="C1684" t="s">
        <v>422</v>
      </c>
      <c r="D1684" t="s">
        <v>112</v>
      </c>
      <c r="E1684" t="s">
        <v>9</v>
      </c>
      <c r="F1684" s="3">
        <v>-800</v>
      </c>
      <c r="G1684" s="3">
        <v>-800</v>
      </c>
      <c r="H1684" t="s">
        <v>3</v>
      </c>
      <c r="I1684" t="s">
        <v>3</v>
      </c>
      <c r="J1684" t="s">
        <v>321</v>
      </c>
      <c r="K1684" t="s">
        <v>5</v>
      </c>
      <c r="L1684" t="s">
        <v>6</v>
      </c>
      <c r="M1684" t="s">
        <v>114</v>
      </c>
      <c r="N1684" s="2">
        <v>45901</v>
      </c>
    </row>
    <row r="1685" spans="1:14" x14ac:dyDescent="0.25">
      <c r="A1685" t="s">
        <v>422</v>
      </c>
      <c r="B1685" s="2">
        <v>45900</v>
      </c>
      <c r="C1685" t="s">
        <v>422</v>
      </c>
      <c r="D1685" t="s">
        <v>112</v>
      </c>
      <c r="E1685" t="s">
        <v>9</v>
      </c>
      <c r="F1685" s="3">
        <v>-4550</v>
      </c>
      <c r="G1685" s="3">
        <v>-4550</v>
      </c>
      <c r="H1685" t="s">
        <v>3</v>
      </c>
      <c r="I1685" t="s">
        <v>3</v>
      </c>
      <c r="J1685" t="s">
        <v>383</v>
      </c>
      <c r="K1685" t="s">
        <v>5</v>
      </c>
      <c r="L1685" t="s">
        <v>6</v>
      </c>
      <c r="M1685" t="s">
        <v>114</v>
      </c>
      <c r="N1685" s="2">
        <v>45901</v>
      </c>
    </row>
    <row r="1686" spans="1:14" x14ac:dyDescent="0.25">
      <c r="A1686" t="s">
        <v>422</v>
      </c>
      <c r="B1686" s="2">
        <v>45900</v>
      </c>
      <c r="C1686" t="s">
        <v>422</v>
      </c>
      <c r="D1686" t="s">
        <v>112</v>
      </c>
      <c r="E1686" t="s">
        <v>9</v>
      </c>
      <c r="F1686" s="3">
        <v>270310</v>
      </c>
      <c r="G1686" s="3">
        <v>270310</v>
      </c>
      <c r="H1686" t="s">
        <v>3</v>
      </c>
      <c r="I1686" t="s">
        <v>3</v>
      </c>
      <c r="J1686" t="s">
        <v>320</v>
      </c>
      <c r="K1686" t="s">
        <v>5</v>
      </c>
      <c r="L1686" t="s">
        <v>6</v>
      </c>
      <c r="M1686" t="s">
        <v>114</v>
      </c>
      <c r="N1686" s="2">
        <v>45901</v>
      </c>
    </row>
    <row r="1687" spans="1:14" x14ac:dyDescent="0.25">
      <c r="A1687" t="s">
        <v>422</v>
      </c>
      <c r="B1687" s="2">
        <v>45900</v>
      </c>
      <c r="C1687" t="s">
        <v>422</v>
      </c>
      <c r="D1687" t="s">
        <v>112</v>
      </c>
      <c r="E1687" t="s">
        <v>9</v>
      </c>
      <c r="F1687" s="3">
        <v>800</v>
      </c>
      <c r="G1687" s="3">
        <v>800</v>
      </c>
      <c r="H1687" t="s">
        <v>3</v>
      </c>
      <c r="I1687" t="s">
        <v>3</v>
      </c>
      <c r="J1687" t="s">
        <v>321</v>
      </c>
      <c r="K1687" t="s">
        <v>5</v>
      </c>
      <c r="L1687" t="s">
        <v>6</v>
      </c>
      <c r="M1687" t="s">
        <v>114</v>
      </c>
      <c r="N1687" s="2">
        <v>45901</v>
      </c>
    </row>
    <row r="1688" spans="1:14" x14ac:dyDescent="0.25">
      <c r="A1688" t="s">
        <v>422</v>
      </c>
      <c r="B1688" s="2">
        <v>45900</v>
      </c>
      <c r="C1688" t="s">
        <v>422</v>
      </c>
      <c r="D1688" t="s">
        <v>112</v>
      </c>
      <c r="E1688" t="s">
        <v>9</v>
      </c>
      <c r="F1688" s="3">
        <v>4550</v>
      </c>
      <c r="G1688" s="3">
        <v>4550</v>
      </c>
      <c r="H1688" t="s">
        <v>3</v>
      </c>
      <c r="I1688" t="s">
        <v>3</v>
      </c>
      <c r="J1688" t="s">
        <v>383</v>
      </c>
      <c r="K1688" t="s">
        <v>5</v>
      </c>
      <c r="L1688" t="s">
        <v>6</v>
      </c>
      <c r="M1688" t="s">
        <v>114</v>
      </c>
      <c r="N1688" s="2">
        <v>45901</v>
      </c>
    </row>
    <row r="1689" spans="1:14" x14ac:dyDescent="0.25">
      <c r="A1689" t="s">
        <v>422</v>
      </c>
      <c r="B1689" s="2">
        <v>45900</v>
      </c>
      <c r="C1689" t="s">
        <v>422</v>
      </c>
      <c r="D1689" t="s">
        <v>112</v>
      </c>
      <c r="E1689" t="s">
        <v>9</v>
      </c>
      <c r="F1689" s="3">
        <v>-297620</v>
      </c>
      <c r="G1689" s="3">
        <v>-297620</v>
      </c>
      <c r="H1689" t="s">
        <v>3</v>
      </c>
      <c r="I1689" t="s">
        <v>3</v>
      </c>
      <c r="J1689" t="s">
        <v>320</v>
      </c>
      <c r="K1689" t="s">
        <v>5</v>
      </c>
      <c r="L1689" t="s">
        <v>6</v>
      </c>
      <c r="M1689" t="s">
        <v>114</v>
      </c>
      <c r="N1689" s="2">
        <v>45901</v>
      </c>
    </row>
    <row r="1690" spans="1:14" x14ac:dyDescent="0.25">
      <c r="A1690" t="s">
        <v>422</v>
      </c>
      <c r="B1690" s="2">
        <v>45900</v>
      </c>
      <c r="C1690" t="s">
        <v>422</v>
      </c>
      <c r="D1690" t="s">
        <v>112</v>
      </c>
      <c r="E1690" t="s">
        <v>9</v>
      </c>
      <c r="F1690" s="3">
        <v>-800</v>
      </c>
      <c r="G1690" s="3">
        <v>-800</v>
      </c>
      <c r="H1690" t="s">
        <v>3</v>
      </c>
      <c r="I1690" t="s">
        <v>3</v>
      </c>
      <c r="J1690" t="s">
        <v>321</v>
      </c>
      <c r="K1690" t="s">
        <v>5</v>
      </c>
      <c r="L1690" t="s">
        <v>6</v>
      </c>
      <c r="M1690" t="s">
        <v>114</v>
      </c>
      <c r="N1690" s="2">
        <v>45901</v>
      </c>
    </row>
    <row r="1691" spans="1:14" x14ac:dyDescent="0.25">
      <c r="A1691" t="s">
        <v>422</v>
      </c>
      <c r="B1691" s="2">
        <v>45900</v>
      </c>
      <c r="C1691" t="s">
        <v>422</v>
      </c>
      <c r="D1691" t="s">
        <v>112</v>
      </c>
      <c r="E1691" t="s">
        <v>9</v>
      </c>
      <c r="F1691" s="3">
        <v>-5950</v>
      </c>
      <c r="G1691" s="3">
        <v>-5950</v>
      </c>
      <c r="H1691" t="s">
        <v>3</v>
      </c>
      <c r="I1691" t="s">
        <v>3</v>
      </c>
      <c r="J1691" t="s">
        <v>383</v>
      </c>
      <c r="K1691" t="s">
        <v>5</v>
      </c>
      <c r="L1691" t="s">
        <v>6</v>
      </c>
      <c r="M1691" t="s">
        <v>114</v>
      </c>
      <c r="N1691" s="2">
        <v>45901</v>
      </c>
    </row>
    <row r="1692" spans="1:14" x14ac:dyDescent="0.25">
      <c r="A1692" t="s">
        <v>422</v>
      </c>
      <c r="B1692" s="2">
        <v>45930</v>
      </c>
      <c r="C1692" t="s">
        <v>422</v>
      </c>
      <c r="D1692" t="s">
        <v>112</v>
      </c>
      <c r="E1692" t="s">
        <v>9</v>
      </c>
      <c r="F1692" s="3">
        <v>354362</v>
      </c>
      <c r="G1692" s="3">
        <v>354362</v>
      </c>
      <c r="H1692" t="s">
        <v>3</v>
      </c>
      <c r="I1692" t="s">
        <v>3</v>
      </c>
      <c r="J1692" t="s">
        <v>323</v>
      </c>
      <c r="K1692" t="s">
        <v>5</v>
      </c>
      <c r="L1692" t="s">
        <v>6</v>
      </c>
      <c r="M1692" t="s">
        <v>114</v>
      </c>
      <c r="N1692" s="2">
        <v>45930</v>
      </c>
    </row>
    <row r="1693" spans="1:14" x14ac:dyDescent="0.25">
      <c r="A1693" t="s">
        <v>422</v>
      </c>
      <c r="B1693" s="2">
        <v>45930</v>
      </c>
      <c r="C1693" t="s">
        <v>422</v>
      </c>
      <c r="D1693" t="s">
        <v>112</v>
      </c>
      <c r="E1693" t="s">
        <v>9</v>
      </c>
      <c r="F1693" s="3">
        <v>1100</v>
      </c>
      <c r="G1693" s="3">
        <v>1100</v>
      </c>
      <c r="H1693" t="s">
        <v>3</v>
      </c>
      <c r="I1693" t="s">
        <v>3</v>
      </c>
      <c r="J1693" t="s">
        <v>324</v>
      </c>
      <c r="K1693" t="s">
        <v>5</v>
      </c>
      <c r="L1693" t="s">
        <v>6</v>
      </c>
      <c r="M1693" t="s">
        <v>114</v>
      </c>
      <c r="N1693" s="2">
        <v>45930</v>
      </c>
    </row>
    <row r="1694" spans="1:14" x14ac:dyDescent="0.25">
      <c r="A1694" t="s">
        <v>422</v>
      </c>
      <c r="B1694" s="2">
        <v>45930</v>
      </c>
      <c r="C1694" t="s">
        <v>422</v>
      </c>
      <c r="D1694" t="s">
        <v>112</v>
      </c>
      <c r="E1694" t="s">
        <v>9</v>
      </c>
      <c r="F1694" s="3">
        <v>8650</v>
      </c>
      <c r="G1694" s="3">
        <v>8650</v>
      </c>
      <c r="H1694" t="s">
        <v>3</v>
      </c>
      <c r="I1694" t="s">
        <v>3</v>
      </c>
      <c r="J1694" t="s">
        <v>384</v>
      </c>
      <c r="K1694" t="s">
        <v>5</v>
      </c>
      <c r="L1694" t="s">
        <v>6</v>
      </c>
      <c r="M1694" t="s">
        <v>114</v>
      </c>
      <c r="N1694" s="2">
        <v>45930</v>
      </c>
    </row>
    <row r="1695" spans="1:14" x14ac:dyDescent="0.25">
      <c r="A1695" s="4" t="s">
        <v>272</v>
      </c>
      <c r="B1695" s="5"/>
      <c r="C1695" s="4" t="s">
        <v>9</v>
      </c>
      <c r="D1695" s="4" t="s">
        <v>9</v>
      </c>
      <c r="E1695" s="4" t="s">
        <v>9</v>
      </c>
      <c r="F1695" s="6">
        <v>0</v>
      </c>
      <c r="G1695" s="6">
        <v>0</v>
      </c>
      <c r="H1695" s="4" t="s">
        <v>9</v>
      </c>
      <c r="I1695" s="4" t="s">
        <v>3</v>
      </c>
      <c r="J1695" s="4" t="s">
        <v>9</v>
      </c>
      <c r="K1695" s="4" t="s">
        <v>9</v>
      </c>
      <c r="L1695" s="4" t="s">
        <v>9</v>
      </c>
      <c r="M1695" s="4" t="s">
        <v>9</v>
      </c>
      <c r="N1695" s="5"/>
    </row>
    <row r="1696" spans="1:14" x14ac:dyDescent="0.25">
      <c r="A1696" t="s">
        <v>422</v>
      </c>
      <c r="B1696" s="2">
        <v>45965</v>
      </c>
      <c r="C1696" t="s">
        <v>422</v>
      </c>
      <c r="D1696" t="s">
        <v>112</v>
      </c>
      <c r="E1696" t="s">
        <v>9</v>
      </c>
      <c r="F1696" s="3">
        <v>-64976</v>
      </c>
      <c r="G1696" s="3">
        <v>-64976</v>
      </c>
      <c r="H1696" t="s">
        <v>3</v>
      </c>
      <c r="I1696" t="s">
        <v>3</v>
      </c>
      <c r="J1696" t="s">
        <v>9</v>
      </c>
      <c r="K1696" t="s">
        <v>9</v>
      </c>
      <c r="L1696" t="s">
        <v>8</v>
      </c>
      <c r="M1696" t="s">
        <v>114</v>
      </c>
      <c r="N1696" s="2">
        <v>45961</v>
      </c>
    </row>
    <row r="1697" spans="1:14" x14ac:dyDescent="0.25">
      <c r="A1697" t="s">
        <v>422</v>
      </c>
      <c r="B1697" s="2">
        <v>45930</v>
      </c>
      <c r="C1697" t="s">
        <v>422</v>
      </c>
      <c r="D1697" t="s">
        <v>112</v>
      </c>
      <c r="E1697" t="s">
        <v>9</v>
      </c>
      <c r="F1697" s="3">
        <v>-354362</v>
      </c>
      <c r="G1697" s="3">
        <v>-354362</v>
      </c>
      <c r="H1697" t="s">
        <v>3</v>
      </c>
      <c r="I1697" t="s">
        <v>3</v>
      </c>
      <c r="J1697" t="s">
        <v>323</v>
      </c>
      <c r="K1697" t="s">
        <v>5</v>
      </c>
      <c r="L1697" t="s">
        <v>8</v>
      </c>
      <c r="M1697" t="s">
        <v>114</v>
      </c>
      <c r="N1697" s="2">
        <v>45931</v>
      </c>
    </row>
    <row r="1698" spans="1:14" x14ac:dyDescent="0.25">
      <c r="A1698" t="s">
        <v>422</v>
      </c>
      <c r="B1698" s="2">
        <v>45930</v>
      </c>
      <c r="C1698" t="s">
        <v>422</v>
      </c>
      <c r="D1698" t="s">
        <v>112</v>
      </c>
      <c r="E1698" t="s">
        <v>9</v>
      </c>
      <c r="F1698" s="3">
        <v>-1100</v>
      </c>
      <c r="G1698" s="3">
        <v>-1100</v>
      </c>
      <c r="H1698" t="s">
        <v>3</v>
      </c>
      <c r="I1698" t="s">
        <v>3</v>
      </c>
      <c r="J1698" t="s">
        <v>324</v>
      </c>
      <c r="K1698" t="s">
        <v>5</v>
      </c>
      <c r="L1698" t="s">
        <v>8</v>
      </c>
      <c r="M1698" t="s">
        <v>114</v>
      </c>
      <c r="N1698" s="2">
        <v>45931</v>
      </c>
    </row>
    <row r="1699" spans="1:14" x14ac:dyDescent="0.25">
      <c r="A1699" t="s">
        <v>422</v>
      </c>
      <c r="B1699" s="2">
        <v>45930</v>
      </c>
      <c r="C1699" t="s">
        <v>422</v>
      </c>
      <c r="D1699" t="s">
        <v>112</v>
      </c>
      <c r="E1699" t="s">
        <v>9</v>
      </c>
      <c r="F1699" s="3">
        <v>-8650</v>
      </c>
      <c r="G1699" s="3">
        <v>-8650</v>
      </c>
      <c r="H1699" t="s">
        <v>3</v>
      </c>
      <c r="I1699" t="s">
        <v>3</v>
      </c>
      <c r="J1699" t="s">
        <v>384</v>
      </c>
      <c r="K1699" t="s">
        <v>5</v>
      </c>
      <c r="L1699" t="s">
        <v>8</v>
      </c>
      <c r="M1699" t="s">
        <v>114</v>
      </c>
      <c r="N1699" s="2">
        <v>45931</v>
      </c>
    </row>
    <row r="1700" spans="1:14" x14ac:dyDescent="0.25">
      <c r="A1700" t="s">
        <v>422</v>
      </c>
      <c r="B1700" s="2">
        <v>45961</v>
      </c>
      <c r="C1700" t="s">
        <v>422</v>
      </c>
      <c r="D1700" t="s">
        <v>112</v>
      </c>
      <c r="E1700" t="s">
        <v>9</v>
      </c>
      <c r="F1700" s="3">
        <v>418288</v>
      </c>
      <c r="G1700" s="3">
        <v>418288</v>
      </c>
      <c r="H1700" t="s">
        <v>3</v>
      </c>
      <c r="I1700" t="s">
        <v>3</v>
      </c>
      <c r="J1700" t="s">
        <v>325</v>
      </c>
      <c r="K1700" t="s">
        <v>5</v>
      </c>
      <c r="L1700" t="s">
        <v>8</v>
      </c>
      <c r="M1700" t="s">
        <v>114</v>
      </c>
      <c r="N1700" s="2">
        <v>45961</v>
      </c>
    </row>
    <row r="1701" spans="1:14" x14ac:dyDescent="0.25">
      <c r="A1701" t="s">
        <v>422</v>
      </c>
      <c r="B1701" s="2">
        <v>45961</v>
      </c>
      <c r="C1701" t="s">
        <v>422</v>
      </c>
      <c r="D1701" t="s">
        <v>112</v>
      </c>
      <c r="E1701" t="s">
        <v>9</v>
      </c>
      <c r="F1701" s="3">
        <v>1300</v>
      </c>
      <c r="G1701" s="3">
        <v>1300</v>
      </c>
      <c r="H1701" t="s">
        <v>3</v>
      </c>
      <c r="I1701" t="s">
        <v>3</v>
      </c>
      <c r="J1701" t="s">
        <v>326</v>
      </c>
      <c r="K1701" t="s">
        <v>5</v>
      </c>
      <c r="L1701" t="s">
        <v>8</v>
      </c>
      <c r="M1701" t="s">
        <v>114</v>
      </c>
      <c r="N1701" s="2">
        <v>45961</v>
      </c>
    </row>
    <row r="1702" spans="1:14" x14ac:dyDescent="0.25">
      <c r="A1702" t="s">
        <v>422</v>
      </c>
      <c r="B1702" s="2">
        <v>45961</v>
      </c>
      <c r="C1702" t="s">
        <v>422</v>
      </c>
      <c r="D1702" t="s">
        <v>112</v>
      </c>
      <c r="E1702" t="s">
        <v>9</v>
      </c>
      <c r="F1702" s="3">
        <v>9500</v>
      </c>
      <c r="G1702" s="3">
        <v>9500</v>
      </c>
      <c r="H1702" t="s">
        <v>3</v>
      </c>
      <c r="I1702" t="s">
        <v>3</v>
      </c>
      <c r="J1702" t="s">
        <v>385</v>
      </c>
      <c r="K1702" t="s">
        <v>5</v>
      </c>
      <c r="L1702" t="s">
        <v>8</v>
      </c>
      <c r="M1702" t="s">
        <v>114</v>
      </c>
      <c r="N1702" s="2">
        <v>45961</v>
      </c>
    </row>
    <row r="1703" spans="1:14" x14ac:dyDescent="0.25">
      <c r="A1703" s="4" t="s">
        <v>278</v>
      </c>
      <c r="B1703" s="5"/>
      <c r="C1703" s="4" t="s">
        <v>9</v>
      </c>
      <c r="D1703" s="4" t="s">
        <v>9</v>
      </c>
      <c r="E1703" s="4" t="s">
        <v>9</v>
      </c>
      <c r="F1703" s="6">
        <v>0</v>
      </c>
      <c r="G1703" s="6">
        <v>0</v>
      </c>
      <c r="H1703" s="4" t="s">
        <v>9</v>
      </c>
      <c r="I1703" s="4" t="s">
        <v>3</v>
      </c>
      <c r="J1703" s="4" t="s">
        <v>9</v>
      </c>
      <c r="K1703" s="4" t="s">
        <v>9</v>
      </c>
      <c r="L1703" s="4" t="s">
        <v>9</v>
      </c>
      <c r="M1703" s="4" t="s">
        <v>9</v>
      </c>
      <c r="N1703" s="5"/>
    </row>
    <row r="1704" spans="1:14" x14ac:dyDescent="0.25">
      <c r="A1704" t="s">
        <v>422</v>
      </c>
      <c r="B1704" s="2">
        <v>45993</v>
      </c>
      <c r="C1704" t="s">
        <v>422</v>
      </c>
      <c r="D1704" t="s">
        <v>112</v>
      </c>
      <c r="E1704" t="s">
        <v>9</v>
      </c>
      <c r="F1704" s="3">
        <v>-57044</v>
      </c>
      <c r="G1704" s="3">
        <v>-57044</v>
      </c>
      <c r="H1704" t="s">
        <v>3</v>
      </c>
      <c r="I1704" t="s">
        <v>3</v>
      </c>
      <c r="J1704" t="s">
        <v>9</v>
      </c>
      <c r="K1704" t="s">
        <v>9</v>
      </c>
      <c r="L1704" t="s">
        <v>11</v>
      </c>
      <c r="M1704" t="s">
        <v>114</v>
      </c>
      <c r="N1704" s="2">
        <v>45991</v>
      </c>
    </row>
    <row r="1705" spans="1:14" x14ac:dyDescent="0.25">
      <c r="A1705" t="s">
        <v>422</v>
      </c>
      <c r="B1705" s="2">
        <v>45961</v>
      </c>
      <c r="C1705" t="s">
        <v>422</v>
      </c>
      <c r="D1705" t="s">
        <v>112</v>
      </c>
      <c r="E1705" t="s">
        <v>9</v>
      </c>
      <c r="F1705" s="3">
        <v>-418288</v>
      </c>
      <c r="G1705" s="3">
        <v>-418288</v>
      </c>
      <c r="H1705" t="s">
        <v>3</v>
      </c>
      <c r="I1705" t="s">
        <v>3</v>
      </c>
      <c r="J1705" t="s">
        <v>325</v>
      </c>
      <c r="K1705" t="s">
        <v>5</v>
      </c>
      <c r="L1705" t="s">
        <v>11</v>
      </c>
      <c r="M1705" t="s">
        <v>114</v>
      </c>
      <c r="N1705" s="2">
        <v>45962</v>
      </c>
    </row>
    <row r="1706" spans="1:14" x14ac:dyDescent="0.25">
      <c r="A1706" t="s">
        <v>422</v>
      </c>
      <c r="B1706" s="2">
        <v>45961</v>
      </c>
      <c r="C1706" t="s">
        <v>422</v>
      </c>
      <c r="D1706" t="s">
        <v>112</v>
      </c>
      <c r="E1706" t="s">
        <v>9</v>
      </c>
      <c r="F1706" s="3">
        <v>-1300</v>
      </c>
      <c r="G1706" s="3">
        <v>-1300</v>
      </c>
      <c r="H1706" t="s">
        <v>3</v>
      </c>
      <c r="I1706" t="s">
        <v>3</v>
      </c>
      <c r="J1706" t="s">
        <v>326</v>
      </c>
      <c r="K1706" t="s">
        <v>5</v>
      </c>
      <c r="L1706" t="s">
        <v>11</v>
      </c>
      <c r="M1706" t="s">
        <v>114</v>
      </c>
      <c r="N1706" s="2">
        <v>45962</v>
      </c>
    </row>
    <row r="1707" spans="1:14" x14ac:dyDescent="0.25">
      <c r="A1707" t="s">
        <v>422</v>
      </c>
      <c r="B1707" s="2">
        <v>45961</v>
      </c>
      <c r="C1707" t="s">
        <v>422</v>
      </c>
      <c r="D1707" t="s">
        <v>112</v>
      </c>
      <c r="E1707" t="s">
        <v>9</v>
      </c>
      <c r="F1707" s="3">
        <v>-9500</v>
      </c>
      <c r="G1707" s="3">
        <v>-9500</v>
      </c>
      <c r="H1707" t="s">
        <v>3</v>
      </c>
      <c r="I1707" t="s">
        <v>3</v>
      </c>
      <c r="J1707" t="s">
        <v>385</v>
      </c>
      <c r="K1707" t="s">
        <v>5</v>
      </c>
      <c r="L1707" t="s">
        <v>11</v>
      </c>
      <c r="M1707" t="s">
        <v>114</v>
      </c>
      <c r="N1707" s="2">
        <v>45962</v>
      </c>
    </row>
    <row r="1708" spans="1:14" x14ac:dyDescent="0.25">
      <c r="A1708" t="s">
        <v>422</v>
      </c>
      <c r="B1708" s="2">
        <v>45991</v>
      </c>
      <c r="C1708" t="s">
        <v>422</v>
      </c>
      <c r="D1708" t="s">
        <v>112</v>
      </c>
      <c r="E1708" t="s">
        <v>9</v>
      </c>
      <c r="F1708" s="3">
        <v>473132</v>
      </c>
      <c r="G1708" s="3">
        <v>473132</v>
      </c>
      <c r="H1708" t="s">
        <v>3</v>
      </c>
      <c r="I1708" t="s">
        <v>3</v>
      </c>
      <c r="J1708" t="s">
        <v>328</v>
      </c>
      <c r="K1708" t="s">
        <v>5</v>
      </c>
      <c r="L1708" t="s">
        <v>11</v>
      </c>
      <c r="M1708" t="s">
        <v>114</v>
      </c>
      <c r="N1708" s="2">
        <v>45991</v>
      </c>
    </row>
    <row r="1709" spans="1:14" x14ac:dyDescent="0.25">
      <c r="A1709" t="s">
        <v>422</v>
      </c>
      <c r="B1709" s="2">
        <v>45991</v>
      </c>
      <c r="C1709" t="s">
        <v>422</v>
      </c>
      <c r="D1709" t="s">
        <v>112</v>
      </c>
      <c r="E1709" t="s">
        <v>9</v>
      </c>
      <c r="F1709" s="3">
        <v>1500</v>
      </c>
      <c r="G1709" s="3">
        <v>1500</v>
      </c>
      <c r="H1709" t="s">
        <v>3</v>
      </c>
      <c r="I1709" t="s">
        <v>3</v>
      </c>
      <c r="J1709" t="s">
        <v>329</v>
      </c>
      <c r="K1709" t="s">
        <v>5</v>
      </c>
      <c r="L1709" t="s">
        <v>11</v>
      </c>
      <c r="M1709" t="s">
        <v>114</v>
      </c>
      <c r="N1709" s="2">
        <v>45991</v>
      </c>
    </row>
    <row r="1710" spans="1:14" x14ac:dyDescent="0.25">
      <c r="A1710" t="s">
        <v>422</v>
      </c>
      <c r="B1710" s="2">
        <v>45991</v>
      </c>
      <c r="C1710" t="s">
        <v>422</v>
      </c>
      <c r="D1710" t="s">
        <v>112</v>
      </c>
      <c r="E1710" t="s">
        <v>9</v>
      </c>
      <c r="F1710" s="3">
        <v>11500</v>
      </c>
      <c r="G1710" s="3">
        <v>11500</v>
      </c>
      <c r="H1710" t="s">
        <v>3</v>
      </c>
      <c r="I1710" t="s">
        <v>3</v>
      </c>
      <c r="J1710" t="s">
        <v>387</v>
      </c>
      <c r="K1710" t="s">
        <v>5</v>
      </c>
      <c r="L1710" t="s">
        <v>11</v>
      </c>
      <c r="M1710" t="s">
        <v>114</v>
      </c>
      <c r="N1710" s="2">
        <v>45991</v>
      </c>
    </row>
    <row r="1711" spans="1:14" x14ac:dyDescent="0.25">
      <c r="A1711" s="4" t="s">
        <v>226</v>
      </c>
      <c r="B1711" s="5"/>
      <c r="C1711" s="4" t="s">
        <v>9</v>
      </c>
      <c r="D1711" s="4" t="s">
        <v>9</v>
      </c>
      <c r="E1711" s="4" t="s">
        <v>9</v>
      </c>
      <c r="F1711" s="6">
        <v>0</v>
      </c>
      <c r="G1711" s="6">
        <v>0</v>
      </c>
      <c r="H1711" s="4" t="s">
        <v>9</v>
      </c>
      <c r="I1711" s="4" t="s">
        <v>3</v>
      </c>
      <c r="J1711" s="4" t="s">
        <v>9</v>
      </c>
      <c r="K1711" s="4" t="s">
        <v>9</v>
      </c>
      <c r="L1711" s="4" t="s">
        <v>9</v>
      </c>
      <c r="M1711" s="4" t="s">
        <v>9</v>
      </c>
      <c r="N1711" s="5"/>
    </row>
    <row r="1712" spans="1:14" x14ac:dyDescent="0.25">
      <c r="A1712" t="s">
        <v>422</v>
      </c>
      <c r="B1712" s="2">
        <v>46028</v>
      </c>
      <c r="C1712" t="s">
        <v>422</v>
      </c>
      <c r="D1712" t="s">
        <v>112</v>
      </c>
      <c r="E1712" t="s">
        <v>9</v>
      </c>
      <c r="F1712" s="3">
        <v>-82546.25</v>
      </c>
      <c r="G1712" s="3">
        <v>-82546.25</v>
      </c>
      <c r="H1712" t="s">
        <v>3</v>
      </c>
      <c r="I1712" t="s">
        <v>3</v>
      </c>
      <c r="J1712" t="s">
        <v>9</v>
      </c>
      <c r="K1712" t="s">
        <v>9</v>
      </c>
      <c r="L1712" t="s">
        <v>12</v>
      </c>
      <c r="M1712" t="s">
        <v>114</v>
      </c>
      <c r="N1712" s="2">
        <v>46022</v>
      </c>
    </row>
    <row r="1713" spans="1:14" x14ac:dyDescent="0.25">
      <c r="A1713" t="s">
        <v>422</v>
      </c>
      <c r="B1713" s="2">
        <v>46028</v>
      </c>
      <c r="C1713" t="s">
        <v>422</v>
      </c>
      <c r="D1713" t="s">
        <v>301</v>
      </c>
      <c r="E1713" t="s">
        <v>9</v>
      </c>
      <c r="F1713" s="3">
        <v>20000</v>
      </c>
      <c r="G1713" s="3">
        <v>20000</v>
      </c>
      <c r="H1713" t="s">
        <v>3</v>
      </c>
      <c r="I1713" t="s">
        <v>3</v>
      </c>
      <c r="J1713" t="s">
        <v>9</v>
      </c>
      <c r="K1713" t="s">
        <v>9</v>
      </c>
      <c r="L1713" t="s">
        <v>12</v>
      </c>
      <c r="M1713" t="s">
        <v>302</v>
      </c>
      <c r="N1713" s="2">
        <v>46022</v>
      </c>
    </row>
    <row r="1714" spans="1:14" x14ac:dyDescent="0.25">
      <c r="A1714" t="s">
        <v>422</v>
      </c>
      <c r="B1714" s="2">
        <v>45991</v>
      </c>
      <c r="C1714" t="s">
        <v>422</v>
      </c>
      <c r="D1714" t="s">
        <v>112</v>
      </c>
      <c r="E1714" t="s">
        <v>9</v>
      </c>
      <c r="F1714" s="3">
        <v>-473132</v>
      </c>
      <c r="G1714" s="3">
        <v>-473132</v>
      </c>
      <c r="H1714" t="s">
        <v>3</v>
      </c>
      <c r="I1714" t="s">
        <v>3</v>
      </c>
      <c r="J1714" t="s">
        <v>328</v>
      </c>
      <c r="K1714" t="s">
        <v>5</v>
      </c>
      <c r="L1714" t="s">
        <v>12</v>
      </c>
      <c r="M1714" t="s">
        <v>114</v>
      </c>
      <c r="N1714" s="2">
        <v>45992</v>
      </c>
    </row>
    <row r="1715" spans="1:14" x14ac:dyDescent="0.25">
      <c r="A1715" t="s">
        <v>422</v>
      </c>
      <c r="B1715" s="2">
        <v>45991</v>
      </c>
      <c r="C1715" t="s">
        <v>422</v>
      </c>
      <c r="D1715" t="s">
        <v>112</v>
      </c>
      <c r="E1715" t="s">
        <v>9</v>
      </c>
      <c r="F1715" s="3">
        <v>-1500</v>
      </c>
      <c r="G1715" s="3">
        <v>-1500</v>
      </c>
      <c r="H1715" t="s">
        <v>3</v>
      </c>
      <c r="I1715" t="s">
        <v>3</v>
      </c>
      <c r="J1715" t="s">
        <v>329</v>
      </c>
      <c r="K1715" t="s">
        <v>5</v>
      </c>
      <c r="L1715" t="s">
        <v>12</v>
      </c>
      <c r="M1715" t="s">
        <v>114</v>
      </c>
      <c r="N1715" s="2">
        <v>45992</v>
      </c>
    </row>
    <row r="1716" spans="1:14" x14ac:dyDescent="0.25">
      <c r="A1716" t="s">
        <v>422</v>
      </c>
      <c r="B1716" s="2">
        <v>45991</v>
      </c>
      <c r="C1716" t="s">
        <v>422</v>
      </c>
      <c r="D1716" t="s">
        <v>112</v>
      </c>
      <c r="E1716" t="s">
        <v>9</v>
      </c>
      <c r="F1716" s="3">
        <v>-11500</v>
      </c>
      <c r="G1716" s="3">
        <v>-11500</v>
      </c>
      <c r="H1716" t="s">
        <v>3</v>
      </c>
      <c r="I1716" t="s">
        <v>3</v>
      </c>
      <c r="J1716" t="s">
        <v>387</v>
      </c>
      <c r="K1716" t="s">
        <v>5</v>
      </c>
      <c r="L1716" t="s">
        <v>12</v>
      </c>
      <c r="M1716" t="s">
        <v>114</v>
      </c>
      <c r="N1716" s="2">
        <v>45992</v>
      </c>
    </row>
    <row r="1717" spans="1:14" x14ac:dyDescent="0.25">
      <c r="A1717" t="s">
        <v>422</v>
      </c>
      <c r="B1717" s="2">
        <v>46022</v>
      </c>
      <c r="C1717" t="s">
        <v>422</v>
      </c>
      <c r="D1717" t="s">
        <v>112</v>
      </c>
      <c r="E1717" t="s">
        <v>9</v>
      </c>
      <c r="F1717" s="3">
        <v>550178.25</v>
      </c>
      <c r="G1717" s="3">
        <v>550178.25</v>
      </c>
      <c r="H1717" t="s">
        <v>3</v>
      </c>
      <c r="I1717" t="s">
        <v>3</v>
      </c>
      <c r="J1717" t="s">
        <v>298</v>
      </c>
      <c r="K1717" t="s">
        <v>5</v>
      </c>
      <c r="L1717" t="s">
        <v>12</v>
      </c>
      <c r="M1717" t="s">
        <v>114</v>
      </c>
      <c r="N1717" s="2">
        <v>46022</v>
      </c>
    </row>
    <row r="1718" spans="1:14" x14ac:dyDescent="0.25">
      <c r="A1718" t="s">
        <v>422</v>
      </c>
      <c r="B1718" s="2">
        <v>46022</v>
      </c>
      <c r="C1718" t="s">
        <v>422</v>
      </c>
      <c r="D1718" t="s">
        <v>112</v>
      </c>
      <c r="E1718" t="s">
        <v>9</v>
      </c>
      <c r="F1718" s="3">
        <v>5700</v>
      </c>
      <c r="G1718" s="3">
        <v>5700</v>
      </c>
      <c r="H1718" t="s">
        <v>3</v>
      </c>
      <c r="I1718" t="s">
        <v>3</v>
      </c>
      <c r="J1718" t="s">
        <v>299</v>
      </c>
      <c r="K1718" t="s">
        <v>5</v>
      </c>
      <c r="L1718" t="s">
        <v>12</v>
      </c>
      <c r="M1718" t="s">
        <v>114</v>
      </c>
      <c r="N1718" s="2">
        <v>46022</v>
      </c>
    </row>
    <row r="1719" spans="1:14" x14ac:dyDescent="0.25">
      <c r="A1719" t="s">
        <v>422</v>
      </c>
      <c r="B1719" s="2">
        <v>46022</v>
      </c>
      <c r="C1719" t="s">
        <v>422</v>
      </c>
      <c r="D1719" t="s">
        <v>112</v>
      </c>
      <c r="E1719" t="s">
        <v>9</v>
      </c>
      <c r="F1719" s="3">
        <v>12800</v>
      </c>
      <c r="G1719" s="3">
        <v>12800</v>
      </c>
      <c r="H1719" t="s">
        <v>3</v>
      </c>
      <c r="I1719" t="s">
        <v>3</v>
      </c>
      <c r="J1719" t="s">
        <v>381</v>
      </c>
      <c r="K1719" t="s">
        <v>5</v>
      </c>
      <c r="L1719" t="s">
        <v>12</v>
      </c>
      <c r="M1719" t="s">
        <v>114</v>
      </c>
      <c r="N1719" s="2">
        <v>46022</v>
      </c>
    </row>
    <row r="1720" spans="1:14" x14ac:dyDescent="0.25">
      <c r="A1720" t="s">
        <v>422</v>
      </c>
      <c r="B1720" s="2">
        <v>46022</v>
      </c>
      <c r="C1720" t="s">
        <v>422</v>
      </c>
      <c r="D1720" t="s">
        <v>301</v>
      </c>
      <c r="E1720" t="s">
        <v>9</v>
      </c>
      <c r="F1720" s="3">
        <v>-20000</v>
      </c>
      <c r="G1720" s="3">
        <v>-20000</v>
      </c>
      <c r="H1720" t="s">
        <v>3</v>
      </c>
      <c r="I1720" t="s">
        <v>3</v>
      </c>
      <c r="J1720" t="s">
        <v>10</v>
      </c>
      <c r="K1720" t="s">
        <v>5</v>
      </c>
      <c r="L1720" t="s">
        <v>12</v>
      </c>
      <c r="M1720" t="s">
        <v>302</v>
      </c>
      <c r="N1720" s="2">
        <v>46022</v>
      </c>
    </row>
    <row r="1721" spans="1:14" x14ac:dyDescent="0.25">
      <c r="A1721" t="s">
        <v>422</v>
      </c>
      <c r="B1721" s="2">
        <v>46022</v>
      </c>
      <c r="C1721" t="s">
        <v>422</v>
      </c>
      <c r="D1721" t="s">
        <v>112</v>
      </c>
      <c r="E1721" t="s">
        <v>9</v>
      </c>
      <c r="F1721" s="3">
        <v>550178.25</v>
      </c>
      <c r="G1721" s="3">
        <v>550178.25</v>
      </c>
      <c r="H1721" t="s">
        <v>3</v>
      </c>
      <c r="I1721" t="s">
        <v>3</v>
      </c>
      <c r="J1721" t="s">
        <v>298</v>
      </c>
      <c r="K1721" t="s">
        <v>5</v>
      </c>
      <c r="L1721" t="s">
        <v>12</v>
      </c>
      <c r="M1721" t="s">
        <v>114</v>
      </c>
      <c r="N1721" s="2">
        <v>46022</v>
      </c>
    </row>
    <row r="1722" spans="1:14" x14ac:dyDescent="0.25">
      <c r="A1722" t="s">
        <v>422</v>
      </c>
      <c r="B1722" s="2">
        <v>46022</v>
      </c>
      <c r="C1722" t="s">
        <v>422</v>
      </c>
      <c r="D1722" t="s">
        <v>112</v>
      </c>
      <c r="E1722" t="s">
        <v>9</v>
      </c>
      <c r="F1722" s="3">
        <v>5700</v>
      </c>
      <c r="G1722" s="3">
        <v>5700</v>
      </c>
      <c r="H1722" t="s">
        <v>3</v>
      </c>
      <c r="I1722" t="s">
        <v>3</v>
      </c>
      <c r="J1722" t="s">
        <v>299</v>
      </c>
      <c r="K1722" t="s">
        <v>5</v>
      </c>
      <c r="L1722" t="s">
        <v>12</v>
      </c>
      <c r="M1722" t="s">
        <v>114</v>
      </c>
      <c r="N1722" s="2">
        <v>46022</v>
      </c>
    </row>
    <row r="1723" spans="1:14" x14ac:dyDescent="0.25">
      <c r="A1723" t="s">
        <v>422</v>
      </c>
      <c r="B1723" s="2">
        <v>46022</v>
      </c>
      <c r="C1723" t="s">
        <v>422</v>
      </c>
      <c r="D1723" t="s">
        <v>112</v>
      </c>
      <c r="E1723" t="s">
        <v>9</v>
      </c>
      <c r="F1723" s="3">
        <v>12800</v>
      </c>
      <c r="G1723" s="3">
        <v>12800</v>
      </c>
      <c r="H1723" t="s">
        <v>3</v>
      </c>
      <c r="I1723" t="s">
        <v>3</v>
      </c>
      <c r="J1723" t="s">
        <v>381</v>
      </c>
      <c r="K1723" t="s">
        <v>5</v>
      </c>
      <c r="L1723" t="s">
        <v>12</v>
      </c>
      <c r="M1723" t="s">
        <v>114</v>
      </c>
      <c r="N1723" s="2">
        <v>46022</v>
      </c>
    </row>
    <row r="1724" spans="1:14" x14ac:dyDescent="0.25">
      <c r="A1724" t="s">
        <v>422</v>
      </c>
      <c r="B1724" s="2">
        <v>46022</v>
      </c>
      <c r="C1724" t="s">
        <v>422</v>
      </c>
      <c r="D1724" t="s">
        <v>112</v>
      </c>
      <c r="E1724" t="s">
        <v>9</v>
      </c>
      <c r="F1724" s="3">
        <v>-550178.25</v>
      </c>
      <c r="G1724" s="3">
        <v>-550178.25</v>
      </c>
      <c r="H1724" t="s">
        <v>3</v>
      </c>
      <c r="I1724" t="s">
        <v>3</v>
      </c>
      <c r="J1724" t="s">
        <v>298</v>
      </c>
      <c r="K1724" t="s">
        <v>5</v>
      </c>
      <c r="L1724" t="s">
        <v>12</v>
      </c>
      <c r="M1724" t="s">
        <v>114</v>
      </c>
      <c r="N1724" s="2">
        <v>46022</v>
      </c>
    </row>
    <row r="1725" spans="1:14" x14ac:dyDescent="0.25">
      <c r="A1725" t="s">
        <v>422</v>
      </c>
      <c r="B1725" s="2">
        <v>46022</v>
      </c>
      <c r="C1725" t="s">
        <v>422</v>
      </c>
      <c r="D1725" t="s">
        <v>112</v>
      </c>
      <c r="E1725" t="s">
        <v>9</v>
      </c>
      <c r="F1725" s="3">
        <v>-5700</v>
      </c>
      <c r="G1725" s="3">
        <v>-5700</v>
      </c>
      <c r="H1725" t="s">
        <v>3</v>
      </c>
      <c r="I1725" t="s">
        <v>3</v>
      </c>
      <c r="J1725" t="s">
        <v>299</v>
      </c>
      <c r="K1725" t="s">
        <v>5</v>
      </c>
      <c r="L1725" t="s">
        <v>12</v>
      </c>
      <c r="M1725" t="s">
        <v>114</v>
      </c>
      <c r="N1725" s="2">
        <v>46022</v>
      </c>
    </row>
    <row r="1726" spans="1:14" x14ac:dyDescent="0.25">
      <c r="A1726" t="s">
        <v>422</v>
      </c>
      <c r="B1726" s="2">
        <v>46022</v>
      </c>
      <c r="C1726" t="s">
        <v>422</v>
      </c>
      <c r="D1726" t="s">
        <v>112</v>
      </c>
      <c r="E1726" t="s">
        <v>9</v>
      </c>
      <c r="F1726" s="3">
        <v>-12800</v>
      </c>
      <c r="G1726" s="3">
        <v>-12800</v>
      </c>
      <c r="H1726" t="s">
        <v>3</v>
      </c>
      <c r="I1726" t="s">
        <v>3</v>
      </c>
      <c r="J1726" t="s">
        <v>381</v>
      </c>
      <c r="K1726" t="s">
        <v>5</v>
      </c>
      <c r="L1726" t="s">
        <v>12</v>
      </c>
      <c r="M1726" t="s">
        <v>114</v>
      </c>
      <c r="N1726" s="2">
        <v>46022</v>
      </c>
    </row>
    <row r="1727" spans="1:14" x14ac:dyDescent="0.25">
      <c r="A1727" s="4" t="s">
        <v>228</v>
      </c>
      <c r="B1727" s="5"/>
      <c r="C1727" s="4" t="s">
        <v>9</v>
      </c>
      <c r="D1727" s="4" t="s">
        <v>9</v>
      </c>
      <c r="E1727" s="4" t="s">
        <v>9</v>
      </c>
      <c r="F1727" s="6">
        <v>0</v>
      </c>
      <c r="G1727" s="6">
        <v>0</v>
      </c>
      <c r="H1727" s="4" t="s">
        <v>9</v>
      </c>
      <c r="I1727" s="4" t="s">
        <v>3</v>
      </c>
      <c r="J1727" s="4" t="s">
        <v>9</v>
      </c>
      <c r="K1727" s="4" t="s">
        <v>9</v>
      </c>
      <c r="L1727" s="4" t="s">
        <v>9</v>
      </c>
      <c r="M1727" s="4" t="s">
        <v>9</v>
      </c>
      <c r="N1727" s="5"/>
    </row>
    <row r="1728" spans="1:14" x14ac:dyDescent="0.25">
      <c r="A1728" s="4" t="s">
        <v>422</v>
      </c>
      <c r="B1728" s="5"/>
      <c r="C1728" s="4" t="s">
        <v>9</v>
      </c>
      <c r="D1728" s="4" t="s">
        <v>9</v>
      </c>
      <c r="E1728" s="4" t="s">
        <v>9</v>
      </c>
      <c r="F1728" s="6">
        <v>0</v>
      </c>
      <c r="G1728" s="6">
        <v>0</v>
      </c>
      <c r="H1728" s="4" t="s">
        <v>9</v>
      </c>
      <c r="I1728" s="4" t="s">
        <v>3</v>
      </c>
      <c r="J1728" s="4" t="s">
        <v>9</v>
      </c>
      <c r="K1728" s="4" t="s">
        <v>9</v>
      </c>
      <c r="L1728" s="4" t="s">
        <v>9</v>
      </c>
      <c r="M1728" s="4" t="s">
        <v>9</v>
      </c>
      <c r="N1728" s="5"/>
    </row>
    <row r="1729" spans="1:14" x14ac:dyDescent="0.25">
      <c r="A1729" t="s">
        <v>432</v>
      </c>
      <c r="B1729" s="2">
        <v>46056</v>
      </c>
      <c r="C1729" t="s">
        <v>432</v>
      </c>
      <c r="D1729" t="s">
        <v>99</v>
      </c>
      <c r="E1729" t="s">
        <v>9</v>
      </c>
      <c r="F1729" s="3">
        <v>-952.3</v>
      </c>
      <c r="G1729" s="3">
        <v>-952.3</v>
      </c>
      <c r="H1729" t="s">
        <v>3</v>
      </c>
      <c r="I1729" t="s">
        <v>3</v>
      </c>
      <c r="J1729" t="s">
        <v>9</v>
      </c>
      <c r="K1729" t="s">
        <v>9</v>
      </c>
      <c r="L1729" t="s">
        <v>14</v>
      </c>
      <c r="M1729" t="s">
        <v>102</v>
      </c>
      <c r="N1729" s="2">
        <v>46053</v>
      </c>
    </row>
    <row r="1730" spans="1:14" x14ac:dyDescent="0.25">
      <c r="A1730" t="s">
        <v>432</v>
      </c>
      <c r="B1730" s="2">
        <v>46022</v>
      </c>
      <c r="C1730" t="s">
        <v>432</v>
      </c>
      <c r="D1730" t="s">
        <v>99</v>
      </c>
      <c r="E1730" t="s">
        <v>433</v>
      </c>
      <c r="F1730" s="3">
        <v>-202.7</v>
      </c>
      <c r="G1730" s="3">
        <v>-202.7</v>
      </c>
      <c r="H1730" t="s">
        <v>3</v>
      </c>
      <c r="I1730" t="s">
        <v>3</v>
      </c>
      <c r="J1730" t="s">
        <v>434</v>
      </c>
      <c r="K1730" t="s">
        <v>13</v>
      </c>
      <c r="L1730" t="s">
        <v>14</v>
      </c>
      <c r="M1730" t="s">
        <v>102</v>
      </c>
      <c r="N1730" s="2">
        <v>46031</v>
      </c>
    </row>
    <row r="1731" spans="1:14" x14ac:dyDescent="0.25">
      <c r="A1731" t="s">
        <v>432</v>
      </c>
      <c r="B1731" s="2">
        <v>46053</v>
      </c>
      <c r="C1731" t="s">
        <v>432</v>
      </c>
      <c r="D1731" t="s">
        <v>99</v>
      </c>
      <c r="E1731" t="s">
        <v>9</v>
      </c>
      <c r="F1731" s="3">
        <v>1155</v>
      </c>
      <c r="G1731" s="3">
        <v>1155</v>
      </c>
      <c r="H1731" t="s">
        <v>3</v>
      </c>
      <c r="I1731" t="s">
        <v>3</v>
      </c>
      <c r="J1731" t="s">
        <v>435</v>
      </c>
      <c r="K1731" t="s">
        <v>13</v>
      </c>
      <c r="L1731" t="s">
        <v>14</v>
      </c>
      <c r="M1731" t="s">
        <v>102</v>
      </c>
      <c r="N1731" s="2">
        <v>46053</v>
      </c>
    </row>
    <row r="1732" spans="1:14" x14ac:dyDescent="0.25">
      <c r="A1732" s="4" t="s">
        <v>234</v>
      </c>
      <c r="B1732" s="5"/>
      <c r="C1732" s="4" t="s">
        <v>9</v>
      </c>
      <c r="D1732" s="4" t="s">
        <v>9</v>
      </c>
      <c r="E1732" s="4" t="s">
        <v>9</v>
      </c>
      <c r="F1732" s="6">
        <v>0</v>
      </c>
      <c r="G1732" s="6">
        <v>0</v>
      </c>
      <c r="H1732" s="4" t="s">
        <v>9</v>
      </c>
      <c r="I1732" s="4" t="s">
        <v>3</v>
      </c>
      <c r="J1732" s="4" t="s">
        <v>9</v>
      </c>
      <c r="K1732" s="4" t="s">
        <v>9</v>
      </c>
      <c r="L1732" s="4" t="s">
        <v>9</v>
      </c>
      <c r="M1732" s="4" t="s">
        <v>9</v>
      </c>
      <c r="N1732" s="5"/>
    </row>
    <row r="1733" spans="1:14" x14ac:dyDescent="0.25">
      <c r="A1733" t="s">
        <v>432</v>
      </c>
      <c r="B1733" s="2">
        <v>46084</v>
      </c>
      <c r="C1733" t="s">
        <v>432</v>
      </c>
      <c r="D1733" t="s">
        <v>99</v>
      </c>
      <c r="E1733" t="s">
        <v>9</v>
      </c>
      <c r="F1733" s="3">
        <v>-155866.4</v>
      </c>
      <c r="G1733" s="3">
        <v>-155866.4</v>
      </c>
      <c r="H1733" t="s">
        <v>3</v>
      </c>
      <c r="I1733" t="s">
        <v>3</v>
      </c>
      <c r="J1733" t="s">
        <v>9</v>
      </c>
      <c r="K1733" t="s">
        <v>9</v>
      </c>
      <c r="L1733" t="s">
        <v>15</v>
      </c>
      <c r="M1733" t="s">
        <v>102</v>
      </c>
      <c r="N1733" s="2">
        <v>46081</v>
      </c>
    </row>
    <row r="1734" spans="1:14" x14ac:dyDescent="0.25">
      <c r="A1734" t="s">
        <v>432</v>
      </c>
      <c r="B1734" s="2">
        <v>46056</v>
      </c>
      <c r="C1734" t="s">
        <v>432</v>
      </c>
      <c r="D1734" t="s">
        <v>99</v>
      </c>
      <c r="E1734" t="s">
        <v>436</v>
      </c>
      <c r="F1734" s="3">
        <v>8217</v>
      </c>
      <c r="G1734" s="3">
        <v>8217</v>
      </c>
      <c r="H1734" t="s">
        <v>3</v>
      </c>
      <c r="I1734" t="s">
        <v>3</v>
      </c>
      <c r="J1734" t="s">
        <v>437</v>
      </c>
      <c r="K1734" t="s">
        <v>13</v>
      </c>
      <c r="L1734" t="s">
        <v>15</v>
      </c>
      <c r="M1734" t="s">
        <v>102</v>
      </c>
      <c r="N1734" s="2">
        <v>46056</v>
      </c>
    </row>
    <row r="1735" spans="1:14" x14ac:dyDescent="0.25">
      <c r="A1735" t="s">
        <v>432</v>
      </c>
      <c r="B1735" s="2">
        <v>46063</v>
      </c>
      <c r="C1735" t="s">
        <v>432</v>
      </c>
      <c r="D1735" t="s">
        <v>99</v>
      </c>
      <c r="E1735" t="s">
        <v>438</v>
      </c>
      <c r="F1735" s="3">
        <v>64048.22</v>
      </c>
      <c r="G1735" s="3">
        <v>64048.22</v>
      </c>
      <c r="H1735" t="s">
        <v>3</v>
      </c>
      <c r="I1735" t="s">
        <v>3</v>
      </c>
      <c r="J1735" t="s">
        <v>439</v>
      </c>
      <c r="K1735" t="s">
        <v>13</v>
      </c>
      <c r="L1735" t="s">
        <v>15</v>
      </c>
      <c r="M1735" t="s">
        <v>102</v>
      </c>
      <c r="N1735" s="2">
        <v>46063</v>
      </c>
    </row>
    <row r="1736" spans="1:14" x14ac:dyDescent="0.25">
      <c r="A1736" t="s">
        <v>432</v>
      </c>
      <c r="B1736" s="2">
        <v>46066</v>
      </c>
      <c r="C1736" t="s">
        <v>432</v>
      </c>
      <c r="D1736" t="s">
        <v>99</v>
      </c>
      <c r="E1736" t="s">
        <v>438</v>
      </c>
      <c r="F1736" s="3">
        <v>72367</v>
      </c>
      <c r="G1736" s="3">
        <v>72367</v>
      </c>
      <c r="H1736" t="s">
        <v>3</v>
      </c>
      <c r="I1736" t="s">
        <v>3</v>
      </c>
      <c r="J1736" t="s">
        <v>440</v>
      </c>
      <c r="K1736" t="s">
        <v>13</v>
      </c>
      <c r="L1736" t="s">
        <v>15</v>
      </c>
      <c r="M1736" t="s">
        <v>102</v>
      </c>
      <c r="N1736" s="2">
        <v>46066</v>
      </c>
    </row>
    <row r="1737" spans="1:14" x14ac:dyDescent="0.25">
      <c r="A1737" t="s">
        <v>432</v>
      </c>
      <c r="B1737" s="2">
        <v>46079</v>
      </c>
      <c r="C1737" t="s">
        <v>432</v>
      </c>
      <c r="D1737" t="s">
        <v>99</v>
      </c>
      <c r="E1737" t="s">
        <v>436</v>
      </c>
      <c r="F1737" s="3">
        <v>11234.18</v>
      </c>
      <c r="G1737" s="3">
        <v>11234.18</v>
      </c>
      <c r="H1737" t="s">
        <v>3</v>
      </c>
      <c r="I1737" t="s">
        <v>3</v>
      </c>
      <c r="J1737" t="s">
        <v>437</v>
      </c>
      <c r="K1737" t="s">
        <v>13</v>
      </c>
      <c r="L1737" t="s">
        <v>15</v>
      </c>
      <c r="M1737" t="s">
        <v>102</v>
      </c>
      <c r="N1737" s="2">
        <v>46079</v>
      </c>
    </row>
    <row r="1738" spans="1:14" x14ac:dyDescent="0.25">
      <c r="A1738" s="4" t="s">
        <v>239</v>
      </c>
      <c r="B1738" s="5"/>
      <c r="C1738" s="4" t="s">
        <v>9</v>
      </c>
      <c r="D1738" s="4" t="s">
        <v>9</v>
      </c>
      <c r="E1738" s="4" t="s">
        <v>9</v>
      </c>
      <c r="F1738" s="6">
        <v>0</v>
      </c>
      <c r="G1738" s="6">
        <v>0</v>
      </c>
      <c r="H1738" s="4" t="s">
        <v>9</v>
      </c>
      <c r="I1738" s="4" t="s">
        <v>3</v>
      </c>
      <c r="J1738" s="4" t="s">
        <v>9</v>
      </c>
      <c r="K1738" s="4" t="s">
        <v>9</v>
      </c>
      <c r="L1738" s="4" t="s">
        <v>9</v>
      </c>
      <c r="M1738" s="4" t="s">
        <v>9</v>
      </c>
      <c r="N1738" s="5"/>
    </row>
    <row r="1739" spans="1:14" x14ac:dyDescent="0.25">
      <c r="A1739" t="s">
        <v>432</v>
      </c>
      <c r="B1739" s="2">
        <v>46115</v>
      </c>
      <c r="C1739" t="s">
        <v>432</v>
      </c>
      <c r="D1739" t="s">
        <v>99</v>
      </c>
      <c r="E1739" t="s">
        <v>9</v>
      </c>
      <c r="F1739" s="3">
        <v>-10659.38</v>
      </c>
      <c r="G1739" s="3">
        <v>-10659.38</v>
      </c>
      <c r="H1739" t="s">
        <v>3</v>
      </c>
      <c r="I1739" t="s">
        <v>3</v>
      </c>
      <c r="J1739" t="s">
        <v>9</v>
      </c>
      <c r="K1739" t="s">
        <v>9</v>
      </c>
      <c r="L1739" t="s">
        <v>16</v>
      </c>
      <c r="M1739" t="s">
        <v>102</v>
      </c>
      <c r="N1739" s="2">
        <v>46112</v>
      </c>
    </row>
    <row r="1740" spans="1:14" x14ac:dyDescent="0.25">
      <c r="A1740" t="s">
        <v>432</v>
      </c>
      <c r="B1740" s="2">
        <v>46115</v>
      </c>
      <c r="C1740" t="s">
        <v>432</v>
      </c>
      <c r="D1740" t="s">
        <v>441</v>
      </c>
      <c r="E1740" t="s">
        <v>9</v>
      </c>
      <c r="F1740" s="3">
        <v>-1105.0899999999999</v>
      </c>
      <c r="G1740" s="3">
        <v>-1105.0899999999999</v>
      </c>
      <c r="H1740" t="s">
        <v>3</v>
      </c>
      <c r="I1740" t="s">
        <v>3</v>
      </c>
      <c r="J1740" t="s">
        <v>9</v>
      </c>
      <c r="K1740" t="s">
        <v>9</v>
      </c>
      <c r="L1740" t="s">
        <v>16</v>
      </c>
      <c r="M1740" t="s">
        <v>442</v>
      </c>
      <c r="N1740" s="2">
        <v>46112</v>
      </c>
    </row>
    <row r="1741" spans="1:14" x14ac:dyDescent="0.25">
      <c r="A1741" t="s">
        <v>432</v>
      </c>
      <c r="B1741" s="2">
        <v>46084</v>
      </c>
      <c r="C1741" t="s">
        <v>432</v>
      </c>
      <c r="D1741" t="s">
        <v>441</v>
      </c>
      <c r="E1741" t="s">
        <v>438</v>
      </c>
      <c r="F1741" s="3">
        <v>1105.0899999999999</v>
      </c>
      <c r="G1741" s="3">
        <v>1105.0899999999999</v>
      </c>
      <c r="H1741" t="s">
        <v>3</v>
      </c>
      <c r="I1741" t="s">
        <v>3</v>
      </c>
      <c r="J1741" t="s">
        <v>443</v>
      </c>
      <c r="K1741" t="s">
        <v>13</v>
      </c>
      <c r="L1741" t="s">
        <v>16</v>
      </c>
      <c r="M1741" t="s">
        <v>442</v>
      </c>
      <c r="N1741" s="2">
        <v>46084</v>
      </c>
    </row>
    <row r="1742" spans="1:14" x14ac:dyDescent="0.25">
      <c r="A1742" t="s">
        <v>432</v>
      </c>
      <c r="B1742" s="2">
        <v>46094</v>
      </c>
      <c r="C1742" t="s">
        <v>432</v>
      </c>
      <c r="D1742" t="s">
        <v>99</v>
      </c>
      <c r="E1742" t="s">
        <v>436</v>
      </c>
      <c r="F1742" s="3">
        <v>10659.36</v>
      </c>
      <c r="G1742" s="3">
        <v>10659.36</v>
      </c>
      <c r="H1742" t="s">
        <v>3</v>
      </c>
      <c r="I1742" t="s">
        <v>3</v>
      </c>
      <c r="J1742" t="s">
        <v>437</v>
      </c>
      <c r="K1742" t="s">
        <v>13</v>
      </c>
      <c r="L1742" t="s">
        <v>16</v>
      </c>
      <c r="M1742" t="s">
        <v>102</v>
      </c>
      <c r="N1742" s="2">
        <v>46094</v>
      </c>
    </row>
    <row r="1743" spans="1:14" x14ac:dyDescent="0.25">
      <c r="A1743" t="s">
        <v>432</v>
      </c>
      <c r="B1743" s="2">
        <v>46081</v>
      </c>
      <c r="C1743" t="s">
        <v>432</v>
      </c>
      <c r="D1743" t="s">
        <v>99</v>
      </c>
      <c r="E1743" t="s">
        <v>436</v>
      </c>
      <c r="F1743" s="3">
        <v>0.02</v>
      </c>
      <c r="G1743" s="3">
        <v>0.02</v>
      </c>
      <c r="H1743" t="s">
        <v>3</v>
      </c>
      <c r="I1743" t="s">
        <v>3</v>
      </c>
      <c r="J1743" t="s">
        <v>437</v>
      </c>
      <c r="K1743" t="s">
        <v>13</v>
      </c>
      <c r="L1743" t="s">
        <v>16</v>
      </c>
      <c r="M1743" t="s">
        <v>102</v>
      </c>
      <c r="N1743" s="2">
        <v>46097</v>
      </c>
    </row>
    <row r="1744" spans="1:14" x14ac:dyDescent="0.25">
      <c r="A1744" s="4" t="s">
        <v>244</v>
      </c>
      <c r="B1744" s="5"/>
      <c r="C1744" s="4" t="s">
        <v>9</v>
      </c>
      <c r="D1744" s="4" t="s">
        <v>9</v>
      </c>
      <c r="E1744" s="4" t="s">
        <v>9</v>
      </c>
      <c r="F1744" s="6">
        <v>0</v>
      </c>
      <c r="G1744" s="6">
        <v>0</v>
      </c>
      <c r="H1744" s="4" t="s">
        <v>9</v>
      </c>
      <c r="I1744" s="4" t="s">
        <v>3</v>
      </c>
      <c r="J1744" s="4" t="s">
        <v>9</v>
      </c>
      <c r="K1744" s="4" t="s">
        <v>9</v>
      </c>
      <c r="L1744" s="4" t="s">
        <v>9</v>
      </c>
      <c r="M1744" s="4" t="s">
        <v>9</v>
      </c>
      <c r="N1744" s="5"/>
    </row>
    <row r="1745" spans="1:14" x14ac:dyDescent="0.25">
      <c r="A1745" t="s">
        <v>432</v>
      </c>
      <c r="B1745" s="2">
        <v>46147</v>
      </c>
      <c r="C1745" t="s">
        <v>432</v>
      </c>
      <c r="D1745" t="s">
        <v>99</v>
      </c>
      <c r="E1745" t="s">
        <v>9</v>
      </c>
      <c r="F1745" s="3">
        <v>-247464.88</v>
      </c>
      <c r="G1745" s="3">
        <v>-247464.88</v>
      </c>
      <c r="H1745" t="s">
        <v>3</v>
      </c>
      <c r="I1745" t="s">
        <v>3</v>
      </c>
      <c r="J1745" t="s">
        <v>9</v>
      </c>
      <c r="K1745" t="s">
        <v>9</v>
      </c>
      <c r="L1745" t="s">
        <v>17</v>
      </c>
      <c r="M1745" t="s">
        <v>102</v>
      </c>
      <c r="N1745" s="2">
        <v>46142</v>
      </c>
    </row>
    <row r="1746" spans="1:14" x14ac:dyDescent="0.25">
      <c r="A1746" t="s">
        <v>432</v>
      </c>
      <c r="B1746" s="2">
        <v>46147</v>
      </c>
      <c r="C1746" t="s">
        <v>432</v>
      </c>
      <c r="D1746" t="s">
        <v>441</v>
      </c>
      <c r="E1746" t="s">
        <v>9</v>
      </c>
      <c r="F1746" s="3">
        <v>-50251.56</v>
      </c>
      <c r="G1746" s="3">
        <v>-50251.56</v>
      </c>
      <c r="H1746" t="s">
        <v>3</v>
      </c>
      <c r="I1746" t="s">
        <v>3</v>
      </c>
      <c r="J1746" t="s">
        <v>9</v>
      </c>
      <c r="K1746" t="s">
        <v>9</v>
      </c>
      <c r="L1746" t="s">
        <v>17</v>
      </c>
      <c r="M1746" t="s">
        <v>442</v>
      </c>
      <c r="N1746" s="2">
        <v>46142</v>
      </c>
    </row>
    <row r="1747" spans="1:14" x14ac:dyDescent="0.25">
      <c r="A1747" t="s">
        <v>432</v>
      </c>
      <c r="B1747" s="2">
        <v>46122</v>
      </c>
      <c r="C1747" t="s">
        <v>432</v>
      </c>
      <c r="D1747" t="s">
        <v>99</v>
      </c>
      <c r="E1747" t="s">
        <v>436</v>
      </c>
      <c r="F1747" s="3">
        <v>10654.88</v>
      </c>
      <c r="G1747" s="3">
        <v>10654.88</v>
      </c>
      <c r="H1747" t="s">
        <v>3</v>
      </c>
      <c r="I1747" t="s">
        <v>3</v>
      </c>
      <c r="J1747" t="s">
        <v>437</v>
      </c>
      <c r="K1747" t="s">
        <v>13</v>
      </c>
      <c r="L1747" t="s">
        <v>17</v>
      </c>
      <c r="M1747" t="s">
        <v>102</v>
      </c>
      <c r="N1747" s="2">
        <v>46122</v>
      </c>
    </row>
    <row r="1748" spans="1:14" x14ac:dyDescent="0.25">
      <c r="A1748" t="s">
        <v>432</v>
      </c>
      <c r="B1748" s="2">
        <v>46135</v>
      </c>
      <c r="C1748" t="s">
        <v>432</v>
      </c>
      <c r="D1748" t="s">
        <v>99</v>
      </c>
      <c r="E1748" t="s">
        <v>438</v>
      </c>
      <c r="F1748" s="3">
        <v>113180</v>
      </c>
      <c r="G1748" s="3">
        <v>113180</v>
      </c>
      <c r="H1748" t="s">
        <v>3</v>
      </c>
      <c r="I1748" t="s">
        <v>3</v>
      </c>
      <c r="J1748" t="s">
        <v>440</v>
      </c>
      <c r="K1748" t="s">
        <v>13</v>
      </c>
      <c r="L1748" t="s">
        <v>17</v>
      </c>
      <c r="M1748" t="s">
        <v>102</v>
      </c>
      <c r="N1748" s="2">
        <v>46135</v>
      </c>
    </row>
    <row r="1749" spans="1:14" x14ac:dyDescent="0.25">
      <c r="A1749" t="s">
        <v>432</v>
      </c>
      <c r="B1749" s="2">
        <v>46135</v>
      </c>
      <c r="C1749" t="s">
        <v>432</v>
      </c>
      <c r="D1749" t="s">
        <v>99</v>
      </c>
      <c r="E1749" t="s">
        <v>438</v>
      </c>
      <c r="F1749" s="3">
        <v>70621.75</v>
      </c>
      <c r="G1749" s="3">
        <v>70621.75</v>
      </c>
      <c r="H1749" t="s">
        <v>3</v>
      </c>
      <c r="I1749" t="s">
        <v>3</v>
      </c>
      <c r="J1749" t="s">
        <v>439</v>
      </c>
      <c r="K1749" t="s">
        <v>13</v>
      </c>
      <c r="L1749" t="s">
        <v>17</v>
      </c>
      <c r="M1749" t="s">
        <v>102</v>
      </c>
      <c r="N1749" s="2">
        <v>46135</v>
      </c>
    </row>
    <row r="1750" spans="1:14" x14ac:dyDescent="0.25">
      <c r="A1750" t="s">
        <v>432</v>
      </c>
      <c r="B1750" s="2">
        <v>46141</v>
      </c>
      <c r="C1750" t="s">
        <v>432</v>
      </c>
      <c r="D1750" t="s">
        <v>99</v>
      </c>
      <c r="E1750" t="s">
        <v>438</v>
      </c>
      <c r="F1750" s="3">
        <v>17959.25</v>
      </c>
      <c r="G1750" s="3">
        <v>17959.25</v>
      </c>
      <c r="H1750" t="s">
        <v>3</v>
      </c>
      <c r="I1750" t="s">
        <v>3</v>
      </c>
      <c r="J1750" t="s">
        <v>440</v>
      </c>
      <c r="K1750" t="s">
        <v>13</v>
      </c>
      <c r="L1750" t="s">
        <v>17</v>
      </c>
      <c r="M1750" t="s">
        <v>102</v>
      </c>
      <c r="N1750" s="2">
        <v>46141</v>
      </c>
    </row>
    <row r="1751" spans="1:14" x14ac:dyDescent="0.25">
      <c r="A1751" t="s">
        <v>432</v>
      </c>
      <c r="B1751" s="2">
        <v>46141</v>
      </c>
      <c r="C1751" t="s">
        <v>432</v>
      </c>
      <c r="D1751" t="s">
        <v>99</v>
      </c>
      <c r="E1751" t="s">
        <v>438</v>
      </c>
      <c r="F1751" s="3">
        <v>35049</v>
      </c>
      <c r="G1751" s="3">
        <v>35049</v>
      </c>
      <c r="H1751" t="s">
        <v>3</v>
      </c>
      <c r="I1751" t="s">
        <v>3</v>
      </c>
      <c r="J1751" t="s">
        <v>439</v>
      </c>
      <c r="K1751" t="s">
        <v>13</v>
      </c>
      <c r="L1751" t="s">
        <v>17</v>
      </c>
      <c r="M1751" t="s">
        <v>102</v>
      </c>
      <c r="N1751" s="2">
        <v>46141</v>
      </c>
    </row>
    <row r="1752" spans="1:14" x14ac:dyDescent="0.25">
      <c r="A1752" t="s">
        <v>432</v>
      </c>
      <c r="B1752" s="2">
        <v>46142</v>
      </c>
      <c r="C1752" t="s">
        <v>432</v>
      </c>
      <c r="D1752" t="s">
        <v>441</v>
      </c>
      <c r="E1752" t="s">
        <v>438</v>
      </c>
      <c r="F1752" s="3">
        <v>14080.9</v>
      </c>
      <c r="G1752" s="3">
        <v>14080.9</v>
      </c>
      <c r="H1752" t="s">
        <v>3</v>
      </c>
      <c r="I1752" t="s">
        <v>3</v>
      </c>
      <c r="J1752" t="s">
        <v>443</v>
      </c>
      <c r="K1752" t="s">
        <v>13</v>
      </c>
      <c r="L1752" t="s">
        <v>17</v>
      </c>
      <c r="M1752" t="s">
        <v>442</v>
      </c>
      <c r="N1752" s="2">
        <v>46142</v>
      </c>
    </row>
    <row r="1753" spans="1:14" x14ac:dyDescent="0.25">
      <c r="A1753" t="s">
        <v>432</v>
      </c>
      <c r="B1753" s="2">
        <v>46142</v>
      </c>
      <c r="C1753" t="s">
        <v>432</v>
      </c>
      <c r="D1753" t="s">
        <v>441</v>
      </c>
      <c r="E1753" t="s">
        <v>438</v>
      </c>
      <c r="F1753" s="3">
        <v>1792.94</v>
      </c>
      <c r="G1753" s="3">
        <v>1792.94</v>
      </c>
      <c r="H1753" t="s">
        <v>3</v>
      </c>
      <c r="I1753" t="s">
        <v>3</v>
      </c>
      <c r="J1753" t="s">
        <v>443</v>
      </c>
      <c r="K1753" t="s">
        <v>13</v>
      </c>
      <c r="L1753" t="s">
        <v>17</v>
      </c>
      <c r="M1753" t="s">
        <v>442</v>
      </c>
      <c r="N1753" s="2">
        <v>46142</v>
      </c>
    </row>
    <row r="1754" spans="1:14" x14ac:dyDescent="0.25">
      <c r="A1754" t="s">
        <v>432</v>
      </c>
      <c r="B1754" s="2">
        <v>46142</v>
      </c>
      <c r="C1754" t="s">
        <v>432</v>
      </c>
      <c r="D1754" t="s">
        <v>441</v>
      </c>
      <c r="E1754" t="s">
        <v>438</v>
      </c>
      <c r="F1754" s="3">
        <v>9523.6</v>
      </c>
      <c r="G1754" s="3">
        <v>9523.6</v>
      </c>
      <c r="H1754" t="s">
        <v>3</v>
      </c>
      <c r="I1754" t="s">
        <v>3</v>
      </c>
      <c r="J1754" t="s">
        <v>443</v>
      </c>
      <c r="K1754" t="s">
        <v>13</v>
      </c>
      <c r="L1754" t="s">
        <v>17</v>
      </c>
      <c r="M1754" t="s">
        <v>442</v>
      </c>
      <c r="N1754" s="2">
        <v>46142</v>
      </c>
    </row>
    <row r="1755" spans="1:14" x14ac:dyDescent="0.25">
      <c r="A1755" t="s">
        <v>432</v>
      </c>
      <c r="B1755" s="2">
        <v>46142</v>
      </c>
      <c r="C1755" t="s">
        <v>432</v>
      </c>
      <c r="D1755" t="s">
        <v>441</v>
      </c>
      <c r="E1755" t="s">
        <v>438</v>
      </c>
      <c r="F1755" s="3">
        <v>10090.18</v>
      </c>
      <c r="G1755" s="3">
        <v>10090.18</v>
      </c>
      <c r="H1755" t="s">
        <v>3</v>
      </c>
      <c r="I1755" t="s">
        <v>3</v>
      </c>
      <c r="J1755" t="s">
        <v>443</v>
      </c>
      <c r="K1755" t="s">
        <v>13</v>
      </c>
      <c r="L1755" t="s">
        <v>17</v>
      </c>
      <c r="M1755" t="s">
        <v>442</v>
      </c>
      <c r="N1755" s="2">
        <v>46142</v>
      </c>
    </row>
    <row r="1756" spans="1:14" x14ac:dyDescent="0.25">
      <c r="A1756" t="s">
        <v>432</v>
      </c>
      <c r="B1756" s="2">
        <v>46142</v>
      </c>
      <c r="C1756" t="s">
        <v>432</v>
      </c>
      <c r="D1756" t="s">
        <v>441</v>
      </c>
      <c r="E1756" t="s">
        <v>438</v>
      </c>
      <c r="F1756" s="3">
        <v>13500.36</v>
      </c>
      <c r="G1756" s="3">
        <v>13500.36</v>
      </c>
      <c r="H1756" t="s">
        <v>3</v>
      </c>
      <c r="I1756" t="s">
        <v>3</v>
      </c>
      <c r="J1756" t="s">
        <v>443</v>
      </c>
      <c r="K1756" t="s">
        <v>13</v>
      </c>
      <c r="L1756" t="s">
        <v>17</v>
      </c>
      <c r="M1756" t="s">
        <v>442</v>
      </c>
      <c r="N1756" s="2">
        <v>46142</v>
      </c>
    </row>
    <row r="1757" spans="1:14" x14ac:dyDescent="0.25">
      <c r="A1757" t="s">
        <v>432</v>
      </c>
      <c r="B1757" s="2">
        <v>46142</v>
      </c>
      <c r="C1757" t="s">
        <v>432</v>
      </c>
      <c r="D1757" t="s">
        <v>441</v>
      </c>
      <c r="E1757" t="s">
        <v>438</v>
      </c>
      <c r="F1757" s="3">
        <v>1263.58</v>
      </c>
      <c r="G1757" s="3">
        <v>1263.58</v>
      </c>
      <c r="H1757" t="s">
        <v>3</v>
      </c>
      <c r="I1757" t="s">
        <v>3</v>
      </c>
      <c r="J1757" t="s">
        <v>443</v>
      </c>
      <c r="K1757" t="s">
        <v>13</v>
      </c>
      <c r="L1757" t="s">
        <v>17</v>
      </c>
      <c r="M1757" t="s">
        <v>442</v>
      </c>
      <c r="N1757" s="2">
        <v>46142</v>
      </c>
    </row>
    <row r="1758" spans="1:14" x14ac:dyDescent="0.25">
      <c r="A1758" s="4" t="s">
        <v>249</v>
      </c>
      <c r="B1758" s="5"/>
      <c r="C1758" s="4" t="s">
        <v>9</v>
      </c>
      <c r="D1758" s="4" t="s">
        <v>9</v>
      </c>
      <c r="E1758" s="4" t="s">
        <v>9</v>
      </c>
      <c r="F1758" s="6">
        <v>0</v>
      </c>
      <c r="G1758" s="6">
        <v>0</v>
      </c>
      <c r="H1758" s="4" t="s">
        <v>9</v>
      </c>
      <c r="I1758" s="4" t="s">
        <v>3</v>
      </c>
      <c r="J1758" s="4" t="s">
        <v>9</v>
      </c>
      <c r="K1758" s="4" t="s">
        <v>9</v>
      </c>
      <c r="L1758" s="4" t="s">
        <v>9</v>
      </c>
      <c r="M1758" s="4" t="s">
        <v>9</v>
      </c>
      <c r="N1758" s="5"/>
    </row>
    <row r="1759" spans="1:14" x14ac:dyDescent="0.25">
      <c r="A1759" t="s">
        <v>432</v>
      </c>
      <c r="B1759" s="2">
        <v>45810</v>
      </c>
      <c r="C1759" t="s">
        <v>432</v>
      </c>
      <c r="D1759" t="s">
        <v>99</v>
      </c>
      <c r="E1759" t="s">
        <v>9</v>
      </c>
      <c r="F1759" s="3">
        <v>-112830</v>
      </c>
      <c r="G1759" s="3">
        <v>-112830</v>
      </c>
      <c r="H1759" t="s">
        <v>3</v>
      </c>
      <c r="I1759" t="s">
        <v>3</v>
      </c>
      <c r="J1759" t="s">
        <v>9</v>
      </c>
      <c r="K1759" t="s">
        <v>9</v>
      </c>
      <c r="L1759" t="s">
        <v>18</v>
      </c>
      <c r="M1759" t="s">
        <v>102</v>
      </c>
      <c r="N1759" s="2">
        <v>45808</v>
      </c>
    </row>
    <row r="1760" spans="1:14" x14ac:dyDescent="0.25">
      <c r="A1760" t="s">
        <v>432</v>
      </c>
      <c r="B1760" s="2">
        <v>46175</v>
      </c>
      <c r="C1760" t="s">
        <v>432</v>
      </c>
      <c r="D1760" t="s">
        <v>99</v>
      </c>
      <c r="E1760" t="s">
        <v>9</v>
      </c>
      <c r="F1760" s="3">
        <v>-8690.6299999999992</v>
      </c>
      <c r="G1760" s="3">
        <v>-8690.6299999999992</v>
      </c>
      <c r="H1760" t="s">
        <v>3</v>
      </c>
      <c r="I1760" t="s">
        <v>3</v>
      </c>
      <c r="J1760" t="s">
        <v>9</v>
      </c>
      <c r="K1760" t="s">
        <v>9</v>
      </c>
      <c r="L1760" t="s">
        <v>18</v>
      </c>
      <c r="M1760" t="s">
        <v>102</v>
      </c>
      <c r="N1760" s="2">
        <v>46173</v>
      </c>
    </row>
    <row r="1761" spans="1:14" x14ac:dyDescent="0.25">
      <c r="A1761" t="s">
        <v>432</v>
      </c>
      <c r="B1761" s="2">
        <v>46175</v>
      </c>
      <c r="C1761" t="s">
        <v>432</v>
      </c>
      <c r="D1761" t="s">
        <v>441</v>
      </c>
      <c r="E1761" t="s">
        <v>9</v>
      </c>
      <c r="F1761" s="3">
        <v>-0.13</v>
      </c>
      <c r="G1761" s="3">
        <v>-0.13</v>
      </c>
      <c r="H1761" t="s">
        <v>3</v>
      </c>
      <c r="I1761" t="s">
        <v>3</v>
      </c>
      <c r="J1761" t="s">
        <v>9</v>
      </c>
      <c r="K1761" t="s">
        <v>9</v>
      </c>
      <c r="L1761" t="s">
        <v>18</v>
      </c>
      <c r="M1761" t="s">
        <v>442</v>
      </c>
      <c r="N1761" s="2">
        <v>46173</v>
      </c>
    </row>
    <row r="1762" spans="1:14" x14ac:dyDescent="0.25">
      <c r="A1762" t="s">
        <v>432</v>
      </c>
      <c r="B1762" s="2">
        <v>45784</v>
      </c>
      <c r="C1762" t="s">
        <v>432</v>
      </c>
      <c r="D1762" t="s">
        <v>99</v>
      </c>
      <c r="E1762" t="s">
        <v>438</v>
      </c>
      <c r="F1762" s="3">
        <v>112830</v>
      </c>
      <c r="G1762" s="3">
        <v>112830</v>
      </c>
      <c r="H1762" t="s">
        <v>3</v>
      </c>
      <c r="I1762" t="s">
        <v>3</v>
      </c>
      <c r="J1762" t="s">
        <v>440</v>
      </c>
      <c r="K1762" t="s">
        <v>5</v>
      </c>
      <c r="L1762" t="s">
        <v>18</v>
      </c>
      <c r="M1762" t="s">
        <v>102</v>
      </c>
      <c r="N1762" s="2">
        <v>45784</v>
      </c>
    </row>
    <row r="1763" spans="1:14" x14ac:dyDescent="0.25">
      <c r="A1763" t="s">
        <v>432</v>
      </c>
      <c r="B1763" s="2">
        <v>46160</v>
      </c>
      <c r="C1763" t="s">
        <v>432</v>
      </c>
      <c r="D1763" t="s">
        <v>99</v>
      </c>
      <c r="E1763" t="s">
        <v>436</v>
      </c>
      <c r="F1763" s="3">
        <v>8690.6299999999992</v>
      </c>
      <c r="G1763" s="3">
        <v>8690.6299999999992</v>
      </c>
      <c r="H1763" t="s">
        <v>3</v>
      </c>
      <c r="I1763" t="s">
        <v>3</v>
      </c>
      <c r="J1763" t="s">
        <v>437</v>
      </c>
      <c r="K1763" t="s">
        <v>13</v>
      </c>
      <c r="L1763" t="s">
        <v>18</v>
      </c>
      <c r="M1763" t="s">
        <v>102</v>
      </c>
      <c r="N1763" s="2">
        <v>46160</v>
      </c>
    </row>
    <row r="1764" spans="1:14" x14ac:dyDescent="0.25">
      <c r="A1764" t="s">
        <v>432</v>
      </c>
      <c r="B1764" s="2">
        <v>46168</v>
      </c>
      <c r="C1764" t="s">
        <v>432</v>
      </c>
      <c r="D1764" t="s">
        <v>441</v>
      </c>
      <c r="E1764" t="s">
        <v>438</v>
      </c>
      <c r="F1764" s="3">
        <v>0.13</v>
      </c>
      <c r="G1764" s="3">
        <v>0.13</v>
      </c>
      <c r="H1764" t="s">
        <v>3</v>
      </c>
      <c r="I1764" t="s">
        <v>3</v>
      </c>
      <c r="J1764" t="s">
        <v>443</v>
      </c>
      <c r="K1764" t="s">
        <v>13</v>
      </c>
      <c r="L1764" t="s">
        <v>18</v>
      </c>
      <c r="M1764" t="s">
        <v>442</v>
      </c>
      <c r="N1764" s="2">
        <v>46168</v>
      </c>
    </row>
    <row r="1765" spans="1:14" x14ac:dyDescent="0.25">
      <c r="A1765" s="4" t="s">
        <v>223</v>
      </c>
      <c r="B1765" s="5"/>
      <c r="C1765" s="4" t="s">
        <v>9</v>
      </c>
      <c r="D1765" s="4" t="s">
        <v>9</v>
      </c>
      <c r="E1765" s="4" t="s">
        <v>9</v>
      </c>
      <c r="F1765" s="6">
        <v>0</v>
      </c>
      <c r="G1765" s="6">
        <v>0</v>
      </c>
      <c r="H1765" s="4" t="s">
        <v>9</v>
      </c>
      <c r="I1765" s="4" t="s">
        <v>3</v>
      </c>
      <c r="J1765" s="4" t="s">
        <v>9</v>
      </c>
      <c r="K1765" s="4" t="s">
        <v>9</v>
      </c>
      <c r="L1765" s="4" t="s">
        <v>9</v>
      </c>
      <c r="M1765" s="4" t="s">
        <v>9</v>
      </c>
      <c r="N1765" s="5"/>
    </row>
    <row r="1766" spans="1:14" x14ac:dyDescent="0.25">
      <c r="A1766" t="s">
        <v>432</v>
      </c>
      <c r="B1766" s="2">
        <v>45839</v>
      </c>
      <c r="C1766" t="s">
        <v>432</v>
      </c>
      <c r="D1766" t="s">
        <v>99</v>
      </c>
      <c r="E1766" t="s">
        <v>9</v>
      </c>
      <c r="F1766" s="3">
        <v>-106113</v>
      </c>
      <c r="G1766" s="3">
        <v>-106113</v>
      </c>
      <c r="H1766" t="s">
        <v>3</v>
      </c>
      <c r="I1766" t="s">
        <v>3</v>
      </c>
      <c r="J1766" t="s">
        <v>9</v>
      </c>
      <c r="K1766" t="s">
        <v>9</v>
      </c>
      <c r="L1766" t="s">
        <v>19</v>
      </c>
      <c r="M1766" t="s">
        <v>102</v>
      </c>
      <c r="N1766" s="2">
        <v>45838</v>
      </c>
    </row>
    <row r="1767" spans="1:14" x14ac:dyDescent="0.25">
      <c r="A1767" t="s">
        <v>432</v>
      </c>
      <c r="B1767" s="2">
        <v>46205</v>
      </c>
      <c r="C1767" t="s">
        <v>432</v>
      </c>
      <c r="D1767" t="s">
        <v>99</v>
      </c>
      <c r="E1767" t="s">
        <v>9</v>
      </c>
      <c r="F1767" s="3">
        <v>454529.5</v>
      </c>
      <c r="G1767" s="3">
        <v>454529.5</v>
      </c>
      <c r="H1767" t="s">
        <v>3</v>
      </c>
      <c r="I1767" t="s">
        <v>3</v>
      </c>
      <c r="J1767" t="s">
        <v>9</v>
      </c>
      <c r="K1767" t="s">
        <v>9</v>
      </c>
      <c r="L1767" t="s">
        <v>19</v>
      </c>
      <c r="M1767" t="s">
        <v>102</v>
      </c>
      <c r="N1767" s="2">
        <v>46203</v>
      </c>
    </row>
    <row r="1768" spans="1:14" x14ac:dyDescent="0.25">
      <c r="A1768" t="s">
        <v>432</v>
      </c>
      <c r="B1768" s="2">
        <v>46205</v>
      </c>
      <c r="C1768" t="s">
        <v>432</v>
      </c>
      <c r="D1768" t="s">
        <v>441</v>
      </c>
      <c r="E1768" t="s">
        <v>9</v>
      </c>
      <c r="F1768" s="3">
        <v>-2235.5500000000002</v>
      </c>
      <c r="G1768" s="3">
        <v>-2235.5500000000002</v>
      </c>
      <c r="H1768" t="s">
        <v>3</v>
      </c>
      <c r="I1768" t="s">
        <v>3</v>
      </c>
      <c r="J1768" t="s">
        <v>9</v>
      </c>
      <c r="K1768" t="s">
        <v>9</v>
      </c>
      <c r="L1768" t="s">
        <v>19</v>
      </c>
      <c r="M1768" t="s">
        <v>442</v>
      </c>
      <c r="N1768" s="2">
        <v>46203</v>
      </c>
    </row>
    <row r="1769" spans="1:14" x14ac:dyDescent="0.25">
      <c r="A1769" t="s">
        <v>432</v>
      </c>
      <c r="B1769" s="2">
        <v>45819</v>
      </c>
      <c r="C1769" t="s">
        <v>432</v>
      </c>
      <c r="D1769" t="s">
        <v>99</v>
      </c>
      <c r="E1769" t="s">
        <v>438</v>
      </c>
      <c r="F1769" s="3">
        <v>106113</v>
      </c>
      <c r="G1769" s="3">
        <v>106113</v>
      </c>
      <c r="H1769" t="s">
        <v>3</v>
      </c>
      <c r="I1769" t="s">
        <v>3</v>
      </c>
      <c r="J1769" t="s">
        <v>440</v>
      </c>
      <c r="K1769" t="s">
        <v>5</v>
      </c>
      <c r="L1769" t="s">
        <v>19</v>
      </c>
      <c r="M1769" t="s">
        <v>102</v>
      </c>
      <c r="N1769" s="2">
        <v>45819</v>
      </c>
    </row>
    <row r="1770" spans="1:14" x14ac:dyDescent="0.25">
      <c r="A1770" t="s">
        <v>432</v>
      </c>
      <c r="B1770" s="2">
        <v>46177</v>
      </c>
      <c r="C1770" t="s">
        <v>432</v>
      </c>
      <c r="D1770" t="s">
        <v>99</v>
      </c>
      <c r="E1770" t="s">
        <v>438</v>
      </c>
      <c r="F1770" s="3">
        <v>17357</v>
      </c>
      <c r="G1770" s="3">
        <v>17357</v>
      </c>
      <c r="H1770" t="s">
        <v>3</v>
      </c>
      <c r="I1770" t="s">
        <v>3</v>
      </c>
      <c r="J1770" t="s">
        <v>440</v>
      </c>
      <c r="K1770" t="s">
        <v>13</v>
      </c>
      <c r="L1770" t="s">
        <v>19</v>
      </c>
      <c r="M1770" t="s">
        <v>102</v>
      </c>
      <c r="N1770" s="2">
        <v>46177</v>
      </c>
    </row>
    <row r="1771" spans="1:14" x14ac:dyDescent="0.25">
      <c r="A1771" t="s">
        <v>432</v>
      </c>
      <c r="B1771" s="2">
        <v>46177</v>
      </c>
      <c r="C1771" t="s">
        <v>432</v>
      </c>
      <c r="D1771" t="s">
        <v>441</v>
      </c>
      <c r="E1771" t="s">
        <v>438</v>
      </c>
      <c r="F1771" s="3">
        <v>2235.5500000000002</v>
      </c>
      <c r="G1771" s="3">
        <v>2235.5500000000002</v>
      </c>
      <c r="H1771" t="s">
        <v>3</v>
      </c>
      <c r="I1771" t="s">
        <v>3</v>
      </c>
      <c r="J1771" t="s">
        <v>443</v>
      </c>
      <c r="K1771" t="s">
        <v>13</v>
      </c>
      <c r="L1771" t="s">
        <v>19</v>
      </c>
      <c r="M1771" t="s">
        <v>442</v>
      </c>
      <c r="N1771" s="2">
        <v>46177</v>
      </c>
    </row>
    <row r="1772" spans="1:14" x14ac:dyDescent="0.25">
      <c r="A1772" t="s">
        <v>432</v>
      </c>
      <c r="B1772" s="2">
        <v>46185</v>
      </c>
      <c r="C1772" t="s">
        <v>432</v>
      </c>
      <c r="D1772" t="s">
        <v>99</v>
      </c>
      <c r="E1772" t="s">
        <v>436</v>
      </c>
      <c r="F1772" s="3">
        <v>2213.4299999999998</v>
      </c>
      <c r="G1772" s="3">
        <v>2213.4299999999998</v>
      </c>
      <c r="H1772" t="s">
        <v>3</v>
      </c>
      <c r="I1772" t="s">
        <v>3</v>
      </c>
      <c r="J1772" t="s">
        <v>437</v>
      </c>
      <c r="K1772" t="s">
        <v>13</v>
      </c>
      <c r="L1772" t="s">
        <v>19</v>
      </c>
      <c r="M1772" t="s">
        <v>102</v>
      </c>
      <c r="N1772" s="2">
        <v>46185</v>
      </c>
    </row>
    <row r="1773" spans="1:14" x14ac:dyDescent="0.25">
      <c r="A1773" t="s">
        <v>432</v>
      </c>
      <c r="B1773" s="2">
        <v>46185</v>
      </c>
      <c r="C1773" t="s">
        <v>432</v>
      </c>
      <c r="D1773" t="s">
        <v>99</v>
      </c>
      <c r="E1773" t="s">
        <v>436</v>
      </c>
      <c r="F1773" s="3">
        <v>11174.07</v>
      </c>
      <c r="G1773" s="3">
        <v>11174.07</v>
      </c>
      <c r="H1773" t="s">
        <v>3</v>
      </c>
      <c r="I1773" t="s">
        <v>3</v>
      </c>
      <c r="J1773" t="s">
        <v>444</v>
      </c>
      <c r="K1773" t="s">
        <v>13</v>
      </c>
      <c r="L1773" t="s">
        <v>19</v>
      </c>
      <c r="M1773" t="s">
        <v>102</v>
      </c>
      <c r="N1773" s="2">
        <v>46185</v>
      </c>
    </row>
    <row r="1774" spans="1:14" x14ac:dyDescent="0.25">
      <c r="A1774" t="s">
        <v>432</v>
      </c>
      <c r="B1774" s="2">
        <v>46203</v>
      </c>
      <c r="C1774" t="s">
        <v>432</v>
      </c>
      <c r="D1774" t="s">
        <v>99</v>
      </c>
      <c r="E1774" t="s">
        <v>9</v>
      </c>
      <c r="F1774" s="3">
        <v>-63000</v>
      </c>
      <c r="G1774" s="3">
        <v>-63000</v>
      </c>
      <c r="H1774" t="s">
        <v>3</v>
      </c>
      <c r="I1774" t="s">
        <v>3</v>
      </c>
      <c r="J1774" t="s">
        <v>184</v>
      </c>
      <c r="K1774" t="s">
        <v>13</v>
      </c>
      <c r="L1774" t="s">
        <v>19</v>
      </c>
      <c r="M1774" t="s">
        <v>102</v>
      </c>
      <c r="N1774" s="2">
        <v>46203</v>
      </c>
    </row>
    <row r="1775" spans="1:14" x14ac:dyDescent="0.25">
      <c r="A1775" t="s">
        <v>432</v>
      </c>
      <c r="B1775" s="2">
        <v>46203</v>
      </c>
      <c r="C1775" t="s">
        <v>432</v>
      </c>
      <c r="D1775" t="s">
        <v>99</v>
      </c>
      <c r="E1775" t="s">
        <v>9</v>
      </c>
      <c r="F1775" s="3">
        <v>-10000</v>
      </c>
      <c r="G1775" s="3">
        <v>-10000</v>
      </c>
      <c r="H1775" t="s">
        <v>3</v>
      </c>
      <c r="I1775" t="s">
        <v>3</v>
      </c>
      <c r="J1775" t="s">
        <v>184</v>
      </c>
      <c r="K1775" t="s">
        <v>13</v>
      </c>
      <c r="L1775" t="s">
        <v>19</v>
      </c>
      <c r="M1775" t="s">
        <v>102</v>
      </c>
      <c r="N1775" s="2">
        <v>46203</v>
      </c>
    </row>
    <row r="1776" spans="1:14" x14ac:dyDescent="0.25">
      <c r="A1776" t="s">
        <v>432</v>
      </c>
      <c r="B1776" s="2">
        <v>46203</v>
      </c>
      <c r="C1776" t="s">
        <v>432</v>
      </c>
      <c r="D1776" t="s">
        <v>99</v>
      </c>
      <c r="E1776" t="s">
        <v>9</v>
      </c>
      <c r="F1776" s="3">
        <v>-412274</v>
      </c>
      <c r="G1776" s="3">
        <v>-412274</v>
      </c>
      <c r="H1776" t="s">
        <v>3</v>
      </c>
      <c r="I1776" t="s">
        <v>3</v>
      </c>
      <c r="J1776" t="s">
        <v>184</v>
      </c>
      <c r="K1776" t="s">
        <v>13</v>
      </c>
      <c r="L1776" t="s">
        <v>19</v>
      </c>
      <c r="M1776" t="s">
        <v>102</v>
      </c>
      <c r="N1776" s="2">
        <v>46203</v>
      </c>
    </row>
    <row r="1777" spans="1:14" x14ac:dyDescent="0.25">
      <c r="A1777" s="4" t="s">
        <v>224</v>
      </c>
      <c r="B1777" s="5"/>
      <c r="C1777" s="4" t="s">
        <v>9</v>
      </c>
      <c r="D1777" s="4" t="s">
        <v>9</v>
      </c>
      <c r="E1777" s="4" t="s">
        <v>9</v>
      </c>
      <c r="F1777" s="6">
        <v>0</v>
      </c>
      <c r="G1777" s="6">
        <v>0</v>
      </c>
      <c r="H1777" s="4" t="s">
        <v>9</v>
      </c>
      <c r="I1777" s="4" t="s">
        <v>3</v>
      </c>
      <c r="J1777" s="4" t="s">
        <v>9</v>
      </c>
      <c r="K1777" s="4" t="s">
        <v>9</v>
      </c>
      <c r="L1777" s="4" t="s">
        <v>9</v>
      </c>
      <c r="M1777" s="4" t="s">
        <v>9</v>
      </c>
      <c r="N1777" s="5"/>
    </row>
    <row r="1778" spans="1:14" x14ac:dyDescent="0.25">
      <c r="A1778" t="s">
        <v>432</v>
      </c>
      <c r="B1778" s="2">
        <v>46239</v>
      </c>
      <c r="C1778" t="s">
        <v>432</v>
      </c>
      <c r="D1778" t="s">
        <v>99</v>
      </c>
      <c r="E1778" t="s">
        <v>9</v>
      </c>
      <c r="F1778" s="3">
        <v>-14006.25</v>
      </c>
      <c r="G1778" s="3">
        <v>-14006.25</v>
      </c>
      <c r="H1778" t="s">
        <v>3</v>
      </c>
      <c r="I1778" t="s">
        <v>3</v>
      </c>
      <c r="J1778" t="s">
        <v>9</v>
      </c>
      <c r="K1778" t="s">
        <v>9</v>
      </c>
      <c r="L1778" t="s">
        <v>21</v>
      </c>
      <c r="M1778" t="s">
        <v>102</v>
      </c>
      <c r="N1778" s="2">
        <v>46234</v>
      </c>
    </row>
    <row r="1779" spans="1:14" x14ac:dyDescent="0.25">
      <c r="A1779" t="s">
        <v>432</v>
      </c>
      <c r="B1779" s="2">
        <v>46218</v>
      </c>
      <c r="C1779" t="s">
        <v>432</v>
      </c>
      <c r="D1779" t="s">
        <v>99</v>
      </c>
      <c r="E1779" t="s">
        <v>436</v>
      </c>
      <c r="F1779" s="3">
        <v>14006.25</v>
      </c>
      <c r="G1779" s="3">
        <v>14006.25</v>
      </c>
      <c r="H1779" t="s">
        <v>3</v>
      </c>
      <c r="I1779" t="s">
        <v>3</v>
      </c>
      <c r="J1779" t="s">
        <v>444</v>
      </c>
      <c r="K1779" t="s">
        <v>13</v>
      </c>
      <c r="L1779" t="s">
        <v>21</v>
      </c>
      <c r="M1779" t="s">
        <v>102</v>
      </c>
      <c r="N1779" s="2">
        <v>46218</v>
      </c>
    </row>
    <row r="1780" spans="1:14" x14ac:dyDescent="0.25">
      <c r="A1780" s="4" t="s">
        <v>262</v>
      </c>
      <c r="B1780" s="5"/>
      <c r="C1780" s="4" t="s">
        <v>9</v>
      </c>
      <c r="D1780" s="4" t="s">
        <v>9</v>
      </c>
      <c r="E1780" s="4" t="s">
        <v>9</v>
      </c>
      <c r="F1780" s="6">
        <v>0</v>
      </c>
      <c r="G1780" s="6">
        <v>0</v>
      </c>
      <c r="H1780" s="4" t="s">
        <v>9</v>
      </c>
      <c r="I1780" s="4" t="s">
        <v>3</v>
      </c>
      <c r="J1780" s="4" t="s">
        <v>9</v>
      </c>
      <c r="K1780" s="4" t="s">
        <v>9</v>
      </c>
      <c r="L1780" s="4" t="s">
        <v>9</v>
      </c>
      <c r="M1780" s="4" t="s">
        <v>9</v>
      </c>
      <c r="N1780" s="5"/>
    </row>
    <row r="1781" spans="1:14" x14ac:dyDescent="0.25">
      <c r="A1781" t="s">
        <v>432</v>
      </c>
      <c r="B1781" s="2">
        <v>45901</v>
      </c>
      <c r="C1781" t="s">
        <v>432</v>
      </c>
      <c r="D1781" t="s">
        <v>99</v>
      </c>
      <c r="E1781" t="s">
        <v>9</v>
      </c>
      <c r="F1781" s="3">
        <v>-190305.15</v>
      </c>
      <c r="G1781" s="3">
        <v>-190305.15</v>
      </c>
      <c r="H1781" t="s">
        <v>3</v>
      </c>
      <c r="I1781" t="s">
        <v>3</v>
      </c>
      <c r="J1781" t="s">
        <v>9</v>
      </c>
      <c r="K1781" t="s">
        <v>9</v>
      </c>
      <c r="L1781" t="s">
        <v>22</v>
      </c>
      <c r="M1781" t="s">
        <v>102</v>
      </c>
      <c r="N1781" s="2">
        <v>45900</v>
      </c>
    </row>
    <row r="1782" spans="1:14" x14ac:dyDescent="0.25">
      <c r="A1782" t="s">
        <v>432</v>
      </c>
      <c r="B1782" s="2">
        <v>45870</v>
      </c>
      <c r="C1782" t="s">
        <v>432</v>
      </c>
      <c r="D1782" t="s">
        <v>99</v>
      </c>
      <c r="E1782" t="s">
        <v>438</v>
      </c>
      <c r="F1782" s="3">
        <v>112830</v>
      </c>
      <c r="G1782" s="3">
        <v>112830</v>
      </c>
      <c r="H1782" t="s">
        <v>3</v>
      </c>
      <c r="I1782" t="s">
        <v>3</v>
      </c>
      <c r="J1782" t="s">
        <v>440</v>
      </c>
      <c r="K1782" t="s">
        <v>5</v>
      </c>
      <c r="L1782" t="s">
        <v>22</v>
      </c>
      <c r="M1782" t="s">
        <v>102</v>
      </c>
      <c r="N1782" s="2">
        <v>45870</v>
      </c>
    </row>
    <row r="1783" spans="1:14" x14ac:dyDescent="0.25">
      <c r="A1783" t="s">
        <v>432</v>
      </c>
      <c r="B1783" s="2">
        <v>45870</v>
      </c>
      <c r="C1783" t="s">
        <v>432</v>
      </c>
      <c r="D1783" t="s">
        <v>99</v>
      </c>
      <c r="E1783" t="s">
        <v>438</v>
      </c>
      <c r="F1783" s="3">
        <v>76563</v>
      </c>
      <c r="G1783" s="3">
        <v>76563</v>
      </c>
      <c r="H1783" t="s">
        <v>3</v>
      </c>
      <c r="I1783" t="s">
        <v>3</v>
      </c>
      <c r="J1783" t="s">
        <v>440</v>
      </c>
      <c r="K1783" t="s">
        <v>5</v>
      </c>
      <c r="L1783" t="s">
        <v>22</v>
      </c>
      <c r="M1783" t="s">
        <v>102</v>
      </c>
      <c r="N1783" s="2">
        <v>45870</v>
      </c>
    </row>
    <row r="1784" spans="1:14" x14ac:dyDescent="0.25">
      <c r="A1784" t="s">
        <v>432</v>
      </c>
      <c r="B1784" s="2">
        <v>45898</v>
      </c>
      <c r="C1784" t="s">
        <v>432</v>
      </c>
      <c r="D1784" t="s">
        <v>99</v>
      </c>
      <c r="E1784" t="s">
        <v>433</v>
      </c>
      <c r="F1784" s="3">
        <v>912.15</v>
      </c>
      <c r="G1784" s="3">
        <v>912.15</v>
      </c>
      <c r="H1784" t="s">
        <v>3</v>
      </c>
      <c r="I1784" t="s">
        <v>3</v>
      </c>
      <c r="J1784" t="s">
        <v>445</v>
      </c>
      <c r="K1784" t="s">
        <v>5</v>
      </c>
      <c r="L1784" t="s">
        <v>22</v>
      </c>
      <c r="M1784" t="s">
        <v>102</v>
      </c>
      <c r="N1784" s="2">
        <v>45898</v>
      </c>
    </row>
    <row r="1785" spans="1:14" x14ac:dyDescent="0.25">
      <c r="A1785" s="4" t="s">
        <v>267</v>
      </c>
      <c r="B1785" s="5"/>
      <c r="C1785" s="4" t="s">
        <v>9</v>
      </c>
      <c r="D1785" s="4" t="s">
        <v>9</v>
      </c>
      <c r="E1785" s="4" t="s">
        <v>9</v>
      </c>
      <c r="F1785" s="6">
        <v>0</v>
      </c>
      <c r="G1785" s="6">
        <v>0</v>
      </c>
      <c r="H1785" s="4" t="s">
        <v>9</v>
      </c>
      <c r="I1785" s="4" t="s">
        <v>3</v>
      </c>
      <c r="J1785" s="4" t="s">
        <v>9</v>
      </c>
      <c r="K1785" s="4" t="s">
        <v>9</v>
      </c>
      <c r="L1785" s="4" t="s">
        <v>9</v>
      </c>
      <c r="M1785" s="4" t="s">
        <v>9</v>
      </c>
      <c r="N1785" s="5"/>
    </row>
    <row r="1786" spans="1:14" x14ac:dyDescent="0.25">
      <c r="A1786" t="s">
        <v>432</v>
      </c>
      <c r="B1786" s="2">
        <v>45932</v>
      </c>
      <c r="C1786" t="s">
        <v>432</v>
      </c>
      <c r="D1786" t="s">
        <v>99</v>
      </c>
      <c r="E1786" t="s">
        <v>9</v>
      </c>
      <c r="F1786" s="3">
        <v>-2208.23</v>
      </c>
      <c r="G1786" s="3">
        <v>-2208.23</v>
      </c>
      <c r="H1786" t="s">
        <v>3</v>
      </c>
      <c r="I1786" t="s">
        <v>3</v>
      </c>
      <c r="J1786" t="s">
        <v>9</v>
      </c>
      <c r="K1786" t="s">
        <v>9</v>
      </c>
      <c r="L1786" t="s">
        <v>6</v>
      </c>
      <c r="M1786" t="s">
        <v>102</v>
      </c>
      <c r="N1786" s="2">
        <v>45930</v>
      </c>
    </row>
    <row r="1787" spans="1:14" x14ac:dyDescent="0.25">
      <c r="A1787" t="s">
        <v>432</v>
      </c>
      <c r="B1787" s="2">
        <v>45932</v>
      </c>
      <c r="C1787" t="s">
        <v>432</v>
      </c>
      <c r="D1787" t="s">
        <v>441</v>
      </c>
      <c r="E1787" t="s">
        <v>9</v>
      </c>
      <c r="F1787" s="3">
        <v>-3160</v>
      </c>
      <c r="G1787" s="3">
        <v>-3160</v>
      </c>
      <c r="H1787" t="s">
        <v>3</v>
      </c>
      <c r="I1787" t="s">
        <v>3</v>
      </c>
      <c r="J1787" t="s">
        <v>9</v>
      </c>
      <c r="K1787" t="s">
        <v>9</v>
      </c>
      <c r="L1787" t="s">
        <v>6</v>
      </c>
      <c r="M1787" t="s">
        <v>442</v>
      </c>
      <c r="N1787" s="2">
        <v>45930</v>
      </c>
    </row>
    <row r="1788" spans="1:14" x14ac:dyDescent="0.25">
      <c r="A1788" t="s">
        <v>432</v>
      </c>
      <c r="B1788" s="2">
        <v>45930</v>
      </c>
      <c r="C1788" t="s">
        <v>432</v>
      </c>
      <c r="D1788" t="s">
        <v>99</v>
      </c>
      <c r="E1788" t="s">
        <v>9</v>
      </c>
      <c r="F1788" s="3">
        <v>840</v>
      </c>
      <c r="G1788" s="3">
        <v>840</v>
      </c>
      <c r="H1788" t="s">
        <v>3</v>
      </c>
      <c r="I1788" t="s">
        <v>3</v>
      </c>
      <c r="J1788" t="s">
        <v>446</v>
      </c>
      <c r="K1788" t="s">
        <v>5</v>
      </c>
      <c r="L1788" t="s">
        <v>6</v>
      </c>
      <c r="M1788" t="s">
        <v>102</v>
      </c>
      <c r="N1788" s="2">
        <v>45930</v>
      </c>
    </row>
    <row r="1789" spans="1:14" x14ac:dyDescent="0.25">
      <c r="A1789" t="s">
        <v>432</v>
      </c>
      <c r="B1789" s="2">
        <v>45925</v>
      </c>
      <c r="C1789" t="s">
        <v>432</v>
      </c>
      <c r="D1789" t="s">
        <v>99</v>
      </c>
      <c r="E1789" t="s">
        <v>433</v>
      </c>
      <c r="F1789" s="3">
        <v>1368.23</v>
      </c>
      <c r="G1789" s="3">
        <v>1368.23</v>
      </c>
      <c r="H1789" t="s">
        <v>3</v>
      </c>
      <c r="I1789" t="s">
        <v>3</v>
      </c>
      <c r="J1789" t="s">
        <v>445</v>
      </c>
      <c r="K1789" t="s">
        <v>5</v>
      </c>
      <c r="L1789" t="s">
        <v>6</v>
      </c>
      <c r="M1789" t="s">
        <v>102</v>
      </c>
      <c r="N1789" s="2">
        <v>45925</v>
      </c>
    </row>
    <row r="1790" spans="1:14" x14ac:dyDescent="0.25">
      <c r="A1790" t="s">
        <v>432</v>
      </c>
      <c r="B1790" s="2">
        <v>45930</v>
      </c>
      <c r="C1790" t="s">
        <v>432</v>
      </c>
      <c r="D1790" t="s">
        <v>441</v>
      </c>
      <c r="E1790" t="s">
        <v>438</v>
      </c>
      <c r="F1790" s="3">
        <v>3160</v>
      </c>
      <c r="G1790" s="3">
        <v>3160</v>
      </c>
      <c r="H1790" t="s">
        <v>3</v>
      </c>
      <c r="I1790" t="s">
        <v>3</v>
      </c>
      <c r="J1790" t="s">
        <v>443</v>
      </c>
      <c r="K1790" t="s">
        <v>5</v>
      </c>
      <c r="L1790" t="s">
        <v>6</v>
      </c>
      <c r="M1790" t="s">
        <v>442</v>
      </c>
      <c r="N1790" s="2">
        <v>45930</v>
      </c>
    </row>
    <row r="1791" spans="1:14" x14ac:dyDescent="0.25">
      <c r="A1791" s="4" t="s">
        <v>272</v>
      </c>
      <c r="B1791" s="5"/>
      <c r="C1791" s="4" t="s">
        <v>9</v>
      </c>
      <c r="D1791" s="4" t="s">
        <v>9</v>
      </c>
      <c r="E1791" s="4" t="s">
        <v>9</v>
      </c>
      <c r="F1791" s="6">
        <v>0</v>
      </c>
      <c r="G1791" s="6">
        <v>0</v>
      </c>
      <c r="H1791" s="4" t="s">
        <v>9</v>
      </c>
      <c r="I1791" s="4" t="s">
        <v>3</v>
      </c>
      <c r="J1791" s="4" t="s">
        <v>9</v>
      </c>
      <c r="K1791" s="4" t="s">
        <v>9</v>
      </c>
      <c r="L1791" s="4" t="s">
        <v>9</v>
      </c>
      <c r="M1791" s="4" t="s">
        <v>9</v>
      </c>
      <c r="N1791" s="5"/>
    </row>
    <row r="1792" spans="1:14" x14ac:dyDescent="0.25">
      <c r="A1792" t="s">
        <v>432</v>
      </c>
      <c r="B1792" s="2">
        <v>45965</v>
      </c>
      <c r="C1792" t="s">
        <v>432</v>
      </c>
      <c r="D1792" t="s">
        <v>99</v>
      </c>
      <c r="E1792" t="s">
        <v>9</v>
      </c>
      <c r="F1792" s="3">
        <v>-6763.38</v>
      </c>
      <c r="G1792" s="3">
        <v>-6763.38</v>
      </c>
      <c r="H1792" t="s">
        <v>3</v>
      </c>
      <c r="I1792" t="s">
        <v>3</v>
      </c>
      <c r="J1792" t="s">
        <v>9</v>
      </c>
      <c r="K1792" t="s">
        <v>9</v>
      </c>
      <c r="L1792" t="s">
        <v>8</v>
      </c>
      <c r="M1792" t="s">
        <v>102</v>
      </c>
      <c r="N1792" s="2">
        <v>45961</v>
      </c>
    </row>
    <row r="1793" spans="1:14" x14ac:dyDescent="0.25">
      <c r="A1793" t="s">
        <v>432</v>
      </c>
      <c r="B1793" s="2">
        <v>45946</v>
      </c>
      <c r="C1793" t="s">
        <v>432</v>
      </c>
      <c r="D1793" t="s">
        <v>99</v>
      </c>
      <c r="E1793" t="s">
        <v>433</v>
      </c>
      <c r="F1793" s="3">
        <v>2280.38</v>
      </c>
      <c r="G1793" s="3">
        <v>2280.38</v>
      </c>
      <c r="H1793" t="s">
        <v>3</v>
      </c>
      <c r="I1793" t="s">
        <v>3</v>
      </c>
      <c r="J1793" t="s">
        <v>445</v>
      </c>
      <c r="K1793" t="s">
        <v>5</v>
      </c>
      <c r="L1793" t="s">
        <v>8</v>
      </c>
      <c r="M1793" t="s">
        <v>102</v>
      </c>
      <c r="N1793" s="2">
        <v>45946</v>
      </c>
    </row>
    <row r="1794" spans="1:14" x14ac:dyDescent="0.25">
      <c r="A1794" t="s">
        <v>432</v>
      </c>
      <c r="B1794" s="2">
        <v>45961</v>
      </c>
      <c r="C1794" t="s">
        <v>432</v>
      </c>
      <c r="D1794" t="s">
        <v>99</v>
      </c>
      <c r="E1794" t="s">
        <v>9</v>
      </c>
      <c r="F1794" s="3">
        <v>4483</v>
      </c>
      <c r="G1794" s="3">
        <v>4483</v>
      </c>
      <c r="H1794" t="s">
        <v>3</v>
      </c>
      <c r="I1794" t="s">
        <v>3</v>
      </c>
      <c r="J1794" t="s">
        <v>447</v>
      </c>
      <c r="K1794" t="s">
        <v>5</v>
      </c>
      <c r="L1794" t="s">
        <v>8</v>
      </c>
      <c r="M1794" t="s">
        <v>102</v>
      </c>
      <c r="N1794" s="2">
        <v>45961</v>
      </c>
    </row>
    <row r="1795" spans="1:14" x14ac:dyDescent="0.25">
      <c r="A1795" s="4" t="s">
        <v>278</v>
      </c>
      <c r="B1795" s="5"/>
      <c r="C1795" s="4" t="s">
        <v>9</v>
      </c>
      <c r="D1795" s="4" t="s">
        <v>9</v>
      </c>
      <c r="E1795" s="4" t="s">
        <v>9</v>
      </c>
      <c r="F1795" s="6">
        <v>0</v>
      </c>
      <c r="G1795" s="6">
        <v>0</v>
      </c>
      <c r="H1795" s="4" t="s">
        <v>9</v>
      </c>
      <c r="I1795" s="4" t="s">
        <v>3</v>
      </c>
      <c r="J1795" s="4" t="s">
        <v>9</v>
      </c>
      <c r="K1795" s="4" t="s">
        <v>9</v>
      </c>
      <c r="L1795" s="4" t="s">
        <v>9</v>
      </c>
      <c r="M1795" s="4" t="s">
        <v>9</v>
      </c>
      <c r="N1795" s="5"/>
    </row>
    <row r="1796" spans="1:14" x14ac:dyDescent="0.25">
      <c r="A1796" t="s">
        <v>432</v>
      </c>
      <c r="B1796" s="2">
        <v>45993</v>
      </c>
      <c r="C1796" t="s">
        <v>432</v>
      </c>
      <c r="D1796" t="s">
        <v>99</v>
      </c>
      <c r="E1796" t="s">
        <v>9</v>
      </c>
      <c r="F1796" s="3">
        <v>-4554.3</v>
      </c>
      <c r="G1796" s="3">
        <v>-4554.3</v>
      </c>
      <c r="H1796" t="s">
        <v>3</v>
      </c>
      <c r="I1796" t="s">
        <v>3</v>
      </c>
      <c r="J1796" t="s">
        <v>9</v>
      </c>
      <c r="K1796" t="s">
        <v>9</v>
      </c>
      <c r="L1796" t="s">
        <v>11</v>
      </c>
      <c r="M1796" t="s">
        <v>102</v>
      </c>
      <c r="N1796" s="2">
        <v>45991</v>
      </c>
    </row>
    <row r="1797" spans="1:14" x14ac:dyDescent="0.25">
      <c r="A1797" t="s">
        <v>432</v>
      </c>
      <c r="B1797" s="2">
        <v>45991</v>
      </c>
      <c r="C1797" t="s">
        <v>432</v>
      </c>
      <c r="D1797" t="s">
        <v>99</v>
      </c>
      <c r="E1797" t="s">
        <v>9</v>
      </c>
      <c r="F1797" s="3">
        <v>2730</v>
      </c>
      <c r="G1797" s="3">
        <v>2730</v>
      </c>
      <c r="H1797" t="s">
        <v>3</v>
      </c>
      <c r="I1797" t="s">
        <v>3</v>
      </c>
      <c r="J1797" t="s">
        <v>448</v>
      </c>
      <c r="K1797" t="s">
        <v>5</v>
      </c>
      <c r="L1797" t="s">
        <v>11</v>
      </c>
      <c r="M1797" t="s">
        <v>102</v>
      </c>
      <c r="N1797" s="2">
        <v>45991</v>
      </c>
    </row>
    <row r="1798" spans="1:14" x14ac:dyDescent="0.25">
      <c r="A1798" t="s">
        <v>432</v>
      </c>
      <c r="B1798" s="2">
        <v>45988</v>
      </c>
      <c r="C1798" t="s">
        <v>432</v>
      </c>
      <c r="D1798" t="s">
        <v>99</v>
      </c>
      <c r="E1798" t="s">
        <v>433</v>
      </c>
      <c r="F1798" s="3">
        <v>405.4</v>
      </c>
      <c r="G1798" s="3">
        <v>405.4</v>
      </c>
      <c r="H1798" t="s">
        <v>3</v>
      </c>
      <c r="I1798" t="s">
        <v>3</v>
      </c>
      <c r="J1798" t="s">
        <v>445</v>
      </c>
      <c r="K1798" t="s">
        <v>5</v>
      </c>
      <c r="L1798" t="s">
        <v>11</v>
      </c>
      <c r="M1798" t="s">
        <v>102</v>
      </c>
      <c r="N1798" s="2">
        <v>45988</v>
      </c>
    </row>
    <row r="1799" spans="1:14" x14ac:dyDescent="0.25">
      <c r="A1799" t="s">
        <v>432</v>
      </c>
      <c r="B1799" s="2">
        <v>45988</v>
      </c>
      <c r="C1799" t="s">
        <v>432</v>
      </c>
      <c r="D1799" t="s">
        <v>99</v>
      </c>
      <c r="E1799" t="s">
        <v>433</v>
      </c>
      <c r="F1799" s="3">
        <v>506.74</v>
      </c>
      <c r="G1799" s="3">
        <v>506.74</v>
      </c>
      <c r="H1799" t="s">
        <v>3</v>
      </c>
      <c r="I1799" t="s">
        <v>3</v>
      </c>
      <c r="J1799" t="s">
        <v>445</v>
      </c>
      <c r="K1799" t="s">
        <v>5</v>
      </c>
      <c r="L1799" t="s">
        <v>11</v>
      </c>
      <c r="M1799" t="s">
        <v>102</v>
      </c>
      <c r="N1799" s="2">
        <v>45988</v>
      </c>
    </row>
    <row r="1800" spans="1:14" x14ac:dyDescent="0.25">
      <c r="A1800" t="s">
        <v>432</v>
      </c>
      <c r="B1800" s="2">
        <v>45988</v>
      </c>
      <c r="C1800" t="s">
        <v>432</v>
      </c>
      <c r="D1800" t="s">
        <v>99</v>
      </c>
      <c r="E1800" t="s">
        <v>433</v>
      </c>
      <c r="F1800" s="3">
        <v>912.16</v>
      </c>
      <c r="G1800" s="3">
        <v>912.16</v>
      </c>
      <c r="H1800" t="s">
        <v>3</v>
      </c>
      <c r="I1800" t="s">
        <v>3</v>
      </c>
      <c r="J1800" t="s">
        <v>434</v>
      </c>
      <c r="K1800" t="s">
        <v>5</v>
      </c>
      <c r="L1800" t="s">
        <v>11</v>
      </c>
      <c r="M1800" t="s">
        <v>102</v>
      </c>
      <c r="N1800" s="2">
        <v>45988</v>
      </c>
    </row>
    <row r="1801" spans="1:14" x14ac:dyDescent="0.25">
      <c r="A1801" s="4" t="s">
        <v>226</v>
      </c>
      <c r="B1801" s="5"/>
      <c r="C1801" s="4" t="s">
        <v>9</v>
      </c>
      <c r="D1801" s="4" t="s">
        <v>9</v>
      </c>
      <c r="E1801" s="4" t="s">
        <v>9</v>
      </c>
      <c r="F1801" s="6">
        <v>0</v>
      </c>
      <c r="G1801" s="6">
        <v>0</v>
      </c>
      <c r="H1801" s="4" t="s">
        <v>9</v>
      </c>
      <c r="I1801" s="4" t="s">
        <v>3</v>
      </c>
      <c r="J1801" s="4" t="s">
        <v>9</v>
      </c>
      <c r="K1801" s="4" t="s">
        <v>9</v>
      </c>
      <c r="L1801" s="4" t="s">
        <v>9</v>
      </c>
      <c r="M1801" s="4" t="s">
        <v>9</v>
      </c>
      <c r="N1801" s="5"/>
    </row>
    <row r="1802" spans="1:14" x14ac:dyDescent="0.25">
      <c r="A1802" t="s">
        <v>432</v>
      </c>
      <c r="B1802" s="2">
        <v>46028</v>
      </c>
      <c r="C1802" t="s">
        <v>432</v>
      </c>
      <c r="D1802" t="s">
        <v>99</v>
      </c>
      <c r="E1802" t="s">
        <v>9</v>
      </c>
      <c r="F1802" s="3">
        <v>-614574.5</v>
      </c>
      <c r="G1802" s="3">
        <v>-614574.5</v>
      </c>
      <c r="H1802" t="s">
        <v>3</v>
      </c>
      <c r="I1802" t="s">
        <v>3</v>
      </c>
      <c r="J1802" t="s">
        <v>9</v>
      </c>
      <c r="K1802" t="s">
        <v>9</v>
      </c>
      <c r="L1802" t="s">
        <v>12</v>
      </c>
      <c r="M1802" t="s">
        <v>102</v>
      </c>
      <c r="N1802" s="2">
        <v>46022</v>
      </c>
    </row>
    <row r="1803" spans="1:14" x14ac:dyDescent="0.25">
      <c r="A1803" t="s">
        <v>432</v>
      </c>
      <c r="B1803" s="2">
        <v>46028</v>
      </c>
      <c r="C1803" t="s">
        <v>432</v>
      </c>
      <c r="D1803" t="s">
        <v>441</v>
      </c>
      <c r="E1803" t="s">
        <v>9</v>
      </c>
      <c r="F1803" s="3">
        <v>-13014.2</v>
      </c>
      <c r="G1803" s="3">
        <v>-13014.2</v>
      </c>
      <c r="H1803" t="s">
        <v>3</v>
      </c>
      <c r="I1803" t="s">
        <v>3</v>
      </c>
      <c r="J1803" t="s">
        <v>9</v>
      </c>
      <c r="K1803" t="s">
        <v>9</v>
      </c>
      <c r="L1803" t="s">
        <v>12</v>
      </c>
      <c r="M1803" t="s">
        <v>442</v>
      </c>
      <c r="N1803" s="2">
        <v>46022</v>
      </c>
    </row>
    <row r="1804" spans="1:14" x14ac:dyDescent="0.25">
      <c r="A1804" t="s">
        <v>432</v>
      </c>
      <c r="B1804" s="2">
        <v>45992</v>
      </c>
      <c r="C1804" t="s">
        <v>432</v>
      </c>
      <c r="D1804" t="s">
        <v>99</v>
      </c>
      <c r="E1804" t="s">
        <v>436</v>
      </c>
      <c r="F1804" s="3">
        <v>787.5</v>
      </c>
      <c r="G1804" s="3">
        <v>787.5</v>
      </c>
      <c r="H1804" t="s">
        <v>3</v>
      </c>
      <c r="I1804" t="s">
        <v>3</v>
      </c>
      <c r="J1804" t="s">
        <v>437</v>
      </c>
      <c r="K1804" t="s">
        <v>5</v>
      </c>
      <c r="L1804" t="s">
        <v>12</v>
      </c>
      <c r="M1804" t="s">
        <v>102</v>
      </c>
      <c r="N1804" s="2">
        <v>45992</v>
      </c>
    </row>
    <row r="1805" spans="1:14" x14ac:dyDescent="0.25">
      <c r="A1805" t="s">
        <v>432</v>
      </c>
      <c r="B1805" s="2">
        <v>45996</v>
      </c>
      <c r="C1805" t="s">
        <v>432</v>
      </c>
      <c r="D1805" t="s">
        <v>99</v>
      </c>
      <c r="E1805" t="s">
        <v>433</v>
      </c>
      <c r="F1805" s="3">
        <v>2533.75</v>
      </c>
      <c r="G1805" s="3">
        <v>2533.75</v>
      </c>
      <c r="H1805" t="s">
        <v>3</v>
      </c>
      <c r="I1805" t="s">
        <v>3</v>
      </c>
      <c r="J1805" t="s">
        <v>434</v>
      </c>
      <c r="K1805" t="s">
        <v>5</v>
      </c>
      <c r="L1805" t="s">
        <v>12</v>
      </c>
      <c r="M1805" t="s">
        <v>102</v>
      </c>
      <c r="N1805" s="2">
        <v>45996</v>
      </c>
    </row>
    <row r="1806" spans="1:14" x14ac:dyDescent="0.25">
      <c r="A1806" t="s">
        <v>432</v>
      </c>
      <c r="B1806" s="2">
        <v>45999</v>
      </c>
      <c r="C1806" t="s">
        <v>432</v>
      </c>
      <c r="D1806" t="s">
        <v>99</v>
      </c>
      <c r="E1806" t="s">
        <v>438</v>
      </c>
      <c r="F1806" s="3">
        <v>164598.63</v>
      </c>
      <c r="G1806" s="3">
        <v>164598.63</v>
      </c>
      <c r="H1806" t="s">
        <v>3</v>
      </c>
      <c r="I1806" t="s">
        <v>3</v>
      </c>
      <c r="J1806" t="s">
        <v>439</v>
      </c>
      <c r="K1806" t="s">
        <v>5</v>
      </c>
      <c r="L1806" t="s">
        <v>12</v>
      </c>
      <c r="M1806" t="s">
        <v>102</v>
      </c>
      <c r="N1806" s="2">
        <v>45999</v>
      </c>
    </row>
    <row r="1807" spans="1:14" x14ac:dyDescent="0.25">
      <c r="A1807" t="s">
        <v>432</v>
      </c>
      <c r="B1807" s="2">
        <v>46000</v>
      </c>
      <c r="C1807" t="s">
        <v>432</v>
      </c>
      <c r="D1807" t="s">
        <v>99</v>
      </c>
      <c r="E1807" t="s">
        <v>438</v>
      </c>
      <c r="F1807" s="3">
        <v>94982</v>
      </c>
      <c r="G1807" s="3">
        <v>94982</v>
      </c>
      <c r="H1807" t="s">
        <v>3</v>
      </c>
      <c r="I1807" t="s">
        <v>3</v>
      </c>
      <c r="J1807" t="s">
        <v>440</v>
      </c>
      <c r="K1807" t="s">
        <v>5</v>
      </c>
      <c r="L1807" t="s">
        <v>12</v>
      </c>
      <c r="M1807" t="s">
        <v>102</v>
      </c>
      <c r="N1807" s="2">
        <v>46000</v>
      </c>
    </row>
    <row r="1808" spans="1:14" x14ac:dyDescent="0.25">
      <c r="A1808" t="s">
        <v>432</v>
      </c>
      <c r="B1808" s="2">
        <v>46000</v>
      </c>
      <c r="C1808" t="s">
        <v>432</v>
      </c>
      <c r="D1808" t="s">
        <v>99</v>
      </c>
      <c r="E1808" t="s">
        <v>438</v>
      </c>
      <c r="F1808" s="3">
        <v>94982</v>
      </c>
      <c r="G1808" s="3">
        <v>94982</v>
      </c>
      <c r="H1808" t="s">
        <v>3</v>
      </c>
      <c r="I1808" t="s">
        <v>3</v>
      </c>
      <c r="J1808" t="s">
        <v>440</v>
      </c>
      <c r="K1808" t="s">
        <v>5</v>
      </c>
      <c r="L1808" t="s">
        <v>12</v>
      </c>
      <c r="M1808" t="s">
        <v>102</v>
      </c>
      <c r="N1808" s="2">
        <v>46000</v>
      </c>
    </row>
    <row r="1809" spans="1:14" x14ac:dyDescent="0.25">
      <c r="A1809" t="s">
        <v>432</v>
      </c>
      <c r="B1809" s="2">
        <v>46000</v>
      </c>
      <c r="C1809" t="s">
        <v>432</v>
      </c>
      <c r="D1809" t="s">
        <v>99</v>
      </c>
      <c r="E1809" t="s">
        <v>438</v>
      </c>
      <c r="F1809" s="3">
        <v>94982</v>
      </c>
      <c r="G1809" s="3">
        <v>94982</v>
      </c>
      <c r="H1809" t="s">
        <v>3</v>
      </c>
      <c r="I1809" t="s">
        <v>3</v>
      </c>
      <c r="J1809" t="s">
        <v>440</v>
      </c>
      <c r="K1809" t="s">
        <v>5</v>
      </c>
      <c r="L1809" t="s">
        <v>12</v>
      </c>
      <c r="M1809" t="s">
        <v>102</v>
      </c>
      <c r="N1809" s="2">
        <v>46000</v>
      </c>
    </row>
    <row r="1810" spans="1:14" x14ac:dyDescent="0.25">
      <c r="A1810" t="s">
        <v>432</v>
      </c>
      <c r="B1810" s="2">
        <v>46000</v>
      </c>
      <c r="C1810" t="s">
        <v>432</v>
      </c>
      <c r="D1810" t="s">
        <v>99</v>
      </c>
      <c r="E1810" t="s">
        <v>438</v>
      </c>
      <c r="F1810" s="3">
        <v>72367</v>
      </c>
      <c r="G1810" s="3">
        <v>72367</v>
      </c>
      <c r="H1810" t="s">
        <v>3</v>
      </c>
      <c r="I1810" t="s">
        <v>3</v>
      </c>
      <c r="J1810" t="s">
        <v>440</v>
      </c>
      <c r="K1810" t="s">
        <v>5</v>
      </c>
      <c r="L1810" t="s">
        <v>12</v>
      </c>
      <c r="M1810" t="s">
        <v>102</v>
      </c>
      <c r="N1810" s="2">
        <v>46000</v>
      </c>
    </row>
    <row r="1811" spans="1:14" x14ac:dyDescent="0.25">
      <c r="A1811" t="s">
        <v>432</v>
      </c>
      <c r="B1811" s="2">
        <v>46000</v>
      </c>
      <c r="C1811" t="s">
        <v>432</v>
      </c>
      <c r="D1811" t="s">
        <v>99</v>
      </c>
      <c r="E1811" t="s">
        <v>438</v>
      </c>
      <c r="F1811" s="3">
        <v>72367</v>
      </c>
      <c r="G1811" s="3">
        <v>72367</v>
      </c>
      <c r="H1811" t="s">
        <v>3</v>
      </c>
      <c r="I1811" t="s">
        <v>3</v>
      </c>
      <c r="J1811" t="s">
        <v>440</v>
      </c>
      <c r="K1811" t="s">
        <v>5</v>
      </c>
      <c r="L1811" t="s">
        <v>12</v>
      </c>
      <c r="M1811" t="s">
        <v>102</v>
      </c>
      <c r="N1811" s="2">
        <v>46000</v>
      </c>
    </row>
    <row r="1812" spans="1:14" x14ac:dyDescent="0.25">
      <c r="A1812" t="s">
        <v>432</v>
      </c>
      <c r="B1812" s="2">
        <v>46001</v>
      </c>
      <c r="C1812" t="s">
        <v>432</v>
      </c>
      <c r="D1812" t="s">
        <v>441</v>
      </c>
      <c r="E1812" t="s">
        <v>438</v>
      </c>
      <c r="F1812" s="3">
        <v>13014.2</v>
      </c>
      <c r="G1812" s="3">
        <v>13014.2</v>
      </c>
      <c r="H1812" t="s">
        <v>3</v>
      </c>
      <c r="I1812" t="s">
        <v>3</v>
      </c>
      <c r="J1812" t="s">
        <v>443</v>
      </c>
      <c r="K1812" t="s">
        <v>5</v>
      </c>
      <c r="L1812" t="s">
        <v>12</v>
      </c>
      <c r="M1812" t="s">
        <v>442</v>
      </c>
      <c r="N1812" s="2">
        <v>46001</v>
      </c>
    </row>
    <row r="1813" spans="1:14" x14ac:dyDescent="0.25">
      <c r="A1813" t="s">
        <v>432</v>
      </c>
      <c r="B1813" s="2">
        <v>46002</v>
      </c>
      <c r="C1813" t="s">
        <v>432</v>
      </c>
      <c r="D1813" t="s">
        <v>99</v>
      </c>
      <c r="E1813" t="s">
        <v>436</v>
      </c>
      <c r="F1813" s="3">
        <v>10543.02</v>
      </c>
      <c r="G1813" s="3">
        <v>10543.02</v>
      </c>
      <c r="H1813" t="s">
        <v>3</v>
      </c>
      <c r="I1813" t="s">
        <v>3</v>
      </c>
      <c r="J1813" t="s">
        <v>437</v>
      </c>
      <c r="K1813" t="s">
        <v>5</v>
      </c>
      <c r="L1813" t="s">
        <v>12</v>
      </c>
      <c r="M1813" t="s">
        <v>102</v>
      </c>
      <c r="N1813" s="2">
        <v>46002</v>
      </c>
    </row>
    <row r="1814" spans="1:14" x14ac:dyDescent="0.25">
      <c r="A1814" t="s">
        <v>432</v>
      </c>
      <c r="B1814" s="2">
        <v>45992</v>
      </c>
      <c r="C1814" t="s">
        <v>432</v>
      </c>
      <c r="D1814" t="s">
        <v>99</v>
      </c>
      <c r="E1814" t="s">
        <v>9</v>
      </c>
      <c r="F1814" s="3">
        <v>2783</v>
      </c>
      <c r="G1814" s="3">
        <v>2783</v>
      </c>
      <c r="H1814" t="s">
        <v>3</v>
      </c>
      <c r="I1814" t="s">
        <v>3</v>
      </c>
      <c r="J1814" t="s">
        <v>448</v>
      </c>
      <c r="K1814" t="s">
        <v>5</v>
      </c>
      <c r="L1814" t="s">
        <v>12</v>
      </c>
      <c r="M1814" t="s">
        <v>102</v>
      </c>
      <c r="N1814" s="2">
        <v>45992</v>
      </c>
    </row>
    <row r="1815" spans="1:14" x14ac:dyDescent="0.25">
      <c r="A1815" t="s">
        <v>432</v>
      </c>
      <c r="B1815" s="2">
        <v>46022</v>
      </c>
      <c r="C1815" t="s">
        <v>432</v>
      </c>
      <c r="D1815" t="s">
        <v>99</v>
      </c>
      <c r="E1815" t="s">
        <v>433</v>
      </c>
      <c r="F1815" s="3">
        <v>3648.6</v>
      </c>
      <c r="G1815" s="3">
        <v>3648.6</v>
      </c>
      <c r="H1815" t="s">
        <v>3</v>
      </c>
      <c r="I1815" t="s">
        <v>3</v>
      </c>
      <c r="J1815" t="s">
        <v>434</v>
      </c>
      <c r="K1815" t="s">
        <v>5</v>
      </c>
      <c r="L1815" t="s">
        <v>12</v>
      </c>
      <c r="M1815" t="s">
        <v>102</v>
      </c>
      <c r="N1815" s="2">
        <v>46022</v>
      </c>
    </row>
    <row r="1816" spans="1:14" x14ac:dyDescent="0.25">
      <c r="A1816" s="4" t="s">
        <v>228</v>
      </c>
      <c r="B1816" s="5"/>
      <c r="C1816" s="4" t="s">
        <v>9</v>
      </c>
      <c r="D1816" s="4" t="s">
        <v>9</v>
      </c>
      <c r="E1816" s="4" t="s">
        <v>9</v>
      </c>
      <c r="F1816" s="6">
        <v>0</v>
      </c>
      <c r="G1816" s="6">
        <v>0</v>
      </c>
      <c r="H1816" s="4" t="s">
        <v>9</v>
      </c>
      <c r="I1816" s="4" t="s">
        <v>3</v>
      </c>
      <c r="J1816" s="4" t="s">
        <v>9</v>
      </c>
      <c r="K1816" s="4" t="s">
        <v>9</v>
      </c>
      <c r="L1816" s="4" t="s">
        <v>9</v>
      </c>
      <c r="M1816" s="4" t="s">
        <v>9</v>
      </c>
      <c r="N1816" s="5"/>
    </row>
    <row r="1817" spans="1:14" x14ac:dyDescent="0.25">
      <c r="A1817" s="4" t="s">
        <v>432</v>
      </c>
      <c r="B1817" s="5"/>
      <c r="C1817" s="4" t="s">
        <v>9</v>
      </c>
      <c r="D1817" s="4" t="s">
        <v>9</v>
      </c>
      <c r="E1817" s="4" t="s">
        <v>9</v>
      </c>
      <c r="F1817" s="6">
        <v>0</v>
      </c>
      <c r="G1817" s="6">
        <v>0</v>
      </c>
      <c r="H1817" s="4" t="s">
        <v>9</v>
      </c>
      <c r="I1817" s="4" t="s">
        <v>3</v>
      </c>
      <c r="J1817" s="4" t="s">
        <v>9</v>
      </c>
      <c r="K1817" s="4" t="s">
        <v>9</v>
      </c>
      <c r="L1817" s="4" t="s">
        <v>9</v>
      </c>
      <c r="M1817" s="4" t="s">
        <v>9</v>
      </c>
      <c r="N1817" s="5"/>
    </row>
    <row r="1818" spans="1:14" x14ac:dyDescent="0.25">
      <c r="A1818" t="s">
        <v>449</v>
      </c>
      <c r="B1818" s="2">
        <v>45660</v>
      </c>
      <c r="C1818" t="s">
        <v>449</v>
      </c>
      <c r="D1818" t="s">
        <v>33</v>
      </c>
      <c r="E1818" t="s">
        <v>9</v>
      </c>
      <c r="F1818" s="3">
        <v>23169.279999999999</v>
      </c>
      <c r="G1818" s="3">
        <v>19278</v>
      </c>
      <c r="H1818" t="s">
        <v>3</v>
      </c>
      <c r="I1818" t="s">
        <v>174</v>
      </c>
      <c r="J1818" t="s">
        <v>9</v>
      </c>
      <c r="K1818" t="s">
        <v>9</v>
      </c>
      <c r="L1818" t="s">
        <v>12</v>
      </c>
      <c r="M1818" t="s">
        <v>35</v>
      </c>
      <c r="N1818" s="2">
        <v>45657</v>
      </c>
    </row>
    <row r="1819" spans="1:14" x14ac:dyDescent="0.25">
      <c r="A1819" t="s">
        <v>449</v>
      </c>
      <c r="B1819" s="2">
        <v>45642</v>
      </c>
      <c r="C1819" t="s">
        <v>449</v>
      </c>
      <c r="D1819" t="s">
        <v>33</v>
      </c>
      <c r="E1819" t="s">
        <v>9</v>
      </c>
      <c r="F1819" s="3">
        <v>-23169.279999999999</v>
      </c>
      <c r="G1819" s="3">
        <v>-19278</v>
      </c>
      <c r="H1819" t="s">
        <v>3</v>
      </c>
      <c r="I1819" t="s">
        <v>174</v>
      </c>
      <c r="J1819" t="s">
        <v>9</v>
      </c>
      <c r="K1819" t="s">
        <v>222</v>
      </c>
      <c r="L1819" t="s">
        <v>12</v>
      </c>
      <c r="M1819" t="s">
        <v>35</v>
      </c>
      <c r="N1819" s="2">
        <v>45642</v>
      </c>
    </row>
    <row r="1820" spans="1:14" x14ac:dyDescent="0.25">
      <c r="A1820" s="4" t="s">
        <v>228</v>
      </c>
      <c r="B1820" s="5"/>
      <c r="C1820" s="4" t="s">
        <v>9</v>
      </c>
      <c r="D1820" s="4" t="s">
        <v>9</v>
      </c>
      <c r="E1820" s="4" t="s">
        <v>9</v>
      </c>
      <c r="F1820" s="6">
        <v>0</v>
      </c>
      <c r="G1820" s="6">
        <v>0</v>
      </c>
      <c r="H1820" s="4" t="s">
        <v>9</v>
      </c>
      <c r="I1820" s="4" t="s">
        <v>174</v>
      </c>
      <c r="J1820" s="4" t="s">
        <v>9</v>
      </c>
      <c r="K1820" s="4" t="s">
        <v>9</v>
      </c>
      <c r="L1820" s="4" t="s">
        <v>9</v>
      </c>
      <c r="M1820" s="4" t="s">
        <v>9</v>
      </c>
      <c r="N1820" s="5"/>
    </row>
    <row r="1821" spans="1:14" x14ac:dyDescent="0.25">
      <c r="A1821" s="4" t="s">
        <v>449</v>
      </c>
      <c r="B1821" s="5"/>
      <c r="C1821" s="4" t="s">
        <v>9</v>
      </c>
      <c r="D1821" s="4" t="s">
        <v>9</v>
      </c>
      <c r="E1821" s="4" t="s">
        <v>9</v>
      </c>
      <c r="F1821" s="6">
        <v>0</v>
      </c>
      <c r="G1821" s="6">
        <v>0</v>
      </c>
      <c r="H1821" s="4" t="s">
        <v>9</v>
      </c>
      <c r="I1821" s="4" t="s">
        <v>174</v>
      </c>
      <c r="J1821" s="4" t="s">
        <v>9</v>
      </c>
      <c r="K1821" s="4" t="s">
        <v>9</v>
      </c>
      <c r="L1821" s="4" t="s">
        <v>9</v>
      </c>
      <c r="M1821" s="4" t="s">
        <v>9</v>
      </c>
      <c r="N1821" s="5"/>
    </row>
    <row r="1822" spans="1:14" x14ac:dyDescent="0.25">
      <c r="A1822" t="s">
        <v>450</v>
      </c>
      <c r="B1822" s="2">
        <v>46056</v>
      </c>
      <c r="C1822" t="s">
        <v>450</v>
      </c>
      <c r="D1822" t="s">
        <v>112</v>
      </c>
      <c r="E1822" t="s">
        <v>9</v>
      </c>
      <c r="F1822" s="3">
        <v>-15544</v>
      </c>
      <c r="G1822" s="3">
        <v>-15544</v>
      </c>
      <c r="H1822" t="s">
        <v>3</v>
      </c>
      <c r="I1822" t="s">
        <v>3</v>
      </c>
      <c r="J1822" t="s">
        <v>9</v>
      </c>
      <c r="K1822" t="s">
        <v>9</v>
      </c>
      <c r="L1822" t="s">
        <v>14</v>
      </c>
      <c r="M1822" t="s">
        <v>114</v>
      </c>
      <c r="N1822" s="2">
        <v>46053</v>
      </c>
    </row>
    <row r="1823" spans="1:14" x14ac:dyDescent="0.25">
      <c r="A1823" t="s">
        <v>450</v>
      </c>
      <c r="B1823" s="2">
        <v>46022</v>
      </c>
      <c r="C1823" t="s">
        <v>450</v>
      </c>
      <c r="D1823" t="s">
        <v>112</v>
      </c>
      <c r="E1823" t="s">
        <v>9</v>
      </c>
      <c r="F1823" s="3">
        <v>-11100</v>
      </c>
      <c r="G1823" s="3">
        <v>-11100</v>
      </c>
      <c r="H1823" t="s">
        <v>3</v>
      </c>
      <c r="I1823" t="s">
        <v>3</v>
      </c>
      <c r="J1823" t="s">
        <v>298</v>
      </c>
      <c r="K1823" t="s">
        <v>13</v>
      </c>
      <c r="L1823" t="s">
        <v>14</v>
      </c>
      <c r="M1823" t="s">
        <v>114</v>
      </c>
      <c r="N1823" s="2">
        <v>46023</v>
      </c>
    </row>
    <row r="1824" spans="1:14" x14ac:dyDescent="0.25">
      <c r="A1824" t="s">
        <v>450</v>
      </c>
      <c r="B1824" s="2">
        <v>46023</v>
      </c>
      <c r="C1824" t="s">
        <v>450</v>
      </c>
      <c r="D1824" t="s">
        <v>112</v>
      </c>
      <c r="E1824" t="s">
        <v>9</v>
      </c>
      <c r="F1824" s="3">
        <v>11100</v>
      </c>
      <c r="G1824" s="3">
        <v>11100</v>
      </c>
      <c r="H1824" t="s">
        <v>3</v>
      </c>
      <c r="I1824" t="s">
        <v>3</v>
      </c>
      <c r="J1824" t="s">
        <v>298</v>
      </c>
      <c r="K1824" t="s">
        <v>13</v>
      </c>
      <c r="L1824" t="s">
        <v>14</v>
      </c>
      <c r="M1824" t="s">
        <v>114</v>
      </c>
      <c r="N1824" s="2">
        <v>46023</v>
      </c>
    </row>
    <row r="1825" spans="1:14" x14ac:dyDescent="0.25">
      <c r="A1825" t="s">
        <v>450</v>
      </c>
      <c r="B1825" s="2">
        <v>46053</v>
      </c>
      <c r="C1825" t="s">
        <v>450</v>
      </c>
      <c r="D1825" t="s">
        <v>112</v>
      </c>
      <c r="E1825" t="s">
        <v>9</v>
      </c>
      <c r="F1825" s="3">
        <v>1400</v>
      </c>
      <c r="G1825" s="3">
        <v>1400</v>
      </c>
      <c r="H1825" t="s">
        <v>3</v>
      </c>
      <c r="I1825" t="s">
        <v>3</v>
      </c>
      <c r="J1825" t="s">
        <v>300</v>
      </c>
      <c r="K1825" t="s">
        <v>13</v>
      </c>
      <c r="L1825" t="s">
        <v>14</v>
      </c>
      <c r="M1825" t="s">
        <v>114</v>
      </c>
      <c r="N1825" s="2">
        <v>46053</v>
      </c>
    </row>
    <row r="1826" spans="1:14" x14ac:dyDescent="0.25">
      <c r="A1826" t="s">
        <v>450</v>
      </c>
      <c r="B1826" s="2">
        <v>46053</v>
      </c>
      <c r="C1826" t="s">
        <v>450</v>
      </c>
      <c r="D1826" t="s">
        <v>112</v>
      </c>
      <c r="E1826" t="s">
        <v>9</v>
      </c>
      <c r="F1826" s="3">
        <v>14144</v>
      </c>
      <c r="G1826" s="3">
        <v>14144</v>
      </c>
      <c r="H1826" t="s">
        <v>3</v>
      </c>
      <c r="I1826" t="s">
        <v>3</v>
      </c>
      <c r="J1826" t="s">
        <v>391</v>
      </c>
      <c r="K1826" t="s">
        <v>13</v>
      </c>
      <c r="L1826" t="s">
        <v>14</v>
      </c>
      <c r="M1826" t="s">
        <v>114</v>
      </c>
      <c r="N1826" s="2">
        <v>46053</v>
      </c>
    </row>
    <row r="1827" spans="1:14" x14ac:dyDescent="0.25">
      <c r="A1827" s="4" t="s">
        <v>234</v>
      </c>
      <c r="B1827" s="5"/>
      <c r="C1827" s="4" t="s">
        <v>9</v>
      </c>
      <c r="D1827" s="4" t="s">
        <v>9</v>
      </c>
      <c r="E1827" s="4" t="s">
        <v>9</v>
      </c>
      <c r="F1827" s="6">
        <v>0</v>
      </c>
      <c r="G1827" s="6">
        <v>0</v>
      </c>
      <c r="H1827" s="4" t="s">
        <v>9</v>
      </c>
      <c r="I1827" s="4" t="s">
        <v>3</v>
      </c>
      <c r="J1827" s="4" t="s">
        <v>9</v>
      </c>
      <c r="K1827" s="4" t="s">
        <v>9</v>
      </c>
      <c r="L1827" s="4" t="s">
        <v>9</v>
      </c>
      <c r="M1827" s="4" t="s">
        <v>9</v>
      </c>
      <c r="N1827" s="5"/>
    </row>
    <row r="1828" spans="1:14" x14ac:dyDescent="0.25">
      <c r="A1828" t="s">
        <v>450</v>
      </c>
      <c r="B1828" s="2">
        <v>46084</v>
      </c>
      <c r="C1828" t="s">
        <v>450</v>
      </c>
      <c r="D1828" t="s">
        <v>112</v>
      </c>
      <c r="E1828" t="s">
        <v>9</v>
      </c>
      <c r="F1828" s="3">
        <v>-3496</v>
      </c>
      <c r="G1828" s="3">
        <v>-3496</v>
      </c>
      <c r="H1828" t="s">
        <v>3</v>
      </c>
      <c r="I1828" t="s">
        <v>3</v>
      </c>
      <c r="J1828" t="s">
        <v>9</v>
      </c>
      <c r="K1828" t="s">
        <v>9</v>
      </c>
      <c r="L1828" t="s">
        <v>15</v>
      </c>
      <c r="M1828" t="s">
        <v>114</v>
      </c>
      <c r="N1828" s="2">
        <v>46081</v>
      </c>
    </row>
    <row r="1829" spans="1:14" x14ac:dyDescent="0.25">
      <c r="A1829" t="s">
        <v>450</v>
      </c>
      <c r="B1829" s="2">
        <v>46054</v>
      </c>
      <c r="C1829" t="s">
        <v>450</v>
      </c>
      <c r="D1829" t="s">
        <v>112</v>
      </c>
      <c r="E1829" t="s">
        <v>9</v>
      </c>
      <c r="F1829" s="3">
        <v>-1400</v>
      </c>
      <c r="G1829" s="3">
        <v>-1400</v>
      </c>
      <c r="H1829" t="s">
        <v>3</v>
      </c>
      <c r="I1829" t="s">
        <v>3</v>
      </c>
      <c r="J1829" t="s">
        <v>300</v>
      </c>
      <c r="K1829" t="s">
        <v>13</v>
      </c>
      <c r="L1829" t="s">
        <v>15</v>
      </c>
      <c r="M1829" t="s">
        <v>114</v>
      </c>
      <c r="N1829" s="2">
        <v>46054</v>
      </c>
    </row>
    <row r="1830" spans="1:14" x14ac:dyDescent="0.25">
      <c r="A1830" t="s">
        <v>450</v>
      </c>
      <c r="B1830" s="2">
        <v>46054</v>
      </c>
      <c r="C1830" t="s">
        <v>450</v>
      </c>
      <c r="D1830" t="s">
        <v>112</v>
      </c>
      <c r="E1830" t="s">
        <v>9</v>
      </c>
      <c r="F1830" s="3">
        <v>-14144</v>
      </c>
      <c r="G1830" s="3">
        <v>-14144</v>
      </c>
      <c r="H1830" t="s">
        <v>3</v>
      </c>
      <c r="I1830" t="s">
        <v>3</v>
      </c>
      <c r="J1830" t="s">
        <v>391</v>
      </c>
      <c r="K1830" t="s">
        <v>13</v>
      </c>
      <c r="L1830" t="s">
        <v>15</v>
      </c>
      <c r="M1830" t="s">
        <v>114</v>
      </c>
      <c r="N1830" s="2">
        <v>46054</v>
      </c>
    </row>
    <row r="1831" spans="1:14" x14ac:dyDescent="0.25">
      <c r="A1831" t="s">
        <v>450</v>
      </c>
      <c r="B1831" s="2">
        <v>46054</v>
      </c>
      <c r="C1831" t="s">
        <v>450</v>
      </c>
      <c r="D1831" t="s">
        <v>112</v>
      </c>
      <c r="E1831" t="s">
        <v>9</v>
      </c>
      <c r="F1831" s="3">
        <v>1400</v>
      </c>
      <c r="G1831" s="3">
        <v>1400</v>
      </c>
      <c r="H1831" t="s">
        <v>3</v>
      </c>
      <c r="I1831" t="s">
        <v>3</v>
      </c>
      <c r="J1831" t="s">
        <v>300</v>
      </c>
      <c r="K1831" t="s">
        <v>13</v>
      </c>
      <c r="L1831" t="s">
        <v>15</v>
      </c>
      <c r="M1831" t="s">
        <v>114</v>
      </c>
      <c r="N1831" s="2">
        <v>46055</v>
      </c>
    </row>
    <row r="1832" spans="1:14" x14ac:dyDescent="0.25">
      <c r="A1832" t="s">
        <v>450</v>
      </c>
      <c r="B1832" s="2">
        <v>46054</v>
      </c>
      <c r="C1832" t="s">
        <v>450</v>
      </c>
      <c r="D1832" t="s">
        <v>112</v>
      </c>
      <c r="E1832" t="s">
        <v>9</v>
      </c>
      <c r="F1832" s="3">
        <v>14144</v>
      </c>
      <c r="G1832" s="3">
        <v>14144</v>
      </c>
      <c r="H1832" t="s">
        <v>3</v>
      </c>
      <c r="I1832" t="s">
        <v>3</v>
      </c>
      <c r="J1832" t="s">
        <v>391</v>
      </c>
      <c r="K1832" t="s">
        <v>13</v>
      </c>
      <c r="L1832" t="s">
        <v>15</v>
      </c>
      <c r="M1832" t="s">
        <v>114</v>
      </c>
      <c r="N1832" s="2">
        <v>46055</v>
      </c>
    </row>
    <row r="1833" spans="1:14" x14ac:dyDescent="0.25">
      <c r="A1833" t="s">
        <v>450</v>
      </c>
      <c r="B1833" s="2">
        <v>46054</v>
      </c>
      <c r="C1833" t="s">
        <v>450</v>
      </c>
      <c r="D1833" t="s">
        <v>112</v>
      </c>
      <c r="E1833" t="s">
        <v>9</v>
      </c>
      <c r="F1833" s="3">
        <v>-1400</v>
      </c>
      <c r="G1833" s="3">
        <v>-1400</v>
      </c>
      <c r="H1833" t="s">
        <v>3</v>
      </c>
      <c r="I1833" t="s">
        <v>3</v>
      </c>
      <c r="J1833" t="s">
        <v>300</v>
      </c>
      <c r="K1833" t="s">
        <v>13</v>
      </c>
      <c r="L1833" t="s">
        <v>15</v>
      </c>
      <c r="M1833" t="s">
        <v>114</v>
      </c>
      <c r="N1833" s="2">
        <v>46054</v>
      </c>
    </row>
    <row r="1834" spans="1:14" x14ac:dyDescent="0.25">
      <c r="A1834" t="s">
        <v>450</v>
      </c>
      <c r="B1834" s="2">
        <v>46054</v>
      </c>
      <c r="C1834" t="s">
        <v>450</v>
      </c>
      <c r="D1834" t="s">
        <v>112</v>
      </c>
      <c r="E1834" t="s">
        <v>9</v>
      </c>
      <c r="F1834" s="3">
        <v>-14144</v>
      </c>
      <c r="G1834" s="3">
        <v>-14144</v>
      </c>
      <c r="H1834" t="s">
        <v>3</v>
      </c>
      <c r="I1834" t="s">
        <v>3</v>
      </c>
      <c r="J1834" t="s">
        <v>391</v>
      </c>
      <c r="K1834" t="s">
        <v>13</v>
      </c>
      <c r="L1834" t="s">
        <v>15</v>
      </c>
      <c r="M1834" t="s">
        <v>114</v>
      </c>
      <c r="N1834" s="2">
        <v>46054</v>
      </c>
    </row>
    <row r="1835" spans="1:14" x14ac:dyDescent="0.25">
      <c r="A1835" t="s">
        <v>450</v>
      </c>
      <c r="B1835" s="2">
        <v>46081</v>
      </c>
      <c r="C1835" t="s">
        <v>450</v>
      </c>
      <c r="D1835" t="s">
        <v>112</v>
      </c>
      <c r="E1835" t="s">
        <v>9</v>
      </c>
      <c r="F1835" s="3">
        <v>2400</v>
      </c>
      <c r="G1835" s="3">
        <v>2400</v>
      </c>
      <c r="H1835" t="s">
        <v>3</v>
      </c>
      <c r="I1835" t="s">
        <v>3</v>
      </c>
      <c r="J1835" t="s">
        <v>304</v>
      </c>
      <c r="K1835" t="s">
        <v>13</v>
      </c>
      <c r="L1835" t="s">
        <v>15</v>
      </c>
      <c r="M1835" t="s">
        <v>114</v>
      </c>
      <c r="N1835" s="2">
        <v>46081</v>
      </c>
    </row>
    <row r="1836" spans="1:14" x14ac:dyDescent="0.25">
      <c r="A1836" t="s">
        <v>450</v>
      </c>
      <c r="B1836" s="2">
        <v>46081</v>
      </c>
      <c r="C1836" t="s">
        <v>450</v>
      </c>
      <c r="D1836" t="s">
        <v>112</v>
      </c>
      <c r="E1836" t="s">
        <v>9</v>
      </c>
      <c r="F1836" s="3">
        <v>16640</v>
      </c>
      <c r="G1836" s="3">
        <v>16640</v>
      </c>
      <c r="H1836" t="s">
        <v>3</v>
      </c>
      <c r="I1836" t="s">
        <v>3</v>
      </c>
      <c r="J1836" t="s">
        <v>393</v>
      </c>
      <c r="K1836" t="s">
        <v>13</v>
      </c>
      <c r="L1836" t="s">
        <v>15</v>
      </c>
      <c r="M1836" t="s">
        <v>114</v>
      </c>
      <c r="N1836" s="2">
        <v>46081</v>
      </c>
    </row>
    <row r="1837" spans="1:14" x14ac:dyDescent="0.25">
      <c r="A1837" s="4" t="s">
        <v>239</v>
      </c>
      <c r="B1837" s="5"/>
      <c r="C1837" s="4" t="s">
        <v>9</v>
      </c>
      <c r="D1837" s="4" t="s">
        <v>9</v>
      </c>
      <c r="E1837" s="4" t="s">
        <v>9</v>
      </c>
      <c r="F1837" s="6">
        <v>0</v>
      </c>
      <c r="G1837" s="6">
        <v>0</v>
      </c>
      <c r="H1837" s="4" t="s">
        <v>9</v>
      </c>
      <c r="I1837" s="4" t="s">
        <v>3</v>
      </c>
      <c r="J1837" s="4" t="s">
        <v>9</v>
      </c>
      <c r="K1837" s="4" t="s">
        <v>9</v>
      </c>
      <c r="L1837" s="4" t="s">
        <v>9</v>
      </c>
      <c r="M1837" s="4" t="s">
        <v>9</v>
      </c>
      <c r="N1837" s="5"/>
    </row>
    <row r="1838" spans="1:14" x14ac:dyDescent="0.25">
      <c r="A1838" t="s">
        <v>450</v>
      </c>
      <c r="B1838" s="2">
        <v>46115</v>
      </c>
      <c r="C1838" t="s">
        <v>450</v>
      </c>
      <c r="D1838" t="s">
        <v>112</v>
      </c>
      <c r="E1838" t="s">
        <v>9</v>
      </c>
      <c r="F1838" s="3">
        <v>-8296</v>
      </c>
      <c r="G1838" s="3">
        <v>-8296</v>
      </c>
      <c r="H1838" t="s">
        <v>3</v>
      </c>
      <c r="I1838" t="s">
        <v>3</v>
      </c>
      <c r="J1838" t="s">
        <v>9</v>
      </c>
      <c r="K1838" t="s">
        <v>9</v>
      </c>
      <c r="L1838" t="s">
        <v>16</v>
      </c>
      <c r="M1838" t="s">
        <v>114</v>
      </c>
      <c r="N1838" s="2">
        <v>46112</v>
      </c>
    </row>
    <row r="1839" spans="1:14" x14ac:dyDescent="0.25">
      <c r="A1839" t="s">
        <v>450</v>
      </c>
      <c r="B1839" s="2">
        <v>46081</v>
      </c>
      <c r="C1839" t="s">
        <v>450</v>
      </c>
      <c r="D1839" t="s">
        <v>112</v>
      </c>
      <c r="E1839" t="s">
        <v>9</v>
      </c>
      <c r="F1839" s="3">
        <v>-2400</v>
      </c>
      <c r="G1839" s="3">
        <v>-2400</v>
      </c>
      <c r="H1839" t="s">
        <v>3</v>
      </c>
      <c r="I1839" t="s">
        <v>3</v>
      </c>
      <c r="J1839" t="s">
        <v>304</v>
      </c>
      <c r="K1839" t="s">
        <v>13</v>
      </c>
      <c r="L1839" t="s">
        <v>16</v>
      </c>
      <c r="M1839" t="s">
        <v>114</v>
      </c>
      <c r="N1839" s="2">
        <v>46082</v>
      </c>
    </row>
    <row r="1840" spans="1:14" x14ac:dyDescent="0.25">
      <c r="A1840" t="s">
        <v>450</v>
      </c>
      <c r="B1840" s="2">
        <v>46081</v>
      </c>
      <c r="C1840" t="s">
        <v>450</v>
      </c>
      <c r="D1840" t="s">
        <v>112</v>
      </c>
      <c r="E1840" t="s">
        <v>9</v>
      </c>
      <c r="F1840" s="3">
        <v>-16640</v>
      </c>
      <c r="G1840" s="3">
        <v>-16640</v>
      </c>
      <c r="H1840" t="s">
        <v>3</v>
      </c>
      <c r="I1840" t="s">
        <v>3</v>
      </c>
      <c r="J1840" t="s">
        <v>393</v>
      </c>
      <c r="K1840" t="s">
        <v>13</v>
      </c>
      <c r="L1840" t="s">
        <v>16</v>
      </c>
      <c r="M1840" t="s">
        <v>114</v>
      </c>
      <c r="N1840" s="2">
        <v>46082</v>
      </c>
    </row>
    <row r="1841" spans="1:14" x14ac:dyDescent="0.25">
      <c r="A1841" t="s">
        <v>450</v>
      </c>
      <c r="B1841" s="2">
        <v>46112</v>
      </c>
      <c r="C1841" t="s">
        <v>450</v>
      </c>
      <c r="D1841" t="s">
        <v>112</v>
      </c>
      <c r="E1841" t="s">
        <v>9</v>
      </c>
      <c r="F1841" s="3">
        <v>5300</v>
      </c>
      <c r="G1841" s="3">
        <v>5300</v>
      </c>
      <c r="H1841" t="s">
        <v>3</v>
      </c>
      <c r="I1841" t="s">
        <v>3</v>
      </c>
      <c r="J1841" t="s">
        <v>307</v>
      </c>
      <c r="K1841" t="s">
        <v>13</v>
      </c>
      <c r="L1841" t="s">
        <v>16</v>
      </c>
      <c r="M1841" t="s">
        <v>114</v>
      </c>
      <c r="N1841" s="2">
        <v>46112</v>
      </c>
    </row>
    <row r="1842" spans="1:14" x14ac:dyDescent="0.25">
      <c r="A1842" t="s">
        <v>450</v>
      </c>
      <c r="B1842" s="2">
        <v>46112</v>
      </c>
      <c r="C1842" t="s">
        <v>450</v>
      </c>
      <c r="D1842" t="s">
        <v>112</v>
      </c>
      <c r="E1842" t="s">
        <v>9</v>
      </c>
      <c r="F1842" s="3">
        <v>22036</v>
      </c>
      <c r="G1842" s="3">
        <v>22036</v>
      </c>
      <c r="H1842" t="s">
        <v>3</v>
      </c>
      <c r="I1842" t="s">
        <v>3</v>
      </c>
      <c r="J1842" t="s">
        <v>395</v>
      </c>
      <c r="K1842" t="s">
        <v>13</v>
      </c>
      <c r="L1842" t="s">
        <v>16</v>
      </c>
      <c r="M1842" t="s">
        <v>114</v>
      </c>
      <c r="N1842" s="2">
        <v>46112</v>
      </c>
    </row>
    <row r="1843" spans="1:14" x14ac:dyDescent="0.25">
      <c r="A1843" s="4" t="s">
        <v>244</v>
      </c>
      <c r="B1843" s="5"/>
      <c r="C1843" s="4" t="s">
        <v>9</v>
      </c>
      <c r="D1843" s="4" t="s">
        <v>9</v>
      </c>
      <c r="E1843" s="4" t="s">
        <v>9</v>
      </c>
      <c r="F1843" s="6">
        <v>0</v>
      </c>
      <c r="G1843" s="6">
        <v>0</v>
      </c>
      <c r="H1843" s="4" t="s">
        <v>9</v>
      </c>
      <c r="I1843" s="4" t="s">
        <v>3</v>
      </c>
      <c r="J1843" s="4" t="s">
        <v>9</v>
      </c>
      <c r="K1843" s="4" t="s">
        <v>9</v>
      </c>
      <c r="L1843" s="4" t="s">
        <v>9</v>
      </c>
      <c r="M1843" s="4" t="s">
        <v>9</v>
      </c>
      <c r="N1843" s="5"/>
    </row>
    <row r="1844" spans="1:14" x14ac:dyDescent="0.25">
      <c r="A1844" t="s">
        <v>450</v>
      </c>
      <c r="B1844" s="2">
        <v>45782</v>
      </c>
      <c r="C1844" t="s">
        <v>450</v>
      </c>
      <c r="D1844" t="s">
        <v>112</v>
      </c>
      <c r="E1844" t="s">
        <v>9</v>
      </c>
      <c r="F1844" s="3">
        <v>-700</v>
      </c>
      <c r="G1844" s="3">
        <v>-700</v>
      </c>
      <c r="H1844" t="s">
        <v>3</v>
      </c>
      <c r="I1844" t="s">
        <v>3</v>
      </c>
      <c r="J1844" t="s">
        <v>9</v>
      </c>
      <c r="K1844" t="s">
        <v>9</v>
      </c>
      <c r="L1844" t="s">
        <v>17</v>
      </c>
      <c r="M1844" t="s">
        <v>114</v>
      </c>
      <c r="N1844" s="2">
        <v>45777</v>
      </c>
    </row>
    <row r="1845" spans="1:14" x14ac:dyDescent="0.25">
      <c r="A1845" t="s">
        <v>450</v>
      </c>
      <c r="B1845" s="2">
        <v>46147</v>
      </c>
      <c r="C1845" t="s">
        <v>450</v>
      </c>
      <c r="D1845" t="s">
        <v>112</v>
      </c>
      <c r="E1845" t="s">
        <v>9</v>
      </c>
      <c r="F1845" s="3">
        <v>10436</v>
      </c>
      <c r="G1845" s="3">
        <v>10436</v>
      </c>
      <c r="H1845" t="s">
        <v>3</v>
      </c>
      <c r="I1845" t="s">
        <v>3</v>
      </c>
      <c r="J1845" t="s">
        <v>9</v>
      </c>
      <c r="K1845" t="s">
        <v>9</v>
      </c>
      <c r="L1845" t="s">
        <v>17</v>
      </c>
      <c r="M1845" t="s">
        <v>114</v>
      </c>
      <c r="N1845" s="2">
        <v>46142</v>
      </c>
    </row>
    <row r="1846" spans="1:14" x14ac:dyDescent="0.25">
      <c r="A1846" t="s">
        <v>450</v>
      </c>
      <c r="B1846" s="2">
        <v>45777</v>
      </c>
      <c r="C1846" t="s">
        <v>450</v>
      </c>
      <c r="D1846" t="s">
        <v>112</v>
      </c>
      <c r="E1846" t="s">
        <v>9</v>
      </c>
      <c r="F1846" s="3">
        <v>700</v>
      </c>
      <c r="G1846" s="3">
        <v>700</v>
      </c>
      <c r="H1846" t="s">
        <v>3</v>
      </c>
      <c r="I1846" t="s">
        <v>3</v>
      </c>
      <c r="J1846" t="s">
        <v>308</v>
      </c>
      <c r="K1846" t="s">
        <v>5</v>
      </c>
      <c r="L1846" t="s">
        <v>17</v>
      </c>
      <c r="M1846" t="s">
        <v>114</v>
      </c>
      <c r="N1846" s="2">
        <v>45777</v>
      </c>
    </row>
    <row r="1847" spans="1:14" x14ac:dyDescent="0.25">
      <c r="A1847" t="s">
        <v>450</v>
      </c>
      <c r="B1847" s="2">
        <v>46112</v>
      </c>
      <c r="C1847" t="s">
        <v>450</v>
      </c>
      <c r="D1847" t="s">
        <v>112</v>
      </c>
      <c r="E1847" t="s">
        <v>9</v>
      </c>
      <c r="F1847" s="3">
        <v>-5300</v>
      </c>
      <c r="G1847" s="3">
        <v>-5300</v>
      </c>
      <c r="H1847" t="s">
        <v>3</v>
      </c>
      <c r="I1847" t="s">
        <v>3</v>
      </c>
      <c r="J1847" t="s">
        <v>307</v>
      </c>
      <c r="K1847" t="s">
        <v>13</v>
      </c>
      <c r="L1847" t="s">
        <v>17</v>
      </c>
      <c r="M1847" t="s">
        <v>114</v>
      </c>
      <c r="N1847" s="2">
        <v>46113</v>
      </c>
    </row>
    <row r="1848" spans="1:14" x14ac:dyDescent="0.25">
      <c r="A1848" t="s">
        <v>450</v>
      </c>
      <c r="B1848" s="2">
        <v>46112</v>
      </c>
      <c r="C1848" t="s">
        <v>450</v>
      </c>
      <c r="D1848" t="s">
        <v>112</v>
      </c>
      <c r="E1848" t="s">
        <v>9</v>
      </c>
      <c r="F1848" s="3">
        <v>-22036</v>
      </c>
      <c r="G1848" s="3">
        <v>-22036</v>
      </c>
      <c r="H1848" t="s">
        <v>3</v>
      </c>
      <c r="I1848" t="s">
        <v>3</v>
      </c>
      <c r="J1848" t="s">
        <v>395</v>
      </c>
      <c r="K1848" t="s">
        <v>13</v>
      </c>
      <c r="L1848" t="s">
        <v>17</v>
      </c>
      <c r="M1848" t="s">
        <v>114</v>
      </c>
      <c r="N1848" s="2">
        <v>46113</v>
      </c>
    </row>
    <row r="1849" spans="1:14" x14ac:dyDescent="0.25">
      <c r="A1849" t="s">
        <v>450</v>
      </c>
      <c r="B1849" s="2">
        <v>46142</v>
      </c>
      <c r="C1849" t="s">
        <v>450</v>
      </c>
      <c r="D1849" t="s">
        <v>112</v>
      </c>
      <c r="E1849" t="s">
        <v>9</v>
      </c>
      <c r="F1849" s="3">
        <v>1200</v>
      </c>
      <c r="G1849" s="3">
        <v>1200</v>
      </c>
      <c r="H1849" t="s">
        <v>3</v>
      </c>
      <c r="I1849" t="s">
        <v>3</v>
      </c>
      <c r="J1849" t="s">
        <v>310</v>
      </c>
      <c r="K1849" t="s">
        <v>13</v>
      </c>
      <c r="L1849" t="s">
        <v>17</v>
      </c>
      <c r="M1849" t="s">
        <v>114</v>
      </c>
      <c r="N1849" s="2">
        <v>46142</v>
      </c>
    </row>
    <row r="1850" spans="1:14" x14ac:dyDescent="0.25">
      <c r="A1850" t="s">
        <v>450</v>
      </c>
      <c r="B1850" s="2">
        <v>46142</v>
      </c>
      <c r="C1850" t="s">
        <v>450</v>
      </c>
      <c r="D1850" t="s">
        <v>112</v>
      </c>
      <c r="E1850" t="s">
        <v>9</v>
      </c>
      <c r="F1850" s="3">
        <v>15700</v>
      </c>
      <c r="G1850" s="3">
        <v>15700</v>
      </c>
      <c r="H1850" t="s">
        <v>3</v>
      </c>
      <c r="I1850" t="s">
        <v>3</v>
      </c>
      <c r="J1850" t="s">
        <v>423</v>
      </c>
      <c r="K1850" t="s">
        <v>13</v>
      </c>
      <c r="L1850" t="s">
        <v>17</v>
      </c>
      <c r="M1850" t="s">
        <v>114</v>
      </c>
      <c r="N1850" s="2">
        <v>46142</v>
      </c>
    </row>
    <row r="1851" spans="1:14" x14ac:dyDescent="0.25">
      <c r="A1851" s="4" t="s">
        <v>249</v>
      </c>
      <c r="B1851" s="5"/>
      <c r="C1851" s="4" t="s">
        <v>9</v>
      </c>
      <c r="D1851" s="4" t="s">
        <v>9</v>
      </c>
      <c r="E1851" s="4" t="s">
        <v>9</v>
      </c>
      <c r="F1851" s="6">
        <v>0</v>
      </c>
      <c r="G1851" s="6">
        <v>0</v>
      </c>
      <c r="H1851" s="4" t="s">
        <v>9</v>
      </c>
      <c r="I1851" s="4" t="s">
        <v>3</v>
      </c>
      <c r="J1851" s="4" t="s">
        <v>9</v>
      </c>
      <c r="K1851" s="4" t="s">
        <v>9</v>
      </c>
      <c r="L1851" s="4" t="s">
        <v>9</v>
      </c>
      <c r="M1851" s="4" t="s">
        <v>9</v>
      </c>
      <c r="N1851" s="5"/>
    </row>
    <row r="1852" spans="1:14" x14ac:dyDescent="0.25">
      <c r="A1852" t="s">
        <v>450</v>
      </c>
      <c r="B1852" s="2">
        <v>46175</v>
      </c>
      <c r="C1852" t="s">
        <v>450</v>
      </c>
      <c r="D1852" t="s">
        <v>112</v>
      </c>
      <c r="E1852" t="s">
        <v>9</v>
      </c>
      <c r="F1852" s="3">
        <v>14300</v>
      </c>
      <c r="G1852" s="3">
        <v>14300</v>
      </c>
      <c r="H1852" t="s">
        <v>3</v>
      </c>
      <c r="I1852" t="s">
        <v>3</v>
      </c>
      <c r="J1852" t="s">
        <v>9</v>
      </c>
      <c r="K1852" t="s">
        <v>9</v>
      </c>
      <c r="L1852" t="s">
        <v>18</v>
      </c>
      <c r="M1852" t="s">
        <v>114</v>
      </c>
      <c r="N1852" s="2">
        <v>46173</v>
      </c>
    </row>
    <row r="1853" spans="1:14" x14ac:dyDescent="0.25">
      <c r="A1853" t="s">
        <v>450</v>
      </c>
      <c r="B1853" s="2">
        <v>45777</v>
      </c>
      <c r="C1853" t="s">
        <v>450</v>
      </c>
      <c r="D1853" t="s">
        <v>112</v>
      </c>
      <c r="E1853" t="s">
        <v>9</v>
      </c>
      <c r="F1853" s="3">
        <v>-700</v>
      </c>
      <c r="G1853" s="3">
        <v>-700</v>
      </c>
      <c r="H1853" t="s">
        <v>3</v>
      </c>
      <c r="I1853" t="s">
        <v>3</v>
      </c>
      <c r="J1853" t="s">
        <v>308</v>
      </c>
      <c r="K1853" t="s">
        <v>5</v>
      </c>
      <c r="L1853" t="s">
        <v>18</v>
      </c>
      <c r="M1853" t="s">
        <v>114</v>
      </c>
      <c r="N1853" s="2">
        <v>45778</v>
      </c>
    </row>
    <row r="1854" spans="1:14" x14ac:dyDescent="0.25">
      <c r="A1854" t="s">
        <v>450</v>
      </c>
      <c r="B1854" s="2">
        <v>45808</v>
      </c>
      <c r="C1854" t="s">
        <v>450</v>
      </c>
      <c r="D1854" t="s">
        <v>112</v>
      </c>
      <c r="E1854" t="s">
        <v>9</v>
      </c>
      <c r="F1854" s="3">
        <v>700</v>
      </c>
      <c r="G1854" s="3">
        <v>700</v>
      </c>
      <c r="H1854" t="s">
        <v>3</v>
      </c>
      <c r="I1854" t="s">
        <v>3</v>
      </c>
      <c r="J1854" t="s">
        <v>311</v>
      </c>
      <c r="K1854" t="s">
        <v>5</v>
      </c>
      <c r="L1854" t="s">
        <v>18</v>
      </c>
      <c r="M1854" t="s">
        <v>114</v>
      </c>
      <c r="N1854" s="2">
        <v>45808</v>
      </c>
    </row>
    <row r="1855" spans="1:14" x14ac:dyDescent="0.25">
      <c r="A1855" t="s">
        <v>450</v>
      </c>
      <c r="B1855" s="2">
        <v>46142</v>
      </c>
      <c r="C1855" t="s">
        <v>450</v>
      </c>
      <c r="D1855" t="s">
        <v>112</v>
      </c>
      <c r="E1855" t="s">
        <v>9</v>
      </c>
      <c r="F1855" s="3">
        <v>-1200</v>
      </c>
      <c r="G1855" s="3">
        <v>-1200</v>
      </c>
      <c r="H1855" t="s">
        <v>3</v>
      </c>
      <c r="I1855" t="s">
        <v>3</v>
      </c>
      <c r="J1855" t="s">
        <v>310</v>
      </c>
      <c r="K1855" t="s">
        <v>13</v>
      </c>
      <c r="L1855" t="s">
        <v>18</v>
      </c>
      <c r="M1855" t="s">
        <v>114</v>
      </c>
      <c r="N1855" s="2">
        <v>46143</v>
      </c>
    </row>
    <row r="1856" spans="1:14" x14ac:dyDescent="0.25">
      <c r="A1856" t="s">
        <v>450</v>
      </c>
      <c r="B1856" s="2">
        <v>46142</v>
      </c>
      <c r="C1856" t="s">
        <v>450</v>
      </c>
      <c r="D1856" t="s">
        <v>112</v>
      </c>
      <c r="E1856" t="s">
        <v>9</v>
      </c>
      <c r="F1856" s="3">
        <v>-15700</v>
      </c>
      <c r="G1856" s="3">
        <v>-15700</v>
      </c>
      <c r="H1856" t="s">
        <v>3</v>
      </c>
      <c r="I1856" t="s">
        <v>3</v>
      </c>
      <c r="J1856" t="s">
        <v>423</v>
      </c>
      <c r="K1856" t="s">
        <v>13</v>
      </c>
      <c r="L1856" t="s">
        <v>18</v>
      </c>
      <c r="M1856" t="s">
        <v>114</v>
      </c>
      <c r="N1856" s="2">
        <v>46143</v>
      </c>
    </row>
    <row r="1857" spans="1:14" x14ac:dyDescent="0.25">
      <c r="A1857" t="s">
        <v>450</v>
      </c>
      <c r="B1857" s="2">
        <v>46173</v>
      </c>
      <c r="C1857" t="s">
        <v>450</v>
      </c>
      <c r="D1857" t="s">
        <v>112</v>
      </c>
      <c r="E1857" t="s">
        <v>9</v>
      </c>
      <c r="F1857" s="3">
        <v>2200</v>
      </c>
      <c r="G1857" s="3">
        <v>2200</v>
      </c>
      <c r="H1857" t="s">
        <v>3</v>
      </c>
      <c r="I1857" t="s">
        <v>3</v>
      </c>
      <c r="J1857" t="s">
        <v>313</v>
      </c>
      <c r="K1857" t="s">
        <v>13</v>
      </c>
      <c r="L1857" t="s">
        <v>18</v>
      </c>
      <c r="M1857" t="s">
        <v>114</v>
      </c>
      <c r="N1857" s="2">
        <v>46173</v>
      </c>
    </row>
    <row r="1858" spans="1:14" x14ac:dyDescent="0.25">
      <c r="A1858" t="s">
        <v>450</v>
      </c>
      <c r="B1858" s="2">
        <v>46173</v>
      </c>
      <c r="C1858" t="s">
        <v>450</v>
      </c>
      <c r="D1858" t="s">
        <v>112</v>
      </c>
      <c r="E1858" t="s">
        <v>9</v>
      </c>
      <c r="F1858" s="3">
        <v>400</v>
      </c>
      <c r="G1858" s="3">
        <v>400</v>
      </c>
      <c r="H1858" t="s">
        <v>3</v>
      </c>
      <c r="I1858" t="s">
        <v>3</v>
      </c>
      <c r="J1858" t="s">
        <v>427</v>
      </c>
      <c r="K1858" t="s">
        <v>13</v>
      </c>
      <c r="L1858" t="s">
        <v>18</v>
      </c>
      <c r="M1858" t="s">
        <v>114</v>
      </c>
      <c r="N1858" s="2">
        <v>46173</v>
      </c>
    </row>
    <row r="1859" spans="1:14" x14ac:dyDescent="0.25">
      <c r="A1859" s="4" t="s">
        <v>223</v>
      </c>
      <c r="B1859" s="5"/>
      <c r="C1859" s="4" t="s">
        <v>9</v>
      </c>
      <c r="D1859" s="4" t="s">
        <v>9</v>
      </c>
      <c r="E1859" s="4" t="s">
        <v>9</v>
      </c>
      <c r="F1859" s="6">
        <v>0</v>
      </c>
      <c r="G1859" s="6">
        <v>0</v>
      </c>
      <c r="H1859" s="4" t="s">
        <v>9</v>
      </c>
      <c r="I1859" s="4" t="s">
        <v>3</v>
      </c>
      <c r="J1859" s="4" t="s">
        <v>9</v>
      </c>
      <c r="K1859" s="4" t="s">
        <v>9</v>
      </c>
      <c r="L1859" s="4" t="s">
        <v>9</v>
      </c>
      <c r="M1859" s="4" t="s">
        <v>9</v>
      </c>
      <c r="N1859" s="5"/>
    </row>
    <row r="1860" spans="1:14" x14ac:dyDescent="0.25">
      <c r="A1860" t="s">
        <v>450</v>
      </c>
      <c r="B1860" s="2">
        <v>46205</v>
      </c>
      <c r="C1860" t="s">
        <v>450</v>
      </c>
      <c r="D1860" t="s">
        <v>112</v>
      </c>
      <c r="E1860" t="s">
        <v>9</v>
      </c>
      <c r="F1860" s="3">
        <v>-7136.63</v>
      </c>
      <c r="G1860" s="3">
        <v>-7136.63</v>
      </c>
      <c r="H1860" t="s">
        <v>3</v>
      </c>
      <c r="I1860" t="s">
        <v>3</v>
      </c>
      <c r="J1860" t="s">
        <v>9</v>
      </c>
      <c r="K1860" t="s">
        <v>9</v>
      </c>
      <c r="L1860" t="s">
        <v>19</v>
      </c>
      <c r="M1860" t="s">
        <v>114</v>
      </c>
      <c r="N1860" s="2">
        <v>46203</v>
      </c>
    </row>
    <row r="1861" spans="1:14" x14ac:dyDescent="0.25">
      <c r="A1861" t="s">
        <v>450</v>
      </c>
      <c r="B1861" s="2">
        <v>45808</v>
      </c>
      <c r="C1861" t="s">
        <v>450</v>
      </c>
      <c r="D1861" t="s">
        <v>112</v>
      </c>
      <c r="E1861" t="s">
        <v>9</v>
      </c>
      <c r="F1861" s="3">
        <v>-700</v>
      </c>
      <c r="G1861" s="3">
        <v>-700</v>
      </c>
      <c r="H1861" t="s">
        <v>3</v>
      </c>
      <c r="I1861" t="s">
        <v>3</v>
      </c>
      <c r="J1861" t="s">
        <v>311</v>
      </c>
      <c r="K1861" t="s">
        <v>5</v>
      </c>
      <c r="L1861" t="s">
        <v>19</v>
      </c>
      <c r="M1861" t="s">
        <v>114</v>
      </c>
      <c r="N1861" s="2">
        <v>45809</v>
      </c>
    </row>
    <row r="1862" spans="1:14" x14ac:dyDescent="0.25">
      <c r="A1862" t="s">
        <v>450</v>
      </c>
      <c r="B1862" s="2">
        <v>45838</v>
      </c>
      <c r="C1862" t="s">
        <v>450</v>
      </c>
      <c r="D1862" t="s">
        <v>112</v>
      </c>
      <c r="E1862" t="s">
        <v>9</v>
      </c>
      <c r="F1862" s="3">
        <v>700</v>
      </c>
      <c r="G1862" s="3">
        <v>700</v>
      </c>
      <c r="H1862" t="s">
        <v>3</v>
      </c>
      <c r="I1862" t="s">
        <v>3</v>
      </c>
      <c r="J1862" t="s">
        <v>314</v>
      </c>
      <c r="K1862" t="s">
        <v>5</v>
      </c>
      <c r="L1862" t="s">
        <v>19</v>
      </c>
      <c r="M1862" t="s">
        <v>114</v>
      </c>
      <c r="N1862" s="2">
        <v>45838</v>
      </c>
    </row>
    <row r="1863" spans="1:14" x14ac:dyDescent="0.25">
      <c r="A1863" t="s">
        <v>450</v>
      </c>
      <c r="B1863" s="2">
        <v>46173</v>
      </c>
      <c r="C1863" t="s">
        <v>450</v>
      </c>
      <c r="D1863" t="s">
        <v>112</v>
      </c>
      <c r="E1863" t="s">
        <v>9</v>
      </c>
      <c r="F1863" s="3">
        <v>-2200</v>
      </c>
      <c r="G1863" s="3">
        <v>-2200</v>
      </c>
      <c r="H1863" t="s">
        <v>3</v>
      </c>
      <c r="I1863" t="s">
        <v>3</v>
      </c>
      <c r="J1863" t="s">
        <v>313</v>
      </c>
      <c r="K1863" t="s">
        <v>13</v>
      </c>
      <c r="L1863" t="s">
        <v>19</v>
      </c>
      <c r="M1863" t="s">
        <v>114</v>
      </c>
      <c r="N1863" s="2">
        <v>46174</v>
      </c>
    </row>
    <row r="1864" spans="1:14" x14ac:dyDescent="0.25">
      <c r="A1864" t="s">
        <v>450</v>
      </c>
      <c r="B1864" s="2">
        <v>46173</v>
      </c>
      <c r="C1864" t="s">
        <v>450</v>
      </c>
      <c r="D1864" t="s">
        <v>112</v>
      </c>
      <c r="E1864" t="s">
        <v>9</v>
      </c>
      <c r="F1864" s="3">
        <v>-400</v>
      </c>
      <c r="G1864" s="3">
        <v>-400</v>
      </c>
      <c r="H1864" t="s">
        <v>3</v>
      </c>
      <c r="I1864" t="s">
        <v>3</v>
      </c>
      <c r="J1864" t="s">
        <v>427</v>
      </c>
      <c r="K1864" t="s">
        <v>13</v>
      </c>
      <c r="L1864" t="s">
        <v>19</v>
      </c>
      <c r="M1864" t="s">
        <v>114</v>
      </c>
      <c r="N1864" s="2">
        <v>46174</v>
      </c>
    </row>
    <row r="1865" spans="1:14" x14ac:dyDescent="0.25">
      <c r="A1865" t="s">
        <v>450</v>
      </c>
      <c r="B1865" s="2">
        <v>46203</v>
      </c>
      <c r="C1865" t="s">
        <v>450</v>
      </c>
      <c r="D1865" t="s">
        <v>112</v>
      </c>
      <c r="E1865" t="s">
        <v>9</v>
      </c>
      <c r="F1865" s="3">
        <v>900</v>
      </c>
      <c r="G1865" s="3">
        <v>900</v>
      </c>
      <c r="H1865" t="s">
        <v>3</v>
      </c>
      <c r="I1865" t="s">
        <v>3</v>
      </c>
      <c r="J1865" t="s">
        <v>316</v>
      </c>
      <c r="K1865" t="s">
        <v>13</v>
      </c>
      <c r="L1865" t="s">
        <v>19</v>
      </c>
      <c r="M1865" t="s">
        <v>114</v>
      </c>
      <c r="N1865" s="2">
        <v>46203</v>
      </c>
    </row>
    <row r="1866" spans="1:14" x14ac:dyDescent="0.25">
      <c r="A1866" t="s">
        <v>450</v>
      </c>
      <c r="B1866" s="2">
        <v>46203</v>
      </c>
      <c r="C1866" t="s">
        <v>450</v>
      </c>
      <c r="D1866" t="s">
        <v>112</v>
      </c>
      <c r="E1866" t="s">
        <v>9</v>
      </c>
      <c r="F1866" s="3">
        <v>8836.6299999999992</v>
      </c>
      <c r="G1866" s="3">
        <v>8836.6299999999992</v>
      </c>
      <c r="H1866" t="s">
        <v>3</v>
      </c>
      <c r="I1866" t="s">
        <v>3</v>
      </c>
      <c r="J1866" t="s">
        <v>428</v>
      </c>
      <c r="K1866" t="s">
        <v>13</v>
      </c>
      <c r="L1866" t="s">
        <v>19</v>
      </c>
      <c r="M1866" t="s">
        <v>114</v>
      </c>
      <c r="N1866" s="2">
        <v>46203</v>
      </c>
    </row>
    <row r="1867" spans="1:14" x14ac:dyDescent="0.25">
      <c r="A1867" s="4" t="s">
        <v>224</v>
      </c>
      <c r="B1867" s="5"/>
      <c r="C1867" s="4" t="s">
        <v>9</v>
      </c>
      <c r="D1867" s="4" t="s">
        <v>9</v>
      </c>
      <c r="E1867" s="4" t="s">
        <v>9</v>
      </c>
      <c r="F1867" s="6">
        <v>0</v>
      </c>
      <c r="G1867" s="6">
        <v>0</v>
      </c>
      <c r="H1867" s="4" t="s">
        <v>9</v>
      </c>
      <c r="I1867" s="4" t="s">
        <v>3</v>
      </c>
      <c r="J1867" s="4" t="s">
        <v>9</v>
      </c>
      <c r="K1867" s="4" t="s">
        <v>9</v>
      </c>
      <c r="L1867" s="4" t="s">
        <v>9</v>
      </c>
      <c r="M1867" s="4" t="s">
        <v>9</v>
      </c>
      <c r="N1867" s="5"/>
    </row>
    <row r="1868" spans="1:14" x14ac:dyDescent="0.25">
      <c r="A1868" t="s">
        <v>450</v>
      </c>
      <c r="B1868" s="2">
        <v>46239</v>
      </c>
      <c r="C1868" t="s">
        <v>450</v>
      </c>
      <c r="D1868" t="s">
        <v>112</v>
      </c>
      <c r="E1868" t="s">
        <v>9</v>
      </c>
      <c r="F1868" s="3">
        <v>9736.6299999999992</v>
      </c>
      <c r="G1868" s="3">
        <v>9736.6299999999992</v>
      </c>
      <c r="H1868" t="s">
        <v>3</v>
      </c>
      <c r="I1868" t="s">
        <v>3</v>
      </c>
      <c r="J1868" t="s">
        <v>9</v>
      </c>
      <c r="K1868" t="s">
        <v>9</v>
      </c>
      <c r="L1868" t="s">
        <v>21</v>
      </c>
      <c r="M1868" t="s">
        <v>114</v>
      </c>
      <c r="N1868" s="2">
        <v>46234</v>
      </c>
    </row>
    <row r="1869" spans="1:14" x14ac:dyDescent="0.25">
      <c r="A1869" t="s">
        <v>450</v>
      </c>
      <c r="B1869" s="2">
        <v>46239</v>
      </c>
      <c r="C1869" t="s">
        <v>450</v>
      </c>
      <c r="D1869" t="s">
        <v>112</v>
      </c>
      <c r="E1869" t="s">
        <v>9</v>
      </c>
      <c r="F1869" s="3">
        <v>-10425.68</v>
      </c>
      <c r="G1869" s="3">
        <v>-10425.68</v>
      </c>
      <c r="H1869" t="s">
        <v>3</v>
      </c>
      <c r="I1869" t="s">
        <v>3</v>
      </c>
      <c r="J1869" t="s">
        <v>9</v>
      </c>
      <c r="K1869" t="s">
        <v>9</v>
      </c>
      <c r="L1869" t="s">
        <v>21</v>
      </c>
      <c r="M1869" t="s">
        <v>114</v>
      </c>
      <c r="N1869" s="2">
        <v>46234</v>
      </c>
    </row>
    <row r="1870" spans="1:14" x14ac:dyDescent="0.25">
      <c r="A1870" t="s">
        <v>450</v>
      </c>
      <c r="B1870" s="2">
        <v>45838</v>
      </c>
      <c r="C1870" t="s">
        <v>450</v>
      </c>
      <c r="D1870" t="s">
        <v>112</v>
      </c>
      <c r="E1870" t="s">
        <v>9</v>
      </c>
      <c r="F1870" s="3">
        <v>-700</v>
      </c>
      <c r="G1870" s="3">
        <v>-700</v>
      </c>
      <c r="H1870" t="s">
        <v>3</v>
      </c>
      <c r="I1870" t="s">
        <v>3</v>
      </c>
      <c r="J1870" t="s">
        <v>314</v>
      </c>
      <c r="K1870" t="s">
        <v>5</v>
      </c>
      <c r="L1870" t="s">
        <v>21</v>
      </c>
      <c r="M1870" t="s">
        <v>114</v>
      </c>
      <c r="N1870" s="2">
        <v>45839</v>
      </c>
    </row>
    <row r="1871" spans="1:14" x14ac:dyDescent="0.25">
      <c r="A1871" t="s">
        <v>450</v>
      </c>
      <c r="B1871" s="2">
        <v>45869</v>
      </c>
      <c r="C1871" t="s">
        <v>450</v>
      </c>
      <c r="D1871" t="s">
        <v>112</v>
      </c>
      <c r="E1871" t="s">
        <v>9</v>
      </c>
      <c r="F1871" s="3">
        <v>700</v>
      </c>
      <c r="G1871" s="3">
        <v>700</v>
      </c>
      <c r="H1871" t="s">
        <v>3</v>
      </c>
      <c r="I1871" t="s">
        <v>3</v>
      </c>
      <c r="J1871" t="s">
        <v>317</v>
      </c>
      <c r="K1871" t="s">
        <v>5</v>
      </c>
      <c r="L1871" t="s">
        <v>21</v>
      </c>
      <c r="M1871" t="s">
        <v>114</v>
      </c>
      <c r="N1871" s="2">
        <v>45869</v>
      </c>
    </row>
    <row r="1872" spans="1:14" x14ac:dyDescent="0.25">
      <c r="A1872" t="s">
        <v>450</v>
      </c>
      <c r="B1872" s="2">
        <v>46203</v>
      </c>
      <c r="C1872" t="s">
        <v>450</v>
      </c>
      <c r="D1872" t="s">
        <v>112</v>
      </c>
      <c r="E1872" t="s">
        <v>9</v>
      </c>
      <c r="F1872" s="3">
        <v>-900</v>
      </c>
      <c r="G1872" s="3">
        <v>-900</v>
      </c>
      <c r="H1872" t="s">
        <v>3</v>
      </c>
      <c r="I1872" t="s">
        <v>3</v>
      </c>
      <c r="J1872" t="s">
        <v>316</v>
      </c>
      <c r="K1872" t="s">
        <v>13</v>
      </c>
      <c r="L1872" t="s">
        <v>21</v>
      </c>
      <c r="M1872" t="s">
        <v>114</v>
      </c>
      <c r="N1872" s="2">
        <v>46204</v>
      </c>
    </row>
    <row r="1873" spans="1:14" x14ac:dyDescent="0.25">
      <c r="A1873" t="s">
        <v>450</v>
      </c>
      <c r="B1873" s="2">
        <v>46203</v>
      </c>
      <c r="C1873" t="s">
        <v>450</v>
      </c>
      <c r="D1873" t="s">
        <v>112</v>
      </c>
      <c r="E1873" t="s">
        <v>9</v>
      </c>
      <c r="F1873" s="3">
        <v>-8836.6299999999992</v>
      </c>
      <c r="G1873" s="3">
        <v>-8836.6299999999992</v>
      </c>
      <c r="H1873" t="s">
        <v>3</v>
      </c>
      <c r="I1873" t="s">
        <v>3</v>
      </c>
      <c r="J1873" t="s">
        <v>428</v>
      </c>
      <c r="K1873" t="s">
        <v>13</v>
      </c>
      <c r="L1873" t="s">
        <v>21</v>
      </c>
      <c r="M1873" t="s">
        <v>114</v>
      </c>
      <c r="N1873" s="2">
        <v>46204</v>
      </c>
    </row>
    <row r="1874" spans="1:14" x14ac:dyDescent="0.25">
      <c r="A1874" t="s">
        <v>450</v>
      </c>
      <c r="B1874" s="2">
        <v>46234</v>
      </c>
      <c r="C1874" t="s">
        <v>450</v>
      </c>
      <c r="D1874" t="s">
        <v>112</v>
      </c>
      <c r="E1874" t="s">
        <v>9</v>
      </c>
      <c r="F1874" s="3">
        <v>900</v>
      </c>
      <c r="G1874" s="3">
        <v>900</v>
      </c>
      <c r="H1874" t="s">
        <v>3</v>
      </c>
      <c r="I1874" t="s">
        <v>3</v>
      </c>
      <c r="J1874" t="s">
        <v>319</v>
      </c>
      <c r="K1874" t="s">
        <v>13</v>
      </c>
      <c r="L1874" t="s">
        <v>21</v>
      </c>
      <c r="M1874" t="s">
        <v>114</v>
      </c>
      <c r="N1874" s="2">
        <v>46234</v>
      </c>
    </row>
    <row r="1875" spans="1:14" x14ac:dyDescent="0.25">
      <c r="A1875" t="s">
        <v>450</v>
      </c>
      <c r="B1875" s="2">
        <v>46234</v>
      </c>
      <c r="C1875" t="s">
        <v>450</v>
      </c>
      <c r="D1875" t="s">
        <v>112</v>
      </c>
      <c r="E1875" t="s">
        <v>9</v>
      </c>
      <c r="F1875" s="3">
        <v>9525.68</v>
      </c>
      <c r="G1875" s="3">
        <v>9525.68</v>
      </c>
      <c r="H1875" t="s">
        <v>3</v>
      </c>
      <c r="I1875" t="s">
        <v>3</v>
      </c>
      <c r="J1875" t="s">
        <v>429</v>
      </c>
      <c r="K1875" t="s">
        <v>13</v>
      </c>
      <c r="L1875" t="s">
        <v>21</v>
      </c>
      <c r="M1875" t="s">
        <v>114</v>
      </c>
      <c r="N1875" s="2">
        <v>46234</v>
      </c>
    </row>
    <row r="1876" spans="1:14" x14ac:dyDescent="0.25">
      <c r="A1876" s="4" t="s">
        <v>262</v>
      </c>
      <c r="B1876" s="5"/>
      <c r="C1876" s="4" t="s">
        <v>9</v>
      </c>
      <c r="D1876" s="4" t="s">
        <v>9</v>
      </c>
      <c r="E1876" s="4" t="s">
        <v>9</v>
      </c>
      <c r="F1876" s="6">
        <v>0</v>
      </c>
      <c r="G1876" s="6">
        <v>0</v>
      </c>
      <c r="H1876" s="4" t="s">
        <v>9</v>
      </c>
      <c r="I1876" s="4" t="s">
        <v>3</v>
      </c>
      <c r="J1876" s="4" t="s">
        <v>9</v>
      </c>
      <c r="K1876" s="4" t="s">
        <v>9</v>
      </c>
      <c r="L1876" s="4" t="s">
        <v>9</v>
      </c>
      <c r="M1876" s="4" t="s">
        <v>9</v>
      </c>
      <c r="N1876" s="5"/>
    </row>
    <row r="1877" spans="1:14" x14ac:dyDescent="0.25">
      <c r="A1877" t="s">
        <v>450</v>
      </c>
      <c r="B1877" s="2">
        <v>46267</v>
      </c>
      <c r="C1877" t="s">
        <v>450</v>
      </c>
      <c r="D1877" t="s">
        <v>112</v>
      </c>
      <c r="E1877" t="s">
        <v>9</v>
      </c>
      <c r="F1877" s="3">
        <v>6644.44</v>
      </c>
      <c r="G1877" s="3">
        <v>6644.44</v>
      </c>
      <c r="H1877" t="s">
        <v>3</v>
      </c>
      <c r="I1877" t="s">
        <v>3</v>
      </c>
      <c r="J1877" t="s">
        <v>9</v>
      </c>
      <c r="K1877" t="s">
        <v>9</v>
      </c>
      <c r="L1877" t="s">
        <v>22</v>
      </c>
      <c r="M1877" t="s">
        <v>114</v>
      </c>
      <c r="N1877" s="2">
        <v>46265</v>
      </c>
    </row>
    <row r="1878" spans="1:14" x14ac:dyDescent="0.25">
      <c r="A1878" t="s">
        <v>450</v>
      </c>
      <c r="B1878" s="2">
        <v>45869</v>
      </c>
      <c r="C1878" t="s">
        <v>450</v>
      </c>
      <c r="D1878" t="s">
        <v>112</v>
      </c>
      <c r="E1878" t="s">
        <v>9</v>
      </c>
      <c r="F1878" s="3">
        <v>-700</v>
      </c>
      <c r="G1878" s="3">
        <v>-700</v>
      </c>
      <c r="H1878" t="s">
        <v>3</v>
      </c>
      <c r="I1878" t="s">
        <v>3</v>
      </c>
      <c r="J1878" t="s">
        <v>317</v>
      </c>
      <c r="K1878" t="s">
        <v>5</v>
      </c>
      <c r="L1878" t="s">
        <v>22</v>
      </c>
      <c r="M1878" t="s">
        <v>114</v>
      </c>
      <c r="N1878" s="2">
        <v>45870</v>
      </c>
    </row>
    <row r="1879" spans="1:14" x14ac:dyDescent="0.25">
      <c r="A1879" t="s">
        <v>450</v>
      </c>
      <c r="B1879" s="2">
        <v>45900</v>
      </c>
      <c r="C1879" t="s">
        <v>450</v>
      </c>
      <c r="D1879" t="s">
        <v>112</v>
      </c>
      <c r="E1879" t="s">
        <v>9</v>
      </c>
      <c r="F1879" s="3">
        <v>700</v>
      </c>
      <c r="G1879" s="3">
        <v>700</v>
      </c>
      <c r="H1879" t="s">
        <v>3</v>
      </c>
      <c r="I1879" t="s">
        <v>3</v>
      </c>
      <c r="J1879" t="s">
        <v>320</v>
      </c>
      <c r="K1879" t="s">
        <v>5</v>
      </c>
      <c r="L1879" t="s">
        <v>22</v>
      </c>
      <c r="M1879" t="s">
        <v>114</v>
      </c>
      <c r="N1879" s="2">
        <v>45900</v>
      </c>
    </row>
    <row r="1880" spans="1:14" x14ac:dyDescent="0.25">
      <c r="A1880" t="s">
        <v>450</v>
      </c>
      <c r="B1880" s="2">
        <v>45900</v>
      </c>
      <c r="C1880" t="s">
        <v>450</v>
      </c>
      <c r="D1880" t="s">
        <v>112</v>
      </c>
      <c r="E1880" t="s">
        <v>9</v>
      </c>
      <c r="F1880" s="3">
        <v>-700</v>
      </c>
      <c r="G1880" s="3">
        <v>-700</v>
      </c>
      <c r="H1880" t="s">
        <v>3</v>
      </c>
      <c r="I1880" t="s">
        <v>3</v>
      </c>
      <c r="J1880" t="s">
        <v>320</v>
      </c>
      <c r="K1880" t="s">
        <v>5</v>
      </c>
      <c r="L1880" t="s">
        <v>22</v>
      </c>
      <c r="M1880" t="s">
        <v>114</v>
      </c>
      <c r="N1880" s="2">
        <v>45900</v>
      </c>
    </row>
    <row r="1881" spans="1:14" x14ac:dyDescent="0.25">
      <c r="A1881" t="s">
        <v>450</v>
      </c>
      <c r="B1881" s="2">
        <v>45900</v>
      </c>
      <c r="C1881" t="s">
        <v>450</v>
      </c>
      <c r="D1881" t="s">
        <v>112</v>
      </c>
      <c r="E1881" t="s">
        <v>9</v>
      </c>
      <c r="F1881" s="3">
        <v>700</v>
      </c>
      <c r="G1881" s="3">
        <v>700</v>
      </c>
      <c r="H1881" t="s">
        <v>3</v>
      </c>
      <c r="I1881" t="s">
        <v>3</v>
      </c>
      <c r="J1881" t="s">
        <v>320</v>
      </c>
      <c r="K1881" t="s">
        <v>5</v>
      </c>
      <c r="L1881" t="s">
        <v>22</v>
      </c>
      <c r="M1881" t="s">
        <v>114</v>
      </c>
      <c r="N1881" s="2">
        <v>45900</v>
      </c>
    </row>
    <row r="1882" spans="1:14" x14ac:dyDescent="0.25">
      <c r="A1882" t="s">
        <v>450</v>
      </c>
      <c r="B1882" s="2">
        <v>45900</v>
      </c>
      <c r="C1882" t="s">
        <v>450</v>
      </c>
      <c r="D1882" t="s">
        <v>112</v>
      </c>
      <c r="E1882" t="s">
        <v>9</v>
      </c>
      <c r="F1882" s="3">
        <v>700</v>
      </c>
      <c r="G1882" s="3">
        <v>700</v>
      </c>
      <c r="H1882" t="s">
        <v>3</v>
      </c>
      <c r="I1882" t="s">
        <v>3</v>
      </c>
      <c r="J1882" t="s">
        <v>320</v>
      </c>
      <c r="K1882" t="s">
        <v>5</v>
      </c>
      <c r="L1882" t="s">
        <v>22</v>
      </c>
      <c r="M1882" t="s">
        <v>114</v>
      </c>
      <c r="N1882" s="2">
        <v>45900</v>
      </c>
    </row>
    <row r="1883" spans="1:14" x14ac:dyDescent="0.25">
      <c r="A1883" t="s">
        <v>450</v>
      </c>
      <c r="B1883" s="2">
        <v>45900</v>
      </c>
      <c r="C1883" t="s">
        <v>450</v>
      </c>
      <c r="D1883" t="s">
        <v>112</v>
      </c>
      <c r="E1883" t="s">
        <v>9</v>
      </c>
      <c r="F1883" s="3">
        <v>-700</v>
      </c>
      <c r="G1883" s="3">
        <v>-700</v>
      </c>
      <c r="H1883" t="s">
        <v>3</v>
      </c>
      <c r="I1883" t="s">
        <v>3</v>
      </c>
      <c r="J1883" t="s">
        <v>320</v>
      </c>
      <c r="K1883" t="s">
        <v>5</v>
      </c>
      <c r="L1883" t="s">
        <v>22</v>
      </c>
      <c r="M1883" t="s">
        <v>114</v>
      </c>
      <c r="N1883" s="2">
        <v>45900</v>
      </c>
    </row>
    <row r="1884" spans="1:14" x14ac:dyDescent="0.25">
      <c r="A1884" t="s">
        <v>450</v>
      </c>
      <c r="B1884" s="2">
        <v>46234</v>
      </c>
      <c r="C1884" t="s">
        <v>450</v>
      </c>
      <c r="D1884" t="s">
        <v>112</v>
      </c>
      <c r="E1884" t="s">
        <v>9</v>
      </c>
      <c r="F1884" s="3">
        <v>-900</v>
      </c>
      <c r="G1884" s="3">
        <v>-900</v>
      </c>
      <c r="H1884" t="s">
        <v>3</v>
      </c>
      <c r="I1884" t="s">
        <v>3</v>
      </c>
      <c r="J1884" t="s">
        <v>319</v>
      </c>
      <c r="K1884" t="s">
        <v>13</v>
      </c>
      <c r="L1884" t="s">
        <v>22</v>
      </c>
      <c r="M1884" t="s">
        <v>114</v>
      </c>
      <c r="N1884" s="2">
        <v>46235</v>
      </c>
    </row>
    <row r="1885" spans="1:14" x14ac:dyDescent="0.25">
      <c r="A1885" t="s">
        <v>450</v>
      </c>
      <c r="B1885" s="2">
        <v>46234</v>
      </c>
      <c r="C1885" t="s">
        <v>450</v>
      </c>
      <c r="D1885" t="s">
        <v>112</v>
      </c>
      <c r="E1885" t="s">
        <v>9</v>
      </c>
      <c r="F1885" s="3">
        <v>-9525.68</v>
      </c>
      <c r="G1885" s="3">
        <v>-9525.68</v>
      </c>
      <c r="H1885" t="s">
        <v>3</v>
      </c>
      <c r="I1885" t="s">
        <v>3</v>
      </c>
      <c r="J1885" t="s">
        <v>429</v>
      </c>
      <c r="K1885" t="s">
        <v>13</v>
      </c>
      <c r="L1885" t="s">
        <v>22</v>
      </c>
      <c r="M1885" t="s">
        <v>114</v>
      </c>
      <c r="N1885" s="2">
        <v>46235</v>
      </c>
    </row>
    <row r="1886" spans="1:14" x14ac:dyDescent="0.25">
      <c r="A1886" t="s">
        <v>450</v>
      </c>
      <c r="B1886" s="2">
        <v>46265</v>
      </c>
      <c r="C1886" t="s">
        <v>450</v>
      </c>
      <c r="D1886" t="s">
        <v>112</v>
      </c>
      <c r="E1886" t="s">
        <v>9</v>
      </c>
      <c r="F1886" s="3">
        <v>900</v>
      </c>
      <c r="G1886" s="3">
        <v>900</v>
      </c>
      <c r="H1886" t="s">
        <v>3</v>
      </c>
      <c r="I1886" t="s">
        <v>3</v>
      </c>
      <c r="J1886" t="s">
        <v>322</v>
      </c>
      <c r="K1886" t="s">
        <v>13</v>
      </c>
      <c r="L1886" t="s">
        <v>22</v>
      </c>
      <c r="M1886" t="s">
        <v>114</v>
      </c>
      <c r="N1886" s="2">
        <v>46265</v>
      </c>
    </row>
    <row r="1887" spans="1:14" x14ac:dyDescent="0.25">
      <c r="A1887" t="s">
        <v>450</v>
      </c>
      <c r="B1887" s="2">
        <v>46265</v>
      </c>
      <c r="C1887" t="s">
        <v>450</v>
      </c>
      <c r="D1887" t="s">
        <v>112</v>
      </c>
      <c r="E1887" t="s">
        <v>9</v>
      </c>
      <c r="F1887" s="3">
        <v>2881.24</v>
      </c>
      <c r="G1887" s="3">
        <v>2881.24</v>
      </c>
      <c r="H1887" t="s">
        <v>3</v>
      </c>
      <c r="I1887" t="s">
        <v>3</v>
      </c>
      <c r="J1887" t="s">
        <v>431</v>
      </c>
      <c r="K1887" t="s">
        <v>13</v>
      </c>
      <c r="L1887" t="s">
        <v>22</v>
      </c>
      <c r="M1887" t="s">
        <v>114</v>
      </c>
      <c r="N1887" s="2">
        <v>46265</v>
      </c>
    </row>
    <row r="1888" spans="1:14" x14ac:dyDescent="0.25">
      <c r="A1888" s="4" t="s">
        <v>267</v>
      </c>
      <c r="B1888" s="5"/>
      <c r="C1888" s="4" t="s">
        <v>9</v>
      </c>
      <c r="D1888" s="4" t="s">
        <v>9</v>
      </c>
      <c r="E1888" s="4" t="s">
        <v>9</v>
      </c>
      <c r="F1888" s="6">
        <v>0</v>
      </c>
      <c r="G1888" s="6">
        <v>0</v>
      </c>
      <c r="H1888" s="4" t="s">
        <v>9</v>
      </c>
      <c r="I1888" s="4" t="s">
        <v>3</v>
      </c>
      <c r="J1888" s="4" t="s">
        <v>9</v>
      </c>
      <c r="K1888" s="4" t="s">
        <v>9</v>
      </c>
      <c r="L1888" s="4" t="s">
        <v>9</v>
      </c>
      <c r="M1888" s="4" t="s">
        <v>9</v>
      </c>
      <c r="N1888" s="5"/>
    </row>
    <row r="1889" spans="1:14" x14ac:dyDescent="0.25">
      <c r="A1889" t="s">
        <v>450</v>
      </c>
      <c r="B1889" s="2">
        <v>45932</v>
      </c>
      <c r="C1889" t="s">
        <v>450</v>
      </c>
      <c r="D1889" t="s">
        <v>112</v>
      </c>
      <c r="E1889" t="s">
        <v>9</v>
      </c>
      <c r="F1889" s="3">
        <v>-2400</v>
      </c>
      <c r="G1889" s="3">
        <v>-2400</v>
      </c>
      <c r="H1889" t="s">
        <v>3</v>
      </c>
      <c r="I1889" t="s">
        <v>3</v>
      </c>
      <c r="J1889" t="s">
        <v>9</v>
      </c>
      <c r="K1889" t="s">
        <v>9</v>
      </c>
      <c r="L1889" t="s">
        <v>6</v>
      </c>
      <c r="M1889" t="s">
        <v>114</v>
      </c>
      <c r="N1889" s="2">
        <v>45930</v>
      </c>
    </row>
    <row r="1890" spans="1:14" x14ac:dyDescent="0.25">
      <c r="A1890" t="s">
        <v>450</v>
      </c>
      <c r="B1890" s="2">
        <v>45900</v>
      </c>
      <c r="C1890" t="s">
        <v>450</v>
      </c>
      <c r="D1890" t="s">
        <v>112</v>
      </c>
      <c r="E1890" t="s">
        <v>9</v>
      </c>
      <c r="F1890" s="3">
        <v>-700</v>
      </c>
      <c r="G1890" s="3">
        <v>-700</v>
      </c>
      <c r="H1890" t="s">
        <v>3</v>
      </c>
      <c r="I1890" t="s">
        <v>3</v>
      </c>
      <c r="J1890" t="s">
        <v>320</v>
      </c>
      <c r="K1890" t="s">
        <v>5</v>
      </c>
      <c r="L1890" t="s">
        <v>6</v>
      </c>
      <c r="M1890" t="s">
        <v>114</v>
      </c>
      <c r="N1890" s="2">
        <v>45901</v>
      </c>
    </row>
    <row r="1891" spans="1:14" x14ac:dyDescent="0.25">
      <c r="A1891" t="s">
        <v>450</v>
      </c>
      <c r="B1891" s="2">
        <v>45900</v>
      </c>
      <c r="C1891" t="s">
        <v>450</v>
      </c>
      <c r="D1891" t="s">
        <v>112</v>
      </c>
      <c r="E1891" t="s">
        <v>9</v>
      </c>
      <c r="F1891" s="3">
        <v>700</v>
      </c>
      <c r="G1891" s="3">
        <v>700</v>
      </c>
      <c r="H1891" t="s">
        <v>3</v>
      </c>
      <c r="I1891" t="s">
        <v>3</v>
      </c>
      <c r="J1891" t="s">
        <v>320</v>
      </c>
      <c r="K1891" t="s">
        <v>5</v>
      </c>
      <c r="L1891" t="s">
        <v>6</v>
      </c>
      <c r="M1891" t="s">
        <v>114</v>
      </c>
      <c r="N1891" s="2">
        <v>45901</v>
      </c>
    </row>
    <row r="1892" spans="1:14" x14ac:dyDescent="0.25">
      <c r="A1892" t="s">
        <v>450</v>
      </c>
      <c r="B1892" s="2">
        <v>45900</v>
      </c>
      <c r="C1892" t="s">
        <v>450</v>
      </c>
      <c r="D1892" t="s">
        <v>112</v>
      </c>
      <c r="E1892" t="s">
        <v>9</v>
      </c>
      <c r="F1892" s="3">
        <v>-700</v>
      </c>
      <c r="G1892" s="3">
        <v>-700</v>
      </c>
      <c r="H1892" t="s">
        <v>3</v>
      </c>
      <c r="I1892" t="s">
        <v>3</v>
      </c>
      <c r="J1892" t="s">
        <v>320</v>
      </c>
      <c r="K1892" t="s">
        <v>5</v>
      </c>
      <c r="L1892" t="s">
        <v>6</v>
      </c>
      <c r="M1892" t="s">
        <v>114</v>
      </c>
      <c r="N1892" s="2">
        <v>45901</v>
      </c>
    </row>
    <row r="1893" spans="1:14" x14ac:dyDescent="0.25">
      <c r="A1893" t="s">
        <v>450</v>
      </c>
      <c r="B1893" s="2">
        <v>45900</v>
      </c>
      <c r="C1893" t="s">
        <v>450</v>
      </c>
      <c r="D1893" t="s">
        <v>112</v>
      </c>
      <c r="E1893" t="s">
        <v>9</v>
      </c>
      <c r="F1893" s="3">
        <v>700</v>
      </c>
      <c r="G1893" s="3">
        <v>700</v>
      </c>
      <c r="H1893" t="s">
        <v>3</v>
      </c>
      <c r="I1893" t="s">
        <v>3</v>
      </c>
      <c r="J1893" t="s">
        <v>320</v>
      </c>
      <c r="K1893" t="s">
        <v>5</v>
      </c>
      <c r="L1893" t="s">
        <v>6</v>
      </c>
      <c r="M1893" t="s">
        <v>114</v>
      </c>
      <c r="N1893" s="2">
        <v>45901</v>
      </c>
    </row>
    <row r="1894" spans="1:14" x14ac:dyDescent="0.25">
      <c r="A1894" t="s">
        <v>450</v>
      </c>
      <c r="B1894" s="2">
        <v>45900</v>
      </c>
      <c r="C1894" t="s">
        <v>450</v>
      </c>
      <c r="D1894" t="s">
        <v>112</v>
      </c>
      <c r="E1894" t="s">
        <v>9</v>
      </c>
      <c r="F1894" s="3">
        <v>-700</v>
      </c>
      <c r="G1894" s="3">
        <v>-700</v>
      </c>
      <c r="H1894" t="s">
        <v>3</v>
      </c>
      <c r="I1894" t="s">
        <v>3</v>
      </c>
      <c r="J1894" t="s">
        <v>320</v>
      </c>
      <c r="K1894" t="s">
        <v>5</v>
      </c>
      <c r="L1894" t="s">
        <v>6</v>
      </c>
      <c r="M1894" t="s">
        <v>114</v>
      </c>
      <c r="N1894" s="2">
        <v>45901</v>
      </c>
    </row>
    <row r="1895" spans="1:14" x14ac:dyDescent="0.25">
      <c r="A1895" t="s">
        <v>450</v>
      </c>
      <c r="B1895" s="2">
        <v>45930</v>
      </c>
      <c r="C1895" t="s">
        <v>450</v>
      </c>
      <c r="D1895" t="s">
        <v>112</v>
      </c>
      <c r="E1895" t="s">
        <v>9</v>
      </c>
      <c r="F1895" s="3">
        <v>3100</v>
      </c>
      <c r="G1895" s="3">
        <v>3100</v>
      </c>
      <c r="H1895" t="s">
        <v>3</v>
      </c>
      <c r="I1895" t="s">
        <v>3</v>
      </c>
      <c r="J1895" t="s">
        <v>323</v>
      </c>
      <c r="K1895" t="s">
        <v>5</v>
      </c>
      <c r="L1895" t="s">
        <v>6</v>
      </c>
      <c r="M1895" t="s">
        <v>114</v>
      </c>
      <c r="N1895" s="2">
        <v>45930</v>
      </c>
    </row>
    <row r="1896" spans="1:14" x14ac:dyDescent="0.25">
      <c r="A1896" s="4" t="s">
        <v>272</v>
      </c>
      <c r="B1896" s="5"/>
      <c r="C1896" s="4" t="s">
        <v>9</v>
      </c>
      <c r="D1896" s="4" t="s">
        <v>9</v>
      </c>
      <c r="E1896" s="4" t="s">
        <v>9</v>
      </c>
      <c r="F1896" s="6">
        <v>0</v>
      </c>
      <c r="G1896" s="6">
        <v>0</v>
      </c>
      <c r="H1896" s="4" t="s">
        <v>9</v>
      </c>
      <c r="I1896" s="4" t="s">
        <v>3</v>
      </c>
      <c r="J1896" s="4" t="s">
        <v>9</v>
      </c>
      <c r="K1896" s="4" t="s">
        <v>9</v>
      </c>
      <c r="L1896" s="4" t="s">
        <v>9</v>
      </c>
      <c r="M1896" s="4" t="s">
        <v>9</v>
      </c>
      <c r="N1896" s="5"/>
    </row>
    <row r="1897" spans="1:14" x14ac:dyDescent="0.25">
      <c r="A1897" t="s">
        <v>450</v>
      </c>
      <c r="B1897" s="2">
        <v>45965</v>
      </c>
      <c r="C1897" t="s">
        <v>450</v>
      </c>
      <c r="D1897" t="s">
        <v>112</v>
      </c>
      <c r="E1897" t="s">
        <v>9</v>
      </c>
      <c r="F1897" s="3">
        <v>-6800</v>
      </c>
      <c r="G1897" s="3">
        <v>-6800</v>
      </c>
      <c r="H1897" t="s">
        <v>3</v>
      </c>
      <c r="I1897" t="s">
        <v>3</v>
      </c>
      <c r="J1897" t="s">
        <v>9</v>
      </c>
      <c r="K1897" t="s">
        <v>9</v>
      </c>
      <c r="L1897" t="s">
        <v>8</v>
      </c>
      <c r="M1897" t="s">
        <v>114</v>
      </c>
      <c r="N1897" s="2">
        <v>45961</v>
      </c>
    </row>
    <row r="1898" spans="1:14" x14ac:dyDescent="0.25">
      <c r="A1898" t="s">
        <v>450</v>
      </c>
      <c r="B1898" s="2">
        <v>45930</v>
      </c>
      <c r="C1898" t="s">
        <v>450</v>
      </c>
      <c r="D1898" t="s">
        <v>112</v>
      </c>
      <c r="E1898" t="s">
        <v>9</v>
      </c>
      <c r="F1898" s="3">
        <v>-3100</v>
      </c>
      <c r="G1898" s="3">
        <v>-3100</v>
      </c>
      <c r="H1898" t="s">
        <v>3</v>
      </c>
      <c r="I1898" t="s">
        <v>3</v>
      </c>
      <c r="J1898" t="s">
        <v>323</v>
      </c>
      <c r="K1898" t="s">
        <v>5</v>
      </c>
      <c r="L1898" t="s">
        <v>8</v>
      </c>
      <c r="M1898" t="s">
        <v>114</v>
      </c>
      <c r="N1898" s="2">
        <v>45931</v>
      </c>
    </row>
    <row r="1899" spans="1:14" x14ac:dyDescent="0.25">
      <c r="A1899" t="s">
        <v>450</v>
      </c>
      <c r="B1899" s="2">
        <v>45961</v>
      </c>
      <c r="C1899" t="s">
        <v>450</v>
      </c>
      <c r="D1899" t="s">
        <v>112</v>
      </c>
      <c r="E1899" t="s">
        <v>9</v>
      </c>
      <c r="F1899" s="3">
        <v>9900</v>
      </c>
      <c r="G1899" s="3">
        <v>9900</v>
      </c>
      <c r="H1899" t="s">
        <v>3</v>
      </c>
      <c r="I1899" t="s">
        <v>3</v>
      </c>
      <c r="J1899" t="s">
        <v>325</v>
      </c>
      <c r="K1899" t="s">
        <v>5</v>
      </c>
      <c r="L1899" t="s">
        <v>8</v>
      </c>
      <c r="M1899" t="s">
        <v>114</v>
      </c>
      <c r="N1899" s="2">
        <v>45961</v>
      </c>
    </row>
    <row r="1900" spans="1:14" x14ac:dyDescent="0.25">
      <c r="A1900" s="4" t="s">
        <v>278</v>
      </c>
      <c r="B1900" s="5"/>
      <c r="C1900" s="4" t="s">
        <v>9</v>
      </c>
      <c r="D1900" s="4" t="s">
        <v>9</v>
      </c>
      <c r="E1900" s="4" t="s">
        <v>9</v>
      </c>
      <c r="F1900" s="6">
        <v>0</v>
      </c>
      <c r="G1900" s="6">
        <v>0</v>
      </c>
      <c r="H1900" s="4" t="s">
        <v>9</v>
      </c>
      <c r="I1900" s="4" t="s">
        <v>3</v>
      </c>
      <c r="J1900" s="4" t="s">
        <v>9</v>
      </c>
      <c r="K1900" s="4" t="s">
        <v>9</v>
      </c>
      <c r="L1900" s="4" t="s">
        <v>9</v>
      </c>
      <c r="M1900" s="4" t="s">
        <v>9</v>
      </c>
      <c r="N1900" s="5"/>
    </row>
    <row r="1901" spans="1:14" x14ac:dyDescent="0.25">
      <c r="A1901" t="s">
        <v>450</v>
      </c>
      <c r="B1901" s="2">
        <v>45993</v>
      </c>
      <c r="C1901" t="s">
        <v>450</v>
      </c>
      <c r="D1901" t="s">
        <v>112</v>
      </c>
      <c r="E1901" t="s">
        <v>9</v>
      </c>
      <c r="F1901" s="3">
        <v>-900</v>
      </c>
      <c r="G1901" s="3">
        <v>-900</v>
      </c>
      <c r="H1901" t="s">
        <v>3</v>
      </c>
      <c r="I1901" t="s">
        <v>3</v>
      </c>
      <c r="J1901" t="s">
        <v>9</v>
      </c>
      <c r="K1901" t="s">
        <v>9</v>
      </c>
      <c r="L1901" t="s">
        <v>11</v>
      </c>
      <c r="M1901" t="s">
        <v>114</v>
      </c>
      <c r="N1901" s="2">
        <v>45991</v>
      </c>
    </row>
    <row r="1902" spans="1:14" x14ac:dyDescent="0.25">
      <c r="A1902" t="s">
        <v>450</v>
      </c>
      <c r="B1902" s="2">
        <v>45961</v>
      </c>
      <c r="C1902" t="s">
        <v>450</v>
      </c>
      <c r="D1902" t="s">
        <v>112</v>
      </c>
      <c r="E1902" t="s">
        <v>9</v>
      </c>
      <c r="F1902" s="3">
        <v>-9900</v>
      </c>
      <c r="G1902" s="3">
        <v>-9900</v>
      </c>
      <c r="H1902" t="s">
        <v>3</v>
      </c>
      <c r="I1902" t="s">
        <v>3</v>
      </c>
      <c r="J1902" t="s">
        <v>325</v>
      </c>
      <c r="K1902" t="s">
        <v>5</v>
      </c>
      <c r="L1902" t="s">
        <v>11</v>
      </c>
      <c r="M1902" t="s">
        <v>114</v>
      </c>
      <c r="N1902" s="2">
        <v>45962</v>
      </c>
    </row>
    <row r="1903" spans="1:14" x14ac:dyDescent="0.25">
      <c r="A1903" t="s">
        <v>450</v>
      </c>
      <c r="B1903" s="2">
        <v>45991</v>
      </c>
      <c r="C1903" t="s">
        <v>450</v>
      </c>
      <c r="D1903" t="s">
        <v>112</v>
      </c>
      <c r="E1903" t="s">
        <v>9</v>
      </c>
      <c r="F1903" s="3">
        <v>10800</v>
      </c>
      <c r="G1903" s="3">
        <v>10800</v>
      </c>
      <c r="H1903" t="s">
        <v>3</v>
      </c>
      <c r="I1903" t="s">
        <v>3</v>
      </c>
      <c r="J1903" t="s">
        <v>328</v>
      </c>
      <c r="K1903" t="s">
        <v>5</v>
      </c>
      <c r="L1903" t="s">
        <v>11</v>
      </c>
      <c r="M1903" t="s">
        <v>114</v>
      </c>
      <c r="N1903" s="2">
        <v>45991</v>
      </c>
    </row>
    <row r="1904" spans="1:14" x14ac:dyDescent="0.25">
      <c r="A1904" s="4" t="s">
        <v>226</v>
      </c>
      <c r="B1904" s="5"/>
      <c r="C1904" s="4" t="s">
        <v>9</v>
      </c>
      <c r="D1904" s="4" t="s">
        <v>9</v>
      </c>
      <c r="E1904" s="4" t="s">
        <v>9</v>
      </c>
      <c r="F1904" s="6">
        <v>0</v>
      </c>
      <c r="G1904" s="6">
        <v>0</v>
      </c>
      <c r="H1904" s="4" t="s">
        <v>9</v>
      </c>
      <c r="I1904" s="4" t="s">
        <v>3</v>
      </c>
      <c r="J1904" s="4" t="s">
        <v>9</v>
      </c>
      <c r="K1904" s="4" t="s">
        <v>9</v>
      </c>
      <c r="L1904" s="4" t="s">
        <v>9</v>
      </c>
      <c r="M1904" s="4" t="s">
        <v>9</v>
      </c>
      <c r="N1904" s="5"/>
    </row>
    <row r="1905" spans="1:14" x14ac:dyDescent="0.25">
      <c r="A1905" t="s">
        <v>450</v>
      </c>
      <c r="B1905" s="2">
        <v>46028</v>
      </c>
      <c r="C1905" t="s">
        <v>450</v>
      </c>
      <c r="D1905" t="s">
        <v>112</v>
      </c>
      <c r="E1905" t="s">
        <v>9</v>
      </c>
      <c r="F1905" s="3">
        <v>-300</v>
      </c>
      <c r="G1905" s="3">
        <v>-300</v>
      </c>
      <c r="H1905" t="s">
        <v>3</v>
      </c>
      <c r="I1905" t="s">
        <v>3</v>
      </c>
      <c r="J1905" t="s">
        <v>9</v>
      </c>
      <c r="K1905" t="s">
        <v>9</v>
      </c>
      <c r="L1905" t="s">
        <v>12</v>
      </c>
      <c r="M1905" t="s">
        <v>114</v>
      </c>
      <c r="N1905" s="2">
        <v>46022</v>
      </c>
    </row>
    <row r="1906" spans="1:14" x14ac:dyDescent="0.25">
      <c r="A1906" t="s">
        <v>450</v>
      </c>
      <c r="B1906" s="2">
        <v>45991</v>
      </c>
      <c r="C1906" t="s">
        <v>450</v>
      </c>
      <c r="D1906" t="s">
        <v>112</v>
      </c>
      <c r="E1906" t="s">
        <v>9</v>
      </c>
      <c r="F1906" s="3">
        <v>-10800</v>
      </c>
      <c r="G1906" s="3">
        <v>-10800</v>
      </c>
      <c r="H1906" t="s">
        <v>3</v>
      </c>
      <c r="I1906" t="s">
        <v>3</v>
      </c>
      <c r="J1906" t="s">
        <v>328</v>
      </c>
      <c r="K1906" t="s">
        <v>5</v>
      </c>
      <c r="L1906" t="s">
        <v>12</v>
      </c>
      <c r="M1906" t="s">
        <v>114</v>
      </c>
      <c r="N1906" s="2">
        <v>45992</v>
      </c>
    </row>
    <row r="1907" spans="1:14" x14ac:dyDescent="0.25">
      <c r="A1907" t="s">
        <v>450</v>
      </c>
      <c r="B1907" s="2">
        <v>46022</v>
      </c>
      <c r="C1907" t="s">
        <v>450</v>
      </c>
      <c r="D1907" t="s">
        <v>112</v>
      </c>
      <c r="E1907" t="s">
        <v>9</v>
      </c>
      <c r="F1907" s="3">
        <v>11100</v>
      </c>
      <c r="G1907" s="3">
        <v>11100</v>
      </c>
      <c r="H1907" t="s">
        <v>3</v>
      </c>
      <c r="I1907" t="s">
        <v>3</v>
      </c>
      <c r="J1907" t="s">
        <v>298</v>
      </c>
      <c r="K1907" t="s">
        <v>5</v>
      </c>
      <c r="L1907" t="s">
        <v>12</v>
      </c>
      <c r="M1907" t="s">
        <v>114</v>
      </c>
      <c r="N1907" s="2">
        <v>46022</v>
      </c>
    </row>
    <row r="1908" spans="1:14" x14ac:dyDescent="0.25">
      <c r="A1908" t="s">
        <v>450</v>
      </c>
      <c r="B1908" s="2">
        <v>46022</v>
      </c>
      <c r="C1908" t="s">
        <v>450</v>
      </c>
      <c r="D1908" t="s">
        <v>112</v>
      </c>
      <c r="E1908" t="s">
        <v>9</v>
      </c>
      <c r="F1908" s="3">
        <v>11100</v>
      </c>
      <c r="G1908" s="3">
        <v>11100</v>
      </c>
      <c r="H1908" t="s">
        <v>3</v>
      </c>
      <c r="I1908" t="s">
        <v>3</v>
      </c>
      <c r="J1908" t="s">
        <v>298</v>
      </c>
      <c r="K1908" t="s">
        <v>5</v>
      </c>
      <c r="L1908" t="s">
        <v>12</v>
      </c>
      <c r="M1908" t="s">
        <v>114</v>
      </c>
      <c r="N1908" s="2">
        <v>46022</v>
      </c>
    </row>
    <row r="1909" spans="1:14" x14ac:dyDescent="0.25">
      <c r="A1909" t="s">
        <v>450</v>
      </c>
      <c r="B1909" s="2">
        <v>46022</v>
      </c>
      <c r="C1909" t="s">
        <v>450</v>
      </c>
      <c r="D1909" t="s">
        <v>112</v>
      </c>
      <c r="E1909" t="s">
        <v>9</v>
      </c>
      <c r="F1909" s="3">
        <v>-11100</v>
      </c>
      <c r="G1909" s="3">
        <v>-11100</v>
      </c>
      <c r="H1909" t="s">
        <v>3</v>
      </c>
      <c r="I1909" t="s">
        <v>3</v>
      </c>
      <c r="J1909" t="s">
        <v>298</v>
      </c>
      <c r="K1909" t="s">
        <v>5</v>
      </c>
      <c r="L1909" t="s">
        <v>12</v>
      </c>
      <c r="M1909" t="s">
        <v>114</v>
      </c>
      <c r="N1909" s="2">
        <v>46022</v>
      </c>
    </row>
    <row r="1910" spans="1:14" x14ac:dyDescent="0.25">
      <c r="A1910" s="4" t="s">
        <v>228</v>
      </c>
      <c r="B1910" s="5"/>
      <c r="C1910" s="4" t="s">
        <v>9</v>
      </c>
      <c r="D1910" s="4" t="s">
        <v>9</v>
      </c>
      <c r="E1910" s="4" t="s">
        <v>9</v>
      </c>
      <c r="F1910" s="6">
        <v>0</v>
      </c>
      <c r="G1910" s="6">
        <v>0</v>
      </c>
      <c r="H1910" s="4" t="s">
        <v>9</v>
      </c>
      <c r="I1910" s="4" t="s">
        <v>3</v>
      </c>
      <c r="J1910" s="4" t="s">
        <v>9</v>
      </c>
      <c r="K1910" s="4" t="s">
        <v>9</v>
      </c>
      <c r="L1910" s="4" t="s">
        <v>9</v>
      </c>
      <c r="M1910" s="4" t="s">
        <v>9</v>
      </c>
      <c r="N1910" s="5"/>
    </row>
    <row r="1911" spans="1:14" x14ac:dyDescent="0.25">
      <c r="A1911" s="4" t="s">
        <v>450</v>
      </c>
      <c r="B1911" s="5"/>
      <c r="C1911" s="4" t="s">
        <v>9</v>
      </c>
      <c r="D1911" s="4" t="s">
        <v>9</v>
      </c>
      <c r="E1911" s="4" t="s">
        <v>9</v>
      </c>
      <c r="F1911" s="6">
        <v>0</v>
      </c>
      <c r="G1911" s="6">
        <v>0</v>
      </c>
      <c r="H1911" s="4" t="s">
        <v>9</v>
      </c>
      <c r="I1911" s="4" t="s">
        <v>3</v>
      </c>
      <c r="J1911" s="4" t="s">
        <v>9</v>
      </c>
      <c r="K1911" s="4" t="s">
        <v>9</v>
      </c>
      <c r="L1911" s="4" t="s">
        <v>9</v>
      </c>
      <c r="M1911" s="4" t="s">
        <v>9</v>
      </c>
      <c r="N1911" s="5"/>
    </row>
    <row r="1912" spans="1:14" x14ac:dyDescent="0.25">
      <c r="A1912" t="s">
        <v>451</v>
      </c>
      <c r="B1912" s="2">
        <v>45693</v>
      </c>
      <c r="C1912" t="s">
        <v>451</v>
      </c>
      <c r="D1912" t="s">
        <v>99</v>
      </c>
      <c r="E1912" t="s">
        <v>9</v>
      </c>
      <c r="F1912" s="3">
        <v>-276.13</v>
      </c>
      <c r="G1912" s="3">
        <v>0</v>
      </c>
      <c r="H1912" t="s">
        <v>3</v>
      </c>
      <c r="I1912" t="s">
        <v>174</v>
      </c>
      <c r="J1912" t="s">
        <v>9</v>
      </c>
      <c r="K1912" t="s">
        <v>9</v>
      </c>
      <c r="L1912" t="s">
        <v>14</v>
      </c>
      <c r="M1912" t="s">
        <v>102</v>
      </c>
      <c r="N1912" s="2">
        <v>45688</v>
      </c>
    </row>
    <row r="1913" spans="1:14" x14ac:dyDescent="0.25">
      <c r="A1913" t="s">
        <v>451</v>
      </c>
      <c r="B1913" s="2">
        <v>45657</v>
      </c>
      <c r="C1913" t="s">
        <v>451</v>
      </c>
      <c r="D1913" t="s">
        <v>99</v>
      </c>
      <c r="E1913" t="s">
        <v>452</v>
      </c>
      <c r="F1913" s="3">
        <v>184.09</v>
      </c>
      <c r="G1913" s="3">
        <v>0</v>
      </c>
      <c r="H1913" t="s">
        <v>3</v>
      </c>
      <c r="I1913" t="s">
        <v>174</v>
      </c>
      <c r="J1913" t="s">
        <v>453</v>
      </c>
      <c r="K1913" t="s">
        <v>5</v>
      </c>
      <c r="L1913" t="s">
        <v>14</v>
      </c>
      <c r="M1913" t="s">
        <v>102</v>
      </c>
      <c r="N1913" s="2">
        <v>45670</v>
      </c>
    </row>
    <row r="1914" spans="1:14" x14ac:dyDescent="0.25">
      <c r="A1914" t="s">
        <v>451</v>
      </c>
      <c r="B1914" s="2">
        <v>45657</v>
      </c>
      <c r="C1914" t="s">
        <v>451</v>
      </c>
      <c r="D1914" t="s">
        <v>99</v>
      </c>
      <c r="E1914" t="s">
        <v>452</v>
      </c>
      <c r="F1914" s="3">
        <v>92.04</v>
      </c>
      <c r="G1914" s="3">
        <v>0</v>
      </c>
      <c r="H1914" t="s">
        <v>3</v>
      </c>
      <c r="I1914" t="s">
        <v>174</v>
      </c>
      <c r="J1914" t="s">
        <v>454</v>
      </c>
      <c r="K1914" t="s">
        <v>5</v>
      </c>
      <c r="L1914" t="s">
        <v>14</v>
      </c>
      <c r="M1914" t="s">
        <v>102</v>
      </c>
      <c r="N1914" s="2">
        <v>45670</v>
      </c>
    </row>
    <row r="1915" spans="1:14" x14ac:dyDescent="0.25">
      <c r="A1915" s="4" t="s">
        <v>234</v>
      </c>
      <c r="B1915" s="5"/>
      <c r="C1915" s="4" t="s">
        <v>9</v>
      </c>
      <c r="D1915" s="4" t="s">
        <v>9</v>
      </c>
      <c r="E1915" s="4" t="s">
        <v>9</v>
      </c>
      <c r="F1915" s="6">
        <v>0</v>
      </c>
      <c r="G1915" s="6">
        <v>0</v>
      </c>
      <c r="H1915" s="4" t="s">
        <v>9</v>
      </c>
      <c r="I1915" s="4" t="s">
        <v>174</v>
      </c>
      <c r="J1915" s="4" t="s">
        <v>9</v>
      </c>
      <c r="K1915" s="4" t="s">
        <v>9</v>
      </c>
      <c r="L1915" s="4" t="s">
        <v>9</v>
      </c>
      <c r="M1915" s="4" t="s">
        <v>9</v>
      </c>
      <c r="N1915" s="5"/>
    </row>
    <row r="1916" spans="1:14" x14ac:dyDescent="0.25">
      <c r="A1916" t="s">
        <v>451</v>
      </c>
      <c r="B1916" s="2">
        <v>45660</v>
      </c>
      <c r="C1916" t="s">
        <v>451</v>
      </c>
      <c r="D1916" t="s">
        <v>99</v>
      </c>
      <c r="E1916" t="s">
        <v>9</v>
      </c>
      <c r="F1916" s="3">
        <v>-22472.55</v>
      </c>
      <c r="G1916" s="3">
        <v>-18900</v>
      </c>
      <c r="H1916" t="s">
        <v>3</v>
      </c>
      <c r="I1916" t="s">
        <v>174</v>
      </c>
      <c r="J1916" t="s">
        <v>9</v>
      </c>
      <c r="K1916" t="s">
        <v>9</v>
      </c>
      <c r="L1916" t="s">
        <v>12</v>
      </c>
      <c r="M1916" t="s">
        <v>102</v>
      </c>
      <c r="N1916" s="2">
        <v>45657</v>
      </c>
    </row>
    <row r="1917" spans="1:14" x14ac:dyDescent="0.25">
      <c r="A1917" t="s">
        <v>451</v>
      </c>
      <c r="B1917" s="2">
        <v>45641</v>
      </c>
      <c r="C1917" t="s">
        <v>451</v>
      </c>
      <c r="D1917" t="s">
        <v>99</v>
      </c>
      <c r="E1917" t="s">
        <v>452</v>
      </c>
      <c r="F1917" s="3">
        <v>12656.74</v>
      </c>
      <c r="G1917" s="3">
        <v>10800</v>
      </c>
      <c r="H1917" t="s">
        <v>3</v>
      </c>
      <c r="I1917" t="s">
        <v>174</v>
      </c>
      <c r="J1917" t="s">
        <v>455</v>
      </c>
      <c r="K1917" t="s">
        <v>222</v>
      </c>
      <c r="L1917" t="s">
        <v>12</v>
      </c>
      <c r="M1917" t="s">
        <v>102</v>
      </c>
      <c r="N1917" s="2">
        <v>45641</v>
      </c>
    </row>
    <row r="1918" spans="1:14" x14ac:dyDescent="0.25">
      <c r="A1918" t="s">
        <v>451</v>
      </c>
      <c r="B1918" s="2">
        <v>45641</v>
      </c>
      <c r="C1918" t="s">
        <v>451</v>
      </c>
      <c r="D1918" t="s">
        <v>99</v>
      </c>
      <c r="E1918" t="s">
        <v>452</v>
      </c>
      <c r="F1918" s="3">
        <v>6328.37</v>
      </c>
      <c r="G1918" s="3">
        <v>5400</v>
      </c>
      <c r="H1918" t="s">
        <v>3</v>
      </c>
      <c r="I1918" t="s">
        <v>174</v>
      </c>
      <c r="J1918" t="s">
        <v>453</v>
      </c>
      <c r="K1918" t="s">
        <v>222</v>
      </c>
      <c r="L1918" t="s">
        <v>12</v>
      </c>
      <c r="M1918" t="s">
        <v>102</v>
      </c>
      <c r="N1918" s="2">
        <v>45641</v>
      </c>
    </row>
    <row r="1919" spans="1:14" x14ac:dyDescent="0.25">
      <c r="A1919" t="s">
        <v>451</v>
      </c>
      <c r="B1919" s="2">
        <v>45641</v>
      </c>
      <c r="C1919" t="s">
        <v>451</v>
      </c>
      <c r="D1919" t="s">
        <v>99</v>
      </c>
      <c r="E1919" t="s">
        <v>452</v>
      </c>
      <c r="F1919" s="3">
        <v>3164.19</v>
      </c>
      <c r="G1919" s="3">
        <v>2700</v>
      </c>
      <c r="H1919" t="s">
        <v>3</v>
      </c>
      <c r="I1919" t="s">
        <v>174</v>
      </c>
      <c r="J1919" t="s">
        <v>454</v>
      </c>
      <c r="K1919" t="s">
        <v>222</v>
      </c>
      <c r="L1919" t="s">
        <v>12</v>
      </c>
      <c r="M1919" t="s">
        <v>102</v>
      </c>
      <c r="N1919" s="2">
        <v>45641</v>
      </c>
    </row>
    <row r="1920" spans="1:14" x14ac:dyDescent="0.25">
      <c r="A1920" t="s">
        <v>451</v>
      </c>
      <c r="B1920" s="2">
        <v>45626</v>
      </c>
      <c r="C1920" t="s">
        <v>451</v>
      </c>
      <c r="D1920" t="s">
        <v>99</v>
      </c>
      <c r="E1920" t="s">
        <v>452</v>
      </c>
      <c r="F1920" s="3">
        <v>323.25</v>
      </c>
      <c r="G1920" s="3">
        <v>0</v>
      </c>
      <c r="H1920" t="s">
        <v>3</v>
      </c>
      <c r="I1920" t="s">
        <v>174</v>
      </c>
      <c r="J1920" t="s">
        <v>455</v>
      </c>
      <c r="K1920" t="s">
        <v>222</v>
      </c>
      <c r="L1920" t="s">
        <v>12</v>
      </c>
      <c r="M1920" t="s">
        <v>102</v>
      </c>
      <c r="N1920" s="2">
        <v>45629</v>
      </c>
    </row>
    <row r="1921" spans="1:14" x14ac:dyDescent="0.25">
      <c r="A1921" s="4" t="s">
        <v>228</v>
      </c>
      <c r="B1921" s="5"/>
      <c r="C1921" s="4" t="s">
        <v>9</v>
      </c>
      <c r="D1921" s="4" t="s">
        <v>9</v>
      </c>
      <c r="E1921" s="4" t="s">
        <v>9</v>
      </c>
      <c r="F1921" s="6">
        <v>0</v>
      </c>
      <c r="G1921" s="6">
        <v>0</v>
      </c>
      <c r="H1921" s="4" t="s">
        <v>9</v>
      </c>
      <c r="I1921" s="4" t="s">
        <v>174</v>
      </c>
      <c r="J1921" s="4" t="s">
        <v>9</v>
      </c>
      <c r="K1921" s="4" t="s">
        <v>9</v>
      </c>
      <c r="L1921" s="4" t="s">
        <v>9</v>
      </c>
      <c r="M1921" s="4" t="s">
        <v>9</v>
      </c>
      <c r="N1921" s="5"/>
    </row>
    <row r="1922" spans="1:14" x14ac:dyDescent="0.25">
      <c r="A1922" s="4" t="s">
        <v>451</v>
      </c>
      <c r="B1922" s="5"/>
      <c r="C1922" s="4" t="s">
        <v>9</v>
      </c>
      <c r="D1922" s="4" t="s">
        <v>9</v>
      </c>
      <c r="E1922" s="4" t="s">
        <v>9</v>
      </c>
      <c r="F1922" s="6">
        <v>0</v>
      </c>
      <c r="G1922" s="6">
        <v>0</v>
      </c>
      <c r="H1922" s="4" t="s">
        <v>9</v>
      </c>
      <c r="I1922" s="4" t="s">
        <v>174</v>
      </c>
      <c r="J1922" s="4" t="s">
        <v>9</v>
      </c>
      <c r="K1922" s="4" t="s">
        <v>9</v>
      </c>
      <c r="L1922" s="4" t="s">
        <v>9</v>
      </c>
      <c r="M1922" s="4" t="s">
        <v>9</v>
      </c>
      <c r="N1922" s="5"/>
    </row>
    <row r="1923" spans="1:14" x14ac:dyDescent="0.25">
      <c r="A1923" t="s">
        <v>456</v>
      </c>
      <c r="B1923" s="2">
        <v>46084</v>
      </c>
      <c r="C1923" t="s">
        <v>456</v>
      </c>
      <c r="D1923" t="s">
        <v>33</v>
      </c>
      <c r="E1923" t="s">
        <v>9</v>
      </c>
      <c r="F1923" s="3">
        <v>11655</v>
      </c>
      <c r="G1923" s="3">
        <v>11655</v>
      </c>
      <c r="H1923" t="s">
        <v>3</v>
      </c>
      <c r="I1923" t="s">
        <v>3</v>
      </c>
      <c r="J1923" t="s">
        <v>9</v>
      </c>
      <c r="K1923" t="s">
        <v>9</v>
      </c>
      <c r="L1923" t="s">
        <v>15</v>
      </c>
      <c r="M1923" t="s">
        <v>35</v>
      </c>
      <c r="N1923" s="2">
        <v>46081</v>
      </c>
    </row>
    <row r="1924" spans="1:14" x14ac:dyDescent="0.25">
      <c r="A1924" t="s">
        <v>456</v>
      </c>
      <c r="B1924" s="2">
        <v>46065</v>
      </c>
      <c r="C1924" t="s">
        <v>456</v>
      </c>
      <c r="D1924" t="s">
        <v>33</v>
      </c>
      <c r="E1924" t="s">
        <v>9</v>
      </c>
      <c r="F1924" s="3">
        <v>-11655</v>
      </c>
      <c r="G1924" s="3">
        <v>-11655</v>
      </c>
      <c r="H1924" t="s">
        <v>3</v>
      </c>
      <c r="I1924" t="s">
        <v>3</v>
      </c>
      <c r="J1924" t="s">
        <v>9</v>
      </c>
      <c r="K1924" t="s">
        <v>13</v>
      </c>
      <c r="L1924" t="s">
        <v>15</v>
      </c>
      <c r="M1924" t="s">
        <v>35</v>
      </c>
      <c r="N1924" s="2">
        <v>46065</v>
      </c>
    </row>
    <row r="1925" spans="1:14" x14ac:dyDescent="0.25">
      <c r="A1925" s="4" t="s">
        <v>239</v>
      </c>
      <c r="B1925" s="5"/>
      <c r="C1925" s="4" t="s">
        <v>9</v>
      </c>
      <c r="D1925" s="4" t="s">
        <v>9</v>
      </c>
      <c r="E1925" s="4" t="s">
        <v>9</v>
      </c>
      <c r="F1925" s="6">
        <v>0</v>
      </c>
      <c r="G1925" s="6">
        <v>0</v>
      </c>
      <c r="H1925" s="4" t="s">
        <v>9</v>
      </c>
      <c r="I1925" s="4" t="s">
        <v>3</v>
      </c>
      <c r="J1925" s="4" t="s">
        <v>9</v>
      </c>
      <c r="K1925" s="4" t="s">
        <v>9</v>
      </c>
      <c r="L1925" s="4" t="s">
        <v>9</v>
      </c>
      <c r="M1925" s="4" t="s">
        <v>9</v>
      </c>
      <c r="N1925" s="5"/>
    </row>
    <row r="1926" spans="1:14" x14ac:dyDescent="0.25">
      <c r="A1926" t="s">
        <v>456</v>
      </c>
      <c r="B1926" s="2">
        <v>46115</v>
      </c>
      <c r="C1926" t="s">
        <v>456</v>
      </c>
      <c r="D1926" t="s">
        <v>33</v>
      </c>
      <c r="E1926" t="s">
        <v>9</v>
      </c>
      <c r="F1926" s="3">
        <v>18218</v>
      </c>
      <c r="G1926" s="3">
        <v>18218</v>
      </c>
      <c r="H1926" t="s">
        <v>3</v>
      </c>
      <c r="I1926" t="s">
        <v>3</v>
      </c>
      <c r="J1926" t="s">
        <v>9</v>
      </c>
      <c r="K1926" t="s">
        <v>9</v>
      </c>
      <c r="L1926" t="s">
        <v>16</v>
      </c>
      <c r="M1926" t="s">
        <v>35</v>
      </c>
      <c r="N1926" s="2">
        <v>46112</v>
      </c>
    </row>
    <row r="1927" spans="1:14" x14ac:dyDescent="0.25">
      <c r="A1927" t="s">
        <v>456</v>
      </c>
      <c r="B1927" s="2">
        <v>46100</v>
      </c>
      <c r="C1927" t="s">
        <v>456</v>
      </c>
      <c r="D1927" t="s">
        <v>33</v>
      </c>
      <c r="E1927" t="s">
        <v>9</v>
      </c>
      <c r="F1927" s="3">
        <v>-18218</v>
      </c>
      <c r="G1927" s="3">
        <v>-18218</v>
      </c>
      <c r="H1927" t="s">
        <v>3</v>
      </c>
      <c r="I1927" t="s">
        <v>3</v>
      </c>
      <c r="J1927" t="s">
        <v>9</v>
      </c>
      <c r="K1927" t="s">
        <v>13</v>
      </c>
      <c r="L1927" t="s">
        <v>16</v>
      </c>
      <c r="M1927" t="s">
        <v>35</v>
      </c>
      <c r="N1927" s="2">
        <v>46100</v>
      </c>
    </row>
    <row r="1928" spans="1:14" x14ac:dyDescent="0.25">
      <c r="A1928" s="4" t="s">
        <v>244</v>
      </c>
      <c r="B1928" s="5"/>
      <c r="C1928" s="4" t="s">
        <v>9</v>
      </c>
      <c r="D1928" s="4" t="s">
        <v>9</v>
      </c>
      <c r="E1928" s="4" t="s">
        <v>9</v>
      </c>
      <c r="F1928" s="6">
        <v>0</v>
      </c>
      <c r="G1928" s="6">
        <v>0</v>
      </c>
      <c r="H1928" s="4" t="s">
        <v>9</v>
      </c>
      <c r="I1928" s="4" t="s">
        <v>3</v>
      </c>
      <c r="J1928" s="4" t="s">
        <v>9</v>
      </c>
      <c r="K1928" s="4" t="s">
        <v>9</v>
      </c>
      <c r="L1928" s="4" t="s">
        <v>9</v>
      </c>
      <c r="M1928" s="4" t="s">
        <v>9</v>
      </c>
      <c r="N1928" s="5"/>
    </row>
    <row r="1929" spans="1:14" x14ac:dyDescent="0.25">
      <c r="A1929" t="s">
        <v>456</v>
      </c>
      <c r="B1929" s="2">
        <v>45782</v>
      </c>
      <c r="C1929" t="s">
        <v>456</v>
      </c>
      <c r="D1929" t="s">
        <v>33</v>
      </c>
      <c r="E1929" t="s">
        <v>9</v>
      </c>
      <c r="F1929" s="3">
        <v>20400</v>
      </c>
      <c r="G1929" s="3">
        <v>20400</v>
      </c>
      <c r="H1929" t="s">
        <v>3</v>
      </c>
      <c r="I1929" t="s">
        <v>3</v>
      </c>
      <c r="J1929" t="s">
        <v>9</v>
      </c>
      <c r="K1929" t="s">
        <v>9</v>
      </c>
      <c r="L1929" t="s">
        <v>17</v>
      </c>
      <c r="M1929" t="s">
        <v>35</v>
      </c>
      <c r="N1929" s="2">
        <v>45777</v>
      </c>
    </row>
    <row r="1930" spans="1:14" x14ac:dyDescent="0.25">
      <c r="A1930" t="s">
        <v>456</v>
      </c>
      <c r="B1930" s="2">
        <v>46147</v>
      </c>
      <c r="C1930" t="s">
        <v>456</v>
      </c>
      <c r="D1930" t="s">
        <v>33</v>
      </c>
      <c r="E1930" t="s">
        <v>9</v>
      </c>
      <c r="F1930" s="3">
        <v>20895</v>
      </c>
      <c r="G1930" s="3">
        <v>20895</v>
      </c>
      <c r="H1930" t="s">
        <v>3</v>
      </c>
      <c r="I1930" t="s">
        <v>3</v>
      </c>
      <c r="J1930" t="s">
        <v>9</v>
      </c>
      <c r="K1930" t="s">
        <v>9</v>
      </c>
      <c r="L1930" t="s">
        <v>17</v>
      </c>
      <c r="M1930" t="s">
        <v>35</v>
      </c>
      <c r="N1930" s="2">
        <v>46142</v>
      </c>
    </row>
    <row r="1931" spans="1:14" x14ac:dyDescent="0.25">
      <c r="A1931" t="s">
        <v>456</v>
      </c>
      <c r="B1931" s="2">
        <v>45763</v>
      </c>
      <c r="C1931" t="s">
        <v>456</v>
      </c>
      <c r="D1931" t="s">
        <v>33</v>
      </c>
      <c r="E1931" t="s">
        <v>9</v>
      </c>
      <c r="F1931" s="3">
        <v>-20400</v>
      </c>
      <c r="G1931" s="3">
        <v>-20400</v>
      </c>
      <c r="H1931" t="s">
        <v>3</v>
      </c>
      <c r="I1931" t="s">
        <v>3</v>
      </c>
      <c r="J1931" t="s">
        <v>9</v>
      </c>
      <c r="K1931" t="s">
        <v>5</v>
      </c>
      <c r="L1931" t="s">
        <v>17</v>
      </c>
      <c r="M1931" t="s">
        <v>35</v>
      </c>
      <c r="N1931" s="2">
        <v>45763</v>
      </c>
    </row>
    <row r="1932" spans="1:14" x14ac:dyDescent="0.25">
      <c r="A1932" t="s">
        <v>456</v>
      </c>
      <c r="B1932" s="2">
        <v>46127</v>
      </c>
      <c r="C1932" t="s">
        <v>456</v>
      </c>
      <c r="D1932" t="s">
        <v>33</v>
      </c>
      <c r="E1932" t="s">
        <v>9</v>
      </c>
      <c r="F1932" s="3">
        <v>-20895</v>
      </c>
      <c r="G1932" s="3">
        <v>-20895</v>
      </c>
      <c r="H1932" t="s">
        <v>3</v>
      </c>
      <c r="I1932" t="s">
        <v>3</v>
      </c>
      <c r="J1932" t="s">
        <v>9</v>
      </c>
      <c r="K1932" t="s">
        <v>13</v>
      </c>
      <c r="L1932" t="s">
        <v>17</v>
      </c>
      <c r="M1932" t="s">
        <v>35</v>
      </c>
      <c r="N1932" s="2">
        <v>46127</v>
      </c>
    </row>
    <row r="1933" spans="1:14" x14ac:dyDescent="0.25">
      <c r="A1933" s="4" t="s">
        <v>249</v>
      </c>
      <c r="B1933" s="5"/>
      <c r="C1933" s="4" t="s">
        <v>9</v>
      </c>
      <c r="D1933" s="4" t="s">
        <v>9</v>
      </c>
      <c r="E1933" s="4" t="s">
        <v>9</v>
      </c>
      <c r="F1933" s="6">
        <v>0</v>
      </c>
      <c r="G1933" s="6">
        <v>0</v>
      </c>
      <c r="H1933" s="4" t="s">
        <v>9</v>
      </c>
      <c r="I1933" s="4" t="s">
        <v>3</v>
      </c>
      <c r="J1933" s="4" t="s">
        <v>9</v>
      </c>
      <c r="K1933" s="4" t="s">
        <v>9</v>
      </c>
      <c r="L1933" s="4" t="s">
        <v>9</v>
      </c>
      <c r="M1933" s="4" t="s">
        <v>9</v>
      </c>
      <c r="N1933" s="5"/>
    </row>
    <row r="1934" spans="1:14" x14ac:dyDescent="0.25">
      <c r="A1934" t="s">
        <v>456</v>
      </c>
      <c r="B1934" s="2">
        <v>46175</v>
      </c>
      <c r="C1934" t="s">
        <v>456</v>
      </c>
      <c r="D1934" t="s">
        <v>33</v>
      </c>
      <c r="E1934" t="s">
        <v>9</v>
      </c>
      <c r="F1934" s="3">
        <v>8610</v>
      </c>
      <c r="G1934" s="3">
        <v>8610</v>
      </c>
      <c r="H1934" t="s">
        <v>3</v>
      </c>
      <c r="I1934" t="s">
        <v>3</v>
      </c>
      <c r="J1934" t="s">
        <v>9</v>
      </c>
      <c r="K1934" t="s">
        <v>9</v>
      </c>
      <c r="L1934" t="s">
        <v>18</v>
      </c>
      <c r="M1934" t="s">
        <v>35</v>
      </c>
      <c r="N1934" s="2">
        <v>46173</v>
      </c>
    </row>
    <row r="1935" spans="1:14" x14ac:dyDescent="0.25">
      <c r="A1935" t="s">
        <v>456</v>
      </c>
      <c r="B1935" s="2">
        <v>46161</v>
      </c>
      <c r="C1935" t="s">
        <v>456</v>
      </c>
      <c r="D1935" t="s">
        <v>33</v>
      </c>
      <c r="E1935" t="s">
        <v>9</v>
      </c>
      <c r="F1935" s="3">
        <v>-8610</v>
      </c>
      <c r="G1935" s="3">
        <v>-8610</v>
      </c>
      <c r="H1935" t="s">
        <v>3</v>
      </c>
      <c r="I1935" t="s">
        <v>3</v>
      </c>
      <c r="J1935" t="s">
        <v>9</v>
      </c>
      <c r="K1935" t="s">
        <v>13</v>
      </c>
      <c r="L1935" t="s">
        <v>18</v>
      </c>
      <c r="M1935" t="s">
        <v>35</v>
      </c>
      <c r="N1935" s="2">
        <v>46161</v>
      </c>
    </row>
    <row r="1936" spans="1:14" x14ac:dyDescent="0.25">
      <c r="A1936" s="4" t="s">
        <v>223</v>
      </c>
      <c r="B1936" s="5"/>
      <c r="C1936" s="4" t="s">
        <v>9</v>
      </c>
      <c r="D1936" s="4" t="s">
        <v>9</v>
      </c>
      <c r="E1936" s="4" t="s">
        <v>9</v>
      </c>
      <c r="F1936" s="6">
        <v>0</v>
      </c>
      <c r="G1936" s="6">
        <v>0</v>
      </c>
      <c r="H1936" s="4" t="s">
        <v>9</v>
      </c>
      <c r="I1936" s="4" t="s">
        <v>3</v>
      </c>
      <c r="J1936" s="4" t="s">
        <v>9</v>
      </c>
      <c r="K1936" s="4" t="s">
        <v>9</v>
      </c>
      <c r="L1936" s="4" t="s">
        <v>9</v>
      </c>
      <c r="M1936" s="4" t="s">
        <v>9</v>
      </c>
      <c r="N1936" s="5"/>
    </row>
    <row r="1937" spans="1:14" x14ac:dyDescent="0.25">
      <c r="A1937" t="s">
        <v>456</v>
      </c>
      <c r="B1937" s="2">
        <v>45839</v>
      </c>
      <c r="C1937" t="s">
        <v>456</v>
      </c>
      <c r="D1937" t="s">
        <v>33</v>
      </c>
      <c r="E1937" t="s">
        <v>9</v>
      </c>
      <c r="F1937" s="3">
        <v>30135</v>
      </c>
      <c r="G1937" s="3">
        <v>30135</v>
      </c>
      <c r="H1937" t="s">
        <v>3</v>
      </c>
      <c r="I1937" t="s">
        <v>3</v>
      </c>
      <c r="J1937" t="s">
        <v>9</v>
      </c>
      <c r="K1937" t="s">
        <v>9</v>
      </c>
      <c r="L1937" t="s">
        <v>19</v>
      </c>
      <c r="M1937" t="s">
        <v>35</v>
      </c>
      <c r="N1937" s="2">
        <v>45838</v>
      </c>
    </row>
    <row r="1938" spans="1:14" x14ac:dyDescent="0.25">
      <c r="A1938" t="s">
        <v>456</v>
      </c>
      <c r="B1938" s="2">
        <v>46205</v>
      </c>
      <c r="C1938" t="s">
        <v>456</v>
      </c>
      <c r="D1938" t="s">
        <v>33</v>
      </c>
      <c r="E1938" t="s">
        <v>9</v>
      </c>
      <c r="F1938" s="3">
        <v>7445</v>
      </c>
      <c r="G1938" s="3">
        <v>7445</v>
      </c>
      <c r="H1938" t="s">
        <v>3</v>
      </c>
      <c r="I1938" t="s">
        <v>3</v>
      </c>
      <c r="J1938" t="s">
        <v>9</v>
      </c>
      <c r="K1938" t="s">
        <v>9</v>
      </c>
      <c r="L1938" t="s">
        <v>19</v>
      </c>
      <c r="M1938" t="s">
        <v>35</v>
      </c>
      <c r="N1938" s="2">
        <v>46203</v>
      </c>
    </row>
    <row r="1939" spans="1:14" x14ac:dyDescent="0.25">
      <c r="A1939" t="s">
        <v>456</v>
      </c>
      <c r="B1939" s="2">
        <v>45825</v>
      </c>
      <c r="C1939" t="s">
        <v>456</v>
      </c>
      <c r="D1939" t="s">
        <v>33</v>
      </c>
      <c r="E1939" t="s">
        <v>9</v>
      </c>
      <c r="F1939" s="3">
        <v>-30135</v>
      </c>
      <c r="G1939" s="3">
        <v>-30135</v>
      </c>
      <c r="H1939" t="s">
        <v>3</v>
      </c>
      <c r="I1939" t="s">
        <v>3</v>
      </c>
      <c r="J1939" t="s">
        <v>9</v>
      </c>
      <c r="K1939" t="s">
        <v>5</v>
      </c>
      <c r="L1939" t="s">
        <v>19</v>
      </c>
      <c r="M1939" t="s">
        <v>35</v>
      </c>
      <c r="N1939" s="2">
        <v>45825</v>
      </c>
    </row>
    <row r="1940" spans="1:14" x14ac:dyDescent="0.25">
      <c r="A1940" t="s">
        <v>456</v>
      </c>
      <c r="B1940" s="2">
        <v>46192</v>
      </c>
      <c r="C1940" t="s">
        <v>456</v>
      </c>
      <c r="D1940" t="s">
        <v>33</v>
      </c>
      <c r="E1940" t="s">
        <v>9</v>
      </c>
      <c r="F1940" s="3">
        <v>-7445</v>
      </c>
      <c r="G1940" s="3">
        <v>-7445</v>
      </c>
      <c r="H1940" t="s">
        <v>3</v>
      </c>
      <c r="I1940" t="s">
        <v>3</v>
      </c>
      <c r="J1940" t="s">
        <v>9</v>
      </c>
      <c r="K1940" t="s">
        <v>13</v>
      </c>
      <c r="L1940" t="s">
        <v>19</v>
      </c>
      <c r="M1940" t="s">
        <v>35</v>
      </c>
      <c r="N1940" s="2">
        <v>46192</v>
      </c>
    </row>
    <row r="1941" spans="1:14" x14ac:dyDescent="0.25">
      <c r="A1941" s="4" t="s">
        <v>224</v>
      </c>
      <c r="B1941" s="5"/>
      <c r="C1941" s="4" t="s">
        <v>9</v>
      </c>
      <c r="D1941" s="4" t="s">
        <v>9</v>
      </c>
      <c r="E1941" s="4" t="s">
        <v>9</v>
      </c>
      <c r="F1941" s="6">
        <v>0</v>
      </c>
      <c r="G1941" s="6">
        <v>0</v>
      </c>
      <c r="H1941" s="4" t="s">
        <v>9</v>
      </c>
      <c r="I1941" s="4" t="s">
        <v>3</v>
      </c>
      <c r="J1941" s="4" t="s">
        <v>9</v>
      </c>
      <c r="K1941" s="4" t="s">
        <v>9</v>
      </c>
      <c r="L1941" s="4" t="s">
        <v>9</v>
      </c>
      <c r="M1941" s="4" t="s">
        <v>9</v>
      </c>
      <c r="N1941" s="5"/>
    </row>
    <row r="1942" spans="1:14" x14ac:dyDescent="0.25">
      <c r="A1942" t="s">
        <v>456</v>
      </c>
      <c r="B1942" s="2">
        <v>45870</v>
      </c>
      <c r="C1942" t="s">
        <v>456</v>
      </c>
      <c r="D1942" t="s">
        <v>33</v>
      </c>
      <c r="E1942" t="s">
        <v>9</v>
      </c>
      <c r="F1942" s="3">
        <v>1050</v>
      </c>
      <c r="G1942" s="3">
        <v>1050</v>
      </c>
      <c r="H1942" t="s">
        <v>3</v>
      </c>
      <c r="I1942" t="s">
        <v>3</v>
      </c>
      <c r="J1942" t="s">
        <v>9</v>
      </c>
      <c r="K1942" t="s">
        <v>9</v>
      </c>
      <c r="L1942" t="s">
        <v>21</v>
      </c>
      <c r="M1942" t="s">
        <v>35</v>
      </c>
      <c r="N1942" s="2">
        <v>45869</v>
      </c>
    </row>
    <row r="1943" spans="1:14" x14ac:dyDescent="0.25">
      <c r="A1943" t="s">
        <v>456</v>
      </c>
      <c r="B1943" s="2">
        <v>45849</v>
      </c>
      <c r="C1943" t="s">
        <v>456</v>
      </c>
      <c r="D1943" t="s">
        <v>33</v>
      </c>
      <c r="E1943" t="s">
        <v>9</v>
      </c>
      <c r="F1943" s="3">
        <v>-1050</v>
      </c>
      <c r="G1943" s="3">
        <v>-1050</v>
      </c>
      <c r="H1943" t="s">
        <v>3</v>
      </c>
      <c r="I1943" t="s">
        <v>3</v>
      </c>
      <c r="J1943" t="s">
        <v>9</v>
      </c>
      <c r="K1943" t="s">
        <v>5</v>
      </c>
      <c r="L1943" t="s">
        <v>21</v>
      </c>
      <c r="M1943" t="s">
        <v>35</v>
      </c>
      <c r="N1943" s="2">
        <v>45849</v>
      </c>
    </row>
    <row r="1944" spans="1:14" x14ac:dyDescent="0.25">
      <c r="A1944" s="4" t="s">
        <v>262</v>
      </c>
      <c r="B1944" s="5"/>
      <c r="C1944" s="4" t="s">
        <v>9</v>
      </c>
      <c r="D1944" s="4" t="s">
        <v>9</v>
      </c>
      <c r="E1944" s="4" t="s">
        <v>9</v>
      </c>
      <c r="F1944" s="6">
        <v>0</v>
      </c>
      <c r="G1944" s="6">
        <v>0</v>
      </c>
      <c r="H1944" s="4" t="s">
        <v>9</v>
      </c>
      <c r="I1944" s="4" t="s">
        <v>3</v>
      </c>
      <c r="J1944" s="4" t="s">
        <v>9</v>
      </c>
      <c r="K1944" s="4" t="s">
        <v>9</v>
      </c>
      <c r="L1944" s="4" t="s">
        <v>9</v>
      </c>
      <c r="M1944" s="4" t="s">
        <v>9</v>
      </c>
      <c r="N1944" s="5"/>
    </row>
    <row r="1945" spans="1:14" x14ac:dyDescent="0.25">
      <c r="A1945" t="s">
        <v>456</v>
      </c>
      <c r="B1945" s="2">
        <v>45901</v>
      </c>
      <c r="C1945" t="s">
        <v>456</v>
      </c>
      <c r="D1945" t="s">
        <v>33</v>
      </c>
      <c r="E1945" t="s">
        <v>9</v>
      </c>
      <c r="F1945" s="3">
        <v>9030</v>
      </c>
      <c r="G1945" s="3">
        <v>9030</v>
      </c>
      <c r="H1945" t="s">
        <v>3</v>
      </c>
      <c r="I1945" t="s">
        <v>3</v>
      </c>
      <c r="J1945" t="s">
        <v>9</v>
      </c>
      <c r="K1945" t="s">
        <v>9</v>
      </c>
      <c r="L1945" t="s">
        <v>22</v>
      </c>
      <c r="M1945" t="s">
        <v>35</v>
      </c>
      <c r="N1945" s="2">
        <v>45900</v>
      </c>
    </row>
    <row r="1946" spans="1:14" x14ac:dyDescent="0.25">
      <c r="A1946" t="s">
        <v>456</v>
      </c>
      <c r="B1946" s="2">
        <v>46267</v>
      </c>
      <c r="C1946" t="s">
        <v>456</v>
      </c>
      <c r="D1946" t="s">
        <v>33</v>
      </c>
      <c r="E1946" t="s">
        <v>9</v>
      </c>
      <c r="F1946" s="3">
        <v>10185</v>
      </c>
      <c r="G1946" s="3">
        <v>10185</v>
      </c>
      <c r="H1946" t="s">
        <v>3</v>
      </c>
      <c r="I1946" t="s">
        <v>3</v>
      </c>
      <c r="J1946" t="s">
        <v>9</v>
      </c>
      <c r="K1946" t="s">
        <v>9</v>
      </c>
      <c r="L1946" t="s">
        <v>22</v>
      </c>
      <c r="M1946" t="s">
        <v>35</v>
      </c>
      <c r="N1946" s="2">
        <v>46265</v>
      </c>
    </row>
    <row r="1947" spans="1:14" x14ac:dyDescent="0.25">
      <c r="A1947" t="s">
        <v>456</v>
      </c>
      <c r="B1947" s="2">
        <v>45888</v>
      </c>
      <c r="C1947" t="s">
        <v>456</v>
      </c>
      <c r="D1947" t="s">
        <v>33</v>
      </c>
      <c r="E1947" t="s">
        <v>9</v>
      </c>
      <c r="F1947" s="3">
        <v>-9030</v>
      </c>
      <c r="G1947" s="3">
        <v>-9030</v>
      </c>
      <c r="H1947" t="s">
        <v>3</v>
      </c>
      <c r="I1947" t="s">
        <v>3</v>
      </c>
      <c r="J1947" t="s">
        <v>9</v>
      </c>
      <c r="K1947" t="s">
        <v>5</v>
      </c>
      <c r="L1947" t="s">
        <v>22</v>
      </c>
      <c r="M1947" t="s">
        <v>35</v>
      </c>
      <c r="N1947" s="2">
        <v>45888</v>
      </c>
    </row>
    <row r="1948" spans="1:14" x14ac:dyDescent="0.25">
      <c r="A1948" t="s">
        <v>456</v>
      </c>
      <c r="B1948" s="2">
        <v>46246</v>
      </c>
      <c r="C1948" t="s">
        <v>456</v>
      </c>
      <c r="D1948" t="s">
        <v>33</v>
      </c>
      <c r="E1948" t="s">
        <v>9</v>
      </c>
      <c r="F1948" s="3">
        <v>-8794</v>
      </c>
      <c r="G1948" s="3">
        <v>-8794</v>
      </c>
      <c r="H1948" t="s">
        <v>3</v>
      </c>
      <c r="I1948" t="s">
        <v>3</v>
      </c>
      <c r="J1948" t="s">
        <v>9</v>
      </c>
      <c r="K1948" t="s">
        <v>13</v>
      </c>
      <c r="L1948" t="s">
        <v>22</v>
      </c>
      <c r="M1948" t="s">
        <v>35</v>
      </c>
      <c r="N1948" s="2">
        <v>46246</v>
      </c>
    </row>
    <row r="1949" spans="1:14" x14ac:dyDescent="0.25">
      <c r="A1949" t="s">
        <v>456</v>
      </c>
      <c r="B1949" s="2">
        <v>46254</v>
      </c>
      <c r="C1949" t="s">
        <v>456</v>
      </c>
      <c r="D1949" t="s">
        <v>33</v>
      </c>
      <c r="E1949" t="s">
        <v>9</v>
      </c>
      <c r="F1949" s="3">
        <v>-1391</v>
      </c>
      <c r="G1949" s="3">
        <v>-1391</v>
      </c>
      <c r="H1949" t="s">
        <v>3</v>
      </c>
      <c r="I1949" t="s">
        <v>3</v>
      </c>
      <c r="J1949" t="s">
        <v>9</v>
      </c>
      <c r="K1949" t="s">
        <v>13</v>
      </c>
      <c r="L1949" t="s">
        <v>22</v>
      </c>
      <c r="M1949" t="s">
        <v>35</v>
      </c>
      <c r="N1949" s="2">
        <v>46254</v>
      </c>
    </row>
    <row r="1950" spans="1:14" x14ac:dyDescent="0.25">
      <c r="A1950" s="4" t="s">
        <v>267</v>
      </c>
      <c r="B1950" s="5"/>
      <c r="C1950" s="4" t="s">
        <v>9</v>
      </c>
      <c r="D1950" s="4" t="s">
        <v>9</v>
      </c>
      <c r="E1950" s="4" t="s">
        <v>9</v>
      </c>
      <c r="F1950" s="6">
        <v>0</v>
      </c>
      <c r="G1950" s="6">
        <v>0</v>
      </c>
      <c r="H1950" s="4" t="s">
        <v>9</v>
      </c>
      <c r="I1950" s="4" t="s">
        <v>3</v>
      </c>
      <c r="J1950" s="4" t="s">
        <v>9</v>
      </c>
      <c r="K1950" s="4" t="s">
        <v>9</v>
      </c>
      <c r="L1950" s="4" t="s">
        <v>9</v>
      </c>
      <c r="M1950" s="4" t="s">
        <v>9</v>
      </c>
      <c r="N1950" s="5"/>
    </row>
    <row r="1951" spans="1:14" x14ac:dyDescent="0.25">
      <c r="A1951" t="s">
        <v>456</v>
      </c>
      <c r="B1951" s="2">
        <v>45932</v>
      </c>
      <c r="C1951" t="s">
        <v>456</v>
      </c>
      <c r="D1951" t="s">
        <v>33</v>
      </c>
      <c r="E1951" t="s">
        <v>9</v>
      </c>
      <c r="F1951" s="3">
        <v>6090</v>
      </c>
      <c r="G1951" s="3">
        <v>6090</v>
      </c>
      <c r="H1951" t="s">
        <v>3</v>
      </c>
      <c r="I1951" t="s">
        <v>3</v>
      </c>
      <c r="J1951" t="s">
        <v>9</v>
      </c>
      <c r="K1951" t="s">
        <v>9</v>
      </c>
      <c r="L1951" t="s">
        <v>6</v>
      </c>
      <c r="M1951" t="s">
        <v>35</v>
      </c>
      <c r="N1951" s="2">
        <v>45930</v>
      </c>
    </row>
    <row r="1952" spans="1:14" x14ac:dyDescent="0.25">
      <c r="A1952" t="s">
        <v>456</v>
      </c>
      <c r="B1952" s="2">
        <v>45910</v>
      </c>
      <c r="C1952" t="s">
        <v>456</v>
      </c>
      <c r="D1952" t="s">
        <v>33</v>
      </c>
      <c r="E1952" t="s">
        <v>9</v>
      </c>
      <c r="F1952" s="3">
        <v>-6090</v>
      </c>
      <c r="G1952" s="3">
        <v>-6090</v>
      </c>
      <c r="H1952" t="s">
        <v>3</v>
      </c>
      <c r="I1952" t="s">
        <v>3</v>
      </c>
      <c r="J1952" t="s">
        <v>9</v>
      </c>
      <c r="K1952" t="s">
        <v>5</v>
      </c>
      <c r="L1952" t="s">
        <v>6</v>
      </c>
      <c r="M1952" t="s">
        <v>35</v>
      </c>
      <c r="N1952" s="2">
        <v>45910</v>
      </c>
    </row>
    <row r="1953" spans="1:14" x14ac:dyDescent="0.25">
      <c r="A1953" s="4" t="s">
        <v>272</v>
      </c>
      <c r="B1953" s="5"/>
      <c r="C1953" s="4" t="s">
        <v>9</v>
      </c>
      <c r="D1953" s="4" t="s">
        <v>9</v>
      </c>
      <c r="E1953" s="4" t="s">
        <v>9</v>
      </c>
      <c r="F1953" s="6">
        <v>0</v>
      </c>
      <c r="G1953" s="6">
        <v>0</v>
      </c>
      <c r="H1953" s="4" t="s">
        <v>9</v>
      </c>
      <c r="I1953" s="4" t="s">
        <v>3</v>
      </c>
      <c r="J1953" s="4" t="s">
        <v>9</v>
      </c>
      <c r="K1953" s="4" t="s">
        <v>9</v>
      </c>
      <c r="L1953" s="4" t="s">
        <v>9</v>
      </c>
      <c r="M1953" s="4" t="s">
        <v>9</v>
      </c>
      <c r="N1953" s="5"/>
    </row>
    <row r="1954" spans="1:14" x14ac:dyDescent="0.25">
      <c r="A1954" t="s">
        <v>456</v>
      </c>
      <c r="B1954" s="2">
        <v>45965</v>
      </c>
      <c r="C1954" t="s">
        <v>456</v>
      </c>
      <c r="D1954" t="s">
        <v>33</v>
      </c>
      <c r="E1954" t="s">
        <v>9</v>
      </c>
      <c r="F1954" s="3">
        <v>10920</v>
      </c>
      <c r="G1954" s="3">
        <v>10920</v>
      </c>
      <c r="H1954" t="s">
        <v>3</v>
      </c>
      <c r="I1954" t="s">
        <v>3</v>
      </c>
      <c r="J1954" t="s">
        <v>9</v>
      </c>
      <c r="K1954" t="s">
        <v>9</v>
      </c>
      <c r="L1954" t="s">
        <v>8</v>
      </c>
      <c r="M1954" t="s">
        <v>35</v>
      </c>
      <c r="N1954" s="2">
        <v>45961</v>
      </c>
    </row>
    <row r="1955" spans="1:14" x14ac:dyDescent="0.25">
      <c r="A1955" t="s">
        <v>456</v>
      </c>
      <c r="B1955" s="2">
        <v>45947</v>
      </c>
      <c r="C1955" t="s">
        <v>456</v>
      </c>
      <c r="D1955" t="s">
        <v>33</v>
      </c>
      <c r="E1955" t="s">
        <v>9</v>
      </c>
      <c r="F1955" s="3">
        <v>-10920</v>
      </c>
      <c r="G1955" s="3">
        <v>-10920</v>
      </c>
      <c r="H1955" t="s">
        <v>3</v>
      </c>
      <c r="I1955" t="s">
        <v>3</v>
      </c>
      <c r="J1955" t="s">
        <v>9</v>
      </c>
      <c r="K1955" t="s">
        <v>5</v>
      </c>
      <c r="L1955" t="s">
        <v>8</v>
      </c>
      <c r="M1955" t="s">
        <v>35</v>
      </c>
      <c r="N1955" s="2">
        <v>45947</v>
      </c>
    </row>
    <row r="1956" spans="1:14" x14ac:dyDescent="0.25">
      <c r="A1956" s="4" t="s">
        <v>278</v>
      </c>
      <c r="B1956" s="5"/>
      <c r="C1956" s="4" t="s">
        <v>9</v>
      </c>
      <c r="D1956" s="4" t="s">
        <v>9</v>
      </c>
      <c r="E1956" s="4" t="s">
        <v>9</v>
      </c>
      <c r="F1956" s="6">
        <v>0</v>
      </c>
      <c r="G1956" s="6">
        <v>0</v>
      </c>
      <c r="H1956" s="4" t="s">
        <v>9</v>
      </c>
      <c r="I1956" s="4" t="s">
        <v>3</v>
      </c>
      <c r="J1956" s="4" t="s">
        <v>9</v>
      </c>
      <c r="K1956" s="4" t="s">
        <v>9</v>
      </c>
      <c r="L1956" s="4" t="s">
        <v>9</v>
      </c>
      <c r="M1956" s="4" t="s">
        <v>9</v>
      </c>
      <c r="N1956" s="5"/>
    </row>
    <row r="1957" spans="1:14" x14ac:dyDescent="0.25">
      <c r="A1957" t="s">
        <v>456</v>
      </c>
      <c r="B1957" s="2">
        <v>45993</v>
      </c>
      <c r="C1957" t="s">
        <v>456</v>
      </c>
      <c r="D1957" t="s">
        <v>33</v>
      </c>
      <c r="E1957" t="s">
        <v>9</v>
      </c>
      <c r="F1957" s="3">
        <v>8925</v>
      </c>
      <c r="G1957" s="3">
        <v>8925</v>
      </c>
      <c r="H1957" t="s">
        <v>3</v>
      </c>
      <c r="I1957" t="s">
        <v>3</v>
      </c>
      <c r="J1957" t="s">
        <v>9</v>
      </c>
      <c r="K1957" t="s">
        <v>9</v>
      </c>
      <c r="L1957" t="s">
        <v>11</v>
      </c>
      <c r="M1957" t="s">
        <v>35</v>
      </c>
      <c r="N1957" s="2">
        <v>45991</v>
      </c>
    </row>
    <row r="1958" spans="1:14" x14ac:dyDescent="0.25">
      <c r="A1958" t="s">
        <v>456</v>
      </c>
      <c r="B1958" s="2">
        <v>45980</v>
      </c>
      <c r="C1958" t="s">
        <v>456</v>
      </c>
      <c r="D1958" t="s">
        <v>33</v>
      </c>
      <c r="E1958" t="s">
        <v>9</v>
      </c>
      <c r="F1958" s="3">
        <v>-8925</v>
      </c>
      <c r="G1958" s="3">
        <v>-8925</v>
      </c>
      <c r="H1958" t="s">
        <v>3</v>
      </c>
      <c r="I1958" t="s">
        <v>3</v>
      </c>
      <c r="J1958" t="s">
        <v>9</v>
      </c>
      <c r="K1958" t="s">
        <v>5</v>
      </c>
      <c r="L1958" t="s">
        <v>11</v>
      </c>
      <c r="M1958" t="s">
        <v>35</v>
      </c>
      <c r="N1958" s="2">
        <v>45980</v>
      </c>
    </row>
    <row r="1959" spans="1:14" x14ac:dyDescent="0.25">
      <c r="A1959" s="4" t="s">
        <v>226</v>
      </c>
      <c r="B1959" s="5"/>
      <c r="C1959" s="4" t="s">
        <v>9</v>
      </c>
      <c r="D1959" s="4" t="s">
        <v>9</v>
      </c>
      <c r="E1959" s="4" t="s">
        <v>9</v>
      </c>
      <c r="F1959" s="6">
        <v>0</v>
      </c>
      <c r="G1959" s="6">
        <v>0</v>
      </c>
      <c r="H1959" s="4" t="s">
        <v>9</v>
      </c>
      <c r="I1959" s="4" t="s">
        <v>3</v>
      </c>
      <c r="J1959" s="4" t="s">
        <v>9</v>
      </c>
      <c r="K1959" s="4" t="s">
        <v>9</v>
      </c>
      <c r="L1959" s="4" t="s">
        <v>9</v>
      </c>
      <c r="M1959" s="4" t="s">
        <v>9</v>
      </c>
      <c r="N1959" s="5"/>
    </row>
    <row r="1960" spans="1:14" x14ac:dyDescent="0.25">
      <c r="A1960" t="s">
        <v>456</v>
      </c>
      <c r="B1960" s="2">
        <v>46028</v>
      </c>
      <c r="C1960" t="s">
        <v>456</v>
      </c>
      <c r="D1960" t="s">
        <v>33</v>
      </c>
      <c r="E1960" t="s">
        <v>9</v>
      </c>
      <c r="F1960" s="3">
        <v>18375</v>
      </c>
      <c r="G1960" s="3">
        <v>18375</v>
      </c>
      <c r="H1960" t="s">
        <v>3</v>
      </c>
      <c r="I1960" t="s">
        <v>3</v>
      </c>
      <c r="J1960" t="s">
        <v>9</v>
      </c>
      <c r="K1960" t="s">
        <v>9</v>
      </c>
      <c r="L1960" t="s">
        <v>12</v>
      </c>
      <c r="M1960" t="s">
        <v>35</v>
      </c>
      <c r="N1960" s="2">
        <v>46022</v>
      </c>
    </row>
    <row r="1961" spans="1:14" x14ac:dyDescent="0.25">
      <c r="A1961" t="s">
        <v>456</v>
      </c>
      <c r="B1961" s="2">
        <v>45980</v>
      </c>
      <c r="C1961" t="s">
        <v>456</v>
      </c>
      <c r="D1961" t="s">
        <v>33</v>
      </c>
      <c r="E1961" t="s">
        <v>9</v>
      </c>
      <c r="F1961" s="3">
        <v>8925</v>
      </c>
      <c r="G1961" s="3">
        <v>8925</v>
      </c>
      <c r="H1961" t="s">
        <v>3</v>
      </c>
      <c r="I1961" t="s">
        <v>3</v>
      </c>
      <c r="J1961" t="s">
        <v>9</v>
      </c>
      <c r="K1961" t="s">
        <v>5</v>
      </c>
      <c r="L1961" t="s">
        <v>12</v>
      </c>
      <c r="M1961" t="s">
        <v>35</v>
      </c>
      <c r="N1961" s="2">
        <v>45995</v>
      </c>
    </row>
    <row r="1962" spans="1:14" x14ac:dyDescent="0.25">
      <c r="A1962" t="s">
        <v>456</v>
      </c>
      <c r="B1962" s="2">
        <v>45995</v>
      </c>
      <c r="C1962" t="s">
        <v>456</v>
      </c>
      <c r="D1962" t="s">
        <v>33</v>
      </c>
      <c r="E1962" t="s">
        <v>9</v>
      </c>
      <c r="F1962" s="3">
        <v>-8925</v>
      </c>
      <c r="G1962" s="3">
        <v>-8925</v>
      </c>
      <c r="H1962" t="s">
        <v>3</v>
      </c>
      <c r="I1962" t="s">
        <v>3</v>
      </c>
      <c r="J1962" t="s">
        <v>9</v>
      </c>
      <c r="K1962" t="s">
        <v>5</v>
      </c>
      <c r="L1962" t="s">
        <v>12</v>
      </c>
      <c r="M1962" t="s">
        <v>35</v>
      </c>
      <c r="N1962" s="2">
        <v>45995</v>
      </c>
    </row>
    <row r="1963" spans="1:14" x14ac:dyDescent="0.25">
      <c r="A1963" t="s">
        <v>456</v>
      </c>
      <c r="B1963" s="2">
        <v>46007</v>
      </c>
      <c r="C1963" t="s">
        <v>456</v>
      </c>
      <c r="D1963" t="s">
        <v>33</v>
      </c>
      <c r="E1963" t="s">
        <v>9</v>
      </c>
      <c r="F1963" s="3">
        <v>-18375</v>
      </c>
      <c r="G1963" s="3">
        <v>-18375</v>
      </c>
      <c r="H1963" t="s">
        <v>3</v>
      </c>
      <c r="I1963" t="s">
        <v>3</v>
      </c>
      <c r="J1963" t="s">
        <v>9</v>
      </c>
      <c r="K1963" t="s">
        <v>5</v>
      </c>
      <c r="L1963" t="s">
        <v>12</v>
      </c>
      <c r="M1963" t="s">
        <v>35</v>
      </c>
      <c r="N1963" s="2">
        <v>46007</v>
      </c>
    </row>
    <row r="1964" spans="1:14" x14ac:dyDescent="0.25">
      <c r="A1964" s="4" t="s">
        <v>228</v>
      </c>
      <c r="B1964" s="5"/>
      <c r="C1964" s="4" t="s">
        <v>9</v>
      </c>
      <c r="D1964" s="4" t="s">
        <v>9</v>
      </c>
      <c r="E1964" s="4" t="s">
        <v>9</v>
      </c>
      <c r="F1964" s="6">
        <v>0</v>
      </c>
      <c r="G1964" s="6">
        <v>0</v>
      </c>
      <c r="H1964" s="4" t="s">
        <v>9</v>
      </c>
      <c r="I1964" s="4" t="s">
        <v>3</v>
      </c>
      <c r="J1964" s="4" t="s">
        <v>9</v>
      </c>
      <c r="K1964" s="4" t="s">
        <v>9</v>
      </c>
      <c r="L1964" s="4" t="s">
        <v>9</v>
      </c>
      <c r="M1964" s="4" t="s">
        <v>9</v>
      </c>
      <c r="N1964" s="5"/>
    </row>
    <row r="1965" spans="1:14" x14ac:dyDescent="0.25">
      <c r="A1965" s="4" t="s">
        <v>456</v>
      </c>
      <c r="B1965" s="5"/>
      <c r="C1965" s="4" t="s">
        <v>9</v>
      </c>
      <c r="D1965" s="4" t="s">
        <v>9</v>
      </c>
      <c r="E1965" s="4" t="s">
        <v>9</v>
      </c>
      <c r="F1965" s="6">
        <v>0</v>
      </c>
      <c r="G1965" s="6">
        <v>0</v>
      </c>
      <c r="H1965" s="4" t="s">
        <v>9</v>
      </c>
      <c r="I1965" s="4" t="s">
        <v>3</v>
      </c>
      <c r="J1965" s="4" t="s">
        <v>9</v>
      </c>
      <c r="K1965" s="4" t="s">
        <v>9</v>
      </c>
      <c r="L1965" s="4" t="s">
        <v>9</v>
      </c>
      <c r="M1965" s="4" t="s">
        <v>9</v>
      </c>
      <c r="N1965" s="5"/>
    </row>
    <row r="1966" spans="1:14" x14ac:dyDescent="0.25">
      <c r="A1966" t="s">
        <v>457</v>
      </c>
      <c r="B1966" s="2">
        <v>46056</v>
      </c>
      <c r="C1966" t="s">
        <v>457</v>
      </c>
      <c r="D1966" t="s">
        <v>112</v>
      </c>
      <c r="E1966" t="s">
        <v>9</v>
      </c>
      <c r="F1966" s="3">
        <v>-11100</v>
      </c>
      <c r="G1966" s="3">
        <v>-11100</v>
      </c>
      <c r="H1966" t="s">
        <v>3</v>
      </c>
      <c r="I1966" t="s">
        <v>3</v>
      </c>
      <c r="J1966" t="s">
        <v>9</v>
      </c>
      <c r="K1966" t="s">
        <v>9</v>
      </c>
      <c r="L1966" t="s">
        <v>14</v>
      </c>
      <c r="M1966" t="s">
        <v>114</v>
      </c>
      <c r="N1966" s="2">
        <v>46053</v>
      </c>
    </row>
    <row r="1967" spans="1:14" x14ac:dyDescent="0.25">
      <c r="A1967" t="s">
        <v>457</v>
      </c>
      <c r="B1967" s="2">
        <v>46022</v>
      </c>
      <c r="C1967" t="s">
        <v>457</v>
      </c>
      <c r="D1967" t="s">
        <v>112</v>
      </c>
      <c r="E1967" t="s">
        <v>9</v>
      </c>
      <c r="F1967" s="3">
        <v>-80500</v>
      </c>
      <c r="G1967" s="3">
        <v>-80500</v>
      </c>
      <c r="H1967" t="s">
        <v>3</v>
      </c>
      <c r="I1967" t="s">
        <v>3</v>
      </c>
      <c r="J1967" t="s">
        <v>298</v>
      </c>
      <c r="K1967" t="s">
        <v>13</v>
      </c>
      <c r="L1967" t="s">
        <v>14</v>
      </c>
      <c r="M1967" t="s">
        <v>114</v>
      </c>
      <c r="N1967" s="2">
        <v>46023</v>
      </c>
    </row>
    <row r="1968" spans="1:14" x14ac:dyDescent="0.25">
      <c r="A1968" t="s">
        <v>457</v>
      </c>
      <c r="B1968" s="2">
        <v>46023</v>
      </c>
      <c r="C1968" t="s">
        <v>457</v>
      </c>
      <c r="D1968" t="s">
        <v>112</v>
      </c>
      <c r="E1968" t="s">
        <v>9</v>
      </c>
      <c r="F1968" s="3">
        <v>80500</v>
      </c>
      <c r="G1968" s="3">
        <v>80500</v>
      </c>
      <c r="H1968" t="s">
        <v>3</v>
      </c>
      <c r="I1968" t="s">
        <v>3</v>
      </c>
      <c r="J1968" t="s">
        <v>298</v>
      </c>
      <c r="K1968" t="s">
        <v>13</v>
      </c>
      <c r="L1968" t="s">
        <v>14</v>
      </c>
      <c r="M1968" t="s">
        <v>114</v>
      </c>
      <c r="N1968" s="2">
        <v>46023</v>
      </c>
    </row>
    <row r="1969" spans="1:14" x14ac:dyDescent="0.25">
      <c r="A1969" t="s">
        <v>457</v>
      </c>
      <c r="B1969" s="2">
        <v>46053</v>
      </c>
      <c r="C1969" t="s">
        <v>457</v>
      </c>
      <c r="D1969" t="s">
        <v>112</v>
      </c>
      <c r="E1969" t="s">
        <v>9</v>
      </c>
      <c r="F1969" s="3">
        <v>11100</v>
      </c>
      <c r="G1969" s="3">
        <v>11100</v>
      </c>
      <c r="H1969" t="s">
        <v>3</v>
      </c>
      <c r="I1969" t="s">
        <v>3</v>
      </c>
      <c r="J1969" t="s">
        <v>300</v>
      </c>
      <c r="K1969" t="s">
        <v>13</v>
      </c>
      <c r="L1969" t="s">
        <v>14</v>
      </c>
      <c r="M1969" t="s">
        <v>114</v>
      </c>
      <c r="N1969" s="2">
        <v>46053</v>
      </c>
    </row>
    <row r="1970" spans="1:14" x14ac:dyDescent="0.25">
      <c r="A1970" s="4" t="s">
        <v>234</v>
      </c>
      <c r="B1970" s="5"/>
      <c r="C1970" s="4" t="s">
        <v>9</v>
      </c>
      <c r="D1970" s="4" t="s">
        <v>9</v>
      </c>
      <c r="E1970" s="4" t="s">
        <v>9</v>
      </c>
      <c r="F1970" s="6">
        <v>0</v>
      </c>
      <c r="G1970" s="6">
        <v>0</v>
      </c>
      <c r="H1970" s="4" t="s">
        <v>9</v>
      </c>
      <c r="I1970" s="4" t="s">
        <v>3</v>
      </c>
      <c r="J1970" s="4" t="s">
        <v>9</v>
      </c>
      <c r="K1970" s="4" t="s">
        <v>9</v>
      </c>
      <c r="L1970" s="4" t="s">
        <v>9</v>
      </c>
      <c r="M1970" s="4" t="s">
        <v>9</v>
      </c>
      <c r="N1970" s="5"/>
    </row>
    <row r="1971" spans="1:14" x14ac:dyDescent="0.25">
      <c r="A1971" t="s">
        <v>457</v>
      </c>
      <c r="B1971" s="2">
        <v>46084</v>
      </c>
      <c r="C1971" t="s">
        <v>457</v>
      </c>
      <c r="D1971" t="s">
        <v>112</v>
      </c>
      <c r="E1971" t="s">
        <v>9</v>
      </c>
      <c r="F1971" s="3">
        <v>-17350</v>
      </c>
      <c r="G1971" s="3">
        <v>-17350</v>
      </c>
      <c r="H1971" t="s">
        <v>3</v>
      </c>
      <c r="I1971" t="s">
        <v>3</v>
      </c>
      <c r="J1971" t="s">
        <v>9</v>
      </c>
      <c r="K1971" t="s">
        <v>9</v>
      </c>
      <c r="L1971" t="s">
        <v>15</v>
      </c>
      <c r="M1971" t="s">
        <v>114</v>
      </c>
      <c r="N1971" s="2">
        <v>46081</v>
      </c>
    </row>
    <row r="1972" spans="1:14" x14ac:dyDescent="0.25">
      <c r="A1972" t="s">
        <v>457</v>
      </c>
      <c r="B1972" s="2">
        <v>46054</v>
      </c>
      <c r="C1972" t="s">
        <v>457</v>
      </c>
      <c r="D1972" t="s">
        <v>112</v>
      </c>
      <c r="E1972" t="s">
        <v>9</v>
      </c>
      <c r="F1972" s="3">
        <v>-11100</v>
      </c>
      <c r="G1972" s="3">
        <v>-11100</v>
      </c>
      <c r="H1972" t="s">
        <v>3</v>
      </c>
      <c r="I1972" t="s">
        <v>3</v>
      </c>
      <c r="J1972" t="s">
        <v>300</v>
      </c>
      <c r="K1972" t="s">
        <v>13</v>
      </c>
      <c r="L1972" t="s">
        <v>15</v>
      </c>
      <c r="M1972" t="s">
        <v>114</v>
      </c>
      <c r="N1972" s="2">
        <v>46054</v>
      </c>
    </row>
    <row r="1973" spans="1:14" x14ac:dyDescent="0.25">
      <c r="A1973" t="s">
        <v>457</v>
      </c>
      <c r="B1973" s="2">
        <v>46054</v>
      </c>
      <c r="C1973" t="s">
        <v>457</v>
      </c>
      <c r="D1973" t="s">
        <v>112</v>
      </c>
      <c r="E1973" t="s">
        <v>9</v>
      </c>
      <c r="F1973" s="3">
        <v>11100</v>
      </c>
      <c r="G1973" s="3">
        <v>11100</v>
      </c>
      <c r="H1973" t="s">
        <v>3</v>
      </c>
      <c r="I1973" t="s">
        <v>3</v>
      </c>
      <c r="J1973" t="s">
        <v>300</v>
      </c>
      <c r="K1973" t="s">
        <v>13</v>
      </c>
      <c r="L1973" t="s">
        <v>15</v>
      </c>
      <c r="M1973" t="s">
        <v>114</v>
      </c>
      <c r="N1973" s="2">
        <v>46055</v>
      </c>
    </row>
    <row r="1974" spans="1:14" x14ac:dyDescent="0.25">
      <c r="A1974" t="s">
        <v>457</v>
      </c>
      <c r="B1974" s="2">
        <v>46054</v>
      </c>
      <c r="C1974" t="s">
        <v>457</v>
      </c>
      <c r="D1974" t="s">
        <v>112</v>
      </c>
      <c r="E1974" t="s">
        <v>9</v>
      </c>
      <c r="F1974" s="3">
        <v>-11100</v>
      </c>
      <c r="G1974" s="3">
        <v>-11100</v>
      </c>
      <c r="H1974" t="s">
        <v>3</v>
      </c>
      <c r="I1974" t="s">
        <v>3</v>
      </c>
      <c r="J1974" t="s">
        <v>300</v>
      </c>
      <c r="K1974" t="s">
        <v>13</v>
      </c>
      <c r="L1974" t="s">
        <v>15</v>
      </c>
      <c r="M1974" t="s">
        <v>114</v>
      </c>
      <c r="N1974" s="2">
        <v>46054</v>
      </c>
    </row>
    <row r="1975" spans="1:14" x14ac:dyDescent="0.25">
      <c r="A1975" t="s">
        <v>457</v>
      </c>
      <c r="B1975" s="2">
        <v>46081</v>
      </c>
      <c r="C1975" t="s">
        <v>457</v>
      </c>
      <c r="D1975" t="s">
        <v>112</v>
      </c>
      <c r="E1975" t="s">
        <v>9</v>
      </c>
      <c r="F1975" s="3">
        <v>28450</v>
      </c>
      <c r="G1975" s="3">
        <v>28450</v>
      </c>
      <c r="H1975" t="s">
        <v>3</v>
      </c>
      <c r="I1975" t="s">
        <v>3</v>
      </c>
      <c r="J1975" t="s">
        <v>304</v>
      </c>
      <c r="K1975" t="s">
        <v>13</v>
      </c>
      <c r="L1975" t="s">
        <v>15</v>
      </c>
      <c r="M1975" t="s">
        <v>114</v>
      </c>
      <c r="N1975" s="2">
        <v>46081</v>
      </c>
    </row>
    <row r="1976" spans="1:14" x14ac:dyDescent="0.25">
      <c r="A1976" s="4" t="s">
        <v>239</v>
      </c>
      <c r="B1976" s="5"/>
      <c r="C1976" s="4" t="s">
        <v>9</v>
      </c>
      <c r="D1976" s="4" t="s">
        <v>9</v>
      </c>
      <c r="E1976" s="4" t="s">
        <v>9</v>
      </c>
      <c r="F1976" s="6">
        <v>0</v>
      </c>
      <c r="G1976" s="6">
        <v>0</v>
      </c>
      <c r="H1976" s="4" t="s">
        <v>9</v>
      </c>
      <c r="I1976" s="4" t="s">
        <v>3</v>
      </c>
      <c r="J1976" s="4" t="s">
        <v>9</v>
      </c>
      <c r="K1976" s="4" t="s">
        <v>9</v>
      </c>
      <c r="L1976" s="4" t="s">
        <v>9</v>
      </c>
      <c r="M1976" s="4" t="s">
        <v>9</v>
      </c>
      <c r="N1976" s="5"/>
    </row>
    <row r="1977" spans="1:14" x14ac:dyDescent="0.25">
      <c r="A1977" t="s">
        <v>457</v>
      </c>
      <c r="B1977" s="2">
        <v>46115</v>
      </c>
      <c r="C1977" t="s">
        <v>457</v>
      </c>
      <c r="D1977" t="s">
        <v>112</v>
      </c>
      <c r="E1977" t="s">
        <v>9</v>
      </c>
      <c r="F1977" s="3">
        <v>-19900</v>
      </c>
      <c r="G1977" s="3">
        <v>-19900</v>
      </c>
      <c r="H1977" t="s">
        <v>3</v>
      </c>
      <c r="I1977" t="s">
        <v>3</v>
      </c>
      <c r="J1977" t="s">
        <v>9</v>
      </c>
      <c r="K1977" t="s">
        <v>9</v>
      </c>
      <c r="L1977" t="s">
        <v>16</v>
      </c>
      <c r="M1977" t="s">
        <v>114</v>
      </c>
      <c r="N1977" s="2">
        <v>46112</v>
      </c>
    </row>
    <row r="1978" spans="1:14" x14ac:dyDescent="0.25">
      <c r="A1978" t="s">
        <v>457</v>
      </c>
      <c r="B1978" s="2">
        <v>46081</v>
      </c>
      <c r="C1978" t="s">
        <v>457</v>
      </c>
      <c r="D1978" t="s">
        <v>112</v>
      </c>
      <c r="E1978" t="s">
        <v>9</v>
      </c>
      <c r="F1978" s="3">
        <v>-28450</v>
      </c>
      <c r="G1978" s="3">
        <v>-28450</v>
      </c>
      <c r="H1978" t="s">
        <v>3</v>
      </c>
      <c r="I1978" t="s">
        <v>3</v>
      </c>
      <c r="J1978" t="s">
        <v>304</v>
      </c>
      <c r="K1978" t="s">
        <v>13</v>
      </c>
      <c r="L1978" t="s">
        <v>16</v>
      </c>
      <c r="M1978" t="s">
        <v>114</v>
      </c>
      <c r="N1978" s="2">
        <v>46082</v>
      </c>
    </row>
    <row r="1979" spans="1:14" x14ac:dyDescent="0.25">
      <c r="A1979" t="s">
        <v>457</v>
      </c>
      <c r="B1979" s="2">
        <v>46112</v>
      </c>
      <c r="C1979" t="s">
        <v>457</v>
      </c>
      <c r="D1979" t="s">
        <v>112</v>
      </c>
      <c r="E1979" t="s">
        <v>9</v>
      </c>
      <c r="F1979" s="3">
        <v>48350</v>
      </c>
      <c r="G1979" s="3">
        <v>48350</v>
      </c>
      <c r="H1979" t="s">
        <v>3</v>
      </c>
      <c r="I1979" t="s">
        <v>3</v>
      </c>
      <c r="J1979" t="s">
        <v>307</v>
      </c>
      <c r="K1979" t="s">
        <v>13</v>
      </c>
      <c r="L1979" t="s">
        <v>16</v>
      </c>
      <c r="M1979" t="s">
        <v>114</v>
      </c>
      <c r="N1979" s="2">
        <v>46112</v>
      </c>
    </row>
    <row r="1980" spans="1:14" x14ac:dyDescent="0.25">
      <c r="A1980" s="4" t="s">
        <v>244</v>
      </c>
      <c r="B1980" s="5"/>
      <c r="C1980" s="4" t="s">
        <v>9</v>
      </c>
      <c r="D1980" s="4" t="s">
        <v>9</v>
      </c>
      <c r="E1980" s="4" t="s">
        <v>9</v>
      </c>
      <c r="F1980" s="6">
        <v>0</v>
      </c>
      <c r="G1980" s="6">
        <v>0</v>
      </c>
      <c r="H1980" s="4" t="s">
        <v>9</v>
      </c>
      <c r="I1980" s="4" t="s">
        <v>3</v>
      </c>
      <c r="J1980" s="4" t="s">
        <v>9</v>
      </c>
      <c r="K1980" s="4" t="s">
        <v>9</v>
      </c>
      <c r="L1980" s="4" t="s">
        <v>9</v>
      </c>
      <c r="M1980" s="4" t="s">
        <v>9</v>
      </c>
      <c r="N1980" s="5"/>
    </row>
    <row r="1981" spans="1:14" x14ac:dyDescent="0.25">
      <c r="A1981" t="s">
        <v>457</v>
      </c>
      <c r="B1981" s="2">
        <v>46147</v>
      </c>
      <c r="C1981" t="s">
        <v>457</v>
      </c>
      <c r="D1981" t="s">
        <v>112</v>
      </c>
      <c r="E1981" t="s">
        <v>9</v>
      </c>
      <c r="F1981" s="3">
        <v>-8200</v>
      </c>
      <c r="G1981" s="3">
        <v>-8200</v>
      </c>
      <c r="H1981" t="s">
        <v>3</v>
      </c>
      <c r="I1981" t="s">
        <v>3</v>
      </c>
      <c r="J1981" t="s">
        <v>9</v>
      </c>
      <c r="K1981" t="s">
        <v>9</v>
      </c>
      <c r="L1981" t="s">
        <v>17</v>
      </c>
      <c r="M1981" t="s">
        <v>114</v>
      </c>
      <c r="N1981" s="2">
        <v>46142</v>
      </c>
    </row>
    <row r="1982" spans="1:14" x14ac:dyDescent="0.25">
      <c r="A1982" t="s">
        <v>457</v>
      </c>
      <c r="B1982" s="2">
        <v>46112</v>
      </c>
      <c r="C1982" t="s">
        <v>457</v>
      </c>
      <c r="D1982" t="s">
        <v>112</v>
      </c>
      <c r="E1982" t="s">
        <v>9</v>
      </c>
      <c r="F1982" s="3">
        <v>-48350</v>
      </c>
      <c r="G1982" s="3">
        <v>-48350</v>
      </c>
      <c r="H1982" t="s">
        <v>3</v>
      </c>
      <c r="I1982" t="s">
        <v>3</v>
      </c>
      <c r="J1982" t="s">
        <v>307</v>
      </c>
      <c r="K1982" t="s">
        <v>13</v>
      </c>
      <c r="L1982" t="s">
        <v>17</v>
      </c>
      <c r="M1982" t="s">
        <v>114</v>
      </c>
      <c r="N1982" s="2">
        <v>46113</v>
      </c>
    </row>
    <row r="1983" spans="1:14" x14ac:dyDescent="0.25">
      <c r="A1983" t="s">
        <v>457</v>
      </c>
      <c r="B1983" s="2">
        <v>46142</v>
      </c>
      <c r="C1983" t="s">
        <v>457</v>
      </c>
      <c r="D1983" t="s">
        <v>112</v>
      </c>
      <c r="E1983" t="s">
        <v>9</v>
      </c>
      <c r="F1983" s="3">
        <v>56550</v>
      </c>
      <c r="G1983" s="3">
        <v>56550</v>
      </c>
      <c r="H1983" t="s">
        <v>3</v>
      </c>
      <c r="I1983" t="s">
        <v>3</v>
      </c>
      <c r="J1983" t="s">
        <v>310</v>
      </c>
      <c r="K1983" t="s">
        <v>13</v>
      </c>
      <c r="L1983" t="s">
        <v>17</v>
      </c>
      <c r="M1983" t="s">
        <v>114</v>
      </c>
      <c r="N1983" s="2">
        <v>46142</v>
      </c>
    </row>
    <row r="1984" spans="1:14" x14ac:dyDescent="0.25">
      <c r="A1984" s="4" t="s">
        <v>249</v>
      </c>
      <c r="B1984" s="5"/>
      <c r="C1984" s="4" t="s">
        <v>9</v>
      </c>
      <c r="D1984" s="4" t="s">
        <v>9</v>
      </c>
      <c r="E1984" s="4" t="s">
        <v>9</v>
      </c>
      <c r="F1984" s="6">
        <v>0</v>
      </c>
      <c r="G1984" s="6">
        <v>0</v>
      </c>
      <c r="H1984" s="4" t="s">
        <v>9</v>
      </c>
      <c r="I1984" s="4" t="s">
        <v>3</v>
      </c>
      <c r="J1984" s="4" t="s">
        <v>9</v>
      </c>
      <c r="K1984" s="4" t="s">
        <v>9</v>
      </c>
      <c r="L1984" s="4" t="s">
        <v>9</v>
      </c>
      <c r="M1984" s="4" t="s">
        <v>9</v>
      </c>
      <c r="N1984" s="5"/>
    </row>
    <row r="1985" spans="1:14" x14ac:dyDescent="0.25">
      <c r="A1985" t="s">
        <v>457</v>
      </c>
      <c r="B1985" s="2">
        <v>45810</v>
      </c>
      <c r="C1985" t="s">
        <v>457</v>
      </c>
      <c r="D1985" t="s">
        <v>112</v>
      </c>
      <c r="E1985" t="s">
        <v>9</v>
      </c>
      <c r="F1985" s="3">
        <v>-28700</v>
      </c>
      <c r="G1985" s="3">
        <v>-28700</v>
      </c>
      <c r="H1985" t="s">
        <v>3</v>
      </c>
      <c r="I1985" t="s">
        <v>3</v>
      </c>
      <c r="J1985" t="s">
        <v>9</v>
      </c>
      <c r="K1985" t="s">
        <v>9</v>
      </c>
      <c r="L1985" t="s">
        <v>18</v>
      </c>
      <c r="M1985" t="s">
        <v>114</v>
      </c>
      <c r="N1985" s="2">
        <v>45808</v>
      </c>
    </row>
    <row r="1986" spans="1:14" x14ac:dyDescent="0.25">
      <c r="A1986" t="s">
        <v>457</v>
      </c>
      <c r="B1986" s="2">
        <v>46175</v>
      </c>
      <c r="C1986" t="s">
        <v>457</v>
      </c>
      <c r="D1986" t="s">
        <v>112</v>
      </c>
      <c r="E1986" t="s">
        <v>9</v>
      </c>
      <c r="F1986" s="3">
        <v>-7500</v>
      </c>
      <c r="G1986" s="3">
        <v>-7500</v>
      </c>
      <c r="H1986" t="s">
        <v>3</v>
      </c>
      <c r="I1986" t="s">
        <v>3</v>
      </c>
      <c r="J1986" t="s">
        <v>9</v>
      </c>
      <c r="K1986" t="s">
        <v>9</v>
      </c>
      <c r="L1986" t="s">
        <v>18</v>
      </c>
      <c r="M1986" t="s">
        <v>114</v>
      </c>
      <c r="N1986" s="2">
        <v>46173</v>
      </c>
    </row>
    <row r="1987" spans="1:14" x14ac:dyDescent="0.25">
      <c r="A1987" t="s">
        <v>457</v>
      </c>
      <c r="B1987" s="2">
        <v>45808</v>
      </c>
      <c r="C1987" t="s">
        <v>457</v>
      </c>
      <c r="D1987" t="s">
        <v>112</v>
      </c>
      <c r="E1987" t="s">
        <v>9</v>
      </c>
      <c r="F1987" s="3">
        <v>28700</v>
      </c>
      <c r="G1987" s="3">
        <v>28700</v>
      </c>
      <c r="H1987" t="s">
        <v>3</v>
      </c>
      <c r="I1987" t="s">
        <v>3</v>
      </c>
      <c r="J1987" t="s">
        <v>311</v>
      </c>
      <c r="K1987" t="s">
        <v>5</v>
      </c>
      <c r="L1987" t="s">
        <v>18</v>
      </c>
      <c r="M1987" t="s">
        <v>114</v>
      </c>
      <c r="N1987" s="2">
        <v>45808</v>
      </c>
    </row>
    <row r="1988" spans="1:14" x14ac:dyDescent="0.25">
      <c r="A1988" t="s">
        <v>457</v>
      </c>
      <c r="B1988" s="2">
        <v>46142</v>
      </c>
      <c r="C1988" t="s">
        <v>457</v>
      </c>
      <c r="D1988" t="s">
        <v>112</v>
      </c>
      <c r="E1988" t="s">
        <v>9</v>
      </c>
      <c r="F1988" s="3">
        <v>-56550</v>
      </c>
      <c r="G1988" s="3">
        <v>-56550</v>
      </c>
      <c r="H1988" t="s">
        <v>3</v>
      </c>
      <c r="I1988" t="s">
        <v>3</v>
      </c>
      <c r="J1988" t="s">
        <v>310</v>
      </c>
      <c r="K1988" t="s">
        <v>13</v>
      </c>
      <c r="L1988" t="s">
        <v>18</v>
      </c>
      <c r="M1988" t="s">
        <v>114</v>
      </c>
      <c r="N1988" s="2">
        <v>46143</v>
      </c>
    </row>
    <row r="1989" spans="1:14" x14ac:dyDescent="0.25">
      <c r="A1989" t="s">
        <v>457</v>
      </c>
      <c r="B1989" s="2">
        <v>46173</v>
      </c>
      <c r="C1989" t="s">
        <v>457</v>
      </c>
      <c r="D1989" t="s">
        <v>112</v>
      </c>
      <c r="E1989" t="s">
        <v>9</v>
      </c>
      <c r="F1989" s="3">
        <v>64050</v>
      </c>
      <c r="G1989" s="3">
        <v>64050</v>
      </c>
      <c r="H1989" t="s">
        <v>3</v>
      </c>
      <c r="I1989" t="s">
        <v>3</v>
      </c>
      <c r="J1989" t="s">
        <v>313</v>
      </c>
      <c r="K1989" t="s">
        <v>13</v>
      </c>
      <c r="L1989" t="s">
        <v>18</v>
      </c>
      <c r="M1989" t="s">
        <v>114</v>
      </c>
      <c r="N1989" s="2">
        <v>46173</v>
      </c>
    </row>
    <row r="1990" spans="1:14" x14ac:dyDescent="0.25">
      <c r="A1990" s="4" t="s">
        <v>223</v>
      </c>
      <c r="B1990" s="5"/>
      <c r="C1990" s="4" t="s">
        <v>9</v>
      </c>
      <c r="D1990" s="4" t="s">
        <v>9</v>
      </c>
      <c r="E1990" s="4" t="s">
        <v>9</v>
      </c>
      <c r="F1990" s="6">
        <v>0</v>
      </c>
      <c r="G1990" s="6">
        <v>0</v>
      </c>
      <c r="H1990" s="4" t="s">
        <v>9</v>
      </c>
      <c r="I1990" s="4" t="s">
        <v>3</v>
      </c>
      <c r="J1990" s="4" t="s">
        <v>9</v>
      </c>
      <c r="K1990" s="4" t="s">
        <v>9</v>
      </c>
      <c r="L1990" s="4" t="s">
        <v>9</v>
      </c>
      <c r="M1990" s="4" t="s">
        <v>9</v>
      </c>
      <c r="N1990" s="5"/>
    </row>
    <row r="1991" spans="1:14" x14ac:dyDescent="0.25">
      <c r="A1991" t="s">
        <v>457</v>
      </c>
      <c r="B1991" s="2">
        <v>45839</v>
      </c>
      <c r="C1991" t="s">
        <v>457</v>
      </c>
      <c r="D1991" t="s">
        <v>112</v>
      </c>
      <c r="E1991" t="s">
        <v>9</v>
      </c>
      <c r="F1991" s="3">
        <v>-1000</v>
      </c>
      <c r="G1991" s="3">
        <v>-1000</v>
      </c>
      <c r="H1991" t="s">
        <v>3</v>
      </c>
      <c r="I1991" t="s">
        <v>3</v>
      </c>
      <c r="J1991" t="s">
        <v>9</v>
      </c>
      <c r="K1991" t="s">
        <v>9</v>
      </c>
      <c r="L1991" t="s">
        <v>19</v>
      </c>
      <c r="M1991" t="s">
        <v>114</v>
      </c>
      <c r="N1991" s="2">
        <v>45838</v>
      </c>
    </row>
    <row r="1992" spans="1:14" x14ac:dyDescent="0.25">
      <c r="A1992" t="s">
        <v>457</v>
      </c>
      <c r="B1992" s="2">
        <v>46205</v>
      </c>
      <c r="C1992" t="s">
        <v>457</v>
      </c>
      <c r="D1992" t="s">
        <v>112</v>
      </c>
      <c r="E1992" t="s">
        <v>9</v>
      </c>
      <c r="F1992" s="3">
        <v>-8375.2800000000007</v>
      </c>
      <c r="G1992" s="3">
        <v>-8375.2800000000007</v>
      </c>
      <c r="H1992" t="s">
        <v>3</v>
      </c>
      <c r="I1992" t="s">
        <v>3</v>
      </c>
      <c r="J1992" t="s">
        <v>9</v>
      </c>
      <c r="K1992" t="s">
        <v>9</v>
      </c>
      <c r="L1992" t="s">
        <v>19</v>
      </c>
      <c r="M1992" t="s">
        <v>114</v>
      </c>
      <c r="N1992" s="2">
        <v>46203</v>
      </c>
    </row>
    <row r="1993" spans="1:14" x14ac:dyDescent="0.25">
      <c r="A1993" t="s">
        <v>457</v>
      </c>
      <c r="B1993" s="2">
        <v>45808</v>
      </c>
      <c r="C1993" t="s">
        <v>457</v>
      </c>
      <c r="D1993" t="s">
        <v>112</v>
      </c>
      <c r="E1993" t="s">
        <v>9</v>
      </c>
      <c r="F1993" s="3">
        <v>-28700</v>
      </c>
      <c r="G1993" s="3">
        <v>-28700</v>
      </c>
      <c r="H1993" t="s">
        <v>3</v>
      </c>
      <c r="I1993" t="s">
        <v>3</v>
      </c>
      <c r="J1993" t="s">
        <v>311</v>
      </c>
      <c r="K1993" t="s">
        <v>5</v>
      </c>
      <c r="L1993" t="s">
        <v>19</v>
      </c>
      <c r="M1993" t="s">
        <v>114</v>
      </c>
      <c r="N1993" s="2">
        <v>45809</v>
      </c>
    </row>
    <row r="1994" spans="1:14" x14ac:dyDescent="0.25">
      <c r="A1994" t="s">
        <v>457</v>
      </c>
      <c r="B1994" s="2">
        <v>45838</v>
      </c>
      <c r="C1994" t="s">
        <v>457</v>
      </c>
      <c r="D1994" t="s">
        <v>112</v>
      </c>
      <c r="E1994" t="s">
        <v>9</v>
      </c>
      <c r="F1994" s="3">
        <v>29700</v>
      </c>
      <c r="G1994" s="3">
        <v>29700</v>
      </c>
      <c r="H1994" t="s">
        <v>3</v>
      </c>
      <c r="I1994" t="s">
        <v>3</v>
      </c>
      <c r="J1994" t="s">
        <v>314</v>
      </c>
      <c r="K1994" t="s">
        <v>5</v>
      </c>
      <c r="L1994" t="s">
        <v>19</v>
      </c>
      <c r="M1994" t="s">
        <v>114</v>
      </c>
      <c r="N1994" s="2">
        <v>45838</v>
      </c>
    </row>
    <row r="1995" spans="1:14" x14ac:dyDescent="0.25">
      <c r="A1995" t="s">
        <v>457</v>
      </c>
      <c r="B1995" s="2">
        <v>46173</v>
      </c>
      <c r="C1995" t="s">
        <v>457</v>
      </c>
      <c r="D1995" t="s">
        <v>112</v>
      </c>
      <c r="E1995" t="s">
        <v>9</v>
      </c>
      <c r="F1995" s="3">
        <v>-64050</v>
      </c>
      <c r="G1995" s="3">
        <v>-64050</v>
      </c>
      <c r="H1995" t="s">
        <v>3</v>
      </c>
      <c r="I1995" t="s">
        <v>3</v>
      </c>
      <c r="J1995" t="s">
        <v>313</v>
      </c>
      <c r="K1995" t="s">
        <v>13</v>
      </c>
      <c r="L1995" t="s">
        <v>19</v>
      </c>
      <c r="M1995" t="s">
        <v>114</v>
      </c>
      <c r="N1995" s="2">
        <v>46174</v>
      </c>
    </row>
    <row r="1996" spans="1:14" x14ac:dyDescent="0.25">
      <c r="A1996" t="s">
        <v>457</v>
      </c>
      <c r="B1996" s="2">
        <v>46203</v>
      </c>
      <c r="C1996" t="s">
        <v>457</v>
      </c>
      <c r="D1996" t="s">
        <v>112</v>
      </c>
      <c r="E1996" t="s">
        <v>9</v>
      </c>
      <c r="F1996" s="3">
        <v>72425.279999999999</v>
      </c>
      <c r="G1996" s="3">
        <v>72425.279999999999</v>
      </c>
      <c r="H1996" t="s">
        <v>3</v>
      </c>
      <c r="I1996" t="s">
        <v>3</v>
      </c>
      <c r="J1996" t="s">
        <v>316</v>
      </c>
      <c r="K1996" t="s">
        <v>13</v>
      </c>
      <c r="L1996" t="s">
        <v>19</v>
      </c>
      <c r="M1996" t="s">
        <v>114</v>
      </c>
      <c r="N1996" s="2">
        <v>46203</v>
      </c>
    </row>
    <row r="1997" spans="1:14" x14ac:dyDescent="0.25">
      <c r="A1997" s="4" t="s">
        <v>224</v>
      </c>
      <c r="B1997" s="5"/>
      <c r="C1997" s="4" t="s">
        <v>9</v>
      </c>
      <c r="D1997" s="4" t="s">
        <v>9</v>
      </c>
      <c r="E1997" s="4" t="s">
        <v>9</v>
      </c>
      <c r="F1997" s="6">
        <v>0</v>
      </c>
      <c r="G1997" s="6">
        <v>0</v>
      </c>
      <c r="H1997" s="4" t="s">
        <v>9</v>
      </c>
      <c r="I1997" s="4" t="s">
        <v>3</v>
      </c>
      <c r="J1997" s="4" t="s">
        <v>9</v>
      </c>
      <c r="K1997" s="4" t="s">
        <v>9</v>
      </c>
      <c r="L1997" s="4" t="s">
        <v>9</v>
      </c>
      <c r="M1997" s="4" t="s">
        <v>9</v>
      </c>
      <c r="N1997" s="5"/>
    </row>
    <row r="1998" spans="1:14" x14ac:dyDescent="0.25">
      <c r="A1998" t="s">
        <v>457</v>
      </c>
      <c r="B1998" s="2">
        <v>45870</v>
      </c>
      <c r="C1998" t="s">
        <v>457</v>
      </c>
      <c r="D1998" t="s">
        <v>112</v>
      </c>
      <c r="E1998" t="s">
        <v>9</v>
      </c>
      <c r="F1998" s="3">
        <v>-7600</v>
      </c>
      <c r="G1998" s="3">
        <v>-7600</v>
      </c>
      <c r="H1998" t="s">
        <v>3</v>
      </c>
      <c r="I1998" t="s">
        <v>3</v>
      </c>
      <c r="J1998" t="s">
        <v>9</v>
      </c>
      <c r="K1998" t="s">
        <v>9</v>
      </c>
      <c r="L1998" t="s">
        <v>21</v>
      </c>
      <c r="M1998" t="s">
        <v>114</v>
      </c>
      <c r="N1998" s="2">
        <v>45869</v>
      </c>
    </row>
    <row r="1999" spans="1:14" x14ac:dyDescent="0.25">
      <c r="A1999" t="s">
        <v>457</v>
      </c>
      <c r="B1999" s="2">
        <v>46239</v>
      </c>
      <c r="C1999" t="s">
        <v>457</v>
      </c>
      <c r="D1999" t="s">
        <v>112</v>
      </c>
      <c r="E1999" t="s">
        <v>9</v>
      </c>
      <c r="F1999" s="3">
        <v>72425.279999999999</v>
      </c>
      <c r="G1999" s="3">
        <v>72425.279999999999</v>
      </c>
      <c r="H1999" t="s">
        <v>3</v>
      </c>
      <c r="I1999" t="s">
        <v>3</v>
      </c>
      <c r="J1999" t="s">
        <v>9</v>
      </c>
      <c r="K1999" t="s">
        <v>9</v>
      </c>
      <c r="L1999" t="s">
        <v>21</v>
      </c>
      <c r="M1999" t="s">
        <v>114</v>
      </c>
      <c r="N1999" s="2">
        <v>46234</v>
      </c>
    </row>
    <row r="2000" spans="1:14" x14ac:dyDescent="0.25">
      <c r="A2000" t="s">
        <v>457</v>
      </c>
      <c r="B2000" s="2">
        <v>46239</v>
      </c>
      <c r="C2000" t="s">
        <v>457</v>
      </c>
      <c r="D2000" t="s">
        <v>112</v>
      </c>
      <c r="E2000" t="s">
        <v>9</v>
      </c>
      <c r="F2000" s="3">
        <v>-73750</v>
      </c>
      <c r="G2000" s="3">
        <v>-73750</v>
      </c>
      <c r="H2000" t="s">
        <v>3</v>
      </c>
      <c r="I2000" t="s">
        <v>3</v>
      </c>
      <c r="J2000" t="s">
        <v>9</v>
      </c>
      <c r="K2000" t="s">
        <v>9</v>
      </c>
      <c r="L2000" t="s">
        <v>21</v>
      </c>
      <c r="M2000" t="s">
        <v>114</v>
      </c>
      <c r="N2000" s="2">
        <v>46234</v>
      </c>
    </row>
    <row r="2001" spans="1:14" x14ac:dyDescent="0.25">
      <c r="A2001" t="s">
        <v>457</v>
      </c>
      <c r="B2001" s="2">
        <v>45838</v>
      </c>
      <c r="C2001" t="s">
        <v>457</v>
      </c>
      <c r="D2001" t="s">
        <v>112</v>
      </c>
      <c r="E2001" t="s">
        <v>9</v>
      </c>
      <c r="F2001" s="3">
        <v>-29700</v>
      </c>
      <c r="G2001" s="3">
        <v>-29700</v>
      </c>
      <c r="H2001" t="s">
        <v>3</v>
      </c>
      <c r="I2001" t="s">
        <v>3</v>
      </c>
      <c r="J2001" t="s">
        <v>314</v>
      </c>
      <c r="K2001" t="s">
        <v>5</v>
      </c>
      <c r="L2001" t="s">
        <v>21</v>
      </c>
      <c r="M2001" t="s">
        <v>114</v>
      </c>
      <c r="N2001" s="2">
        <v>45839</v>
      </c>
    </row>
    <row r="2002" spans="1:14" x14ac:dyDescent="0.25">
      <c r="A2002" t="s">
        <v>457</v>
      </c>
      <c r="B2002" s="2">
        <v>45869</v>
      </c>
      <c r="C2002" t="s">
        <v>457</v>
      </c>
      <c r="D2002" t="s">
        <v>112</v>
      </c>
      <c r="E2002" t="s">
        <v>9</v>
      </c>
      <c r="F2002" s="3">
        <v>37300</v>
      </c>
      <c r="G2002" s="3">
        <v>37300</v>
      </c>
      <c r="H2002" t="s">
        <v>3</v>
      </c>
      <c r="I2002" t="s">
        <v>3</v>
      </c>
      <c r="J2002" t="s">
        <v>317</v>
      </c>
      <c r="K2002" t="s">
        <v>5</v>
      </c>
      <c r="L2002" t="s">
        <v>21</v>
      </c>
      <c r="M2002" t="s">
        <v>114</v>
      </c>
      <c r="N2002" s="2">
        <v>45869</v>
      </c>
    </row>
    <row r="2003" spans="1:14" x14ac:dyDescent="0.25">
      <c r="A2003" t="s">
        <v>457</v>
      </c>
      <c r="B2003" s="2">
        <v>46203</v>
      </c>
      <c r="C2003" t="s">
        <v>457</v>
      </c>
      <c r="D2003" t="s">
        <v>112</v>
      </c>
      <c r="E2003" t="s">
        <v>9</v>
      </c>
      <c r="F2003" s="3">
        <v>-72425.279999999999</v>
      </c>
      <c r="G2003" s="3">
        <v>-72425.279999999999</v>
      </c>
      <c r="H2003" t="s">
        <v>3</v>
      </c>
      <c r="I2003" t="s">
        <v>3</v>
      </c>
      <c r="J2003" t="s">
        <v>316</v>
      </c>
      <c r="K2003" t="s">
        <v>13</v>
      </c>
      <c r="L2003" t="s">
        <v>21</v>
      </c>
      <c r="M2003" t="s">
        <v>114</v>
      </c>
      <c r="N2003" s="2">
        <v>46204</v>
      </c>
    </row>
    <row r="2004" spans="1:14" x14ac:dyDescent="0.25">
      <c r="A2004" t="s">
        <v>457</v>
      </c>
      <c r="B2004" s="2">
        <v>46234</v>
      </c>
      <c r="C2004" t="s">
        <v>457</v>
      </c>
      <c r="D2004" t="s">
        <v>112</v>
      </c>
      <c r="E2004" t="s">
        <v>9</v>
      </c>
      <c r="F2004" s="3">
        <v>73750</v>
      </c>
      <c r="G2004" s="3">
        <v>73750</v>
      </c>
      <c r="H2004" t="s">
        <v>3</v>
      </c>
      <c r="I2004" t="s">
        <v>3</v>
      </c>
      <c r="J2004" t="s">
        <v>319</v>
      </c>
      <c r="K2004" t="s">
        <v>13</v>
      </c>
      <c r="L2004" t="s">
        <v>21</v>
      </c>
      <c r="M2004" t="s">
        <v>114</v>
      </c>
      <c r="N2004" s="2">
        <v>46234</v>
      </c>
    </row>
    <row r="2005" spans="1:14" x14ac:dyDescent="0.25">
      <c r="A2005" s="4" t="s">
        <v>262</v>
      </c>
      <c r="B2005" s="5"/>
      <c r="C2005" s="4" t="s">
        <v>9</v>
      </c>
      <c r="D2005" s="4" t="s">
        <v>9</v>
      </c>
      <c r="E2005" s="4" t="s">
        <v>9</v>
      </c>
      <c r="F2005" s="6">
        <v>0</v>
      </c>
      <c r="G2005" s="6">
        <v>0</v>
      </c>
      <c r="H2005" s="4" t="s">
        <v>9</v>
      </c>
      <c r="I2005" s="4" t="s">
        <v>3</v>
      </c>
      <c r="J2005" s="4" t="s">
        <v>9</v>
      </c>
      <c r="K2005" s="4" t="s">
        <v>9</v>
      </c>
      <c r="L2005" s="4" t="s">
        <v>9</v>
      </c>
      <c r="M2005" s="4" t="s">
        <v>9</v>
      </c>
      <c r="N2005" s="5"/>
    </row>
    <row r="2006" spans="1:14" x14ac:dyDescent="0.25">
      <c r="A2006" t="s">
        <v>457</v>
      </c>
      <c r="B2006" s="2">
        <v>45901</v>
      </c>
      <c r="C2006" t="s">
        <v>457</v>
      </c>
      <c r="D2006" t="s">
        <v>112</v>
      </c>
      <c r="E2006" t="s">
        <v>9</v>
      </c>
      <c r="F2006" s="3">
        <v>-6800</v>
      </c>
      <c r="G2006" s="3">
        <v>-6800</v>
      </c>
      <c r="H2006" t="s">
        <v>3</v>
      </c>
      <c r="I2006" t="s">
        <v>3</v>
      </c>
      <c r="J2006" t="s">
        <v>9</v>
      </c>
      <c r="K2006" t="s">
        <v>9</v>
      </c>
      <c r="L2006" t="s">
        <v>22</v>
      </c>
      <c r="M2006" t="s">
        <v>114</v>
      </c>
      <c r="N2006" s="2">
        <v>45900</v>
      </c>
    </row>
    <row r="2007" spans="1:14" x14ac:dyDescent="0.25">
      <c r="A2007" t="s">
        <v>457</v>
      </c>
      <c r="B2007" s="2">
        <v>46267</v>
      </c>
      <c r="C2007" t="s">
        <v>457</v>
      </c>
      <c r="D2007" t="s">
        <v>112</v>
      </c>
      <c r="E2007" t="s">
        <v>9</v>
      </c>
      <c r="F2007" s="3">
        <v>-1200</v>
      </c>
      <c r="G2007" s="3">
        <v>-1200</v>
      </c>
      <c r="H2007" t="s">
        <v>3</v>
      </c>
      <c r="I2007" t="s">
        <v>3</v>
      </c>
      <c r="J2007" t="s">
        <v>9</v>
      </c>
      <c r="K2007" t="s">
        <v>9</v>
      </c>
      <c r="L2007" t="s">
        <v>22</v>
      </c>
      <c r="M2007" t="s">
        <v>114</v>
      </c>
      <c r="N2007" s="2">
        <v>46265</v>
      </c>
    </row>
    <row r="2008" spans="1:14" x14ac:dyDescent="0.25">
      <c r="A2008" t="s">
        <v>457</v>
      </c>
      <c r="B2008" s="2">
        <v>45869</v>
      </c>
      <c r="C2008" t="s">
        <v>457</v>
      </c>
      <c r="D2008" t="s">
        <v>112</v>
      </c>
      <c r="E2008" t="s">
        <v>9</v>
      </c>
      <c r="F2008" s="3">
        <v>-37300</v>
      </c>
      <c r="G2008" s="3">
        <v>-37300</v>
      </c>
      <c r="H2008" t="s">
        <v>3</v>
      </c>
      <c r="I2008" t="s">
        <v>3</v>
      </c>
      <c r="J2008" t="s">
        <v>317</v>
      </c>
      <c r="K2008" t="s">
        <v>5</v>
      </c>
      <c r="L2008" t="s">
        <v>22</v>
      </c>
      <c r="M2008" t="s">
        <v>114</v>
      </c>
      <c r="N2008" s="2">
        <v>45870</v>
      </c>
    </row>
    <row r="2009" spans="1:14" x14ac:dyDescent="0.25">
      <c r="A2009" t="s">
        <v>457</v>
      </c>
      <c r="B2009" s="2">
        <v>45900</v>
      </c>
      <c r="C2009" t="s">
        <v>457</v>
      </c>
      <c r="D2009" t="s">
        <v>112</v>
      </c>
      <c r="E2009" t="s">
        <v>9</v>
      </c>
      <c r="F2009" s="3">
        <v>44100</v>
      </c>
      <c r="G2009" s="3">
        <v>44100</v>
      </c>
      <c r="H2009" t="s">
        <v>3</v>
      </c>
      <c r="I2009" t="s">
        <v>3</v>
      </c>
      <c r="J2009" t="s">
        <v>320</v>
      </c>
      <c r="K2009" t="s">
        <v>5</v>
      </c>
      <c r="L2009" t="s">
        <v>22</v>
      </c>
      <c r="M2009" t="s">
        <v>114</v>
      </c>
      <c r="N2009" s="2">
        <v>45900</v>
      </c>
    </row>
    <row r="2010" spans="1:14" x14ac:dyDescent="0.25">
      <c r="A2010" t="s">
        <v>457</v>
      </c>
      <c r="B2010" s="2">
        <v>45900</v>
      </c>
      <c r="C2010" t="s">
        <v>457</v>
      </c>
      <c r="D2010" t="s">
        <v>112</v>
      </c>
      <c r="E2010" t="s">
        <v>9</v>
      </c>
      <c r="F2010" s="3">
        <v>-44100</v>
      </c>
      <c r="G2010" s="3">
        <v>-44100</v>
      </c>
      <c r="H2010" t="s">
        <v>3</v>
      </c>
      <c r="I2010" t="s">
        <v>3</v>
      </c>
      <c r="J2010" t="s">
        <v>320</v>
      </c>
      <c r="K2010" t="s">
        <v>5</v>
      </c>
      <c r="L2010" t="s">
        <v>22</v>
      </c>
      <c r="M2010" t="s">
        <v>114</v>
      </c>
      <c r="N2010" s="2">
        <v>45900</v>
      </c>
    </row>
    <row r="2011" spans="1:14" x14ac:dyDescent="0.25">
      <c r="A2011" t="s">
        <v>457</v>
      </c>
      <c r="B2011" s="2">
        <v>45900</v>
      </c>
      <c r="C2011" t="s">
        <v>457</v>
      </c>
      <c r="D2011" t="s">
        <v>112</v>
      </c>
      <c r="E2011" t="s">
        <v>9</v>
      </c>
      <c r="F2011" s="3">
        <v>44100</v>
      </c>
      <c r="G2011" s="3">
        <v>44100</v>
      </c>
      <c r="H2011" t="s">
        <v>3</v>
      </c>
      <c r="I2011" t="s">
        <v>3</v>
      </c>
      <c r="J2011" t="s">
        <v>320</v>
      </c>
      <c r="K2011" t="s">
        <v>5</v>
      </c>
      <c r="L2011" t="s">
        <v>22</v>
      </c>
      <c r="M2011" t="s">
        <v>114</v>
      </c>
      <c r="N2011" s="2">
        <v>45900</v>
      </c>
    </row>
    <row r="2012" spans="1:14" x14ac:dyDescent="0.25">
      <c r="A2012" t="s">
        <v>457</v>
      </c>
      <c r="B2012" s="2">
        <v>45900</v>
      </c>
      <c r="C2012" t="s">
        <v>457</v>
      </c>
      <c r="D2012" t="s">
        <v>112</v>
      </c>
      <c r="E2012" t="s">
        <v>9</v>
      </c>
      <c r="F2012" s="3">
        <v>44100</v>
      </c>
      <c r="G2012" s="3">
        <v>44100</v>
      </c>
      <c r="H2012" t="s">
        <v>3</v>
      </c>
      <c r="I2012" t="s">
        <v>3</v>
      </c>
      <c r="J2012" t="s">
        <v>320</v>
      </c>
      <c r="K2012" t="s">
        <v>5</v>
      </c>
      <c r="L2012" t="s">
        <v>22</v>
      </c>
      <c r="M2012" t="s">
        <v>114</v>
      </c>
      <c r="N2012" s="2">
        <v>45900</v>
      </c>
    </row>
    <row r="2013" spans="1:14" x14ac:dyDescent="0.25">
      <c r="A2013" t="s">
        <v>457</v>
      </c>
      <c r="B2013" s="2">
        <v>45900</v>
      </c>
      <c r="C2013" t="s">
        <v>457</v>
      </c>
      <c r="D2013" t="s">
        <v>112</v>
      </c>
      <c r="E2013" t="s">
        <v>9</v>
      </c>
      <c r="F2013" s="3">
        <v>-44100</v>
      </c>
      <c r="G2013" s="3">
        <v>-44100</v>
      </c>
      <c r="H2013" t="s">
        <v>3</v>
      </c>
      <c r="I2013" t="s">
        <v>3</v>
      </c>
      <c r="J2013" t="s">
        <v>320</v>
      </c>
      <c r="K2013" t="s">
        <v>5</v>
      </c>
      <c r="L2013" t="s">
        <v>22</v>
      </c>
      <c r="M2013" t="s">
        <v>114</v>
      </c>
      <c r="N2013" s="2">
        <v>45900</v>
      </c>
    </row>
    <row r="2014" spans="1:14" x14ac:dyDescent="0.25">
      <c r="A2014" t="s">
        <v>457</v>
      </c>
      <c r="B2014" s="2">
        <v>46234</v>
      </c>
      <c r="C2014" t="s">
        <v>457</v>
      </c>
      <c r="D2014" t="s">
        <v>112</v>
      </c>
      <c r="E2014" t="s">
        <v>9</v>
      </c>
      <c r="F2014" s="3">
        <v>-73750</v>
      </c>
      <c r="G2014" s="3">
        <v>-73750</v>
      </c>
      <c r="H2014" t="s">
        <v>3</v>
      </c>
      <c r="I2014" t="s">
        <v>3</v>
      </c>
      <c r="J2014" t="s">
        <v>319</v>
      </c>
      <c r="K2014" t="s">
        <v>13</v>
      </c>
      <c r="L2014" t="s">
        <v>22</v>
      </c>
      <c r="M2014" t="s">
        <v>114</v>
      </c>
      <c r="N2014" s="2">
        <v>46235</v>
      </c>
    </row>
    <row r="2015" spans="1:14" x14ac:dyDescent="0.25">
      <c r="A2015" t="s">
        <v>457</v>
      </c>
      <c r="B2015" s="2">
        <v>46265</v>
      </c>
      <c r="C2015" t="s">
        <v>457</v>
      </c>
      <c r="D2015" t="s">
        <v>112</v>
      </c>
      <c r="E2015" t="s">
        <v>9</v>
      </c>
      <c r="F2015" s="3">
        <v>74950</v>
      </c>
      <c r="G2015" s="3">
        <v>74950</v>
      </c>
      <c r="H2015" t="s">
        <v>3</v>
      </c>
      <c r="I2015" t="s">
        <v>3</v>
      </c>
      <c r="J2015" t="s">
        <v>322</v>
      </c>
      <c r="K2015" t="s">
        <v>13</v>
      </c>
      <c r="L2015" t="s">
        <v>22</v>
      </c>
      <c r="M2015" t="s">
        <v>114</v>
      </c>
      <c r="N2015" s="2">
        <v>46265</v>
      </c>
    </row>
    <row r="2016" spans="1:14" x14ac:dyDescent="0.25">
      <c r="A2016" s="4" t="s">
        <v>267</v>
      </c>
      <c r="B2016" s="5"/>
      <c r="C2016" s="4" t="s">
        <v>9</v>
      </c>
      <c r="D2016" s="4" t="s">
        <v>9</v>
      </c>
      <c r="E2016" s="4" t="s">
        <v>9</v>
      </c>
      <c r="F2016" s="6">
        <v>0</v>
      </c>
      <c r="G2016" s="6">
        <v>0</v>
      </c>
      <c r="H2016" s="4" t="s">
        <v>9</v>
      </c>
      <c r="I2016" s="4" t="s">
        <v>3</v>
      </c>
      <c r="J2016" s="4" t="s">
        <v>9</v>
      </c>
      <c r="K2016" s="4" t="s">
        <v>9</v>
      </c>
      <c r="L2016" s="4" t="s">
        <v>9</v>
      </c>
      <c r="M2016" s="4" t="s">
        <v>9</v>
      </c>
      <c r="N2016" s="5"/>
    </row>
    <row r="2017" spans="1:14" x14ac:dyDescent="0.25">
      <c r="A2017" t="s">
        <v>457</v>
      </c>
      <c r="B2017" s="2">
        <v>45932</v>
      </c>
      <c r="C2017" t="s">
        <v>457</v>
      </c>
      <c r="D2017" t="s">
        <v>112</v>
      </c>
      <c r="E2017" t="s">
        <v>9</v>
      </c>
      <c r="F2017" s="3">
        <v>-10400</v>
      </c>
      <c r="G2017" s="3">
        <v>-10400</v>
      </c>
      <c r="H2017" t="s">
        <v>3</v>
      </c>
      <c r="I2017" t="s">
        <v>3</v>
      </c>
      <c r="J2017" t="s">
        <v>9</v>
      </c>
      <c r="K2017" t="s">
        <v>9</v>
      </c>
      <c r="L2017" t="s">
        <v>6</v>
      </c>
      <c r="M2017" t="s">
        <v>114</v>
      </c>
      <c r="N2017" s="2">
        <v>45930</v>
      </c>
    </row>
    <row r="2018" spans="1:14" x14ac:dyDescent="0.25">
      <c r="A2018" t="s">
        <v>457</v>
      </c>
      <c r="B2018" s="2">
        <v>45900</v>
      </c>
      <c r="C2018" t="s">
        <v>457</v>
      </c>
      <c r="D2018" t="s">
        <v>112</v>
      </c>
      <c r="E2018" t="s">
        <v>9</v>
      </c>
      <c r="F2018" s="3">
        <v>-44100</v>
      </c>
      <c r="G2018" s="3">
        <v>-44100</v>
      </c>
      <c r="H2018" t="s">
        <v>3</v>
      </c>
      <c r="I2018" t="s">
        <v>3</v>
      </c>
      <c r="J2018" t="s">
        <v>320</v>
      </c>
      <c r="K2018" t="s">
        <v>5</v>
      </c>
      <c r="L2018" t="s">
        <v>6</v>
      </c>
      <c r="M2018" t="s">
        <v>114</v>
      </c>
      <c r="N2018" s="2">
        <v>45901</v>
      </c>
    </row>
    <row r="2019" spans="1:14" x14ac:dyDescent="0.25">
      <c r="A2019" t="s">
        <v>457</v>
      </c>
      <c r="B2019" s="2">
        <v>45900</v>
      </c>
      <c r="C2019" t="s">
        <v>457</v>
      </c>
      <c r="D2019" t="s">
        <v>112</v>
      </c>
      <c r="E2019" t="s">
        <v>9</v>
      </c>
      <c r="F2019" s="3">
        <v>44100</v>
      </c>
      <c r="G2019" s="3">
        <v>44100</v>
      </c>
      <c r="H2019" t="s">
        <v>3</v>
      </c>
      <c r="I2019" t="s">
        <v>3</v>
      </c>
      <c r="J2019" t="s">
        <v>320</v>
      </c>
      <c r="K2019" t="s">
        <v>5</v>
      </c>
      <c r="L2019" t="s">
        <v>6</v>
      </c>
      <c r="M2019" t="s">
        <v>114</v>
      </c>
      <c r="N2019" s="2">
        <v>45901</v>
      </c>
    </row>
    <row r="2020" spans="1:14" x14ac:dyDescent="0.25">
      <c r="A2020" t="s">
        <v>457</v>
      </c>
      <c r="B2020" s="2">
        <v>45900</v>
      </c>
      <c r="C2020" t="s">
        <v>457</v>
      </c>
      <c r="D2020" t="s">
        <v>112</v>
      </c>
      <c r="E2020" t="s">
        <v>9</v>
      </c>
      <c r="F2020" s="3">
        <v>-44100</v>
      </c>
      <c r="G2020" s="3">
        <v>-44100</v>
      </c>
      <c r="H2020" t="s">
        <v>3</v>
      </c>
      <c r="I2020" t="s">
        <v>3</v>
      </c>
      <c r="J2020" t="s">
        <v>320</v>
      </c>
      <c r="K2020" t="s">
        <v>5</v>
      </c>
      <c r="L2020" t="s">
        <v>6</v>
      </c>
      <c r="M2020" t="s">
        <v>114</v>
      </c>
      <c r="N2020" s="2">
        <v>45901</v>
      </c>
    </row>
    <row r="2021" spans="1:14" x14ac:dyDescent="0.25">
      <c r="A2021" t="s">
        <v>457</v>
      </c>
      <c r="B2021" s="2">
        <v>45900</v>
      </c>
      <c r="C2021" t="s">
        <v>457</v>
      </c>
      <c r="D2021" t="s">
        <v>112</v>
      </c>
      <c r="E2021" t="s">
        <v>9</v>
      </c>
      <c r="F2021" s="3">
        <v>44100</v>
      </c>
      <c r="G2021" s="3">
        <v>44100</v>
      </c>
      <c r="H2021" t="s">
        <v>3</v>
      </c>
      <c r="I2021" t="s">
        <v>3</v>
      </c>
      <c r="J2021" t="s">
        <v>320</v>
      </c>
      <c r="K2021" t="s">
        <v>5</v>
      </c>
      <c r="L2021" t="s">
        <v>6</v>
      </c>
      <c r="M2021" t="s">
        <v>114</v>
      </c>
      <c r="N2021" s="2">
        <v>45901</v>
      </c>
    </row>
    <row r="2022" spans="1:14" x14ac:dyDescent="0.25">
      <c r="A2022" t="s">
        <v>457</v>
      </c>
      <c r="B2022" s="2">
        <v>45900</v>
      </c>
      <c r="C2022" t="s">
        <v>457</v>
      </c>
      <c r="D2022" t="s">
        <v>112</v>
      </c>
      <c r="E2022" t="s">
        <v>9</v>
      </c>
      <c r="F2022" s="3">
        <v>-44100</v>
      </c>
      <c r="G2022" s="3">
        <v>-44100</v>
      </c>
      <c r="H2022" t="s">
        <v>3</v>
      </c>
      <c r="I2022" t="s">
        <v>3</v>
      </c>
      <c r="J2022" t="s">
        <v>320</v>
      </c>
      <c r="K2022" t="s">
        <v>5</v>
      </c>
      <c r="L2022" t="s">
        <v>6</v>
      </c>
      <c r="M2022" t="s">
        <v>114</v>
      </c>
      <c r="N2022" s="2">
        <v>45901</v>
      </c>
    </row>
    <row r="2023" spans="1:14" x14ac:dyDescent="0.25">
      <c r="A2023" t="s">
        <v>457</v>
      </c>
      <c r="B2023" s="2">
        <v>45930</v>
      </c>
      <c r="C2023" t="s">
        <v>457</v>
      </c>
      <c r="D2023" t="s">
        <v>112</v>
      </c>
      <c r="E2023" t="s">
        <v>9</v>
      </c>
      <c r="F2023" s="3">
        <v>54500</v>
      </c>
      <c r="G2023" s="3">
        <v>54500</v>
      </c>
      <c r="H2023" t="s">
        <v>3</v>
      </c>
      <c r="I2023" t="s">
        <v>3</v>
      </c>
      <c r="J2023" t="s">
        <v>323</v>
      </c>
      <c r="K2023" t="s">
        <v>5</v>
      </c>
      <c r="L2023" t="s">
        <v>6</v>
      </c>
      <c r="M2023" t="s">
        <v>114</v>
      </c>
      <c r="N2023" s="2">
        <v>45930</v>
      </c>
    </row>
    <row r="2024" spans="1:14" x14ac:dyDescent="0.25">
      <c r="A2024" s="4" t="s">
        <v>272</v>
      </c>
      <c r="B2024" s="5"/>
      <c r="C2024" s="4" t="s">
        <v>9</v>
      </c>
      <c r="D2024" s="4" t="s">
        <v>9</v>
      </c>
      <c r="E2024" s="4" t="s">
        <v>9</v>
      </c>
      <c r="F2024" s="6">
        <v>0</v>
      </c>
      <c r="G2024" s="6">
        <v>0</v>
      </c>
      <c r="H2024" s="4" t="s">
        <v>9</v>
      </c>
      <c r="I2024" s="4" t="s">
        <v>3</v>
      </c>
      <c r="J2024" s="4" t="s">
        <v>9</v>
      </c>
      <c r="K2024" s="4" t="s">
        <v>9</v>
      </c>
      <c r="L2024" s="4" t="s">
        <v>9</v>
      </c>
      <c r="M2024" s="4" t="s">
        <v>9</v>
      </c>
      <c r="N2024" s="5"/>
    </row>
    <row r="2025" spans="1:14" x14ac:dyDescent="0.25">
      <c r="A2025" t="s">
        <v>457</v>
      </c>
      <c r="B2025" s="2">
        <v>45965</v>
      </c>
      <c r="C2025" t="s">
        <v>457</v>
      </c>
      <c r="D2025" t="s">
        <v>112</v>
      </c>
      <c r="E2025" t="s">
        <v>9</v>
      </c>
      <c r="F2025" s="3">
        <v>-8500</v>
      </c>
      <c r="G2025" s="3">
        <v>-8500</v>
      </c>
      <c r="H2025" t="s">
        <v>3</v>
      </c>
      <c r="I2025" t="s">
        <v>3</v>
      </c>
      <c r="J2025" t="s">
        <v>9</v>
      </c>
      <c r="K2025" t="s">
        <v>9</v>
      </c>
      <c r="L2025" t="s">
        <v>8</v>
      </c>
      <c r="M2025" t="s">
        <v>114</v>
      </c>
      <c r="N2025" s="2">
        <v>45961</v>
      </c>
    </row>
    <row r="2026" spans="1:14" x14ac:dyDescent="0.25">
      <c r="A2026" t="s">
        <v>457</v>
      </c>
      <c r="B2026" s="2">
        <v>45930</v>
      </c>
      <c r="C2026" t="s">
        <v>457</v>
      </c>
      <c r="D2026" t="s">
        <v>112</v>
      </c>
      <c r="E2026" t="s">
        <v>9</v>
      </c>
      <c r="F2026" s="3">
        <v>-54500</v>
      </c>
      <c r="G2026" s="3">
        <v>-54500</v>
      </c>
      <c r="H2026" t="s">
        <v>3</v>
      </c>
      <c r="I2026" t="s">
        <v>3</v>
      </c>
      <c r="J2026" t="s">
        <v>323</v>
      </c>
      <c r="K2026" t="s">
        <v>5</v>
      </c>
      <c r="L2026" t="s">
        <v>8</v>
      </c>
      <c r="M2026" t="s">
        <v>114</v>
      </c>
      <c r="N2026" s="2">
        <v>45931</v>
      </c>
    </row>
    <row r="2027" spans="1:14" x14ac:dyDescent="0.25">
      <c r="A2027" t="s">
        <v>457</v>
      </c>
      <c r="B2027" s="2">
        <v>45961</v>
      </c>
      <c r="C2027" t="s">
        <v>457</v>
      </c>
      <c r="D2027" t="s">
        <v>112</v>
      </c>
      <c r="E2027" t="s">
        <v>9</v>
      </c>
      <c r="F2027" s="3">
        <v>63000</v>
      </c>
      <c r="G2027" s="3">
        <v>63000</v>
      </c>
      <c r="H2027" t="s">
        <v>3</v>
      </c>
      <c r="I2027" t="s">
        <v>3</v>
      </c>
      <c r="J2027" t="s">
        <v>325</v>
      </c>
      <c r="K2027" t="s">
        <v>5</v>
      </c>
      <c r="L2027" t="s">
        <v>8</v>
      </c>
      <c r="M2027" t="s">
        <v>114</v>
      </c>
      <c r="N2027" s="2">
        <v>45961</v>
      </c>
    </row>
    <row r="2028" spans="1:14" x14ac:dyDescent="0.25">
      <c r="A2028" s="4" t="s">
        <v>278</v>
      </c>
      <c r="B2028" s="5"/>
      <c r="C2028" s="4" t="s">
        <v>9</v>
      </c>
      <c r="D2028" s="4" t="s">
        <v>9</v>
      </c>
      <c r="E2028" s="4" t="s">
        <v>9</v>
      </c>
      <c r="F2028" s="6">
        <v>0</v>
      </c>
      <c r="G2028" s="6">
        <v>0</v>
      </c>
      <c r="H2028" s="4" t="s">
        <v>9</v>
      </c>
      <c r="I2028" s="4" t="s">
        <v>3</v>
      </c>
      <c r="J2028" s="4" t="s">
        <v>9</v>
      </c>
      <c r="K2028" s="4" t="s">
        <v>9</v>
      </c>
      <c r="L2028" s="4" t="s">
        <v>9</v>
      </c>
      <c r="M2028" s="4" t="s">
        <v>9</v>
      </c>
      <c r="N2028" s="5"/>
    </row>
    <row r="2029" spans="1:14" x14ac:dyDescent="0.25">
      <c r="A2029" t="s">
        <v>457</v>
      </c>
      <c r="B2029" s="2">
        <v>45993</v>
      </c>
      <c r="C2029" t="s">
        <v>457</v>
      </c>
      <c r="D2029" t="s">
        <v>112</v>
      </c>
      <c r="E2029" t="s">
        <v>9</v>
      </c>
      <c r="F2029" s="3">
        <v>-4100</v>
      </c>
      <c r="G2029" s="3">
        <v>-4100</v>
      </c>
      <c r="H2029" t="s">
        <v>3</v>
      </c>
      <c r="I2029" t="s">
        <v>3</v>
      </c>
      <c r="J2029" t="s">
        <v>9</v>
      </c>
      <c r="K2029" t="s">
        <v>9</v>
      </c>
      <c r="L2029" t="s">
        <v>11</v>
      </c>
      <c r="M2029" t="s">
        <v>114</v>
      </c>
      <c r="N2029" s="2">
        <v>45991</v>
      </c>
    </row>
    <row r="2030" spans="1:14" x14ac:dyDescent="0.25">
      <c r="A2030" t="s">
        <v>457</v>
      </c>
      <c r="B2030" s="2">
        <v>45961</v>
      </c>
      <c r="C2030" t="s">
        <v>457</v>
      </c>
      <c r="D2030" t="s">
        <v>112</v>
      </c>
      <c r="E2030" t="s">
        <v>9</v>
      </c>
      <c r="F2030" s="3">
        <v>-63000</v>
      </c>
      <c r="G2030" s="3">
        <v>-63000</v>
      </c>
      <c r="H2030" t="s">
        <v>3</v>
      </c>
      <c r="I2030" t="s">
        <v>3</v>
      </c>
      <c r="J2030" t="s">
        <v>325</v>
      </c>
      <c r="K2030" t="s">
        <v>5</v>
      </c>
      <c r="L2030" t="s">
        <v>11</v>
      </c>
      <c r="M2030" t="s">
        <v>114</v>
      </c>
      <c r="N2030" s="2">
        <v>45962</v>
      </c>
    </row>
    <row r="2031" spans="1:14" x14ac:dyDescent="0.25">
      <c r="A2031" t="s">
        <v>457</v>
      </c>
      <c r="B2031" s="2">
        <v>45991</v>
      </c>
      <c r="C2031" t="s">
        <v>457</v>
      </c>
      <c r="D2031" t="s">
        <v>112</v>
      </c>
      <c r="E2031" t="s">
        <v>9</v>
      </c>
      <c r="F2031" s="3">
        <v>67100</v>
      </c>
      <c r="G2031" s="3">
        <v>67100</v>
      </c>
      <c r="H2031" t="s">
        <v>3</v>
      </c>
      <c r="I2031" t="s">
        <v>3</v>
      </c>
      <c r="J2031" t="s">
        <v>328</v>
      </c>
      <c r="K2031" t="s">
        <v>5</v>
      </c>
      <c r="L2031" t="s">
        <v>11</v>
      </c>
      <c r="M2031" t="s">
        <v>114</v>
      </c>
      <c r="N2031" s="2">
        <v>45991</v>
      </c>
    </row>
    <row r="2032" spans="1:14" x14ac:dyDescent="0.25">
      <c r="A2032" s="4" t="s">
        <v>226</v>
      </c>
      <c r="B2032" s="5"/>
      <c r="C2032" s="4" t="s">
        <v>9</v>
      </c>
      <c r="D2032" s="4" t="s">
        <v>9</v>
      </c>
      <c r="E2032" s="4" t="s">
        <v>9</v>
      </c>
      <c r="F2032" s="6">
        <v>0</v>
      </c>
      <c r="G2032" s="6">
        <v>0</v>
      </c>
      <c r="H2032" s="4" t="s">
        <v>9</v>
      </c>
      <c r="I2032" s="4" t="s">
        <v>3</v>
      </c>
      <c r="J2032" s="4" t="s">
        <v>9</v>
      </c>
      <c r="K2032" s="4" t="s">
        <v>9</v>
      </c>
      <c r="L2032" s="4" t="s">
        <v>9</v>
      </c>
      <c r="M2032" s="4" t="s">
        <v>9</v>
      </c>
      <c r="N2032" s="5"/>
    </row>
    <row r="2033" spans="1:14" x14ac:dyDescent="0.25">
      <c r="A2033" t="s">
        <v>457</v>
      </c>
      <c r="B2033" s="2">
        <v>46028</v>
      </c>
      <c r="C2033" t="s">
        <v>457</v>
      </c>
      <c r="D2033" t="s">
        <v>112</v>
      </c>
      <c r="E2033" t="s">
        <v>9</v>
      </c>
      <c r="F2033" s="3">
        <v>-13400</v>
      </c>
      <c r="G2033" s="3">
        <v>-13400</v>
      </c>
      <c r="H2033" t="s">
        <v>3</v>
      </c>
      <c r="I2033" t="s">
        <v>3</v>
      </c>
      <c r="J2033" t="s">
        <v>9</v>
      </c>
      <c r="K2033" t="s">
        <v>9</v>
      </c>
      <c r="L2033" t="s">
        <v>12</v>
      </c>
      <c r="M2033" t="s">
        <v>114</v>
      </c>
      <c r="N2033" s="2">
        <v>46022</v>
      </c>
    </row>
    <row r="2034" spans="1:14" x14ac:dyDescent="0.25">
      <c r="A2034" t="s">
        <v>457</v>
      </c>
      <c r="B2034" s="2">
        <v>45991</v>
      </c>
      <c r="C2034" t="s">
        <v>457</v>
      </c>
      <c r="D2034" t="s">
        <v>112</v>
      </c>
      <c r="E2034" t="s">
        <v>9</v>
      </c>
      <c r="F2034" s="3">
        <v>-67100</v>
      </c>
      <c r="G2034" s="3">
        <v>-67100</v>
      </c>
      <c r="H2034" t="s">
        <v>3</v>
      </c>
      <c r="I2034" t="s">
        <v>3</v>
      </c>
      <c r="J2034" t="s">
        <v>328</v>
      </c>
      <c r="K2034" t="s">
        <v>5</v>
      </c>
      <c r="L2034" t="s">
        <v>12</v>
      </c>
      <c r="M2034" t="s">
        <v>114</v>
      </c>
      <c r="N2034" s="2">
        <v>45992</v>
      </c>
    </row>
    <row r="2035" spans="1:14" x14ac:dyDescent="0.25">
      <c r="A2035" t="s">
        <v>457</v>
      </c>
      <c r="B2035" s="2">
        <v>46022</v>
      </c>
      <c r="C2035" t="s">
        <v>457</v>
      </c>
      <c r="D2035" t="s">
        <v>112</v>
      </c>
      <c r="E2035" t="s">
        <v>9</v>
      </c>
      <c r="F2035" s="3">
        <v>80500</v>
      </c>
      <c r="G2035" s="3">
        <v>80500</v>
      </c>
      <c r="H2035" t="s">
        <v>3</v>
      </c>
      <c r="I2035" t="s">
        <v>3</v>
      </c>
      <c r="J2035" t="s">
        <v>298</v>
      </c>
      <c r="K2035" t="s">
        <v>5</v>
      </c>
      <c r="L2035" t="s">
        <v>12</v>
      </c>
      <c r="M2035" t="s">
        <v>114</v>
      </c>
      <c r="N2035" s="2">
        <v>46022</v>
      </c>
    </row>
    <row r="2036" spans="1:14" x14ac:dyDescent="0.25">
      <c r="A2036" t="s">
        <v>457</v>
      </c>
      <c r="B2036" s="2">
        <v>46022</v>
      </c>
      <c r="C2036" t="s">
        <v>457</v>
      </c>
      <c r="D2036" t="s">
        <v>112</v>
      </c>
      <c r="E2036" t="s">
        <v>9</v>
      </c>
      <c r="F2036" s="3">
        <v>80500</v>
      </c>
      <c r="G2036" s="3">
        <v>80500</v>
      </c>
      <c r="H2036" t="s">
        <v>3</v>
      </c>
      <c r="I2036" t="s">
        <v>3</v>
      </c>
      <c r="J2036" t="s">
        <v>298</v>
      </c>
      <c r="K2036" t="s">
        <v>5</v>
      </c>
      <c r="L2036" t="s">
        <v>12</v>
      </c>
      <c r="M2036" t="s">
        <v>114</v>
      </c>
      <c r="N2036" s="2">
        <v>46022</v>
      </c>
    </row>
    <row r="2037" spans="1:14" x14ac:dyDescent="0.25">
      <c r="A2037" t="s">
        <v>457</v>
      </c>
      <c r="B2037" s="2">
        <v>46022</v>
      </c>
      <c r="C2037" t="s">
        <v>457</v>
      </c>
      <c r="D2037" t="s">
        <v>112</v>
      </c>
      <c r="E2037" t="s">
        <v>9</v>
      </c>
      <c r="F2037" s="3">
        <v>-80500</v>
      </c>
      <c r="G2037" s="3">
        <v>-80500</v>
      </c>
      <c r="H2037" t="s">
        <v>3</v>
      </c>
      <c r="I2037" t="s">
        <v>3</v>
      </c>
      <c r="J2037" t="s">
        <v>298</v>
      </c>
      <c r="K2037" t="s">
        <v>5</v>
      </c>
      <c r="L2037" t="s">
        <v>12</v>
      </c>
      <c r="M2037" t="s">
        <v>114</v>
      </c>
      <c r="N2037" s="2">
        <v>46022</v>
      </c>
    </row>
    <row r="2038" spans="1:14" x14ac:dyDescent="0.25">
      <c r="A2038" s="4" t="s">
        <v>228</v>
      </c>
      <c r="B2038" s="5"/>
      <c r="C2038" s="4" t="s">
        <v>9</v>
      </c>
      <c r="D2038" s="4" t="s">
        <v>9</v>
      </c>
      <c r="E2038" s="4" t="s">
        <v>9</v>
      </c>
      <c r="F2038" s="6">
        <v>0</v>
      </c>
      <c r="G2038" s="6">
        <v>0</v>
      </c>
      <c r="H2038" s="4" t="s">
        <v>9</v>
      </c>
      <c r="I2038" s="4" t="s">
        <v>3</v>
      </c>
      <c r="J2038" s="4" t="s">
        <v>9</v>
      </c>
      <c r="K2038" s="4" t="s">
        <v>9</v>
      </c>
      <c r="L2038" s="4" t="s">
        <v>9</v>
      </c>
      <c r="M2038" s="4" t="s">
        <v>9</v>
      </c>
      <c r="N2038" s="5"/>
    </row>
    <row r="2039" spans="1:14" x14ac:dyDescent="0.25">
      <c r="A2039" s="4" t="s">
        <v>457</v>
      </c>
      <c r="B2039" s="5"/>
      <c r="C2039" s="4" t="s">
        <v>9</v>
      </c>
      <c r="D2039" s="4" t="s">
        <v>9</v>
      </c>
      <c r="E2039" s="4" t="s">
        <v>9</v>
      </c>
      <c r="F2039" s="6">
        <v>0</v>
      </c>
      <c r="G2039" s="6">
        <v>0</v>
      </c>
      <c r="H2039" s="4" t="s">
        <v>9</v>
      </c>
      <c r="I2039" s="4" t="s">
        <v>3</v>
      </c>
      <c r="J2039" s="4" t="s">
        <v>9</v>
      </c>
      <c r="K2039" s="4" t="s">
        <v>9</v>
      </c>
      <c r="L2039" s="4" t="s">
        <v>9</v>
      </c>
      <c r="M2039" s="4" t="s">
        <v>9</v>
      </c>
      <c r="N2039" s="5"/>
    </row>
    <row r="2040" spans="1:14" x14ac:dyDescent="0.25">
      <c r="A2040" t="s">
        <v>458</v>
      </c>
      <c r="B2040" s="2">
        <v>45750</v>
      </c>
      <c r="C2040" t="s">
        <v>458</v>
      </c>
      <c r="D2040" t="s">
        <v>51</v>
      </c>
      <c r="E2040" t="s">
        <v>9</v>
      </c>
      <c r="F2040" s="3">
        <v>-20000</v>
      </c>
      <c r="G2040" s="3">
        <v>-20000</v>
      </c>
      <c r="H2040" t="s">
        <v>3</v>
      </c>
      <c r="I2040" t="s">
        <v>3</v>
      </c>
      <c r="J2040" t="s">
        <v>9</v>
      </c>
      <c r="K2040" t="s">
        <v>9</v>
      </c>
      <c r="L2040" t="s">
        <v>16</v>
      </c>
      <c r="M2040" t="s">
        <v>53</v>
      </c>
      <c r="N2040" s="2">
        <v>45747</v>
      </c>
    </row>
    <row r="2041" spans="1:14" x14ac:dyDescent="0.25">
      <c r="A2041" t="s">
        <v>458</v>
      </c>
      <c r="B2041" s="2">
        <v>45747</v>
      </c>
      <c r="C2041" t="s">
        <v>458</v>
      </c>
      <c r="D2041" t="s">
        <v>51</v>
      </c>
      <c r="E2041" t="s">
        <v>9</v>
      </c>
      <c r="F2041" s="3">
        <v>20000</v>
      </c>
      <c r="G2041" s="3">
        <v>20000</v>
      </c>
      <c r="H2041" t="s">
        <v>3</v>
      </c>
      <c r="I2041" t="s">
        <v>3</v>
      </c>
      <c r="J2041" t="s">
        <v>459</v>
      </c>
      <c r="K2041" t="s">
        <v>5</v>
      </c>
      <c r="L2041" t="s">
        <v>16</v>
      </c>
      <c r="M2041" t="s">
        <v>53</v>
      </c>
      <c r="N2041" s="2">
        <v>45747</v>
      </c>
    </row>
    <row r="2042" spans="1:14" x14ac:dyDescent="0.25">
      <c r="A2042" s="4" t="s">
        <v>244</v>
      </c>
      <c r="B2042" s="5"/>
      <c r="C2042" s="4" t="s">
        <v>9</v>
      </c>
      <c r="D2042" s="4" t="s">
        <v>9</v>
      </c>
      <c r="E2042" s="4" t="s">
        <v>9</v>
      </c>
      <c r="F2042" s="6">
        <v>0</v>
      </c>
      <c r="G2042" s="6">
        <v>0</v>
      </c>
      <c r="H2042" s="4" t="s">
        <v>9</v>
      </c>
      <c r="I2042" s="4" t="s">
        <v>3</v>
      </c>
      <c r="J2042" s="4" t="s">
        <v>9</v>
      </c>
      <c r="K2042" s="4" t="s">
        <v>9</v>
      </c>
      <c r="L2042" s="4" t="s">
        <v>9</v>
      </c>
      <c r="M2042" s="4" t="s">
        <v>9</v>
      </c>
      <c r="N2042" s="5"/>
    </row>
    <row r="2043" spans="1:14" x14ac:dyDescent="0.25">
      <c r="A2043" s="4" t="s">
        <v>458</v>
      </c>
      <c r="B2043" s="5"/>
      <c r="C2043" s="4" t="s">
        <v>9</v>
      </c>
      <c r="D2043" s="4" t="s">
        <v>9</v>
      </c>
      <c r="E2043" s="4" t="s">
        <v>9</v>
      </c>
      <c r="F2043" s="6">
        <v>0</v>
      </c>
      <c r="G2043" s="6">
        <v>0</v>
      </c>
      <c r="H2043" s="4" t="s">
        <v>9</v>
      </c>
      <c r="I2043" s="4" t="s">
        <v>3</v>
      </c>
      <c r="J2043" s="4" t="s">
        <v>9</v>
      </c>
      <c r="K2043" s="4" t="s">
        <v>9</v>
      </c>
      <c r="L2043" s="4" t="s">
        <v>9</v>
      </c>
      <c r="M2043" s="4" t="s">
        <v>9</v>
      </c>
      <c r="N2043" s="5"/>
    </row>
    <row r="2044" spans="1:14" x14ac:dyDescent="0.25">
      <c r="A2044" t="s">
        <v>460</v>
      </c>
      <c r="B2044" s="2">
        <v>46084</v>
      </c>
      <c r="C2044" t="s">
        <v>460</v>
      </c>
      <c r="D2044" t="s">
        <v>33</v>
      </c>
      <c r="E2044" t="s">
        <v>9</v>
      </c>
      <c r="F2044" s="3">
        <v>6930</v>
      </c>
      <c r="G2044" s="3">
        <v>6930</v>
      </c>
      <c r="H2044" t="s">
        <v>3</v>
      </c>
      <c r="I2044" t="s">
        <v>3</v>
      </c>
      <c r="J2044" t="s">
        <v>9</v>
      </c>
      <c r="K2044" t="s">
        <v>9</v>
      </c>
      <c r="L2044" t="s">
        <v>15</v>
      </c>
      <c r="M2044" t="s">
        <v>35</v>
      </c>
      <c r="N2044" s="2">
        <v>46081</v>
      </c>
    </row>
    <row r="2045" spans="1:14" x14ac:dyDescent="0.25">
      <c r="A2045" t="s">
        <v>460</v>
      </c>
      <c r="B2045" s="2">
        <v>46063</v>
      </c>
      <c r="C2045" t="s">
        <v>460</v>
      </c>
      <c r="D2045" t="s">
        <v>33</v>
      </c>
      <c r="E2045" t="s">
        <v>9</v>
      </c>
      <c r="F2045" s="3">
        <v>-6930</v>
      </c>
      <c r="G2045" s="3">
        <v>-6930</v>
      </c>
      <c r="H2045" t="s">
        <v>3</v>
      </c>
      <c r="I2045" t="s">
        <v>3</v>
      </c>
      <c r="J2045" t="s">
        <v>9</v>
      </c>
      <c r="K2045" t="s">
        <v>13</v>
      </c>
      <c r="L2045" t="s">
        <v>15</v>
      </c>
      <c r="M2045" t="s">
        <v>35</v>
      </c>
      <c r="N2045" s="2">
        <v>46063</v>
      </c>
    </row>
    <row r="2046" spans="1:14" x14ac:dyDescent="0.25">
      <c r="A2046" s="4" t="s">
        <v>239</v>
      </c>
      <c r="B2046" s="5"/>
      <c r="C2046" s="4" t="s">
        <v>9</v>
      </c>
      <c r="D2046" s="4" t="s">
        <v>9</v>
      </c>
      <c r="E2046" s="4" t="s">
        <v>9</v>
      </c>
      <c r="F2046" s="6">
        <v>0</v>
      </c>
      <c r="G2046" s="6">
        <v>0</v>
      </c>
      <c r="H2046" s="4" t="s">
        <v>9</v>
      </c>
      <c r="I2046" s="4" t="s">
        <v>3</v>
      </c>
      <c r="J2046" s="4" t="s">
        <v>9</v>
      </c>
      <c r="K2046" s="4" t="s">
        <v>9</v>
      </c>
      <c r="L2046" s="4" t="s">
        <v>9</v>
      </c>
      <c r="M2046" s="4" t="s">
        <v>9</v>
      </c>
      <c r="N2046" s="5"/>
    </row>
    <row r="2047" spans="1:14" x14ac:dyDescent="0.25">
      <c r="A2047" t="s">
        <v>460</v>
      </c>
      <c r="B2047" s="2">
        <v>46115</v>
      </c>
      <c r="C2047" t="s">
        <v>460</v>
      </c>
      <c r="D2047" t="s">
        <v>33</v>
      </c>
      <c r="E2047" t="s">
        <v>9</v>
      </c>
      <c r="F2047" s="3">
        <v>630</v>
      </c>
      <c r="G2047" s="3">
        <v>630</v>
      </c>
      <c r="H2047" t="s">
        <v>3</v>
      </c>
      <c r="I2047" t="s">
        <v>3</v>
      </c>
      <c r="J2047" t="s">
        <v>9</v>
      </c>
      <c r="K2047" t="s">
        <v>9</v>
      </c>
      <c r="L2047" t="s">
        <v>16</v>
      </c>
      <c r="M2047" t="s">
        <v>35</v>
      </c>
      <c r="N2047" s="2">
        <v>46112</v>
      </c>
    </row>
    <row r="2048" spans="1:14" x14ac:dyDescent="0.25">
      <c r="A2048" t="s">
        <v>460</v>
      </c>
      <c r="B2048" s="2">
        <v>46101</v>
      </c>
      <c r="C2048" t="s">
        <v>460</v>
      </c>
      <c r="D2048" t="s">
        <v>33</v>
      </c>
      <c r="E2048" t="s">
        <v>9</v>
      </c>
      <c r="F2048" s="3">
        <v>-1995</v>
      </c>
      <c r="G2048" s="3">
        <v>-1995</v>
      </c>
      <c r="H2048" t="s">
        <v>3</v>
      </c>
      <c r="I2048" t="s">
        <v>3</v>
      </c>
      <c r="J2048" t="s">
        <v>9</v>
      </c>
      <c r="K2048" t="s">
        <v>13</v>
      </c>
      <c r="L2048" t="s">
        <v>16</v>
      </c>
      <c r="M2048" t="s">
        <v>35</v>
      </c>
      <c r="N2048" s="2">
        <v>46101</v>
      </c>
    </row>
    <row r="2049" spans="1:14" x14ac:dyDescent="0.25">
      <c r="A2049" t="s">
        <v>460</v>
      </c>
      <c r="B2049" s="2">
        <v>46101</v>
      </c>
      <c r="C2049" t="s">
        <v>460</v>
      </c>
      <c r="D2049" t="s">
        <v>33</v>
      </c>
      <c r="E2049" t="s">
        <v>9</v>
      </c>
      <c r="F2049" s="3">
        <v>1995</v>
      </c>
      <c r="G2049" s="3">
        <v>1995</v>
      </c>
      <c r="H2049" t="s">
        <v>3</v>
      </c>
      <c r="I2049" t="s">
        <v>3</v>
      </c>
      <c r="J2049" t="s">
        <v>9</v>
      </c>
      <c r="K2049" t="s">
        <v>13</v>
      </c>
      <c r="L2049" t="s">
        <v>16</v>
      </c>
      <c r="M2049" t="s">
        <v>35</v>
      </c>
      <c r="N2049" s="2">
        <v>46101</v>
      </c>
    </row>
    <row r="2050" spans="1:14" x14ac:dyDescent="0.25">
      <c r="A2050" t="s">
        <v>460</v>
      </c>
      <c r="B2050" s="2">
        <v>46101</v>
      </c>
      <c r="C2050" t="s">
        <v>460</v>
      </c>
      <c r="D2050" t="s">
        <v>33</v>
      </c>
      <c r="E2050" t="s">
        <v>9</v>
      </c>
      <c r="F2050" s="3">
        <v>-630</v>
      </c>
      <c r="G2050" s="3">
        <v>-630</v>
      </c>
      <c r="H2050" t="s">
        <v>3</v>
      </c>
      <c r="I2050" t="s">
        <v>3</v>
      </c>
      <c r="J2050" t="s">
        <v>9</v>
      </c>
      <c r="K2050" t="s">
        <v>13</v>
      </c>
      <c r="L2050" t="s">
        <v>16</v>
      </c>
      <c r="M2050" t="s">
        <v>35</v>
      </c>
      <c r="N2050" s="2">
        <v>46101</v>
      </c>
    </row>
    <row r="2051" spans="1:14" x14ac:dyDescent="0.25">
      <c r="A2051" s="4" t="s">
        <v>244</v>
      </c>
      <c r="B2051" s="5"/>
      <c r="C2051" s="4" t="s">
        <v>9</v>
      </c>
      <c r="D2051" s="4" t="s">
        <v>9</v>
      </c>
      <c r="E2051" s="4" t="s">
        <v>9</v>
      </c>
      <c r="F2051" s="6">
        <v>0</v>
      </c>
      <c r="G2051" s="6">
        <v>0</v>
      </c>
      <c r="H2051" s="4" t="s">
        <v>9</v>
      </c>
      <c r="I2051" s="4" t="s">
        <v>3</v>
      </c>
      <c r="J2051" s="4" t="s">
        <v>9</v>
      </c>
      <c r="K2051" s="4" t="s">
        <v>9</v>
      </c>
      <c r="L2051" s="4" t="s">
        <v>9</v>
      </c>
      <c r="M2051" s="4" t="s">
        <v>9</v>
      </c>
      <c r="N2051" s="5"/>
    </row>
    <row r="2052" spans="1:14" x14ac:dyDescent="0.25">
      <c r="A2052" t="s">
        <v>460</v>
      </c>
      <c r="B2052" s="2">
        <v>45782</v>
      </c>
      <c r="C2052" t="s">
        <v>460</v>
      </c>
      <c r="D2052" t="s">
        <v>33</v>
      </c>
      <c r="E2052" t="s">
        <v>9</v>
      </c>
      <c r="F2052" s="3">
        <v>20400</v>
      </c>
      <c r="G2052" s="3">
        <v>20400</v>
      </c>
      <c r="H2052" t="s">
        <v>3</v>
      </c>
      <c r="I2052" t="s">
        <v>3</v>
      </c>
      <c r="J2052" t="s">
        <v>9</v>
      </c>
      <c r="K2052" t="s">
        <v>9</v>
      </c>
      <c r="L2052" t="s">
        <v>17</v>
      </c>
      <c r="M2052" t="s">
        <v>35</v>
      </c>
      <c r="N2052" s="2">
        <v>45777</v>
      </c>
    </row>
    <row r="2053" spans="1:14" x14ac:dyDescent="0.25">
      <c r="A2053" t="s">
        <v>460</v>
      </c>
      <c r="B2053" s="2">
        <v>46147</v>
      </c>
      <c r="C2053" t="s">
        <v>460</v>
      </c>
      <c r="D2053" t="s">
        <v>33</v>
      </c>
      <c r="E2053" t="s">
        <v>9</v>
      </c>
      <c r="F2053" s="3">
        <v>3885</v>
      </c>
      <c r="G2053" s="3">
        <v>3885</v>
      </c>
      <c r="H2053" t="s">
        <v>3</v>
      </c>
      <c r="I2053" t="s">
        <v>3</v>
      </c>
      <c r="J2053" t="s">
        <v>9</v>
      </c>
      <c r="K2053" t="s">
        <v>9</v>
      </c>
      <c r="L2053" t="s">
        <v>17</v>
      </c>
      <c r="M2053" t="s">
        <v>35</v>
      </c>
      <c r="N2053" s="2">
        <v>46142</v>
      </c>
    </row>
    <row r="2054" spans="1:14" x14ac:dyDescent="0.25">
      <c r="A2054" t="s">
        <v>460</v>
      </c>
      <c r="B2054" s="2">
        <v>45763</v>
      </c>
      <c r="C2054" t="s">
        <v>460</v>
      </c>
      <c r="D2054" t="s">
        <v>33</v>
      </c>
      <c r="E2054" t="s">
        <v>9</v>
      </c>
      <c r="F2054" s="3">
        <v>-20400</v>
      </c>
      <c r="G2054" s="3">
        <v>-20400</v>
      </c>
      <c r="H2054" t="s">
        <v>3</v>
      </c>
      <c r="I2054" t="s">
        <v>3</v>
      </c>
      <c r="J2054" t="s">
        <v>9</v>
      </c>
      <c r="K2054" t="s">
        <v>5</v>
      </c>
      <c r="L2054" t="s">
        <v>17</v>
      </c>
      <c r="M2054" t="s">
        <v>35</v>
      </c>
      <c r="N2054" s="2">
        <v>45763</v>
      </c>
    </row>
    <row r="2055" spans="1:14" x14ac:dyDescent="0.25">
      <c r="A2055" t="s">
        <v>460</v>
      </c>
      <c r="B2055" s="2">
        <v>46127</v>
      </c>
      <c r="C2055" t="s">
        <v>460</v>
      </c>
      <c r="D2055" t="s">
        <v>33</v>
      </c>
      <c r="E2055" t="s">
        <v>9</v>
      </c>
      <c r="F2055" s="3">
        <v>-3885</v>
      </c>
      <c r="G2055" s="3">
        <v>-3885</v>
      </c>
      <c r="H2055" t="s">
        <v>3</v>
      </c>
      <c r="I2055" t="s">
        <v>3</v>
      </c>
      <c r="J2055" t="s">
        <v>9</v>
      </c>
      <c r="K2055" t="s">
        <v>13</v>
      </c>
      <c r="L2055" t="s">
        <v>17</v>
      </c>
      <c r="M2055" t="s">
        <v>35</v>
      </c>
      <c r="N2055" s="2">
        <v>46127</v>
      </c>
    </row>
    <row r="2056" spans="1:14" x14ac:dyDescent="0.25">
      <c r="A2056" s="4" t="s">
        <v>249</v>
      </c>
      <c r="B2056" s="5"/>
      <c r="C2056" s="4" t="s">
        <v>9</v>
      </c>
      <c r="D2056" s="4" t="s">
        <v>9</v>
      </c>
      <c r="E2056" s="4" t="s">
        <v>9</v>
      </c>
      <c r="F2056" s="6">
        <v>0</v>
      </c>
      <c r="G2056" s="6">
        <v>0</v>
      </c>
      <c r="H2056" s="4" t="s">
        <v>9</v>
      </c>
      <c r="I2056" s="4" t="s">
        <v>3</v>
      </c>
      <c r="J2056" s="4" t="s">
        <v>9</v>
      </c>
      <c r="K2056" s="4" t="s">
        <v>9</v>
      </c>
      <c r="L2056" s="4" t="s">
        <v>9</v>
      </c>
      <c r="M2056" s="4" t="s">
        <v>9</v>
      </c>
      <c r="N2056" s="5"/>
    </row>
    <row r="2057" spans="1:14" x14ac:dyDescent="0.25">
      <c r="A2057" t="s">
        <v>460</v>
      </c>
      <c r="B2057" s="2">
        <v>46175</v>
      </c>
      <c r="C2057" t="s">
        <v>460</v>
      </c>
      <c r="D2057" t="s">
        <v>33</v>
      </c>
      <c r="E2057" t="s">
        <v>9</v>
      </c>
      <c r="F2057" s="3">
        <v>1680</v>
      </c>
      <c r="G2057" s="3">
        <v>1680</v>
      </c>
      <c r="H2057" t="s">
        <v>3</v>
      </c>
      <c r="I2057" t="s">
        <v>3</v>
      </c>
      <c r="J2057" t="s">
        <v>9</v>
      </c>
      <c r="K2057" t="s">
        <v>9</v>
      </c>
      <c r="L2057" t="s">
        <v>18</v>
      </c>
      <c r="M2057" t="s">
        <v>35</v>
      </c>
      <c r="N2057" s="2">
        <v>46173</v>
      </c>
    </row>
    <row r="2058" spans="1:14" x14ac:dyDescent="0.25">
      <c r="A2058" t="s">
        <v>460</v>
      </c>
      <c r="B2058" s="2">
        <v>46155</v>
      </c>
      <c r="C2058" t="s">
        <v>460</v>
      </c>
      <c r="D2058" t="s">
        <v>33</v>
      </c>
      <c r="E2058" t="s">
        <v>9</v>
      </c>
      <c r="F2058" s="3">
        <v>-1680</v>
      </c>
      <c r="G2058" s="3">
        <v>-1680</v>
      </c>
      <c r="H2058" t="s">
        <v>3</v>
      </c>
      <c r="I2058" t="s">
        <v>3</v>
      </c>
      <c r="J2058" t="s">
        <v>9</v>
      </c>
      <c r="K2058" t="s">
        <v>13</v>
      </c>
      <c r="L2058" t="s">
        <v>18</v>
      </c>
      <c r="M2058" t="s">
        <v>35</v>
      </c>
      <c r="N2058" s="2">
        <v>46155</v>
      </c>
    </row>
    <row r="2059" spans="1:14" x14ac:dyDescent="0.25">
      <c r="A2059" s="4" t="s">
        <v>223</v>
      </c>
      <c r="B2059" s="5"/>
      <c r="C2059" s="4" t="s">
        <v>9</v>
      </c>
      <c r="D2059" s="4" t="s">
        <v>9</v>
      </c>
      <c r="E2059" s="4" t="s">
        <v>9</v>
      </c>
      <c r="F2059" s="6">
        <v>0</v>
      </c>
      <c r="G2059" s="6">
        <v>0</v>
      </c>
      <c r="H2059" s="4" t="s">
        <v>9</v>
      </c>
      <c r="I2059" s="4" t="s">
        <v>3</v>
      </c>
      <c r="J2059" s="4" t="s">
        <v>9</v>
      </c>
      <c r="K2059" s="4" t="s">
        <v>9</v>
      </c>
      <c r="L2059" s="4" t="s">
        <v>9</v>
      </c>
      <c r="M2059" s="4" t="s">
        <v>9</v>
      </c>
      <c r="N2059" s="5"/>
    </row>
    <row r="2060" spans="1:14" x14ac:dyDescent="0.25">
      <c r="A2060" t="s">
        <v>460</v>
      </c>
      <c r="B2060" s="2">
        <v>45839</v>
      </c>
      <c r="C2060" t="s">
        <v>460</v>
      </c>
      <c r="D2060" t="s">
        <v>33</v>
      </c>
      <c r="E2060" t="s">
        <v>9</v>
      </c>
      <c r="F2060" s="3">
        <v>21000</v>
      </c>
      <c r="G2060" s="3">
        <v>21000</v>
      </c>
      <c r="H2060" t="s">
        <v>3</v>
      </c>
      <c r="I2060" t="s">
        <v>3</v>
      </c>
      <c r="J2060" t="s">
        <v>9</v>
      </c>
      <c r="K2060" t="s">
        <v>9</v>
      </c>
      <c r="L2060" t="s">
        <v>19</v>
      </c>
      <c r="M2060" t="s">
        <v>35</v>
      </c>
      <c r="N2060" s="2">
        <v>45838</v>
      </c>
    </row>
    <row r="2061" spans="1:14" x14ac:dyDescent="0.25">
      <c r="A2061" t="s">
        <v>460</v>
      </c>
      <c r="B2061" s="2">
        <v>46205</v>
      </c>
      <c r="C2061" t="s">
        <v>460</v>
      </c>
      <c r="D2061" t="s">
        <v>33</v>
      </c>
      <c r="E2061" t="s">
        <v>9</v>
      </c>
      <c r="F2061" s="3">
        <v>945</v>
      </c>
      <c r="G2061" s="3">
        <v>945</v>
      </c>
      <c r="H2061" t="s">
        <v>3</v>
      </c>
      <c r="I2061" t="s">
        <v>3</v>
      </c>
      <c r="J2061" t="s">
        <v>9</v>
      </c>
      <c r="K2061" t="s">
        <v>9</v>
      </c>
      <c r="L2061" t="s">
        <v>19</v>
      </c>
      <c r="M2061" t="s">
        <v>35</v>
      </c>
      <c r="N2061" s="2">
        <v>46203</v>
      </c>
    </row>
    <row r="2062" spans="1:14" x14ac:dyDescent="0.25">
      <c r="A2062" t="s">
        <v>460</v>
      </c>
      <c r="B2062" s="2">
        <v>45825</v>
      </c>
      <c r="C2062" t="s">
        <v>460</v>
      </c>
      <c r="D2062" t="s">
        <v>33</v>
      </c>
      <c r="E2062" t="s">
        <v>9</v>
      </c>
      <c r="F2062" s="3">
        <v>-21000</v>
      </c>
      <c r="G2062" s="3">
        <v>-21000</v>
      </c>
      <c r="H2062" t="s">
        <v>3</v>
      </c>
      <c r="I2062" t="s">
        <v>3</v>
      </c>
      <c r="J2062" t="s">
        <v>9</v>
      </c>
      <c r="K2062" t="s">
        <v>5</v>
      </c>
      <c r="L2062" t="s">
        <v>19</v>
      </c>
      <c r="M2062" t="s">
        <v>35</v>
      </c>
      <c r="N2062" s="2">
        <v>45825</v>
      </c>
    </row>
    <row r="2063" spans="1:14" x14ac:dyDescent="0.25">
      <c r="A2063" t="s">
        <v>460</v>
      </c>
      <c r="B2063" s="2">
        <v>46191</v>
      </c>
      <c r="C2063" t="s">
        <v>460</v>
      </c>
      <c r="D2063" t="s">
        <v>33</v>
      </c>
      <c r="E2063" t="s">
        <v>9</v>
      </c>
      <c r="F2063" s="3">
        <v>-945</v>
      </c>
      <c r="G2063" s="3">
        <v>-945</v>
      </c>
      <c r="H2063" t="s">
        <v>3</v>
      </c>
      <c r="I2063" t="s">
        <v>3</v>
      </c>
      <c r="J2063" t="s">
        <v>9</v>
      </c>
      <c r="K2063" t="s">
        <v>13</v>
      </c>
      <c r="L2063" t="s">
        <v>19</v>
      </c>
      <c r="M2063" t="s">
        <v>35</v>
      </c>
      <c r="N2063" s="2">
        <v>46191</v>
      </c>
    </row>
    <row r="2064" spans="1:14" x14ac:dyDescent="0.25">
      <c r="A2064" s="4" t="s">
        <v>224</v>
      </c>
      <c r="B2064" s="5"/>
      <c r="C2064" s="4" t="s">
        <v>9</v>
      </c>
      <c r="D2064" s="4" t="s">
        <v>9</v>
      </c>
      <c r="E2064" s="4" t="s">
        <v>9</v>
      </c>
      <c r="F2064" s="6">
        <v>0</v>
      </c>
      <c r="G2064" s="6">
        <v>0</v>
      </c>
      <c r="H2064" s="4" t="s">
        <v>9</v>
      </c>
      <c r="I2064" s="4" t="s">
        <v>3</v>
      </c>
      <c r="J2064" s="4" t="s">
        <v>9</v>
      </c>
      <c r="K2064" s="4" t="s">
        <v>9</v>
      </c>
      <c r="L2064" s="4" t="s">
        <v>9</v>
      </c>
      <c r="M2064" s="4" t="s">
        <v>9</v>
      </c>
      <c r="N2064" s="5"/>
    </row>
    <row r="2065" spans="1:14" x14ac:dyDescent="0.25">
      <c r="A2065" t="s">
        <v>460</v>
      </c>
      <c r="B2065" s="2">
        <v>45870</v>
      </c>
      <c r="C2065" t="s">
        <v>460</v>
      </c>
      <c r="D2065" t="s">
        <v>33</v>
      </c>
      <c r="E2065" t="s">
        <v>9</v>
      </c>
      <c r="F2065" s="3">
        <v>1470</v>
      </c>
      <c r="G2065" s="3">
        <v>1470</v>
      </c>
      <c r="H2065" t="s">
        <v>3</v>
      </c>
      <c r="I2065" t="s">
        <v>3</v>
      </c>
      <c r="J2065" t="s">
        <v>9</v>
      </c>
      <c r="K2065" t="s">
        <v>9</v>
      </c>
      <c r="L2065" t="s">
        <v>21</v>
      </c>
      <c r="M2065" t="s">
        <v>35</v>
      </c>
      <c r="N2065" s="2">
        <v>45869</v>
      </c>
    </row>
    <row r="2066" spans="1:14" x14ac:dyDescent="0.25">
      <c r="A2066" t="s">
        <v>460</v>
      </c>
      <c r="B2066" s="2">
        <v>46239</v>
      </c>
      <c r="C2066" t="s">
        <v>460</v>
      </c>
      <c r="D2066" t="s">
        <v>33</v>
      </c>
      <c r="E2066" t="s">
        <v>9</v>
      </c>
      <c r="F2066" s="3">
        <v>1260</v>
      </c>
      <c r="G2066" s="3">
        <v>1260</v>
      </c>
      <c r="H2066" t="s">
        <v>3</v>
      </c>
      <c r="I2066" t="s">
        <v>3</v>
      </c>
      <c r="J2066" t="s">
        <v>9</v>
      </c>
      <c r="K2066" t="s">
        <v>9</v>
      </c>
      <c r="L2066" t="s">
        <v>21</v>
      </c>
      <c r="M2066" t="s">
        <v>35</v>
      </c>
      <c r="N2066" s="2">
        <v>46234</v>
      </c>
    </row>
    <row r="2067" spans="1:14" x14ac:dyDescent="0.25">
      <c r="A2067" t="s">
        <v>460</v>
      </c>
      <c r="B2067" s="2">
        <v>45849</v>
      </c>
      <c r="C2067" t="s">
        <v>460</v>
      </c>
      <c r="D2067" t="s">
        <v>33</v>
      </c>
      <c r="E2067" t="s">
        <v>9</v>
      </c>
      <c r="F2067" s="3">
        <v>-1470</v>
      </c>
      <c r="G2067" s="3">
        <v>-1470</v>
      </c>
      <c r="H2067" t="s">
        <v>3</v>
      </c>
      <c r="I2067" t="s">
        <v>3</v>
      </c>
      <c r="J2067" t="s">
        <v>9</v>
      </c>
      <c r="K2067" t="s">
        <v>5</v>
      </c>
      <c r="L2067" t="s">
        <v>21</v>
      </c>
      <c r="M2067" t="s">
        <v>35</v>
      </c>
      <c r="N2067" s="2">
        <v>45849</v>
      </c>
    </row>
    <row r="2068" spans="1:14" x14ac:dyDescent="0.25">
      <c r="A2068" t="s">
        <v>460</v>
      </c>
      <c r="B2068" s="2">
        <v>46217</v>
      </c>
      <c r="C2068" t="s">
        <v>460</v>
      </c>
      <c r="D2068" t="s">
        <v>33</v>
      </c>
      <c r="E2068" t="s">
        <v>9</v>
      </c>
      <c r="F2068" s="3">
        <v>-1260</v>
      </c>
      <c r="G2068" s="3">
        <v>-1260</v>
      </c>
      <c r="H2068" t="s">
        <v>3</v>
      </c>
      <c r="I2068" t="s">
        <v>3</v>
      </c>
      <c r="J2068" t="s">
        <v>9</v>
      </c>
      <c r="K2068" t="s">
        <v>13</v>
      </c>
      <c r="L2068" t="s">
        <v>21</v>
      </c>
      <c r="M2068" t="s">
        <v>35</v>
      </c>
      <c r="N2068" s="2">
        <v>46217</v>
      </c>
    </row>
    <row r="2069" spans="1:14" x14ac:dyDescent="0.25">
      <c r="A2069" s="4" t="s">
        <v>262</v>
      </c>
      <c r="B2069" s="5"/>
      <c r="C2069" s="4" t="s">
        <v>9</v>
      </c>
      <c r="D2069" s="4" t="s">
        <v>9</v>
      </c>
      <c r="E2069" s="4" t="s">
        <v>9</v>
      </c>
      <c r="F2069" s="6">
        <v>0</v>
      </c>
      <c r="G2069" s="6">
        <v>0</v>
      </c>
      <c r="H2069" s="4" t="s">
        <v>9</v>
      </c>
      <c r="I2069" s="4" t="s">
        <v>3</v>
      </c>
      <c r="J2069" s="4" t="s">
        <v>9</v>
      </c>
      <c r="K2069" s="4" t="s">
        <v>9</v>
      </c>
      <c r="L2069" s="4" t="s">
        <v>9</v>
      </c>
      <c r="M2069" s="4" t="s">
        <v>9</v>
      </c>
      <c r="N2069" s="5"/>
    </row>
    <row r="2070" spans="1:14" x14ac:dyDescent="0.25">
      <c r="A2070" t="s">
        <v>460</v>
      </c>
      <c r="B2070" s="2">
        <v>45901</v>
      </c>
      <c r="C2070" t="s">
        <v>460</v>
      </c>
      <c r="D2070" t="s">
        <v>33</v>
      </c>
      <c r="E2070" t="s">
        <v>9</v>
      </c>
      <c r="F2070" s="3">
        <v>6720</v>
      </c>
      <c r="G2070" s="3">
        <v>6720</v>
      </c>
      <c r="H2070" t="s">
        <v>3</v>
      </c>
      <c r="I2070" t="s">
        <v>3</v>
      </c>
      <c r="J2070" t="s">
        <v>9</v>
      </c>
      <c r="K2070" t="s">
        <v>9</v>
      </c>
      <c r="L2070" t="s">
        <v>22</v>
      </c>
      <c r="M2070" t="s">
        <v>35</v>
      </c>
      <c r="N2070" s="2">
        <v>45900</v>
      </c>
    </row>
    <row r="2071" spans="1:14" x14ac:dyDescent="0.25">
      <c r="A2071" t="s">
        <v>460</v>
      </c>
      <c r="B2071" s="2">
        <v>46267</v>
      </c>
      <c r="C2071" t="s">
        <v>460</v>
      </c>
      <c r="D2071" t="s">
        <v>33</v>
      </c>
      <c r="E2071" t="s">
        <v>9</v>
      </c>
      <c r="F2071" s="3">
        <v>210</v>
      </c>
      <c r="G2071" s="3">
        <v>210</v>
      </c>
      <c r="H2071" t="s">
        <v>3</v>
      </c>
      <c r="I2071" t="s">
        <v>3</v>
      </c>
      <c r="J2071" t="s">
        <v>9</v>
      </c>
      <c r="K2071" t="s">
        <v>9</v>
      </c>
      <c r="L2071" t="s">
        <v>22</v>
      </c>
      <c r="M2071" t="s">
        <v>35</v>
      </c>
      <c r="N2071" s="2">
        <v>46265</v>
      </c>
    </row>
    <row r="2072" spans="1:14" x14ac:dyDescent="0.25">
      <c r="A2072" t="s">
        <v>460</v>
      </c>
      <c r="B2072" s="2">
        <v>45888</v>
      </c>
      <c r="C2072" t="s">
        <v>460</v>
      </c>
      <c r="D2072" t="s">
        <v>33</v>
      </c>
      <c r="E2072" t="s">
        <v>9</v>
      </c>
      <c r="F2072" s="3">
        <v>-6720</v>
      </c>
      <c r="G2072" s="3">
        <v>-6720</v>
      </c>
      <c r="H2072" t="s">
        <v>3</v>
      </c>
      <c r="I2072" t="s">
        <v>3</v>
      </c>
      <c r="J2072" t="s">
        <v>9</v>
      </c>
      <c r="K2072" t="s">
        <v>5</v>
      </c>
      <c r="L2072" t="s">
        <v>22</v>
      </c>
      <c r="M2072" t="s">
        <v>35</v>
      </c>
      <c r="N2072" s="2">
        <v>45888</v>
      </c>
    </row>
    <row r="2073" spans="1:14" x14ac:dyDescent="0.25">
      <c r="A2073" t="s">
        <v>460</v>
      </c>
      <c r="B2073" s="2">
        <v>46254</v>
      </c>
      <c r="C2073" t="s">
        <v>460</v>
      </c>
      <c r="D2073" t="s">
        <v>33</v>
      </c>
      <c r="E2073" t="s">
        <v>9</v>
      </c>
      <c r="F2073" s="3">
        <v>-210</v>
      </c>
      <c r="G2073" s="3">
        <v>-210</v>
      </c>
      <c r="H2073" t="s">
        <v>3</v>
      </c>
      <c r="I2073" t="s">
        <v>3</v>
      </c>
      <c r="J2073" t="s">
        <v>9</v>
      </c>
      <c r="K2073" t="s">
        <v>13</v>
      </c>
      <c r="L2073" t="s">
        <v>22</v>
      </c>
      <c r="M2073" t="s">
        <v>35</v>
      </c>
      <c r="N2073" s="2">
        <v>46254</v>
      </c>
    </row>
    <row r="2074" spans="1:14" x14ac:dyDescent="0.25">
      <c r="A2074" s="4" t="s">
        <v>267</v>
      </c>
      <c r="B2074" s="5"/>
      <c r="C2074" s="4" t="s">
        <v>9</v>
      </c>
      <c r="D2074" s="4" t="s">
        <v>9</v>
      </c>
      <c r="E2074" s="4" t="s">
        <v>9</v>
      </c>
      <c r="F2074" s="6">
        <v>0</v>
      </c>
      <c r="G2074" s="6">
        <v>0</v>
      </c>
      <c r="H2074" s="4" t="s">
        <v>9</v>
      </c>
      <c r="I2074" s="4" t="s">
        <v>3</v>
      </c>
      <c r="J2074" s="4" t="s">
        <v>9</v>
      </c>
      <c r="K2074" s="4" t="s">
        <v>9</v>
      </c>
      <c r="L2074" s="4" t="s">
        <v>9</v>
      </c>
      <c r="M2074" s="4" t="s">
        <v>9</v>
      </c>
      <c r="N2074" s="5"/>
    </row>
    <row r="2075" spans="1:14" x14ac:dyDescent="0.25">
      <c r="A2075" t="s">
        <v>460</v>
      </c>
      <c r="B2075" s="2">
        <v>45932</v>
      </c>
      <c r="C2075" t="s">
        <v>460</v>
      </c>
      <c r="D2075" t="s">
        <v>33</v>
      </c>
      <c r="E2075" t="s">
        <v>9</v>
      </c>
      <c r="F2075" s="3">
        <v>4200</v>
      </c>
      <c r="G2075" s="3">
        <v>4200</v>
      </c>
      <c r="H2075" t="s">
        <v>3</v>
      </c>
      <c r="I2075" t="s">
        <v>3</v>
      </c>
      <c r="J2075" t="s">
        <v>9</v>
      </c>
      <c r="K2075" t="s">
        <v>9</v>
      </c>
      <c r="L2075" t="s">
        <v>6</v>
      </c>
      <c r="M2075" t="s">
        <v>35</v>
      </c>
      <c r="N2075" s="2">
        <v>45930</v>
      </c>
    </row>
    <row r="2076" spans="1:14" x14ac:dyDescent="0.25">
      <c r="A2076" t="s">
        <v>460</v>
      </c>
      <c r="B2076" s="2">
        <v>45910</v>
      </c>
      <c r="C2076" t="s">
        <v>460</v>
      </c>
      <c r="D2076" t="s">
        <v>33</v>
      </c>
      <c r="E2076" t="s">
        <v>9</v>
      </c>
      <c r="F2076" s="3">
        <v>-4200</v>
      </c>
      <c r="G2076" s="3">
        <v>-4200</v>
      </c>
      <c r="H2076" t="s">
        <v>3</v>
      </c>
      <c r="I2076" t="s">
        <v>3</v>
      </c>
      <c r="J2076" t="s">
        <v>9</v>
      </c>
      <c r="K2076" t="s">
        <v>5</v>
      </c>
      <c r="L2076" t="s">
        <v>6</v>
      </c>
      <c r="M2076" t="s">
        <v>35</v>
      </c>
      <c r="N2076" s="2">
        <v>45910</v>
      </c>
    </row>
    <row r="2077" spans="1:14" x14ac:dyDescent="0.25">
      <c r="A2077" s="4" t="s">
        <v>272</v>
      </c>
      <c r="B2077" s="5"/>
      <c r="C2077" s="4" t="s">
        <v>9</v>
      </c>
      <c r="D2077" s="4" t="s">
        <v>9</v>
      </c>
      <c r="E2077" s="4" t="s">
        <v>9</v>
      </c>
      <c r="F2077" s="6">
        <v>0</v>
      </c>
      <c r="G2077" s="6">
        <v>0</v>
      </c>
      <c r="H2077" s="4" t="s">
        <v>9</v>
      </c>
      <c r="I2077" s="4" t="s">
        <v>3</v>
      </c>
      <c r="J2077" s="4" t="s">
        <v>9</v>
      </c>
      <c r="K2077" s="4" t="s">
        <v>9</v>
      </c>
      <c r="L2077" s="4" t="s">
        <v>9</v>
      </c>
      <c r="M2077" s="4" t="s">
        <v>9</v>
      </c>
      <c r="N2077" s="5"/>
    </row>
    <row r="2078" spans="1:14" x14ac:dyDescent="0.25">
      <c r="A2078" t="s">
        <v>460</v>
      </c>
      <c r="B2078" s="2">
        <v>45965</v>
      </c>
      <c r="C2078" t="s">
        <v>460</v>
      </c>
      <c r="D2078" t="s">
        <v>33</v>
      </c>
      <c r="E2078" t="s">
        <v>9</v>
      </c>
      <c r="F2078" s="3">
        <v>9030</v>
      </c>
      <c r="G2078" s="3">
        <v>9030</v>
      </c>
      <c r="H2078" t="s">
        <v>3</v>
      </c>
      <c r="I2078" t="s">
        <v>3</v>
      </c>
      <c r="J2078" t="s">
        <v>9</v>
      </c>
      <c r="K2078" t="s">
        <v>9</v>
      </c>
      <c r="L2078" t="s">
        <v>8</v>
      </c>
      <c r="M2078" t="s">
        <v>35</v>
      </c>
      <c r="N2078" s="2">
        <v>45961</v>
      </c>
    </row>
    <row r="2079" spans="1:14" x14ac:dyDescent="0.25">
      <c r="A2079" t="s">
        <v>460</v>
      </c>
      <c r="B2079" s="2">
        <v>45947</v>
      </c>
      <c r="C2079" t="s">
        <v>460</v>
      </c>
      <c r="D2079" t="s">
        <v>33</v>
      </c>
      <c r="E2079" t="s">
        <v>9</v>
      </c>
      <c r="F2079" s="3">
        <v>-9030</v>
      </c>
      <c r="G2079" s="3">
        <v>-9030</v>
      </c>
      <c r="H2079" t="s">
        <v>3</v>
      </c>
      <c r="I2079" t="s">
        <v>3</v>
      </c>
      <c r="J2079" t="s">
        <v>9</v>
      </c>
      <c r="K2079" t="s">
        <v>5</v>
      </c>
      <c r="L2079" t="s">
        <v>8</v>
      </c>
      <c r="M2079" t="s">
        <v>35</v>
      </c>
      <c r="N2079" s="2">
        <v>45947</v>
      </c>
    </row>
    <row r="2080" spans="1:14" x14ac:dyDescent="0.25">
      <c r="A2080" s="4" t="s">
        <v>278</v>
      </c>
      <c r="B2080" s="5"/>
      <c r="C2080" s="4" t="s">
        <v>9</v>
      </c>
      <c r="D2080" s="4" t="s">
        <v>9</v>
      </c>
      <c r="E2080" s="4" t="s">
        <v>9</v>
      </c>
      <c r="F2080" s="6">
        <v>0</v>
      </c>
      <c r="G2080" s="6">
        <v>0</v>
      </c>
      <c r="H2080" s="4" t="s">
        <v>9</v>
      </c>
      <c r="I2080" s="4" t="s">
        <v>3</v>
      </c>
      <c r="J2080" s="4" t="s">
        <v>9</v>
      </c>
      <c r="K2080" s="4" t="s">
        <v>9</v>
      </c>
      <c r="L2080" s="4" t="s">
        <v>9</v>
      </c>
      <c r="M2080" s="4" t="s">
        <v>9</v>
      </c>
      <c r="N2080" s="5"/>
    </row>
    <row r="2081" spans="1:14" x14ac:dyDescent="0.25">
      <c r="A2081" t="s">
        <v>460</v>
      </c>
      <c r="B2081" s="2">
        <v>45993</v>
      </c>
      <c r="C2081" t="s">
        <v>460</v>
      </c>
      <c r="D2081" t="s">
        <v>33</v>
      </c>
      <c r="E2081" t="s">
        <v>9</v>
      </c>
      <c r="F2081" s="3">
        <v>7245</v>
      </c>
      <c r="G2081" s="3">
        <v>7245</v>
      </c>
      <c r="H2081" t="s">
        <v>3</v>
      </c>
      <c r="I2081" t="s">
        <v>3</v>
      </c>
      <c r="J2081" t="s">
        <v>9</v>
      </c>
      <c r="K2081" t="s">
        <v>9</v>
      </c>
      <c r="L2081" t="s">
        <v>11</v>
      </c>
      <c r="M2081" t="s">
        <v>35</v>
      </c>
      <c r="N2081" s="2">
        <v>45991</v>
      </c>
    </row>
    <row r="2082" spans="1:14" x14ac:dyDescent="0.25">
      <c r="A2082" t="s">
        <v>460</v>
      </c>
      <c r="B2082" s="2">
        <v>45979</v>
      </c>
      <c r="C2082" t="s">
        <v>460</v>
      </c>
      <c r="D2082" t="s">
        <v>33</v>
      </c>
      <c r="E2082" t="s">
        <v>9</v>
      </c>
      <c r="F2082" s="3">
        <v>-7245</v>
      </c>
      <c r="G2082" s="3">
        <v>-7245</v>
      </c>
      <c r="H2082" t="s">
        <v>3</v>
      </c>
      <c r="I2082" t="s">
        <v>3</v>
      </c>
      <c r="J2082" t="s">
        <v>9</v>
      </c>
      <c r="K2082" t="s">
        <v>5</v>
      </c>
      <c r="L2082" t="s">
        <v>11</v>
      </c>
      <c r="M2082" t="s">
        <v>35</v>
      </c>
      <c r="N2082" s="2">
        <v>45979</v>
      </c>
    </row>
    <row r="2083" spans="1:14" x14ac:dyDescent="0.25">
      <c r="A2083" s="4" t="s">
        <v>226</v>
      </c>
      <c r="B2083" s="5"/>
      <c r="C2083" s="4" t="s">
        <v>9</v>
      </c>
      <c r="D2083" s="4" t="s">
        <v>9</v>
      </c>
      <c r="E2083" s="4" t="s">
        <v>9</v>
      </c>
      <c r="F2083" s="6">
        <v>0</v>
      </c>
      <c r="G2083" s="6">
        <v>0</v>
      </c>
      <c r="H2083" s="4" t="s">
        <v>9</v>
      </c>
      <c r="I2083" s="4" t="s">
        <v>3</v>
      </c>
      <c r="J2083" s="4" t="s">
        <v>9</v>
      </c>
      <c r="K2083" s="4" t="s">
        <v>9</v>
      </c>
      <c r="L2083" s="4" t="s">
        <v>9</v>
      </c>
      <c r="M2083" s="4" t="s">
        <v>9</v>
      </c>
      <c r="N2083" s="5"/>
    </row>
    <row r="2084" spans="1:14" x14ac:dyDescent="0.25">
      <c r="A2084" t="s">
        <v>460</v>
      </c>
      <c r="B2084" s="2">
        <v>46028</v>
      </c>
      <c r="C2084" t="s">
        <v>460</v>
      </c>
      <c r="D2084" t="s">
        <v>33</v>
      </c>
      <c r="E2084" t="s">
        <v>9</v>
      </c>
      <c r="F2084" s="3">
        <v>1155</v>
      </c>
      <c r="G2084" s="3">
        <v>1155</v>
      </c>
      <c r="H2084" t="s">
        <v>3</v>
      </c>
      <c r="I2084" t="s">
        <v>3</v>
      </c>
      <c r="J2084" t="s">
        <v>9</v>
      </c>
      <c r="K2084" t="s">
        <v>9</v>
      </c>
      <c r="L2084" t="s">
        <v>12</v>
      </c>
      <c r="M2084" t="s">
        <v>35</v>
      </c>
      <c r="N2084" s="2">
        <v>46022</v>
      </c>
    </row>
    <row r="2085" spans="1:14" x14ac:dyDescent="0.25">
      <c r="A2085" t="s">
        <v>460</v>
      </c>
      <c r="B2085" s="2">
        <v>46007</v>
      </c>
      <c r="C2085" t="s">
        <v>460</v>
      </c>
      <c r="D2085" t="s">
        <v>33</v>
      </c>
      <c r="E2085" t="s">
        <v>9</v>
      </c>
      <c r="F2085" s="3">
        <v>-1155</v>
      </c>
      <c r="G2085" s="3">
        <v>-1155</v>
      </c>
      <c r="H2085" t="s">
        <v>3</v>
      </c>
      <c r="I2085" t="s">
        <v>3</v>
      </c>
      <c r="J2085" t="s">
        <v>9</v>
      </c>
      <c r="K2085" t="s">
        <v>5</v>
      </c>
      <c r="L2085" t="s">
        <v>12</v>
      </c>
      <c r="M2085" t="s">
        <v>35</v>
      </c>
      <c r="N2085" s="2">
        <v>46007</v>
      </c>
    </row>
    <row r="2086" spans="1:14" x14ac:dyDescent="0.25">
      <c r="A2086" s="4" t="s">
        <v>228</v>
      </c>
      <c r="B2086" s="5"/>
      <c r="C2086" s="4" t="s">
        <v>9</v>
      </c>
      <c r="D2086" s="4" t="s">
        <v>9</v>
      </c>
      <c r="E2086" s="4" t="s">
        <v>9</v>
      </c>
      <c r="F2086" s="6">
        <v>0</v>
      </c>
      <c r="G2086" s="6">
        <v>0</v>
      </c>
      <c r="H2086" s="4" t="s">
        <v>9</v>
      </c>
      <c r="I2086" s="4" t="s">
        <v>3</v>
      </c>
      <c r="J2086" s="4" t="s">
        <v>9</v>
      </c>
      <c r="K2086" s="4" t="s">
        <v>9</v>
      </c>
      <c r="L2086" s="4" t="s">
        <v>9</v>
      </c>
      <c r="M2086" s="4" t="s">
        <v>9</v>
      </c>
      <c r="N2086" s="5"/>
    </row>
    <row r="2087" spans="1:14" x14ac:dyDescent="0.25">
      <c r="A2087" s="4" t="s">
        <v>460</v>
      </c>
      <c r="B2087" s="5"/>
      <c r="C2087" s="4" t="s">
        <v>9</v>
      </c>
      <c r="D2087" s="4" t="s">
        <v>9</v>
      </c>
      <c r="E2087" s="4" t="s">
        <v>9</v>
      </c>
      <c r="F2087" s="6">
        <v>0</v>
      </c>
      <c r="G2087" s="6">
        <v>0</v>
      </c>
      <c r="H2087" s="4" t="s">
        <v>9</v>
      </c>
      <c r="I2087" s="4" t="s">
        <v>3</v>
      </c>
      <c r="J2087" s="4" t="s">
        <v>9</v>
      </c>
      <c r="K2087" s="4" t="s">
        <v>9</v>
      </c>
      <c r="L2087" s="4" t="s">
        <v>9</v>
      </c>
      <c r="M2087" s="4" t="s">
        <v>9</v>
      </c>
      <c r="N2087" s="5"/>
    </row>
    <row r="2088" spans="1:14" x14ac:dyDescent="0.25">
      <c r="A2088" t="s">
        <v>461</v>
      </c>
      <c r="B2088" s="2">
        <v>46056</v>
      </c>
      <c r="C2088" t="s">
        <v>461</v>
      </c>
      <c r="D2088" t="s">
        <v>112</v>
      </c>
      <c r="E2088" t="s">
        <v>9</v>
      </c>
      <c r="F2088" s="3">
        <v>-6600</v>
      </c>
      <c r="G2088" s="3">
        <v>-6600</v>
      </c>
      <c r="H2088" t="s">
        <v>3</v>
      </c>
      <c r="I2088" t="s">
        <v>3</v>
      </c>
      <c r="J2088" t="s">
        <v>9</v>
      </c>
      <c r="K2088" t="s">
        <v>9</v>
      </c>
      <c r="L2088" t="s">
        <v>14</v>
      </c>
      <c r="M2088" t="s">
        <v>114</v>
      </c>
      <c r="N2088" s="2">
        <v>46053</v>
      </c>
    </row>
    <row r="2089" spans="1:14" x14ac:dyDescent="0.25">
      <c r="A2089" t="s">
        <v>461</v>
      </c>
      <c r="B2089" s="2">
        <v>46022</v>
      </c>
      <c r="C2089" t="s">
        <v>461</v>
      </c>
      <c r="D2089" t="s">
        <v>112</v>
      </c>
      <c r="E2089" t="s">
        <v>9</v>
      </c>
      <c r="F2089" s="3">
        <v>-48400</v>
      </c>
      <c r="G2089" s="3">
        <v>-48400</v>
      </c>
      <c r="H2089" t="s">
        <v>3</v>
      </c>
      <c r="I2089" t="s">
        <v>3</v>
      </c>
      <c r="J2089" t="s">
        <v>298</v>
      </c>
      <c r="K2089" t="s">
        <v>13</v>
      </c>
      <c r="L2089" t="s">
        <v>14</v>
      </c>
      <c r="M2089" t="s">
        <v>114</v>
      </c>
      <c r="N2089" s="2">
        <v>46023</v>
      </c>
    </row>
    <row r="2090" spans="1:14" x14ac:dyDescent="0.25">
      <c r="A2090" t="s">
        <v>461</v>
      </c>
      <c r="B2090" s="2">
        <v>46023</v>
      </c>
      <c r="C2090" t="s">
        <v>461</v>
      </c>
      <c r="D2090" t="s">
        <v>112</v>
      </c>
      <c r="E2090" t="s">
        <v>9</v>
      </c>
      <c r="F2090" s="3">
        <v>48400</v>
      </c>
      <c r="G2090" s="3">
        <v>48400</v>
      </c>
      <c r="H2090" t="s">
        <v>3</v>
      </c>
      <c r="I2090" t="s">
        <v>3</v>
      </c>
      <c r="J2090" t="s">
        <v>298</v>
      </c>
      <c r="K2090" t="s">
        <v>13</v>
      </c>
      <c r="L2090" t="s">
        <v>14</v>
      </c>
      <c r="M2090" t="s">
        <v>114</v>
      </c>
      <c r="N2090" s="2">
        <v>46023</v>
      </c>
    </row>
    <row r="2091" spans="1:14" x14ac:dyDescent="0.25">
      <c r="A2091" t="s">
        <v>461</v>
      </c>
      <c r="B2091" s="2">
        <v>46053</v>
      </c>
      <c r="C2091" t="s">
        <v>461</v>
      </c>
      <c r="D2091" t="s">
        <v>112</v>
      </c>
      <c r="E2091" t="s">
        <v>9</v>
      </c>
      <c r="F2091" s="3">
        <v>6600</v>
      </c>
      <c r="G2091" s="3">
        <v>6600</v>
      </c>
      <c r="H2091" t="s">
        <v>3</v>
      </c>
      <c r="I2091" t="s">
        <v>3</v>
      </c>
      <c r="J2091" t="s">
        <v>300</v>
      </c>
      <c r="K2091" t="s">
        <v>13</v>
      </c>
      <c r="L2091" t="s">
        <v>14</v>
      </c>
      <c r="M2091" t="s">
        <v>114</v>
      </c>
      <c r="N2091" s="2">
        <v>46053</v>
      </c>
    </row>
    <row r="2092" spans="1:14" x14ac:dyDescent="0.25">
      <c r="A2092" s="4" t="s">
        <v>234</v>
      </c>
      <c r="B2092" s="5"/>
      <c r="C2092" s="4" t="s">
        <v>9</v>
      </c>
      <c r="D2092" s="4" t="s">
        <v>9</v>
      </c>
      <c r="E2092" s="4" t="s">
        <v>9</v>
      </c>
      <c r="F2092" s="6">
        <v>0</v>
      </c>
      <c r="G2092" s="6">
        <v>0</v>
      </c>
      <c r="H2092" s="4" t="s">
        <v>9</v>
      </c>
      <c r="I2092" s="4" t="s">
        <v>3</v>
      </c>
      <c r="J2092" s="4" t="s">
        <v>9</v>
      </c>
      <c r="K2092" s="4" t="s">
        <v>9</v>
      </c>
      <c r="L2092" s="4" t="s">
        <v>9</v>
      </c>
      <c r="M2092" s="4" t="s">
        <v>9</v>
      </c>
      <c r="N2092" s="5"/>
    </row>
    <row r="2093" spans="1:14" x14ac:dyDescent="0.25">
      <c r="A2093" t="s">
        <v>461</v>
      </c>
      <c r="B2093" s="2">
        <v>46084</v>
      </c>
      <c r="C2093" t="s">
        <v>461</v>
      </c>
      <c r="D2093" t="s">
        <v>112</v>
      </c>
      <c r="E2093" t="s">
        <v>9</v>
      </c>
      <c r="F2093" s="3">
        <v>-600</v>
      </c>
      <c r="G2093" s="3">
        <v>-600</v>
      </c>
      <c r="H2093" t="s">
        <v>3</v>
      </c>
      <c r="I2093" t="s">
        <v>3</v>
      </c>
      <c r="J2093" t="s">
        <v>9</v>
      </c>
      <c r="K2093" t="s">
        <v>9</v>
      </c>
      <c r="L2093" t="s">
        <v>15</v>
      </c>
      <c r="M2093" t="s">
        <v>114</v>
      </c>
      <c r="N2093" s="2">
        <v>46081</v>
      </c>
    </row>
    <row r="2094" spans="1:14" x14ac:dyDescent="0.25">
      <c r="A2094" t="s">
        <v>461</v>
      </c>
      <c r="B2094" s="2">
        <v>46054</v>
      </c>
      <c r="C2094" t="s">
        <v>461</v>
      </c>
      <c r="D2094" t="s">
        <v>112</v>
      </c>
      <c r="E2094" t="s">
        <v>9</v>
      </c>
      <c r="F2094" s="3">
        <v>-6600</v>
      </c>
      <c r="G2094" s="3">
        <v>-6600</v>
      </c>
      <c r="H2094" t="s">
        <v>3</v>
      </c>
      <c r="I2094" t="s">
        <v>3</v>
      </c>
      <c r="J2094" t="s">
        <v>300</v>
      </c>
      <c r="K2094" t="s">
        <v>13</v>
      </c>
      <c r="L2094" t="s">
        <v>15</v>
      </c>
      <c r="M2094" t="s">
        <v>114</v>
      </c>
      <c r="N2094" s="2">
        <v>46054</v>
      </c>
    </row>
    <row r="2095" spans="1:14" x14ac:dyDescent="0.25">
      <c r="A2095" t="s">
        <v>461</v>
      </c>
      <c r="B2095" s="2">
        <v>46054</v>
      </c>
      <c r="C2095" t="s">
        <v>461</v>
      </c>
      <c r="D2095" t="s">
        <v>112</v>
      </c>
      <c r="E2095" t="s">
        <v>9</v>
      </c>
      <c r="F2095" s="3">
        <v>6600</v>
      </c>
      <c r="G2095" s="3">
        <v>6600</v>
      </c>
      <c r="H2095" t="s">
        <v>3</v>
      </c>
      <c r="I2095" t="s">
        <v>3</v>
      </c>
      <c r="J2095" t="s">
        <v>300</v>
      </c>
      <c r="K2095" t="s">
        <v>13</v>
      </c>
      <c r="L2095" t="s">
        <v>15</v>
      </c>
      <c r="M2095" t="s">
        <v>114</v>
      </c>
      <c r="N2095" s="2">
        <v>46055</v>
      </c>
    </row>
    <row r="2096" spans="1:14" x14ac:dyDescent="0.25">
      <c r="A2096" t="s">
        <v>461</v>
      </c>
      <c r="B2096" s="2">
        <v>46054</v>
      </c>
      <c r="C2096" t="s">
        <v>461</v>
      </c>
      <c r="D2096" t="s">
        <v>112</v>
      </c>
      <c r="E2096" t="s">
        <v>9</v>
      </c>
      <c r="F2096" s="3">
        <v>-6600</v>
      </c>
      <c r="G2096" s="3">
        <v>-6600</v>
      </c>
      <c r="H2096" t="s">
        <v>3</v>
      </c>
      <c r="I2096" t="s">
        <v>3</v>
      </c>
      <c r="J2096" t="s">
        <v>300</v>
      </c>
      <c r="K2096" t="s">
        <v>13</v>
      </c>
      <c r="L2096" t="s">
        <v>15</v>
      </c>
      <c r="M2096" t="s">
        <v>114</v>
      </c>
      <c r="N2096" s="2">
        <v>46054</v>
      </c>
    </row>
    <row r="2097" spans="1:14" x14ac:dyDescent="0.25">
      <c r="A2097" t="s">
        <v>461</v>
      </c>
      <c r="B2097" s="2">
        <v>46081</v>
      </c>
      <c r="C2097" t="s">
        <v>461</v>
      </c>
      <c r="D2097" t="s">
        <v>112</v>
      </c>
      <c r="E2097" t="s">
        <v>9</v>
      </c>
      <c r="F2097" s="3">
        <v>7200</v>
      </c>
      <c r="G2097" s="3">
        <v>7200</v>
      </c>
      <c r="H2097" t="s">
        <v>3</v>
      </c>
      <c r="I2097" t="s">
        <v>3</v>
      </c>
      <c r="J2097" t="s">
        <v>304</v>
      </c>
      <c r="K2097" t="s">
        <v>13</v>
      </c>
      <c r="L2097" t="s">
        <v>15</v>
      </c>
      <c r="M2097" t="s">
        <v>114</v>
      </c>
      <c r="N2097" s="2">
        <v>46081</v>
      </c>
    </row>
    <row r="2098" spans="1:14" x14ac:dyDescent="0.25">
      <c r="A2098" s="4" t="s">
        <v>239</v>
      </c>
      <c r="B2098" s="5"/>
      <c r="C2098" s="4" t="s">
        <v>9</v>
      </c>
      <c r="D2098" s="4" t="s">
        <v>9</v>
      </c>
      <c r="E2098" s="4" t="s">
        <v>9</v>
      </c>
      <c r="F2098" s="6">
        <v>0</v>
      </c>
      <c r="G2098" s="6">
        <v>0</v>
      </c>
      <c r="H2098" s="4" t="s">
        <v>9</v>
      </c>
      <c r="I2098" s="4" t="s">
        <v>3</v>
      </c>
      <c r="J2098" s="4" t="s">
        <v>9</v>
      </c>
      <c r="K2098" s="4" t="s">
        <v>9</v>
      </c>
      <c r="L2098" s="4" t="s">
        <v>9</v>
      </c>
      <c r="M2098" s="4" t="s">
        <v>9</v>
      </c>
      <c r="N2098" s="5"/>
    </row>
    <row r="2099" spans="1:14" x14ac:dyDescent="0.25">
      <c r="A2099" t="s">
        <v>461</v>
      </c>
      <c r="B2099" s="2">
        <v>46115</v>
      </c>
      <c r="C2099" t="s">
        <v>461</v>
      </c>
      <c r="D2099" t="s">
        <v>112</v>
      </c>
      <c r="E2099" t="s">
        <v>9</v>
      </c>
      <c r="F2099" s="3">
        <v>-3700</v>
      </c>
      <c r="G2099" s="3">
        <v>-3700</v>
      </c>
      <c r="H2099" t="s">
        <v>3</v>
      </c>
      <c r="I2099" t="s">
        <v>3</v>
      </c>
      <c r="J2099" t="s">
        <v>9</v>
      </c>
      <c r="K2099" t="s">
        <v>9</v>
      </c>
      <c r="L2099" t="s">
        <v>16</v>
      </c>
      <c r="M2099" t="s">
        <v>114</v>
      </c>
      <c r="N2099" s="2">
        <v>46112</v>
      </c>
    </row>
    <row r="2100" spans="1:14" x14ac:dyDescent="0.25">
      <c r="A2100" t="s">
        <v>461</v>
      </c>
      <c r="B2100" s="2">
        <v>46081</v>
      </c>
      <c r="C2100" t="s">
        <v>461</v>
      </c>
      <c r="D2100" t="s">
        <v>112</v>
      </c>
      <c r="E2100" t="s">
        <v>9</v>
      </c>
      <c r="F2100" s="3">
        <v>-7200</v>
      </c>
      <c r="G2100" s="3">
        <v>-7200</v>
      </c>
      <c r="H2100" t="s">
        <v>3</v>
      </c>
      <c r="I2100" t="s">
        <v>3</v>
      </c>
      <c r="J2100" t="s">
        <v>304</v>
      </c>
      <c r="K2100" t="s">
        <v>13</v>
      </c>
      <c r="L2100" t="s">
        <v>16</v>
      </c>
      <c r="M2100" t="s">
        <v>114</v>
      </c>
      <c r="N2100" s="2">
        <v>46082</v>
      </c>
    </row>
    <row r="2101" spans="1:14" x14ac:dyDescent="0.25">
      <c r="A2101" t="s">
        <v>461</v>
      </c>
      <c r="B2101" s="2">
        <v>46112</v>
      </c>
      <c r="C2101" t="s">
        <v>461</v>
      </c>
      <c r="D2101" t="s">
        <v>112</v>
      </c>
      <c r="E2101" t="s">
        <v>9</v>
      </c>
      <c r="F2101" s="3">
        <v>10900</v>
      </c>
      <c r="G2101" s="3">
        <v>10900</v>
      </c>
      <c r="H2101" t="s">
        <v>3</v>
      </c>
      <c r="I2101" t="s">
        <v>3</v>
      </c>
      <c r="J2101" t="s">
        <v>307</v>
      </c>
      <c r="K2101" t="s">
        <v>13</v>
      </c>
      <c r="L2101" t="s">
        <v>16</v>
      </c>
      <c r="M2101" t="s">
        <v>114</v>
      </c>
      <c r="N2101" s="2">
        <v>46112</v>
      </c>
    </row>
    <row r="2102" spans="1:14" x14ac:dyDescent="0.25">
      <c r="A2102" s="4" t="s">
        <v>244</v>
      </c>
      <c r="B2102" s="5"/>
      <c r="C2102" s="4" t="s">
        <v>9</v>
      </c>
      <c r="D2102" s="4" t="s">
        <v>9</v>
      </c>
      <c r="E2102" s="4" t="s">
        <v>9</v>
      </c>
      <c r="F2102" s="6">
        <v>0</v>
      </c>
      <c r="G2102" s="6">
        <v>0</v>
      </c>
      <c r="H2102" s="4" t="s">
        <v>9</v>
      </c>
      <c r="I2102" s="4" t="s">
        <v>3</v>
      </c>
      <c r="J2102" s="4" t="s">
        <v>9</v>
      </c>
      <c r="K2102" s="4" t="s">
        <v>9</v>
      </c>
      <c r="L2102" s="4" t="s">
        <v>9</v>
      </c>
      <c r="M2102" s="4" t="s">
        <v>9</v>
      </c>
      <c r="N2102" s="5"/>
    </row>
    <row r="2103" spans="1:14" x14ac:dyDescent="0.25">
      <c r="A2103" t="s">
        <v>461</v>
      </c>
      <c r="B2103" s="2">
        <v>46147</v>
      </c>
      <c r="C2103" t="s">
        <v>461</v>
      </c>
      <c r="D2103" t="s">
        <v>112</v>
      </c>
      <c r="E2103" t="s">
        <v>9</v>
      </c>
      <c r="F2103" s="3">
        <v>-1600</v>
      </c>
      <c r="G2103" s="3">
        <v>-1600</v>
      </c>
      <c r="H2103" t="s">
        <v>3</v>
      </c>
      <c r="I2103" t="s">
        <v>3</v>
      </c>
      <c r="J2103" t="s">
        <v>9</v>
      </c>
      <c r="K2103" t="s">
        <v>9</v>
      </c>
      <c r="L2103" t="s">
        <v>17</v>
      </c>
      <c r="M2103" t="s">
        <v>114</v>
      </c>
      <c r="N2103" s="2">
        <v>46142</v>
      </c>
    </row>
    <row r="2104" spans="1:14" x14ac:dyDescent="0.25">
      <c r="A2104" t="s">
        <v>461</v>
      </c>
      <c r="B2104" s="2">
        <v>46112</v>
      </c>
      <c r="C2104" t="s">
        <v>461</v>
      </c>
      <c r="D2104" t="s">
        <v>112</v>
      </c>
      <c r="E2104" t="s">
        <v>9</v>
      </c>
      <c r="F2104" s="3">
        <v>-10900</v>
      </c>
      <c r="G2104" s="3">
        <v>-10900</v>
      </c>
      <c r="H2104" t="s">
        <v>3</v>
      </c>
      <c r="I2104" t="s">
        <v>3</v>
      </c>
      <c r="J2104" t="s">
        <v>307</v>
      </c>
      <c r="K2104" t="s">
        <v>13</v>
      </c>
      <c r="L2104" t="s">
        <v>17</v>
      </c>
      <c r="M2104" t="s">
        <v>114</v>
      </c>
      <c r="N2104" s="2">
        <v>46113</v>
      </c>
    </row>
    <row r="2105" spans="1:14" x14ac:dyDescent="0.25">
      <c r="A2105" t="s">
        <v>461</v>
      </c>
      <c r="B2105" s="2">
        <v>46142</v>
      </c>
      <c r="C2105" t="s">
        <v>461</v>
      </c>
      <c r="D2105" t="s">
        <v>112</v>
      </c>
      <c r="E2105" t="s">
        <v>9</v>
      </c>
      <c r="F2105" s="3">
        <v>12500</v>
      </c>
      <c r="G2105" s="3">
        <v>12500</v>
      </c>
      <c r="H2105" t="s">
        <v>3</v>
      </c>
      <c r="I2105" t="s">
        <v>3</v>
      </c>
      <c r="J2105" t="s">
        <v>310</v>
      </c>
      <c r="K2105" t="s">
        <v>13</v>
      </c>
      <c r="L2105" t="s">
        <v>17</v>
      </c>
      <c r="M2105" t="s">
        <v>114</v>
      </c>
      <c r="N2105" s="2">
        <v>46142</v>
      </c>
    </row>
    <row r="2106" spans="1:14" x14ac:dyDescent="0.25">
      <c r="A2106" s="4" t="s">
        <v>249</v>
      </c>
      <c r="B2106" s="5"/>
      <c r="C2106" s="4" t="s">
        <v>9</v>
      </c>
      <c r="D2106" s="4" t="s">
        <v>9</v>
      </c>
      <c r="E2106" s="4" t="s">
        <v>9</v>
      </c>
      <c r="F2106" s="6">
        <v>0</v>
      </c>
      <c r="G2106" s="6">
        <v>0</v>
      </c>
      <c r="H2106" s="4" t="s">
        <v>9</v>
      </c>
      <c r="I2106" s="4" t="s">
        <v>3</v>
      </c>
      <c r="J2106" s="4" t="s">
        <v>9</v>
      </c>
      <c r="K2106" s="4" t="s">
        <v>9</v>
      </c>
      <c r="L2106" s="4" t="s">
        <v>9</v>
      </c>
      <c r="M2106" s="4" t="s">
        <v>9</v>
      </c>
      <c r="N2106" s="5"/>
    </row>
    <row r="2107" spans="1:14" x14ac:dyDescent="0.25">
      <c r="A2107" t="s">
        <v>461</v>
      </c>
      <c r="B2107" s="2">
        <v>45810</v>
      </c>
      <c r="C2107" t="s">
        <v>461</v>
      </c>
      <c r="D2107" t="s">
        <v>112</v>
      </c>
      <c r="E2107" t="s">
        <v>9</v>
      </c>
      <c r="F2107" s="3">
        <v>-20000</v>
      </c>
      <c r="G2107" s="3">
        <v>-20000</v>
      </c>
      <c r="H2107" t="s">
        <v>3</v>
      </c>
      <c r="I2107" t="s">
        <v>3</v>
      </c>
      <c r="J2107" t="s">
        <v>9</v>
      </c>
      <c r="K2107" t="s">
        <v>9</v>
      </c>
      <c r="L2107" t="s">
        <v>18</v>
      </c>
      <c r="M2107" t="s">
        <v>114</v>
      </c>
      <c r="N2107" s="2">
        <v>45808</v>
      </c>
    </row>
    <row r="2108" spans="1:14" x14ac:dyDescent="0.25">
      <c r="A2108" t="s">
        <v>461</v>
      </c>
      <c r="B2108" s="2">
        <v>46175</v>
      </c>
      <c r="C2108" t="s">
        <v>461</v>
      </c>
      <c r="D2108" t="s">
        <v>112</v>
      </c>
      <c r="E2108" t="s">
        <v>9</v>
      </c>
      <c r="F2108" s="3">
        <v>-900</v>
      </c>
      <c r="G2108" s="3">
        <v>-900</v>
      </c>
      <c r="H2108" t="s">
        <v>3</v>
      </c>
      <c r="I2108" t="s">
        <v>3</v>
      </c>
      <c r="J2108" t="s">
        <v>9</v>
      </c>
      <c r="K2108" t="s">
        <v>9</v>
      </c>
      <c r="L2108" t="s">
        <v>18</v>
      </c>
      <c r="M2108" t="s">
        <v>114</v>
      </c>
      <c r="N2108" s="2">
        <v>46173</v>
      </c>
    </row>
    <row r="2109" spans="1:14" x14ac:dyDescent="0.25">
      <c r="A2109" t="s">
        <v>461</v>
      </c>
      <c r="B2109" s="2">
        <v>45808</v>
      </c>
      <c r="C2109" t="s">
        <v>461</v>
      </c>
      <c r="D2109" t="s">
        <v>112</v>
      </c>
      <c r="E2109" t="s">
        <v>9</v>
      </c>
      <c r="F2109" s="3">
        <v>20000</v>
      </c>
      <c r="G2109" s="3">
        <v>20000</v>
      </c>
      <c r="H2109" t="s">
        <v>3</v>
      </c>
      <c r="I2109" t="s">
        <v>3</v>
      </c>
      <c r="J2109" t="s">
        <v>311</v>
      </c>
      <c r="K2109" t="s">
        <v>5</v>
      </c>
      <c r="L2109" t="s">
        <v>18</v>
      </c>
      <c r="M2109" t="s">
        <v>114</v>
      </c>
      <c r="N2109" s="2">
        <v>45808</v>
      </c>
    </row>
    <row r="2110" spans="1:14" x14ac:dyDescent="0.25">
      <c r="A2110" t="s">
        <v>461</v>
      </c>
      <c r="B2110" s="2">
        <v>46142</v>
      </c>
      <c r="C2110" t="s">
        <v>461</v>
      </c>
      <c r="D2110" t="s">
        <v>112</v>
      </c>
      <c r="E2110" t="s">
        <v>9</v>
      </c>
      <c r="F2110" s="3">
        <v>-12500</v>
      </c>
      <c r="G2110" s="3">
        <v>-12500</v>
      </c>
      <c r="H2110" t="s">
        <v>3</v>
      </c>
      <c r="I2110" t="s">
        <v>3</v>
      </c>
      <c r="J2110" t="s">
        <v>310</v>
      </c>
      <c r="K2110" t="s">
        <v>13</v>
      </c>
      <c r="L2110" t="s">
        <v>18</v>
      </c>
      <c r="M2110" t="s">
        <v>114</v>
      </c>
      <c r="N2110" s="2">
        <v>46143</v>
      </c>
    </row>
    <row r="2111" spans="1:14" x14ac:dyDescent="0.25">
      <c r="A2111" t="s">
        <v>461</v>
      </c>
      <c r="B2111" s="2">
        <v>46173</v>
      </c>
      <c r="C2111" t="s">
        <v>461</v>
      </c>
      <c r="D2111" t="s">
        <v>112</v>
      </c>
      <c r="E2111" t="s">
        <v>9</v>
      </c>
      <c r="F2111" s="3">
        <v>13400</v>
      </c>
      <c r="G2111" s="3">
        <v>13400</v>
      </c>
      <c r="H2111" t="s">
        <v>3</v>
      </c>
      <c r="I2111" t="s">
        <v>3</v>
      </c>
      <c r="J2111" t="s">
        <v>313</v>
      </c>
      <c r="K2111" t="s">
        <v>13</v>
      </c>
      <c r="L2111" t="s">
        <v>18</v>
      </c>
      <c r="M2111" t="s">
        <v>114</v>
      </c>
      <c r="N2111" s="2">
        <v>46173</v>
      </c>
    </row>
    <row r="2112" spans="1:14" x14ac:dyDescent="0.25">
      <c r="A2112" s="4" t="s">
        <v>223</v>
      </c>
      <c r="B2112" s="5"/>
      <c r="C2112" s="4" t="s">
        <v>9</v>
      </c>
      <c r="D2112" s="4" t="s">
        <v>9</v>
      </c>
      <c r="E2112" s="4" t="s">
        <v>9</v>
      </c>
      <c r="F2112" s="6">
        <v>0</v>
      </c>
      <c r="G2112" s="6">
        <v>0</v>
      </c>
      <c r="H2112" s="4" t="s">
        <v>9</v>
      </c>
      <c r="I2112" s="4" t="s">
        <v>3</v>
      </c>
      <c r="J2112" s="4" t="s">
        <v>9</v>
      </c>
      <c r="K2112" s="4" t="s">
        <v>9</v>
      </c>
      <c r="L2112" s="4" t="s">
        <v>9</v>
      </c>
      <c r="M2112" s="4" t="s">
        <v>9</v>
      </c>
      <c r="N2112" s="5"/>
    </row>
    <row r="2113" spans="1:14" x14ac:dyDescent="0.25">
      <c r="A2113" t="s">
        <v>461</v>
      </c>
      <c r="B2113" s="2">
        <v>45839</v>
      </c>
      <c r="C2113" t="s">
        <v>461</v>
      </c>
      <c r="D2113" t="s">
        <v>112</v>
      </c>
      <c r="E2113" t="s">
        <v>9</v>
      </c>
      <c r="F2113" s="3">
        <v>-1400</v>
      </c>
      <c r="G2113" s="3">
        <v>-1400</v>
      </c>
      <c r="H2113" t="s">
        <v>3</v>
      </c>
      <c r="I2113" t="s">
        <v>3</v>
      </c>
      <c r="J2113" t="s">
        <v>9</v>
      </c>
      <c r="K2113" t="s">
        <v>9</v>
      </c>
      <c r="L2113" t="s">
        <v>19</v>
      </c>
      <c r="M2113" t="s">
        <v>114</v>
      </c>
      <c r="N2113" s="2">
        <v>45838</v>
      </c>
    </row>
    <row r="2114" spans="1:14" x14ac:dyDescent="0.25">
      <c r="A2114" t="s">
        <v>461</v>
      </c>
      <c r="B2114" s="2">
        <v>46205</v>
      </c>
      <c r="C2114" t="s">
        <v>461</v>
      </c>
      <c r="D2114" t="s">
        <v>112</v>
      </c>
      <c r="E2114" t="s">
        <v>9</v>
      </c>
      <c r="F2114" s="3">
        <v>-1200</v>
      </c>
      <c r="G2114" s="3">
        <v>-1200</v>
      </c>
      <c r="H2114" t="s">
        <v>3</v>
      </c>
      <c r="I2114" t="s">
        <v>3</v>
      </c>
      <c r="J2114" t="s">
        <v>9</v>
      </c>
      <c r="K2114" t="s">
        <v>9</v>
      </c>
      <c r="L2114" t="s">
        <v>19</v>
      </c>
      <c r="M2114" t="s">
        <v>114</v>
      </c>
      <c r="N2114" s="2">
        <v>46203</v>
      </c>
    </row>
    <row r="2115" spans="1:14" x14ac:dyDescent="0.25">
      <c r="A2115" t="s">
        <v>461</v>
      </c>
      <c r="B2115" s="2">
        <v>45808</v>
      </c>
      <c r="C2115" t="s">
        <v>461</v>
      </c>
      <c r="D2115" t="s">
        <v>112</v>
      </c>
      <c r="E2115" t="s">
        <v>9</v>
      </c>
      <c r="F2115" s="3">
        <v>-20000</v>
      </c>
      <c r="G2115" s="3">
        <v>-20000</v>
      </c>
      <c r="H2115" t="s">
        <v>3</v>
      </c>
      <c r="I2115" t="s">
        <v>3</v>
      </c>
      <c r="J2115" t="s">
        <v>311</v>
      </c>
      <c r="K2115" t="s">
        <v>5</v>
      </c>
      <c r="L2115" t="s">
        <v>19</v>
      </c>
      <c r="M2115" t="s">
        <v>114</v>
      </c>
      <c r="N2115" s="2">
        <v>45809</v>
      </c>
    </row>
    <row r="2116" spans="1:14" x14ac:dyDescent="0.25">
      <c r="A2116" t="s">
        <v>461</v>
      </c>
      <c r="B2116" s="2">
        <v>45838</v>
      </c>
      <c r="C2116" t="s">
        <v>461</v>
      </c>
      <c r="D2116" t="s">
        <v>112</v>
      </c>
      <c r="E2116" t="s">
        <v>9</v>
      </c>
      <c r="F2116" s="3">
        <v>21400</v>
      </c>
      <c r="G2116" s="3">
        <v>21400</v>
      </c>
      <c r="H2116" t="s">
        <v>3</v>
      </c>
      <c r="I2116" t="s">
        <v>3</v>
      </c>
      <c r="J2116" t="s">
        <v>314</v>
      </c>
      <c r="K2116" t="s">
        <v>5</v>
      </c>
      <c r="L2116" t="s">
        <v>19</v>
      </c>
      <c r="M2116" t="s">
        <v>114</v>
      </c>
      <c r="N2116" s="2">
        <v>45838</v>
      </c>
    </row>
    <row r="2117" spans="1:14" x14ac:dyDescent="0.25">
      <c r="A2117" t="s">
        <v>461</v>
      </c>
      <c r="B2117" s="2">
        <v>46173</v>
      </c>
      <c r="C2117" t="s">
        <v>461</v>
      </c>
      <c r="D2117" t="s">
        <v>112</v>
      </c>
      <c r="E2117" t="s">
        <v>9</v>
      </c>
      <c r="F2117" s="3">
        <v>-13400</v>
      </c>
      <c r="G2117" s="3">
        <v>-13400</v>
      </c>
      <c r="H2117" t="s">
        <v>3</v>
      </c>
      <c r="I2117" t="s">
        <v>3</v>
      </c>
      <c r="J2117" t="s">
        <v>313</v>
      </c>
      <c r="K2117" t="s">
        <v>13</v>
      </c>
      <c r="L2117" t="s">
        <v>19</v>
      </c>
      <c r="M2117" t="s">
        <v>114</v>
      </c>
      <c r="N2117" s="2">
        <v>46174</v>
      </c>
    </row>
    <row r="2118" spans="1:14" x14ac:dyDescent="0.25">
      <c r="A2118" t="s">
        <v>461</v>
      </c>
      <c r="B2118" s="2">
        <v>46203</v>
      </c>
      <c r="C2118" t="s">
        <v>461</v>
      </c>
      <c r="D2118" t="s">
        <v>112</v>
      </c>
      <c r="E2118" t="s">
        <v>9</v>
      </c>
      <c r="F2118" s="3">
        <v>14600</v>
      </c>
      <c r="G2118" s="3">
        <v>14600</v>
      </c>
      <c r="H2118" t="s">
        <v>3</v>
      </c>
      <c r="I2118" t="s">
        <v>3</v>
      </c>
      <c r="J2118" t="s">
        <v>316</v>
      </c>
      <c r="K2118" t="s">
        <v>13</v>
      </c>
      <c r="L2118" t="s">
        <v>19</v>
      </c>
      <c r="M2118" t="s">
        <v>114</v>
      </c>
      <c r="N2118" s="2">
        <v>46203</v>
      </c>
    </row>
    <row r="2119" spans="1:14" x14ac:dyDescent="0.25">
      <c r="A2119" s="4" t="s">
        <v>224</v>
      </c>
      <c r="B2119" s="5"/>
      <c r="C2119" s="4" t="s">
        <v>9</v>
      </c>
      <c r="D2119" s="4" t="s">
        <v>9</v>
      </c>
      <c r="E2119" s="4" t="s">
        <v>9</v>
      </c>
      <c r="F2119" s="6">
        <v>0</v>
      </c>
      <c r="G2119" s="6">
        <v>0</v>
      </c>
      <c r="H2119" s="4" t="s">
        <v>9</v>
      </c>
      <c r="I2119" s="4" t="s">
        <v>3</v>
      </c>
      <c r="J2119" s="4" t="s">
        <v>9</v>
      </c>
      <c r="K2119" s="4" t="s">
        <v>9</v>
      </c>
      <c r="L2119" s="4" t="s">
        <v>9</v>
      </c>
      <c r="M2119" s="4" t="s">
        <v>9</v>
      </c>
      <c r="N2119" s="5"/>
    </row>
    <row r="2120" spans="1:14" x14ac:dyDescent="0.25">
      <c r="A2120" t="s">
        <v>461</v>
      </c>
      <c r="B2120" s="2">
        <v>45870</v>
      </c>
      <c r="C2120" t="s">
        <v>461</v>
      </c>
      <c r="D2120" t="s">
        <v>112</v>
      </c>
      <c r="E2120" t="s">
        <v>9</v>
      </c>
      <c r="F2120" s="3">
        <v>-5000</v>
      </c>
      <c r="G2120" s="3">
        <v>-5000</v>
      </c>
      <c r="H2120" t="s">
        <v>3</v>
      </c>
      <c r="I2120" t="s">
        <v>3</v>
      </c>
      <c r="J2120" t="s">
        <v>9</v>
      </c>
      <c r="K2120" t="s">
        <v>9</v>
      </c>
      <c r="L2120" t="s">
        <v>21</v>
      </c>
      <c r="M2120" t="s">
        <v>114</v>
      </c>
      <c r="N2120" s="2">
        <v>45869</v>
      </c>
    </row>
    <row r="2121" spans="1:14" x14ac:dyDescent="0.25">
      <c r="A2121" t="s">
        <v>461</v>
      </c>
      <c r="B2121" s="2">
        <v>46239</v>
      </c>
      <c r="C2121" t="s">
        <v>461</v>
      </c>
      <c r="D2121" t="s">
        <v>112</v>
      </c>
      <c r="E2121" t="s">
        <v>9</v>
      </c>
      <c r="F2121" s="3">
        <v>14600</v>
      </c>
      <c r="G2121" s="3">
        <v>14600</v>
      </c>
      <c r="H2121" t="s">
        <v>3</v>
      </c>
      <c r="I2121" t="s">
        <v>3</v>
      </c>
      <c r="J2121" t="s">
        <v>9</v>
      </c>
      <c r="K2121" t="s">
        <v>9</v>
      </c>
      <c r="L2121" t="s">
        <v>21</v>
      </c>
      <c r="M2121" t="s">
        <v>114</v>
      </c>
      <c r="N2121" s="2">
        <v>46234</v>
      </c>
    </row>
    <row r="2122" spans="1:14" x14ac:dyDescent="0.25">
      <c r="A2122" t="s">
        <v>461</v>
      </c>
      <c r="B2122" s="2">
        <v>46239</v>
      </c>
      <c r="C2122" t="s">
        <v>461</v>
      </c>
      <c r="D2122" t="s">
        <v>112</v>
      </c>
      <c r="E2122" t="s">
        <v>9</v>
      </c>
      <c r="F2122" s="3">
        <v>-14800</v>
      </c>
      <c r="G2122" s="3">
        <v>-14800</v>
      </c>
      <c r="H2122" t="s">
        <v>3</v>
      </c>
      <c r="I2122" t="s">
        <v>3</v>
      </c>
      <c r="J2122" t="s">
        <v>9</v>
      </c>
      <c r="K2122" t="s">
        <v>9</v>
      </c>
      <c r="L2122" t="s">
        <v>21</v>
      </c>
      <c r="M2122" t="s">
        <v>114</v>
      </c>
      <c r="N2122" s="2">
        <v>46234</v>
      </c>
    </row>
    <row r="2123" spans="1:14" x14ac:dyDescent="0.25">
      <c r="A2123" t="s">
        <v>461</v>
      </c>
      <c r="B2123" s="2">
        <v>45838</v>
      </c>
      <c r="C2123" t="s">
        <v>461</v>
      </c>
      <c r="D2123" t="s">
        <v>112</v>
      </c>
      <c r="E2123" t="s">
        <v>9</v>
      </c>
      <c r="F2123" s="3">
        <v>-21400</v>
      </c>
      <c r="G2123" s="3">
        <v>-21400</v>
      </c>
      <c r="H2123" t="s">
        <v>3</v>
      </c>
      <c r="I2123" t="s">
        <v>3</v>
      </c>
      <c r="J2123" t="s">
        <v>314</v>
      </c>
      <c r="K2123" t="s">
        <v>5</v>
      </c>
      <c r="L2123" t="s">
        <v>21</v>
      </c>
      <c r="M2123" t="s">
        <v>114</v>
      </c>
      <c r="N2123" s="2">
        <v>45839</v>
      </c>
    </row>
    <row r="2124" spans="1:14" x14ac:dyDescent="0.25">
      <c r="A2124" t="s">
        <v>461</v>
      </c>
      <c r="B2124" s="2">
        <v>45869</v>
      </c>
      <c r="C2124" t="s">
        <v>461</v>
      </c>
      <c r="D2124" t="s">
        <v>112</v>
      </c>
      <c r="E2124" t="s">
        <v>9</v>
      </c>
      <c r="F2124" s="3">
        <v>26400</v>
      </c>
      <c r="G2124" s="3">
        <v>26400</v>
      </c>
      <c r="H2124" t="s">
        <v>3</v>
      </c>
      <c r="I2124" t="s">
        <v>3</v>
      </c>
      <c r="J2124" t="s">
        <v>317</v>
      </c>
      <c r="K2124" t="s">
        <v>5</v>
      </c>
      <c r="L2124" t="s">
        <v>21</v>
      </c>
      <c r="M2124" t="s">
        <v>114</v>
      </c>
      <c r="N2124" s="2">
        <v>45869</v>
      </c>
    </row>
    <row r="2125" spans="1:14" x14ac:dyDescent="0.25">
      <c r="A2125" t="s">
        <v>461</v>
      </c>
      <c r="B2125" s="2">
        <v>46203</v>
      </c>
      <c r="C2125" t="s">
        <v>461</v>
      </c>
      <c r="D2125" t="s">
        <v>112</v>
      </c>
      <c r="E2125" t="s">
        <v>9</v>
      </c>
      <c r="F2125" s="3">
        <v>-14600</v>
      </c>
      <c r="G2125" s="3">
        <v>-14600</v>
      </c>
      <c r="H2125" t="s">
        <v>3</v>
      </c>
      <c r="I2125" t="s">
        <v>3</v>
      </c>
      <c r="J2125" t="s">
        <v>316</v>
      </c>
      <c r="K2125" t="s">
        <v>13</v>
      </c>
      <c r="L2125" t="s">
        <v>21</v>
      </c>
      <c r="M2125" t="s">
        <v>114</v>
      </c>
      <c r="N2125" s="2">
        <v>46204</v>
      </c>
    </row>
    <row r="2126" spans="1:14" x14ac:dyDescent="0.25">
      <c r="A2126" t="s">
        <v>461</v>
      </c>
      <c r="B2126" s="2">
        <v>46234</v>
      </c>
      <c r="C2126" t="s">
        <v>461</v>
      </c>
      <c r="D2126" t="s">
        <v>112</v>
      </c>
      <c r="E2126" t="s">
        <v>9</v>
      </c>
      <c r="F2126" s="3">
        <v>14800</v>
      </c>
      <c r="G2126" s="3">
        <v>14800</v>
      </c>
      <c r="H2126" t="s">
        <v>3</v>
      </c>
      <c r="I2126" t="s">
        <v>3</v>
      </c>
      <c r="J2126" t="s">
        <v>319</v>
      </c>
      <c r="K2126" t="s">
        <v>13</v>
      </c>
      <c r="L2126" t="s">
        <v>21</v>
      </c>
      <c r="M2126" t="s">
        <v>114</v>
      </c>
      <c r="N2126" s="2">
        <v>46234</v>
      </c>
    </row>
    <row r="2127" spans="1:14" x14ac:dyDescent="0.25">
      <c r="A2127" s="4" t="s">
        <v>262</v>
      </c>
      <c r="B2127" s="5"/>
      <c r="C2127" s="4" t="s">
        <v>9</v>
      </c>
      <c r="D2127" s="4" t="s">
        <v>9</v>
      </c>
      <c r="E2127" s="4" t="s">
        <v>9</v>
      </c>
      <c r="F2127" s="6">
        <v>0</v>
      </c>
      <c r="G2127" s="6">
        <v>0</v>
      </c>
      <c r="H2127" s="4" t="s">
        <v>9</v>
      </c>
      <c r="I2127" s="4" t="s">
        <v>3</v>
      </c>
      <c r="J2127" s="4" t="s">
        <v>9</v>
      </c>
      <c r="K2127" s="4" t="s">
        <v>9</v>
      </c>
      <c r="L2127" s="4" t="s">
        <v>9</v>
      </c>
      <c r="M2127" s="4" t="s">
        <v>9</v>
      </c>
      <c r="N2127" s="5"/>
    </row>
    <row r="2128" spans="1:14" x14ac:dyDescent="0.25">
      <c r="A2128" t="s">
        <v>461</v>
      </c>
      <c r="B2128" s="2">
        <v>45901</v>
      </c>
      <c r="C2128" t="s">
        <v>461</v>
      </c>
      <c r="D2128" t="s">
        <v>112</v>
      </c>
      <c r="E2128" t="s">
        <v>9</v>
      </c>
      <c r="F2128" s="3">
        <v>-5400</v>
      </c>
      <c r="G2128" s="3">
        <v>-5400</v>
      </c>
      <c r="H2128" t="s">
        <v>3</v>
      </c>
      <c r="I2128" t="s">
        <v>3</v>
      </c>
      <c r="J2128" t="s">
        <v>9</v>
      </c>
      <c r="K2128" t="s">
        <v>9</v>
      </c>
      <c r="L2128" t="s">
        <v>22</v>
      </c>
      <c r="M2128" t="s">
        <v>114</v>
      </c>
      <c r="N2128" s="2">
        <v>45900</v>
      </c>
    </row>
    <row r="2129" spans="1:14" x14ac:dyDescent="0.25">
      <c r="A2129" t="s">
        <v>461</v>
      </c>
      <c r="B2129" s="2">
        <v>45869</v>
      </c>
      <c r="C2129" t="s">
        <v>461</v>
      </c>
      <c r="D2129" t="s">
        <v>112</v>
      </c>
      <c r="E2129" t="s">
        <v>9</v>
      </c>
      <c r="F2129" s="3">
        <v>-26400</v>
      </c>
      <c r="G2129" s="3">
        <v>-26400</v>
      </c>
      <c r="H2129" t="s">
        <v>3</v>
      </c>
      <c r="I2129" t="s">
        <v>3</v>
      </c>
      <c r="J2129" t="s">
        <v>317</v>
      </c>
      <c r="K2129" t="s">
        <v>5</v>
      </c>
      <c r="L2129" t="s">
        <v>22</v>
      </c>
      <c r="M2129" t="s">
        <v>114</v>
      </c>
      <c r="N2129" s="2">
        <v>45870</v>
      </c>
    </row>
    <row r="2130" spans="1:14" x14ac:dyDescent="0.25">
      <c r="A2130" t="s">
        <v>461</v>
      </c>
      <c r="B2130" s="2">
        <v>45900</v>
      </c>
      <c r="C2130" t="s">
        <v>461</v>
      </c>
      <c r="D2130" t="s">
        <v>112</v>
      </c>
      <c r="E2130" t="s">
        <v>9</v>
      </c>
      <c r="F2130" s="3">
        <v>31800</v>
      </c>
      <c r="G2130" s="3">
        <v>31800</v>
      </c>
      <c r="H2130" t="s">
        <v>3</v>
      </c>
      <c r="I2130" t="s">
        <v>3</v>
      </c>
      <c r="J2130" t="s">
        <v>320</v>
      </c>
      <c r="K2130" t="s">
        <v>5</v>
      </c>
      <c r="L2130" t="s">
        <v>22</v>
      </c>
      <c r="M2130" t="s">
        <v>114</v>
      </c>
      <c r="N2130" s="2">
        <v>45900</v>
      </c>
    </row>
    <row r="2131" spans="1:14" x14ac:dyDescent="0.25">
      <c r="A2131" t="s">
        <v>461</v>
      </c>
      <c r="B2131" s="2">
        <v>45900</v>
      </c>
      <c r="C2131" t="s">
        <v>461</v>
      </c>
      <c r="D2131" t="s">
        <v>112</v>
      </c>
      <c r="E2131" t="s">
        <v>9</v>
      </c>
      <c r="F2131" s="3">
        <v>-31800</v>
      </c>
      <c r="G2131" s="3">
        <v>-31800</v>
      </c>
      <c r="H2131" t="s">
        <v>3</v>
      </c>
      <c r="I2131" t="s">
        <v>3</v>
      </c>
      <c r="J2131" t="s">
        <v>320</v>
      </c>
      <c r="K2131" t="s">
        <v>5</v>
      </c>
      <c r="L2131" t="s">
        <v>22</v>
      </c>
      <c r="M2131" t="s">
        <v>114</v>
      </c>
      <c r="N2131" s="2">
        <v>45900</v>
      </c>
    </row>
    <row r="2132" spans="1:14" x14ac:dyDescent="0.25">
      <c r="A2132" t="s">
        <v>461</v>
      </c>
      <c r="B2132" s="2">
        <v>45900</v>
      </c>
      <c r="C2132" t="s">
        <v>461</v>
      </c>
      <c r="D2132" t="s">
        <v>112</v>
      </c>
      <c r="E2132" t="s">
        <v>9</v>
      </c>
      <c r="F2132" s="3">
        <v>31800</v>
      </c>
      <c r="G2132" s="3">
        <v>31800</v>
      </c>
      <c r="H2132" t="s">
        <v>3</v>
      </c>
      <c r="I2132" t="s">
        <v>3</v>
      </c>
      <c r="J2132" t="s">
        <v>320</v>
      </c>
      <c r="K2132" t="s">
        <v>5</v>
      </c>
      <c r="L2132" t="s">
        <v>22</v>
      </c>
      <c r="M2132" t="s">
        <v>114</v>
      </c>
      <c r="N2132" s="2">
        <v>45900</v>
      </c>
    </row>
    <row r="2133" spans="1:14" x14ac:dyDescent="0.25">
      <c r="A2133" t="s">
        <v>461</v>
      </c>
      <c r="B2133" s="2">
        <v>45900</v>
      </c>
      <c r="C2133" t="s">
        <v>461</v>
      </c>
      <c r="D2133" t="s">
        <v>112</v>
      </c>
      <c r="E2133" t="s">
        <v>9</v>
      </c>
      <c r="F2133" s="3">
        <v>31800</v>
      </c>
      <c r="G2133" s="3">
        <v>31800</v>
      </c>
      <c r="H2133" t="s">
        <v>3</v>
      </c>
      <c r="I2133" t="s">
        <v>3</v>
      </c>
      <c r="J2133" t="s">
        <v>320</v>
      </c>
      <c r="K2133" t="s">
        <v>5</v>
      </c>
      <c r="L2133" t="s">
        <v>22</v>
      </c>
      <c r="M2133" t="s">
        <v>114</v>
      </c>
      <c r="N2133" s="2">
        <v>45900</v>
      </c>
    </row>
    <row r="2134" spans="1:14" x14ac:dyDescent="0.25">
      <c r="A2134" t="s">
        <v>461</v>
      </c>
      <c r="B2134" s="2">
        <v>45900</v>
      </c>
      <c r="C2134" t="s">
        <v>461</v>
      </c>
      <c r="D2134" t="s">
        <v>112</v>
      </c>
      <c r="E2134" t="s">
        <v>9</v>
      </c>
      <c r="F2134" s="3">
        <v>-31800</v>
      </c>
      <c r="G2134" s="3">
        <v>-31800</v>
      </c>
      <c r="H2134" t="s">
        <v>3</v>
      </c>
      <c r="I2134" t="s">
        <v>3</v>
      </c>
      <c r="J2134" t="s">
        <v>320</v>
      </c>
      <c r="K2134" t="s">
        <v>5</v>
      </c>
      <c r="L2134" t="s">
        <v>22</v>
      </c>
      <c r="M2134" t="s">
        <v>114</v>
      </c>
      <c r="N2134" s="2">
        <v>45900</v>
      </c>
    </row>
    <row r="2135" spans="1:14" x14ac:dyDescent="0.25">
      <c r="A2135" t="s">
        <v>461</v>
      </c>
      <c r="B2135" s="2">
        <v>46234</v>
      </c>
      <c r="C2135" t="s">
        <v>461</v>
      </c>
      <c r="D2135" t="s">
        <v>112</v>
      </c>
      <c r="E2135" t="s">
        <v>9</v>
      </c>
      <c r="F2135" s="3">
        <v>-14800</v>
      </c>
      <c r="G2135" s="3">
        <v>-14800</v>
      </c>
      <c r="H2135" t="s">
        <v>3</v>
      </c>
      <c r="I2135" t="s">
        <v>3</v>
      </c>
      <c r="J2135" t="s">
        <v>319</v>
      </c>
      <c r="K2135" t="s">
        <v>13</v>
      </c>
      <c r="L2135" t="s">
        <v>22</v>
      </c>
      <c r="M2135" t="s">
        <v>114</v>
      </c>
      <c r="N2135" s="2">
        <v>46235</v>
      </c>
    </row>
    <row r="2136" spans="1:14" x14ac:dyDescent="0.25">
      <c r="A2136" t="s">
        <v>461</v>
      </c>
      <c r="B2136" s="2">
        <v>46265</v>
      </c>
      <c r="C2136" t="s">
        <v>461</v>
      </c>
      <c r="D2136" t="s">
        <v>112</v>
      </c>
      <c r="E2136" t="s">
        <v>9</v>
      </c>
      <c r="F2136" s="3">
        <v>14800</v>
      </c>
      <c r="G2136" s="3">
        <v>14800</v>
      </c>
      <c r="H2136" t="s">
        <v>3</v>
      </c>
      <c r="I2136" t="s">
        <v>3</v>
      </c>
      <c r="J2136" t="s">
        <v>322</v>
      </c>
      <c r="K2136" t="s">
        <v>13</v>
      </c>
      <c r="L2136" t="s">
        <v>22</v>
      </c>
      <c r="M2136" t="s">
        <v>114</v>
      </c>
      <c r="N2136" s="2">
        <v>46265</v>
      </c>
    </row>
    <row r="2137" spans="1:14" x14ac:dyDescent="0.25">
      <c r="A2137" s="4" t="s">
        <v>267</v>
      </c>
      <c r="B2137" s="5"/>
      <c r="C2137" s="4" t="s">
        <v>9</v>
      </c>
      <c r="D2137" s="4" t="s">
        <v>9</v>
      </c>
      <c r="E2137" s="4" t="s">
        <v>9</v>
      </c>
      <c r="F2137" s="6">
        <v>0</v>
      </c>
      <c r="G2137" s="6">
        <v>0</v>
      </c>
      <c r="H2137" s="4" t="s">
        <v>9</v>
      </c>
      <c r="I2137" s="4" t="s">
        <v>3</v>
      </c>
      <c r="J2137" s="4" t="s">
        <v>9</v>
      </c>
      <c r="K2137" s="4" t="s">
        <v>9</v>
      </c>
      <c r="L2137" s="4" t="s">
        <v>9</v>
      </c>
      <c r="M2137" s="4" t="s">
        <v>9</v>
      </c>
      <c r="N2137" s="5"/>
    </row>
    <row r="2138" spans="1:14" x14ac:dyDescent="0.25">
      <c r="A2138" t="s">
        <v>461</v>
      </c>
      <c r="B2138" s="2">
        <v>45932</v>
      </c>
      <c r="C2138" t="s">
        <v>461</v>
      </c>
      <c r="D2138" t="s">
        <v>112</v>
      </c>
      <c r="E2138" t="s">
        <v>9</v>
      </c>
      <c r="F2138" s="3">
        <v>-8600</v>
      </c>
      <c r="G2138" s="3">
        <v>-8600</v>
      </c>
      <c r="H2138" t="s">
        <v>3</v>
      </c>
      <c r="I2138" t="s">
        <v>3</v>
      </c>
      <c r="J2138" t="s">
        <v>9</v>
      </c>
      <c r="K2138" t="s">
        <v>9</v>
      </c>
      <c r="L2138" t="s">
        <v>6</v>
      </c>
      <c r="M2138" t="s">
        <v>114</v>
      </c>
      <c r="N2138" s="2">
        <v>45930</v>
      </c>
    </row>
    <row r="2139" spans="1:14" x14ac:dyDescent="0.25">
      <c r="A2139" t="s">
        <v>461</v>
      </c>
      <c r="B2139" s="2">
        <v>45900</v>
      </c>
      <c r="C2139" t="s">
        <v>461</v>
      </c>
      <c r="D2139" t="s">
        <v>112</v>
      </c>
      <c r="E2139" t="s">
        <v>9</v>
      </c>
      <c r="F2139" s="3">
        <v>-31800</v>
      </c>
      <c r="G2139" s="3">
        <v>-31800</v>
      </c>
      <c r="H2139" t="s">
        <v>3</v>
      </c>
      <c r="I2139" t="s">
        <v>3</v>
      </c>
      <c r="J2139" t="s">
        <v>320</v>
      </c>
      <c r="K2139" t="s">
        <v>5</v>
      </c>
      <c r="L2139" t="s">
        <v>6</v>
      </c>
      <c r="M2139" t="s">
        <v>114</v>
      </c>
      <c r="N2139" s="2">
        <v>45901</v>
      </c>
    </row>
    <row r="2140" spans="1:14" x14ac:dyDescent="0.25">
      <c r="A2140" t="s">
        <v>461</v>
      </c>
      <c r="B2140" s="2">
        <v>45900</v>
      </c>
      <c r="C2140" t="s">
        <v>461</v>
      </c>
      <c r="D2140" t="s">
        <v>112</v>
      </c>
      <c r="E2140" t="s">
        <v>9</v>
      </c>
      <c r="F2140" s="3">
        <v>31800</v>
      </c>
      <c r="G2140" s="3">
        <v>31800</v>
      </c>
      <c r="H2140" t="s">
        <v>3</v>
      </c>
      <c r="I2140" t="s">
        <v>3</v>
      </c>
      <c r="J2140" t="s">
        <v>320</v>
      </c>
      <c r="K2140" t="s">
        <v>5</v>
      </c>
      <c r="L2140" t="s">
        <v>6</v>
      </c>
      <c r="M2140" t="s">
        <v>114</v>
      </c>
      <c r="N2140" s="2">
        <v>45901</v>
      </c>
    </row>
    <row r="2141" spans="1:14" x14ac:dyDescent="0.25">
      <c r="A2141" t="s">
        <v>461</v>
      </c>
      <c r="B2141" s="2">
        <v>45900</v>
      </c>
      <c r="C2141" t="s">
        <v>461</v>
      </c>
      <c r="D2141" t="s">
        <v>112</v>
      </c>
      <c r="E2141" t="s">
        <v>9</v>
      </c>
      <c r="F2141" s="3">
        <v>-31800</v>
      </c>
      <c r="G2141" s="3">
        <v>-31800</v>
      </c>
      <c r="H2141" t="s">
        <v>3</v>
      </c>
      <c r="I2141" t="s">
        <v>3</v>
      </c>
      <c r="J2141" t="s">
        <v>320</v>
      </c>
      <c r="K2141" t="s">
        <v>5</v>
      </c>
      <c r="L2141" t="s">
        <v>6</v>
      </c>
      <c r="M2141" t="s">
        <v>114</v>
      </c>
      <c r="N2141" s="2">
        <v>45901</v>
      </c>
    </row>
    <row r="2142" spans="1:14" x14ac:dyDescent="0.25">
      <c r="A2142" t="s">
        <v>461</v>
      </c>
      <c r="B2142" s="2">
        <v>45900</v>
      </c>
      <c r="C2142" t="s">
        <v>461</v>
      </c>
      <c r="D2142" t="s">
        <v>112</v>
      </c>
      <c r="E2142" t="s">
        <v>9</v>
      </c>
      <c r="F2142" s="3">
        <v>31800</v>
      </c>
      <c r="G2142" s="3">
        <v>31800</v>
      </c>
      <c r="H2142" t="s">
        <v>3</v>
      </c>
      <c r="I2142" t="s">
        <v>3</v>
      </c>
      <c r="J2142" t="s">
        <v>320</v>
      </c>
      <c r="K2142" t="s">
        <v>5</v>
      </c>
      <c r="L2142" t="s">
        <v>6</v>
      </c>
      <c r="M2142" t="s">
        <v>114</v>
      </c>
      <c r="N2142" s="2">
        <v>45901</v>
      </c>
    </row>
    <row r="2143" spans="1:14" x14ac:dyDescent="0.25">
      <c r="A2143" t="s">
        <v>461</v>
      </c>
      <c r="B2143" s="2">
        <v>45900</v>
      </c>
      <c r="C2143" t="s">
        <v>461</v>
      </c>
      <c r="D2143" t="s">
        <v>112</v>
      </c>
      <c r="E2143" t="s">
        <v>9</v>
      </c>
      <c r="F2143" s="3">
        <v>-31800</v>
      </c>
      <c r="G2143" s="3">
        <v>-31800</v>
      </c>
      <c r="H2143" t="s">
        <v>3</v>
      </c>
      <c r="I2143" t="s">
        <v>3</v>
      </c>
      <c r="J2143" t="s">
        <v>320</v>
      </c>
      <c r="K2143" t="s">
        <v>5</v>
      </c>
      <c r="L2143" t="s">
        <v>6</v>
      </c>
      <c r="M2143" t="s">
        <v>114</v>
      </c>
      <c r="N2143" s="2">
        <v>45901</v>
      </c>
    </row>
    <row r="2144" spans="1:14" x14ac:dyDescent="0.25">
      <c r="A2144" t="s">
        <v>461</v>
      </c>
      <c r="B2144" s="2">
        <v>45930</v>
      </c>
      <c r="C2144" t="s">
        <v>461</v>
      </c>
      <c r="D2144" t="s">
        <v>112</v>
      </c>
      <c r="E2144" t="s">
        <v>9</v>
      </c>
      <c r="F2144" s="3">
        <v>40400</v>
      </c>
      <c r="G2144" s="3">
        <v>40400</v>
      </c>
      <c r="H2144" t="s">
        <v>3</v>
      </c>
      <c r="I2144" t="s">
        <v>3</v>
      </c>
      <c r="J2144" t="s">
        <v>323</v>
      </c>
      <c r="K2144" t="s">
        <v>5</v>
      </c>
      <c r="L2144" t="s">
        <v>6</v>
      </c>
      <c r="M2144" t="s">
        <v>114</v>
      </c>
      <c r="N2144" s="2">
        <v>45930</v>
      </c>
    </row>
    <row r="2145" spans="1:14" x14ac:dyDescent="0.25">
      <c r="A2145" s="4" t="s">
        <v>272</v>
      </c>
      <c r="B2145" s="5"/>
      <c r="C2145" s="4" t="s">
        <v>9</v>
      </c>
      <c r="D2145" s="4" t="s">
        <v>9</v>
      </c>
      <c r="E2145" s="4" t="s">
        <v>9</v>
      </c>
      <c r="F2145" s="6">
        <v>0</v>
      </c>
      <c r="G2145" s="6">
        <v>0</v>
      </c>
      <c r="H2145" s="4" t="s">
        <v>9</v>
      </c>
      <c r="I2145" s="4" t="s">
        <v>3</v>
      </c>
      <c r="J2145" s="4" t="s">
        <v>9</v>
      </c>
      <c r="K2145" s="4" t="s">
        <v>9</v>
      </c>
      <c r="L2145" s="4" t="s">
        <v>9</v>
      </c>
      <c r="M2145" s="4" t="s">
        <v>9</v>
      </c>
      <c r="N2145" s="5"/>
    </row>
    <row r="2146" spans="1:14" x14ac:dyDescent="0.25">
      <c r="A2146" t="s">
        <v>461</v>
      </c>
      <c r="B2146" s="2">
        <v>45965</v>
      </c>
      <c r="C2146" t="s">
        <v>461</v>
      </c>
      <c r="D2146" t="s">
        <v>112</v>
      </c>
      <c r="E2146" t="s">
        <v>9</v>
      </c>
      <c r="F2146" s="3">
        <v>-6900</v>
      </c>
      <c r="G2146" s="3">
        <v>-6900</v>
      </c>
      <c r="H2146" t="s">
        <v>3</v>
      </c>
      <c r="I2146" t="s">
        <v>3</v>
      </c>
      <c r="J2146" t="s">
        <v>9</v>
      </c>
      <c r="K2146" t="s">
        <v>9</v>
      </c>
      <c r="L2146" t="s">
        <v>8</v>
      </c>
      <c r="M2146" t="s">
        <v>114</v>
      </c>
      <c r="N2146" s="2">
        <v>45961</v>
      </c>
    </row>
    <row r="2147" spans="1:14" x14ac:dyDescent="0.25">
      <c r="A2147" t="s">
        <v>461</v>
      </c>
      <c r="B2147" s="2">
        <v>45930</v>
      </c>
      <c r="C2147" t="s">
        <v>461</v>
      </c>
      <c r="D2147" t="s">
        <v>112</v>
      </c>
      <c r="E2147" t="s">
        <v>9</v>
      </c>
      <c r="F2147" s="3">
        <v>-40400</v>
      </c>
      <c r="G2147" s="3">
        <v>-40400</v>
      </c>
      <c r="H2147" t="s">
        <v>3</v>
      </c>
      <c r="I2147" t="s">
        <v>3</v>
      </c>
      <c r="J2147" t="s">
        <v>323</v>
      </c>
      <c r="K2147" t="s">
        <v>5</v>
      </c>
      <c r="L2147" t="s">
        <v>8</v>
      </c>
      <c r="M2147" t="s">
        <v>114</v>
      </c>
      <c r="N2147" s="2">
        <v>45931</v>
      </c>
    </row>
    <row r="2148" spans="1:14" x14ac:dyDescent="0.25">
      <c r="A2148" t="s">
        <v>461</v>
      </c>
      <c r="B2148" s="2">
        <v>45961</v>
      </c>
      <c r="C2148" t="s">
        <v>461</v>
      </c>
      <c r="D2148" t="s">
        <v>112</v>
      </c>
      <c r="E2148" t="s">
        <v>9</v>
      </c>
      <c r="F2148" s="3">
        <v>47300</v>
      </c>
      <c r="G2148" s="3">
        <v>47300</v>
      </c>
      <c r="H2148" t="s">
        <v>3</v>
      </c>
      <c r="I2148" t="s">
        <v>3</v>
      </c>
      <c r="J2148" t="s">
        <v>325</v>
      </c>
      <c r="K2148" t="s">
        <v>5</v>
      </c>
      <c r="L2148" t="s">
        <v>8</v>
      </c>
      <c r="M2148" t="s">
        <v>114</v>
      </c>
      <c r="N2148" s="2">
        <v>45961</v>
      </c>
    </row>
    <row r="2149" spans="1:14" x14ac:dyDescent="0.25">
      <c r="A2149" s="4" t="s">
        <v>278</v>
      </c>
      <c r="B2149" s="5"/>
      <c r="C2149" s="4" t="s">
        <v>9</v>
      </c>
      <c r="D2149" s="4" t="s">
        <v>9</v>
      </c>
      <c r="E2149" s="4" t="s">
        <v>9</v>
      </c>
      <c r="F2149" s="6">
        <v>0</v>
      </c>
      <c r="G2149" s="6">
        <v>0</v>
      </c>
      <c r="H2149" s="4" t="s">
        <v>9</v>
      </c>
      <c r="I2149" s="4" t="s">
        <v>3</v>
      </c>
      <c r="J2149" s="4" t="s">
        <v>9</v>
      </c>
      <c r="K2149" s="4" t="s">
        <v>9</v>
      </c>
      <c r="L2149" s="4" t="s">
        <v>9</v>
      </c>
      <c r="M2149" s="4" t="s">
        <v>9</v>
      </c>
      <c r="N2149" s="5"/>
    </row>
    <row r="2150" spans="1:14" x14ac:dyDescent="0.25">
      <c r="A2150" t="s">
        <v>461</v>
      </c>
      <c r="B2150" s="2">
        <v>45993</v>
      </c>
      <c r="C2150" t="s">
        <v>461</v>
      </c>
      <c r="D2150" t="s">
        <v>112</v>
      </c>
      <c r="E2150" t="s">
        <v>9</v>
      </c>
      <c r="F2150" s="3">
        <v>-1100</v>
      </c>
      <c r="G2150" s="3">
        <v>-1100</v>
      </c>
      <c r="H2150" t="s">
        <v>3</v>
      </c>
      <c r="I2150" t="s">
        <v>3</v>
      </c>
      <c r="J2150" t="s">
        <v>9</v>
      </c>
      <c r="K2150" t="s">
        <v>9</v>
      </c>
      <c r="L2150" t="s">
        <v>11</v>
      </c>
      <c r="M2150" t="s">
        <v>114</v>
      </c>
      <c r="N2150" s="2">
        <v>45991</v>
      </c>
    </row>
    <row r="2151" spans="1:14" x14ac:dyDescent="0.25">
      <c r="A2151" t="s">
        <v>461</v>
      </c>
      <c r="B2151" s="2">
        <v>45961</v>
      </c>
      <c r="C2151" t="s">
        <v>461</v>
      </c>
      <c r="D2151" t="s">
        <v>112</v>
      </c>
      <c r="E2151" t="s">
        <v>9</v>
      </c>
      <c r="F2151" s="3">
        <v>-47300</v>
      </c>
      <c r="G2151" s="3">
        <v>-47300</v>
      </c>
      <c r="H2151" t="s">
        <v>3</v>
      </c>
      <c r="I2151" t="s">
        <v>3</v>
      </c>
      <c r="J2151" t="s">
        <v>325</v>
      </c>
      <c r="K2151" t="s">
        <v>5</v>
      </c>
      <c r="L2151" t="s">
        <v>11</v>
      </c>
      <c r="M2151" t="s">
        <v>114</v>
      </c>
      <c r="N2151" s="2">
        <v>45962</v>
      </c>
    </row>
    <row r="2152" spans="1:14" x14ac:dyDescent="0.25">
      <c r="A2152" t="s">
        <v>461</v>
      </c>
      <c r="B2152" s="2">
        <v>45991</v>
      </c>
      <c r="C2152" t="s">
        <v>461</v>
      </c>
      <c r="D2152" t="s">
        <v>112</v>
      </c>
      <c r="E2152" t="s">
        <v>9</v>
      </c>
      <c r="F2152" s="3">
        <v>48400</v>
      </c>
      <c r="G2152" s="3">
        <v>48400</v>
      </c>
      <c r="H2152" t="s">
        <v>3</v>
      </c>
      <c r="I2152" t="s">
        <v>3</v>
      </c>
      <c r="J2152" t="s">
        <v>328</v>
      </c>
      <c r="K2152" t="s">
        <v>5</v>
      </c>
      <c r="L2152" t="s">
        <v>11</v>
      </c>
      <c r="M2152" t="s">
        <v>114</v>
      </c>
      <c r="N2152" s="2">
        <v>45991</v>
      </c>
    </row>
    <row r="2153" spans="1:14" x14ac:dyDescent="0.25">
      <c r="A2153" s="4" t="s">
        <v>226</v>
      </c>
      <c r="B2153" s="5"/>
      <c r="C2153" s="4" t="s">
        <v>9</v>
      </c>
      <c r="D2153" s="4" t="s">
        <v>9</v>
      </c>
      <c r="E2153" s="4" t="s">
        <v>9</v>
      </c>
      <c r="F2153" s="6">
        <v>0</v>
      </c>
      <c r="G2153" s="6">
        <v>0</v>
      </c>
      <c r="H2153" s="4" t="s">
        <v>9</v>
      </c>
      <c r="I2153" s="4" t="s">
        <v>3</v>
      </c>
      <c r="J2153" s="4" t="s">
        <v>9</v>
      </c>
      <c r="K2153" s="4" t="s">
        <v>9</v>
      </c>
      <c r="L2153" s="4" t="s">
        <v>9</v>
      </c>
      <c r="M2153" s="4" t="s">
        <v>9</v>
      </c>
      <c r="N2153" s="5"/>
    </row>
    <row r="2154" spans="1:14" x14ac:dyDescent="0.25">
      <c r="A2154" t="s">
        <v>461</v>
      </c>
      <c r="B2154" s="2">
        <v>45991</v>
      </c>
      <c r="C2154" t="s">
        <v>461</v>
      </c>
      <c r="D2154" t="s">
        <v>112</v>
      </c>
      <c r="E2154" t="s">
        <v>9</v>
      </c>
      <c r="F2154" s="3">
        <v>-48400</v>
      </c>
      <c r="G2154" s="3">
        <v>-48400</v>
      </c>
      <c r="H2154" t="s">
        <v>3</v>
      </c>
      <c r="I2154" t="s">
        <v>3</v>
      </c>
      <c r="J2154" t="s">
        <v>328</v>
      </c>
      <c r="K2154" t="s">
        <v>5</v>
      </c>
      <c r="L2154" t="s">
        <v>12</v>
      </c>
      <c r="M2154" t="s">
        <v>114</v>
      </c>
      <c r="N2154" s="2">
        <v>45992</v>
      </c>
    </row>
    <row r="2155" spans="1:14" x14ac:dyDescent="0.25">
      <c r="A2155" t="s">
        <v>461</v>
      </c>
      <c r="B2155" s="2">
        <v>46022</v>
      </c>
      <c r="C2155" t="s">
        <v>461</v>
      </c>
      <c r="D2155" t="s">
        <v>112</v>
      </c>
      <c r="E2155" t="s">
        <v>9</v>
      </c>
      <c r="F2155" s="3">
        <v>48400</v>
      </c>
      <c r="G2155" s="3">
        <v>48400</v>
      </c>
      <c r="H2155" t="s">
        <v>3</v>
      </c>
      <c r="I2155" t="s">
        <v>3</v>
      </c>
      <c r="J2155" t="s">
        <v>298</v>
      </c>
      <c r="K2155" t="s">
        <v>5</v>
      </c>
      <c r="L2155" t="s">
        <v>12</v>
      </c>
      <c r="M2155" t="s">
        <v>114</v>
      </c>
      <c r="N2155" s="2">
        <v>46022</v>
      </c>
    </row>
    <row r="2156" spans="1:14" x14ac:dyDescent="0.25">
      <c r="A2156" t="s">
        <v>461</v>
      </c>
      <c r="B2156" s="2">
        <v>46022</v>
      </c>
      <c r="C2156" t="s">
        <v>461</v>
      </c>
      <c r="D2156" t="s">
        <v>112</v>
      </c>
      <c r="E2156" t="s">
        <v>9</v>
      </c>
      <c r="F2156" s="3">
        <v>48400</v>
      </c>
      <c r="G2156" s="3">
        <v>48400</v>
      </c>
      <c r="H2156" t="s">
        <v>3</v>
      </c>
      <c r="I2156" t="s">
        <v>3</v>
      </c>
      <c r="J2156" t="s">
        <v>298</v>
      </c>
      <c r="K2156" t="s">
        <v>5</v>
      </c>
      <c r="L2156" t="s">
        <v>12</v>
      </c>
      <c r="M2156" t="s">
        <v>114</v>
      </c>
      <c r="N2156" s="2">
        <v>46022</v>
      </c>
    </row>
    <row r="2157" spans="1:14" x14ac:dyDescent="0.25">
      <c r="A2157" t="s">
        <v>461</v>
      </c>
      <c r="B2157" s="2">
        <v>46022</v>
      </c>
      <c r="C2157" t="s">
        <v>461</v>
      </c>
      <c r="D2157" t="s">
        <v>112</v>
      </c>
      <c r="E2157" t="s">
        <v>9</v>
      </c>
      <c r="F2157" s="3">
        <v>-48400</v>
      </c>
      <c r="G2157" s="3">
        <v>-48400</v>
      </c>
      <c r="H2157" t="s">
        <v>3</v>
      </c>
      <c r="I2157" t="s">
        <v>3</v>
      </c>
      <c r="J2157" t="s">
        <v>298</v>
      </c>
      <c r="K2157" t="s">
        <v>5</v>
      </c>
      <c r="L2157" t="s">
        <v>12</v>
      </c>
      <c r="M2157" t="s">
        <v>114</v>
      </c>
      <c r="N2157" s="2">
        <v>46022</v>
      </c>
    </row>
    <row r="2158" spans="1:14" x14ac:dyDescent="0.25">
      <c r="A2158" s="4" t="s">
        <v>228</v>
      </c>
      <c r="B2158" s="5"/>
      <c r="C2158" s="4" t="s">
        <v>9</v>
      </c>
      <c r="D2158" s="4" t="s">
        <v>9</v>
      </c>
      <c r="E2158" s="4" t="s">
        <v>9</v>
      </c>
      <c r="F2158" s="6">
        <v>0</v>
      </c>
      <c r="G2158" s="6">
        <v>0</v>
      </c>
      <c r="H2158" s="4" t="s">
        <v>9</v>
      </c>
      <c r="I2158" s="4" t="s">
        <v>3</v>
      </c>
      <c r="J2158" s="4" t="s">
        <v>9</v>
      </c>
      <c r="K2158" s="4" t="s">
        <v>9</v>
      </c>
      <c r="L2158" s="4" t="s">
        <v>9</v>
      </c>
      <c r="M2158" s="4" t="s">
        <v>9</v>
      </c>
      <c r="N2158" s="5"/>
    </row>
    <row r="2159" spans="1:14" x14ac:dyDescent="0.25">
      <c r="A2159" s="4" t="s">
        <v>461</v>
      </c>
      <c r="B2159" s="5"/>
      <c r="C2159" s="4" t="s">
        <v>9</v>
      </c>
      <c r="D2159" s="4" t="s">
        <v>9</v>
      </c>
      <c r="E2159" s="4" t="s">
        <v>9</v>
      </c>
      <c r="F2159" s="6">
        <v>0</v>
      </c>
      <c r="G2159" s="6">
        <v>0</v>
      </c>
      <c r="H2159" s="4" t="s">
        <v>9</v>
      </c>
      <c r="I2159" s="4" t="s">
        <v>3</v>
      </c>
      <c r="J2159" s="4" t="s">
        <v>9</v>
      </c>
      <c r="K2159" s="4" t="s">
        <v>9</v>
      </c>
      <c r="L2159" s="4" t="s">
        <v>9</v>
      </c>
      <c r="M2159" s="4" t="s">
        <v>9</v>
      </c>
      <c r="N2159" s="5"/>
    </row>
    <row r="2160" spans="1:14" x14ac:dyDescent="0.25">
      <c r="A2160" t="s">
        <v>462</v>
      </c>
      <c r="B2160" s="2">
        <v>45750</v>
      </c>
      <c r="C2160" t="s">
        <v>462</v>
      </c>
      <c r="D2160" t="s">
        <v>51</v>
      </c>
      <c r="E2160" t="s">
        <v>9</v>
      </c>
      <c r="F2160" s="3">
        <v>-20000</v>
      </c>
      <c r="G2160" s="3">
        <v>-20000</v>
      </c>
      <c r="H2160" t="s">
        <v>3</v>
      </c>
      <c r="I2160" t="s">
        <v>3</v>
      </c>
      <c r="J2160" t="s">
        <v>9</v>
      </c>
      <c r="K2160" t="s">
        <v>9</v>
      </c>
      <c r="L2160" t="s">
        <v>16</v>
      </c>
      <c r="M2160" t="s">
        <v>53</v>
      </c>
      <c r="N2160" s="2">
        <v>45747</v>
      </c>
    </row>
    <row r="2161" spans="1:14" x14ac:dyDescent="0.25">
      <c r="A2161" t="s">
        <v>462</v>
      </c>
      <c r="B2161" s="2">
        <v>45747</v>
      </c>
      <c r="C2161" t="s">
        <v>462</v>
      </c>
      <c r="D2161" t="s">
        <v>51</v>
      </c>
      <c r="E2161" t="s">
        <v>9</v>
      </c>
      <c r="F2161" s="3">
        <v>20000</v>
      </c>
      <c r="G2161" s="3">
        <v>20000</v>
      </c>
      <c r="H2161" t="s">
        <v>3</v>
      </c>
      <c r="I2161" t="s">
        <v>3</v>
      </c>
      <c r="J2161" t="s">
        <v>459</v>
      </c>
      <c r="K2161" t="s">
        <v>5</v>
      </c>
      <c r="L2161" t="s">
        <v>16</v>
      </c>
      <c r="M2161" t="s">
        <v>53</v>
      </c>
      <c r="N2161" s="2">
        <v>45747</v>
      </c>
    </row>
    <row r="2162" spans="1:14" x14ac:dyDescent="0.25">
      <c r="A2162" s="4" t="s">
        <v>244</v>
      </c>
      <c r="B2162" s="5"/>
      <c r="C2162" s="4" t="s">
        <v>9</v>
      </c>
      <c r="D2162" s="4" t="s">
        <v>9</v>
      </c>
      <c r="E2162" s="4" t="s">
        <v>9</v>
      </c>
      <c r="F2162" s="6">
        <v>0</v>
      </c>
      <c r="G2162" s="6">
        <v>0</v>
      </c>
      <c r="H2162" s="4" t="s">
        <v>9</v>
      </c>
      <c r="I2162" s="4" t="s">
        <v>3</v>
      </c>
      <c r="J2162" s="4" t="s">
        <v>9</v>
      </c>
      <c r="K2162" s="4" t="s">
        <v>9</v>
      </c>
      <c r="L2162" s="4" t="s">
        <v>9</v>
      </c>
      <c r="M2162" s="4" t="s">
        <v>9</v>
      </c>
      <c r="N2162" s="5"/>
    </row>
    <row r="2163" spans="1:14" x14ac:dyDescent="0.25">
      <c r="A2163" s="4" t="s">
        <v>462</v>
      </c>
      <c r="B2163" s="5"/>
      <c r="C2163" s="4" t="s">
        <v>9</v>
      </c>
      <c r="D2163" s="4" t="s">
        <v>9</v>
      </c>
      <c r="E2163" s="4" t="s">
        <v>9</v>
      </c>
      <c r="F2163" s="6">
        <v>0</v>
      </c>
      <c r="G2163" s="6">
        <v>0</v>
      </c>
      <c r="H2163" s="4" t="s">
        <v>9</v>
      </c>
      <c r="I2163" s="4" t="s">
        <v>3</v>
      </c>
      <c r="J2163" s="4" t="s">
        <v>9</v>
      </c>
      <c r="K2163" s="4" t="s">
        <v>9</v>
      </c>
      <c r="L2163" s="4" t="s">
        <v>9</v>
      </c>
      <c r="M2163" s="4" t="s">
        <v>9</v>
      </c>
      <c r="N2163" s="5"/>
    </row>
    <row r="2164" spans="1:14" x14ac:dyDescent="0.25">
      <c r="A2164" t="s">
        <v>463</v>
      </c>
      <c r="B2164" s="2">
        <v>46056</v>
      </c>
      <c r="C2164" t="s">
        <v>463</v>
      </c>
      <c r="D2164" t="s">
        <v>112</v>
      </c>
      <c r="E2164" t="s">
        <v>9</v>
      </c>
      <c r="F2164" s="3">
        <v>-300</v>
      </c>
      <c r="G2164" s="3">
        <v>-300</v>
      </c>
      <c r="H2164" t="s">
        <v>3</v>
      </c>
      <c r="I2164" t="s">
        <v>3</v>
      </c>
      <c r="J2164" t="s">
        <v>9</v>
      </c>
      <c r="K2164" t="s">
        <v>9</v>
      </c>
      <c r="L2164" t="s">
        <v>14</v>
      </c>
      <c r="M2164" t="s">
        <v>114</v>
      </c>
      <c r="N2164" s="2">
        <v>46053</v>
      </c>
    </row>
    <row r="2165" spans="1:14" x14ac:dyDescent="0.25">
      <c r="A2165" t="s">
        <v>463</v>
      </c>
      <c r="B2165" s="2">
        <v>46022</v>
      </c>
      <c r="C2165" t="s">
        <v>463</v>
      </c>
      <c r="D2165" t="s">
        <v>112</v>
      </c>
      <c r="E2165" t="s">
        <v>9</v>
      </c>
      <c r="F2165" s="3">
        <v>-51700</v>
      </c>
      <c r="G2165" s="3">
        <v>-51700</v>
      </c>
      <c r="H2165" t="s">
        <v>3</v>
      </c>
      <c r="I2165" t="s">
        <v>3</v>
      </c>
      <c r="J2165" t="s">
        <v>298</v>
      </c>
      <c r="K2165" t="s">
        <v>13</v>
      </c>
      <c r="L2165" t="s">
        <v>14</v>
      </c>
      <c r="M2165" t="s">
        <v>114</v>
      </c>
      <c r="N2165" s="2">
        <v>46023</v>
      </c>
    </row>
    <row r="2166" spans="1:14" x14ac:dyDescent="0.25">
      <c r="A2166" t="s">
        <v>463</v>
      </c>
      <c r="B2166" s="2">
        <v>46023</v>
      </c>
      <c r="C2166" t="s">
        <v>463</v>
      </c>
      <c r="D2166" t="s">
        <v>112</v>
      </c>
      <c r="E2166" t="s">
        <v>9</v>
      </c>
      <c r="F2166" s="3">
        <v>51700</v>
      </c>
      <c r="G2166" s="3">
        <v>51700</v>
      </c>
      <c r="H2166" t="s">
        <v>3</v>
      </c>
      <c r="I2166" t="s">
        <v>3</v>
      </c>
      <c r="J2166" t="s">
        <v>298</v>
      </c>
      <c r="K2166" t="s">
        <v>13</v>
      </c>
      <c r="L2166" t="s">
        <v>14</v>
      </c>
      <c r="M2166" t="s">
        <v>114</v>
      </c>
      <c r="N2166" s="2">
        <v>46023</v>
      </c>
    </row>
    <row r="2167" spans="1:14" x14ac:dyDescent="0.25">
      <c r="A2167" t="s">
        <v>463</v>
      </c>
      <c r="B2167" s="2">
        <v>46053</v>
      </c>
      <c r="C2167" t="s">
        <v>463</v>
      </c>
      <c r="D2167" t="s">
        <v>112</v>
      </c>
      <c r="E2167" t="s">
        <v>9</v>
      </c>
      <c r="F2167" s="3">
        <v>300</v>
      </c>
      <c r="G2167" s="3">
        <v>300</v>
      </c>
      <c r="H2167" t="s">
        <v>3</v>
      </c>
      <c r="I2167" t="s">
        <v>3</v>
      </c>
      <c r="J2167" t="s">
        <v>300</v>
      </c>
      <c r="K2167" t="s">
        <v>13</v>
      </c>
      <c r="L2167" t="s">
        <v>14</v>
      </c>
      <c r="M2167" t="s">
        <v>114</v>
      </c>
      <c r="N2167" s="2">
        <v>46053</v>
      </c>
    </row>
    <row r="2168" spans="1:14" x14ac:dyDescent="0.25">
      <c r="A2168" s="4" t="s">
        <v>234</v>
      </c>
      <c r="B2168" s="5"/>
      <c r="C2168" s="4" t="s">
        <v>9</v>
      </c>
      <c r="D2168" s="4" t="s">
        <v>9</v>
      </c>
      <c r="E2168" s="4" t="s">
        <v>9</v>
      </c>
      <c r="F2168" s="6">
        <v>0</v>
      </c>
      <c r="G2168" s="6">
        <v>0</v>
      </c>
      <c r="H2168" s="4" t="s">
        <v>9</v>
      </c>
      <c r="I2168" s="4" t="s">
        <v>3</v>
      </c>
      <c r="J2168" s="4" t="s">
        <v>9</v>
      </c>
      <c r="K2168" s="4" t="s">
        <v>9</v>
      </c>
      <c r="L2168" s="4" t="s">
        <v>9</v>
      </c>
      <c r="M2168" s="4" t="s">
        <v>9</v>
      </c>
      <c r="N2168" s="5"/>
    </row>
    <row r="2169" spans="1:14" x14ac:dyDescent="0.25">
      <c r="A2169" t="s">
        <v>463</v>
      </c>
      <c r="B2169" s="2">
        <v>46054</v>
      </c>
      <c r="C2169" t="s">
        <v>463</v>
      </c>
      <c r="D2169" t="s">
        <v>112</v>
      </c>
      <c r="E2169" t="s">
        <v>9</v>
      </c>
      <c r="F2169" s="3">
        <v>-300</v>
      </c>
      <c r="G2169" s="3">
        <v>-300</v>
      </c>
      <c r="H2169" t="s">
        <v>3</v>
      </c>
      <c r="I2169" t="s">
        <v>3</v>
      </c>
      <c r="J2169" t="s">
        <v>300</v>
      </c>
      <c r="K2169" t="s">
        <v>13</v>
      </c>
      <c r="L2169" t="s">
        <v>15</v>
      </c>
      <c r="M2169" t="s">
        <v>114</v>
      </c>
      <c r="N2169" s="2">
        <v>46054</v>
      </c>
    </row>
    <row r="2170" spans="1:14" x14ac:dyDescent="0.25">
      <c r="A2170" t="s">
        <v>463</v>
      </c>
      <c r="B2170" s="2">
        <v>46054</v>
      </c>
      <c r="C2170" t="s">
        <v>463</v>
      </c>
      <c r="D2170" t="s">
        <v>112</v>
      </c>
      <c r="E2170" t="s">
        <v>9</v>
      </c>
      <c r="F2170" s="3">
        <v>300</v>
      </c>
      <c r="G2170" s="3">
        <v>300</v>
      </c>
      <c r="H2170" t="s">
        <v>3</v>
      </c>
      <c r="I2170" t="s">
        <v>3</v>
      </c>
      <c r="J2170" t="s">
        <v>300</v>
      </c>
      <c r="K2170" t="s">
        <v>13</v>
      </c>
      <c r="L2170" t="s">
        <v>15</v>
      </c>
      <c r="M2170" t="s">
        <v>114</v>
      </c>
      <c r="N2170" s="2">
        <v>46055</v>
      </c>
    </row>
    <row r="2171" spans="1:14" x14ac:dyDescent="0.25">
      <c r="A2171" t="s">
        <v>463</v>
      </c>
      <c r="B2171" s="2">
        <v>46054</v>
      </c>
      <c r="C2171" t="s">
        <v>463</v>
      </c>
      <c r="D2171" t="s">
        <v>112</v>
      </c>
      <c r="E2171" t="s">
        <v>9</v>
      </c>
      <c r="F2171" s="3">
        <v>-300</v>
      </c>
      <c r="G2171" s="3">
        <v>-300</v>
      </c>
      <c r="H2171" t="s">
        <v>3</v>
      </c>
      <c r="I2171" t="s">
        <v>3</v>
      </c>
      <c r="J2171" t="s">
        <v>300</v>
      </c>
      <c r="K2171" t="s">
        <v>13</v>
      </c>
      <c r="L2171" t="s">
        <v>15</v>
      </c>
      <c r="M2171" t="s">
        <v>114</v>
      </c>
      <c r="N2171" s="2">
        <v>46054</v>
      </c>
    </row>
    <row r="2172" spans="1:14" x14ac:dyDescent="0.25">
      <c r="A2172" t="s">
        <v>463</v>
      </c>
      <c r="B2172" s="2">
        <v>46081</v>
      </c>
      <c r="C2172" t="s">
        <v>463</v>
      </c>
      <c r="D2172" t="s">
        <v>112</v>
      </c>
      <c r="E2172" t="s">
        <v>9</v>
      </c>
      <c r="F2172" s="3">
        <v>300</v>
      </c>
      <c r="G2172" s="3">
        <v>300</v>
      </c>
      <c r="H2172" t="s">
        <v>3</v>
      </c>
      <c r="I2172" t="s">
        <v>3</v>
      </c>
      <c r="J2172" t="s">
        <v>304</v>
      </c>
      <c r="K2172" t="s">
        <v>13</v>
      </c>
      <c r="L2172" t="s">
        <v>15</v>
      </c>
      <c r="M2172" t="s">
        <v>114</v>
      </c>
      <c r="N2172" s="2">
        <v>46081</v>
      </c>
    </row>
    <row r="2173" spans="1:14" x14ac:dyDescent="0.25">
      <c r="A2173" s="4" t="s">
        <v>239</v>
      </c>
      <c r="B2173" s="5"/>
      <c r="C2173" s="4" t="s">
        <v>9</v>
      </c>
      <c r="D2173" s="4" t="s">
        <v>9</v>
      </c>
      <c r="E2173" s="4" t="s">
        <v>9</v>
      </c>
      <c r="F2173" s="6">
        <v>0</v>
      </c>
      <c r="G2173" s="6">
        <v>0</v>
      </c>
      <c r="H2173" s="4" t="s">
        <v>9</v>
      </c>
      <c r="I2173" s="4" t="s">
        <v>3</v>
      </c>
      <c r="J2173" s="4" t="s">
        <v>9</v>
      </c>
      <c r="K2173" s="4" t="s">
        <v>9</v>
      </c>
      <c r="L2173" s="4" t="s">
        <v>9</v>
      </c>
      <c r="M2173" s="4" t="s">
        <v>9</v>
      </c>
      <c r="N2173" s="5"/>
    </row>
    <row r="2174" spans="1:14" x14ac:dyDescent="0.25">
      <c r="A2174" t="s">
        <v>463</v>
      </c>
      <c r="B2174" s="2">
        <v>45749</v>
      </c>
      <c r="C2174" t="s">
        <v>463</v>
      </c>
      <c r="D2174" t="s">
        <v>112</v>
      </c>
      <c r="E2174" t="s">
        <v>9</v>
      </c>
      <c r="F2174" s="3">
        <v>-17900</v>
      </c>
      <c r="G2174" s="3">
        <v>-17900</v>
      </c>
      <c r="H2174" t="s">
        <v>3</v>
      </c>
      <c r="I2174" t="s">
        <v>3</v>
      </c>
      <c r="J2174" t="s">
        <v>9</v>
      </c>
      <c r="K2174" t="s">
        <v>9</v>
      </c>
      <c r="L2174" t="s">
        <v>16</v>
      </c>
      <c r="M2174" t="s">
        <v>114</v>
      </c>
      <c r="N2174" s="2">
        <v>45747</v>
      </c>
    </row>
    <row r="2175" spans="1:14" x14ac:dyDescent="0.25">
      <c r="A2175" t="s">
        <v>463</v>
      </c>
      <c r="B2175" s="2">
        <v>45747</v>
      </c>
      <c r="C2175" t="s">
        <v>463</v>
      </c>
      <c r="D2175" t="s">
        <v>112</v>
      </c>
      <c r="E2175" t="s">
        <v>9</v>
      </c>
      <c r="F2175" s="3">
        <v>17900</v>
      </c>
      <c r="G2175" s="3">
        <v>17900</v>
      </c>
      <c r="H2175" t="s">
        <v>3</v>
      </c>
      <c r="I2175" t="s">
        <v>3</v>
      </c>
      <c r="J2175" t="s">
        <v>305</v>
      </c>
      <c r="K2175" t="s">
        <v>5</v>
      </c>
      <c r="L2175" t="s">
        <v>16</v>
      </c>
      <c r="M2175" t="s">
        <v>114</v>
      </c>
      <c r="N2175" s="2">
        <v>45747</v>
      </c>
    </row>
    <row r="2176" spans="1:14" x14ac:dyDescent="0.25">
      <c r="A2176" s="4" t="s">
        <v>244</v>
      </c>
      <c r="B2176" s="5"/>
      <c r="C2176" s="4" t="s">
        <v>9</v>
      </c>
      <c r="D2176" s="4" t="s">
        <v>9</v>
      </c>
      <c r="E2176" s="4" t="s">
        <v>9</v>
      </c>
      <c r="F2176" s="6">
        <v>0</v>
      </c>
      <c r="G2176" s="6">
        <v>0</v>
      </c>
      <c r="H2176" s="4" t="s">
        <v>9</v>
      </c>
      <c r="I2176" s="4" t="s">
        <v>3</v>
      </c>
      <c r="J2176" s="4" t="s">
        <v>9</v>
      </c>
      <c r="K2176" s="4" t="s">
        <v>9</v>
      </c>
      <c r="L2176" s="4" t="s">
        <v>9</v>
      </c>
      <c r="M2176" s="4" t="s">
        <v>9</v>
      </c>
      <c r="N2176" s="5"/>
    </row>
    <row r="2177" spans="1:14" x14ac:dyDescent="0.25">
      <c r="A2177" t="s">
        <v>463</v>
      </c>
      <c r="B2177" s="2">
        <v>45782</v>
      </c>
      <c r="C2177" t="s">
        <v>463</v>
      </c>
      <c r="D2177" t="s">
        <v>112</v>
      </c>
      <c r="E2177" t="s">
        <v>9</v>
      </c>
      <c r="F2177" s="3">
        <v>-8300</v>
      </c>
      <c r="G2177" s="3">
        <v>-8300</v>
      </c>
      <c r="H2177" t="s">
        <v>3</v>
      </c>
      <c r="I2177" t="s">
        <v>3</v>
      </c>
      <c r="J2177" t="s">
        <v>9</v>
      </c>
      <c r="K2177" t="s">
        <v>9</v>
      </c>
      <c r="L2177" t="s">
        <v>17</v>
      </c>
      <c r="M2177" t="s">
        <v>114</v>
      </c>
      <c r="N2177" s="2">
        <v>45777</v>
      </c>
    </row>
    <row r="2178" spans="1:14" x14ac:dyDescent="0.25">
      <c r="A2178" t="s">
        <v>463</v>
      </c>
      <c r="B2178" s="2">
        <v>45747</v>
      </c>
      <c r="C2178" t="s">
        <v>463</v>
      </c>
      <c r="D2178" t="s">
        <v>112</v>
      </c>
      <c r="E2178" t="s">
        <v>9</v>
      </c>
      <c r="F2178" s="3">
        <v>-17900</v>
      </c>
      <c r="G2178" s="3">
        <v>-17900</v>
      </c>
      <c r="H2178" t="s">
        <v>3</v>
      </c>
      <c r="I2178" t="s">
        <v>3</v>
      </c>
      <c r="J2178" t="s">
        <v>305</v>
      </c>
      <c r="K2178" t="s">
        <v>5</v>
      </c>
      <c r="L2178" t="s">
        <v>17</v>
      </c>
      <c r="M2178" t="s">
        <v>114</v>
      </c>
      <c r="N2178" s="2">
        <v>45748</v>
      </c>
    </row>
    <row r="2179" spans="1:14" x14ac:dyDescent="0.25">
      <c r="A2179" t="s">
        <v>463</v>
      </c>
      <c r="B2179" s="2">
        <v>45777</v>
      </c>
      <c r="C2179" t="s">
        <v>463</v>
      </c>
      <c r="D2179" t="s">
        <v>112</v>
      </c>
      <c r="E2179" t="s">
        <v>9</v>
      </c>
      <c r="F2179" s="3">
        <v>26200</v>
      </c>
      <c r="G2179" s="3">
        <v>26200</v>
      </c>
      <c r="H2179" t="s">
        <v>3</v>
      </c>
      <c r="I2179" t="s">
        <v>3</v>
      </c>
      <c r="J2179" t="s">
        <v>308</v>
      </c>
      <c r="K2179" t="s">
        <v>5</v>
      </c>
      <c r="L2179" t="s">
        <v>17</v>
      </c>
      <c r="M2179" t="s">
        <v>114</v>
      </c>
      <c r="N2179" s="2">
        <v>45777</v>
      </c>
    </row>
    <row r="2180" spans="1:14" x14ac:dyDescent="0.25">
      <c r="A2180" s="4" t="s">
        <v>249</v>
      </c>
      <c r="B2180" s="5"/>
      <c r="C2180" s="4" t="s">
        <v>9</v>
      </c>
      <c r="D2180" s="4" t="s">
        <v>9</v>
      </c>
      <c r="E2180" s="4" t="s">
        <v>9</v>
      </c>
      <c r="F2180" s="6">
        <v>0</v>
      </c>
      <c r="G2180" s="6">
        <v>0</v>
      </c>
      <c r="H2180" s="4" t="s">
        <v>9</v>
      </c>
      <c r="I2180" s="4" t="s">
        <v>3</v>
      </c>
      <c r="J2180" s="4" t="s">
        <v>9</v>
      </c>
      <c r="K2180" s="4" t="s">
        <v>9</v>
      </c>
      <c r="L2180" s="4" t="s">
        <v>9</v>
      </c>
      <c r="M2180" s="4" t="s">
        <v>9</v>
      </c>
      <c r="N2180" s="5"/>
    </row>
    <row r="2181" spans="1:14" x14ac:dyDescent="0.25">
      <c r="A2181" t="s">
        <v>463</v>
      </c>
      <c r="B2181" s="2">
        <v>45810</v>
      </c>
      <c r="C2181" t="s">
        <v>463</v>
      </c>
      <c r="D2181" t="s">
        <v>112</v>
      </c>
      <c r="E2181" t="s">
        <v>9</v>
      </c>
      <c r="F2181" s="3">
        <v>-6500</v>
      </c>
      <c r="G2181" s="3">
        <v>-6500</v>
      </c>
      <c r="H2181" t="s">
        <v>3</v>
      </c>
      <c r="I2181" t="s">
        <v>3</v>
      </c>
      <c r="J2181" t="s">
        <v>9</v>
      </c>
      <c r="K2181" t="s">
        <v>9</v>
      </c>
      <c r="L2181" t="s">
        <v>18</v>
      </c>
      <c r="M2181" t="s">
        <v>114</v>
      </c>
      <c r="N2181" s="2">
        <v>45808</v>
      </c>
    </row>
    <row r="2182" spans="1:14" x14ac:dyDescent="0.25">
      <c r="A2182" t="s">
        <v>463</v>
      </c>
      <c r="B2182" s="2">
        <v>45777</v>
      </c>
      <c r="C2182" t="s">
        <v>463</v>
      </c>
      <c r="D2182" t="s">
        <v>112</v>
      </c>
      <c r="E2182" t="s">
        <v>9</v>
      </c>
      <c r="F2182" s="3">
        <v>-26200</v>
      </c>
      <c r="G2182" s="3">
        <v>-26200</v>
      </c>
      <c r="H2182" t="s">
        <v>3</v>
      </c>
      <c r="I2182" t="s">
        <v>3</v>
      </c>
      <c r="J2182" t="s">
        <v>308</v>
      </c>
      <c r="K2182" t="s">
        <v>5</v>
      </c>
      <c r="L2182" t="s">
        <v>18</v>
      </c>
      <c r="M2182" t="s">
        <v>114</v>
      </c>
      <c r="N2182" s="2">
        <v>45778</v>
      </c>
    </row>
    <row r="2183" spans="1:14" x14ac:dyDescent="0.25">
      <c r="A2183" t="s">
        <v>463</v>
      </c>
      <c r="B2183" s="2">
        <v>45808</v>
      </c>
      <c r="C2183" t="s">
        <v>463</v>
      </c>
      <c r="D2183" t="s">
        <v>112</v>
      </c>
      <c r="E2183" t="s">
        <v>9</v>
      </c>
      <c r="F2183" s="3">
        <v>32700</v>
      </c>
      <c r="G2183" s="3">
        <v>32700</v>
      </c>
      <c r="H2183" t="s">
        <v>3</v>
      </c>
      <c r="I2183" t="s">
        <v>3</v>
      </c>
      <c r="J2183" t="s">
        <v>311</v>
      </c>
      <c r="K2183" t="s">
        <v>5</v>
      </c>
      <c r="L2183" t="s">
        <v>18</v>
      </c>
      <c r="M2183" t="s">
        <v>114</v>
      </c>
      <c r="N2183" s="2">
        <v>45808</v>
      </c>
    </row>
    <row r="2184" spans="1:14" x14ac:dyDescent="0.25">
      <c r="A2184" s="4" t="s">
        <v>223</v>
      </c>
      <c r="B2184" s="5"/>
      <c r="C2184" s="4" t="s">
        <v>9</v>
      </c>
      <c r="D2184" s="4" t="s">
        <v>9</v>
      </c>
      <c r="E2184" s="4" t="s">
        <v>9</v>
      </c>
      <c r="F2184" s="6">
        <v>0</v>
      </c>
      <c r="G2184" s="6">
        <v>0</v>
      </c>
      <c r="H2184" s="4" t="s">
        <v>9</v>
      </c>
      <c r="I2184" s="4" t="s">
        <v>3</v>
      </c>
      <c r="J2184" s="4" t="s">
        <v>9</v>
      </c>
      <c r="K2184" s="4" t="s">
        <v>9</v>
      </c>
      <c r="L2184" s="4" t="s">
        <v>9</v>
      </c>
      <c r="M2184" s="4" t="s">
        <v>9</v>
      </c>
      <c r="N2184" s="5"/>
    </row>
    <row r="2185" spans="1:14" x14ac:dyDescent="0.25">
      <c r="A2185" t="s">
        <v>463</v>
      </c>
      <c r="B2185" s="2">
        <v>45839</v>
      </c>
      <c r="C2185" t="s">
        <v>463</v>
      </c>
      <c r="D2185" t="s">
        <v>112</v>
      </c>
      <c r="E2185" t="s">
        <v>9</v>
      </c>
      <c r="F2185" s="3">
        <v>-6400</v>
      </c>
      <c r="G2185" s="3">
        <v>-6400</v>
      </c>
      <c r="H2185" t="s">
        <v>3</v>
      </c>
      <c r="I2185" t="s">
        <v>3</v>
      </c>
      <c r="J2185" t="s">
        <v>9</v>
      </c>
      <c r="K2185" t="s">
        <v>9</v>
      </c>
      <c r="L2185" t="s">
        <v>19</v>
      </c>
      <c r="M2185" t="s">
        <v>114</v>
      </c>
      <c r="N2185" s="2">
        <v>45838</v>
      </c>
    </row>
    <row r="2186" spans="1:14" x14ac:dyDescent="0.25">
      <c r="A2186" t="s">
        <v>463</v>
      </c>
      <c r="B2186" s="2">
        <v>45808</v>
      </c>
      <c r="C2186" t="s">
        <v>463</v>
      </c>
      <c r="D2186" t="s">
        <v>112</v>
      </c>
      <c r="E2186" t="s">
        <v>9</v>
      </c>
      <c r="F2186" s="3">
        <v>-32700</v>
      </c>
      <c r="G2186" s="3">
        <v>-32700</v>
      </c>
      <c r="H2186" t="s">
        <v>3</v>
      </c>
      <c r="I2186" t="s">
        <v>3</v>
      </c>
      <c r="J2186" t="s">
        <v>311</v>
      </c>
      <c r="K2186" t="s">
        <v>5</v>
      </c>
      <c r="L2186" t="s">
        <v>19</v>
      </c>
      <c r="M2186" t="s">
        <v>114</v>
      </c>
      <c r="N2186" s="2">
        <v>45809</v>
      </c>
    </row>
    <row r="2187" spans="1:14" x14ac:dyDescent="0.25">
      <c r="A2187" t="s">
        <v>463</v>
      </c>
      <c r="B2187" s="2">
        <v>45838</v>
      </c>
      <c r="C2187" t="s">
        <v>463</v>
      </c>
      <c r="D2187" t="s">
        <v>112</v>
      </c>
      <c r="E2187" t="s">
        <v>9</v>
      </c>
      <c r="F2187" s="3">
        <v>39100</v>
      </c>
      <c r="G2187" s="3">
        <v>39100</v>
      </c>
      <c r="H2187" t="s">
        <v>3</v>
      </c>
      <c r="I2187" t="s">
        <v>3</v>
      </c>
      <c r="J2187" t="s">
        <v>314</v>
      </c>
      <c r="K2187" t="s">
        <v>5</v>
      </c>
      <c r="L2187" t="s">
        <v>19</v>
      </c>
      <c r="M2187" t="s">
        <v>114</v>
      </c>
      <c r="N2187" s="2">
        <v>45838</v>
      </c>
    </row>
    <row r="2188" spans="1:14" x14ac:dyDescent="0.25">
      <c r="A2188" s="4" t="s">
        <v>224</v>
      </c>
      <c r="B2188" s="5"/>
      <c r="C2188" s="4" t="s">
        <v>9</v>
      </c>
      <c r="D2188" s="4" t="s">
        <v>9</v>
      </c>
      <c r="E2188" s="4" t="s">
        <v>9</v>
      </c>
      <c r="F2188" s="6">
        <v>0</v>
      </c>
      <c r="G2188" s="6">
        <v>0</v>
      </c>
      <c r="H2188" s="4" t="s">
        <v>9</v>
      </c>
      <c r="I2188" s="4" t="s">
        <v>3</v>
      </c>
      <c r="J2188" s="4" t="s">
        <v>9</v>
      </c>
      <c r="K2188" s="4" t="s">
        <v>9</v>
      </c>
      <c r="L2188" s="4" t="s">
        <v>9</v>
      </c>
      <c r="M2188" s="4" t="s">
        <v>9</v>
      </c>
      <c r="N2188" s="5"/>
    </row>
    <row r="2189" spans="1:14" x14ac:dyDescent="0.25">
      <c r="A2189" t="s">
        <v>463</v>
      </c>
      <c r="B2189" s="2">
        <v>45870</v>
      </c>
      <c r="C2189" t="s">
        <v>463</v>
      </c>
      <c r="D2189" t="s">
        <v>112</v>
      </c>
      <c r="E2189" t="s">
        <v>9</v>
      </c>
      <c r="F2189" s="3">
        <v>-2100</v>
      </c>
      <c r="G2189" s="3">
        <v>-2100</v>
      </c>
      <c r="H2189" t="s">
        <v>3</v>
      </c>
      <c r="I2189" t="s">
        <v>3</v>
      </c>
      <c r="J2189" t="s">
        <v>9</v>
      </c>
      <c r="K2189" t="s">
        <v>9</v>
      </c>
      <c r="L2189" t="s">
        <v>21</v>
      </c>
      <c r="M2189" t="s">
        <v>114</v>
      </c>
      <c r="N2189" s="2">
        <v>45869</v>
      </c>
    </row>
    <row r="2190" spans="1:14" x14ac:dyDescent="0.25">
      <c r="A2190" t="s">
        <v>463</v>
      </c>
      <c r="B2190" s="2">
        <v>45838</v>
      </c>
      <c r="C2190" t="s">
        <v>463</v>
      </c>
      <c r="D2190" t="s">
        <v>112</v>
      </c>
      <c r="E2190" t="s">
        <v>9</v>
      </c>
      <c r="F2190" s="3">
        <v>-39100</v>
      </c>
      <c r="G2190" s="3">
        <v>-39100</v>
      </c>
      <c r="H2190" t="s">
        <v>3</v>
      </c>
      <c r="I2190" t="s">
        <v>3</v>
      </c>
      <c r="J2190" t="s">
        <v>314</v>
      </c>
      <c r="K2190" t="s">
        <v>5</v>
      </c>
      <c r="L2190" t="s">
        <v>21</v>
      </c>
      <c r="M2190" t="s">
        <v>114</v>
      </c>
      <c r="N2190" s="2">
        <v>45839</v>
      </c>
    </row>
    <row r="2191" spans="1:14" x14ac:dyDescent="0.25">
      <c r="A2191" t="s">
        <v>463</v>
      </c>
      <c r="B2191" s="2">
        <v>45869</v>
      </c>
      <c r="C2191" t="s">
        <v>463</v>
      </c>
      <c r="D2191" t="s">
        <v>112</v>
      </c>
      <c r="E2191" t="s">
        <v>9</v>
      </c>
      <c r="F2191" s="3">
        <v>41200</v>
      </c>
      <c r="G2191" s="3">
        <v>41200</v>
      </c>
      <c r="H2191" t="s">
        <v>3</v>
      </c>
      <c r="I2191" t="s">
        <v>3</v>
      </c>
      <c r="J2191" t="s">
        <v>317</v>
      </c>
      <c r="K2191" t="s">
        <v>5</v>
      </c>
      <c r="L2191" t="s">
        <v>21</v>
      </c>
      <c r="M2191" t="s">
        <v>114</v>
      </c>
      <c r="N2191" s="2">
        <v>45869</v>
      </c>
    </row>
    <row r="2192" spans="1:14" x14ac:dyDescent="0.25">
      <c r="A2192" s="4" t="s">
        <v>262</v>
      </c>
      <c r="B2192" s="5"/>
      <c r="C2192" s="4" t="s">
        <v>9</v>
      </c>
      <c r="D2192" s="4" t="s">
        <v>9</v>
      </c>
      <c r="E2192" s="4" t="s">
        <v>9</v>
      </c>
      <c r="F2192" s="6">
        <v>0</v>
      </c>
      <c r="G2192" s="6">
        <v>0</v>
      </c>
      <c r="H2192" s="4" t="s">
        <v>9</v>
      </c>
      <c r="I2192" s="4" t="s">
        <v>3</v>
      </c>
      <c r="J2192" s="4" t="s">
        <v>9</v>
      </c>
      <c r="K2192" s="4" t="s">
        <v>9</v>
      </c>
      <c r="L2192" s="4" t="s">
        <v>9</v>
      </c>
      <c r="M2192" s="4" t="s">
        <v>9</v>
      </c>
      <c r="N2192" s="5"/>
    </row>
    <row r="2193" spans="1:14" x14ac:dyDescent="0.25">
      <c r="A2193" t="s">
        <v>463</v>
      </c>
      <c r="B2193" s="2">
        <v>45901</v>
      </c>
      <c r="C2193" t="s">
        <v>463</v>
      </c>
      <c r="D2193" t="s">
        <v>112</v>
      </c>
      <c r="E2193" t="s">
        <v>9</v>
      </c>
      <c r="F2193" s="3">
        <v>-1900</v>
      </c>
      <c r="G2193" s="3">
        <v>-1900</v>
      </c>
      <c r="H2193" t="s">
        <v>3</v>
      </c>
      <c r="I2193" t="s">
        <v>3</v>
      </c>
      <c r="J2193" t="s">
        <v>9</v>
      </c>
      <c r="K2193" t="s">
        <v>9</v>
      </c>
      <c r="L2193" t="s">
        <v>22</v>
      </c>
      <c r="M2193" t="s">
        <v>114</v>
      </c>
      <c r="N2193" s="2">
        <v>45900</v>
      </c>
    </row>
    <row r="2194" spans="1:14" x14ac:dyDescent="0.25">
      <c r="A2194" t="s">
        <v>463</v>
      </c>
      <c r="B2194" s="2">
        <v>45869</v>
      </c>
      <c r="C2194" t="s">
        <v>463</v>
      </c>
      <c r="D2194" t="s">
        <v>112</v>
      </c>
      <c r="E2194" t="s">
        <v>9</v>
      </c>
      <c r="F2194" s="3">
        <v>-41200</v>
      </c>
      <c r="G2194" s="3">
        <v>-41200</v>
      </c>
      <c r="H2194" t="s">
        <v>3</v>
      </c>
      <c r="I2194" t="s">
        <v>3</v>
      </c>
      <c r="J2194" t="s">
        <v>317</v>
      </c>
      <c r="K2194" t="s">
        <v>5</v>
      </c>
      <c r="L2194" t="s">
        <v>22</v>
      </c>
      <c r="M2194" t="s">
        <v>114</v>
      </c>
      <c r="N2194" s="2">
        <v>45870</v>
      </c>
    </row>
    <row r="2195" spans="1:14" x14ac:dyDescent="0.25">
      <c r="A2195" t="s">
        <v>463</v>
      </c>
      <c r="B2195" s="2">
        <v>45900</v>
      </c>
      <c r="C2195" t="s">
        <v>463</v>
      </c>
      <c r="D2195" t="s">
        <v>112</v>
      </c>
      <c r="E2195" t="s">
        <v>9</v>
      </c>
      <c r="F2195" s="3">
        <v>43100</v>
      </c>
      <c r="G2195" s="3">
        <v>43100</v>
      </c>
      <c r="H2195" t="s">
        <v>3</v>
      </c>
      <c r="I2195" t="s">
        <v>3</v>
      </c>
      <c r="J2195" t="s">
        <v>320</v>
      </c>
      <c r="K2195" t="s">
        <v>5</v>
      </c>
      <c r="L2195" t="s">
        <v>22</v>
      </c>
      <c r="M2195" t="s">
        <v>114</v>
      </c>
      <c r="N2195" s="2">
        <v>45900</v>
      </c>
    </row>
    <row r="2196" spans="1:14" x14ac:dyDescent="0.25">
      <c r="A2196" t="s">
        <v>463</v>
      </c>
      <c r="B2196" s="2">
        <v>45900</v>
      </c>
      <c r="C2196" t="s">
        <v>463</v>
      </c>
      <c r="D2196" t="s">
        <v>112</v>
      </c>
      <c r="E2196" t="s">
        <v>9</v>
      </c>
      <c r="F2196" s="3">
        <v>-43100</v>
      </c>
      <c r="G2196" s="3">
        <v>-43100</v>
      </c>
      <c r="H2196" t="s">
        <v>3</v>
      </c>
      <c r="I2196" t="s">
        <v>3</v>
      </c>
      <c r="J2196" t="s">
        <v>320</v>
      </c>
      <c r="K2196" t="s">
        <v>5</v>
      </c>
      <c r="L2196" t="s">
        <v>22</v>
      </c>
      <c r="M2196" t="s">
        <v>114</v>
      </c>
      <c r="N2196" s="2">
        <v>45900</v>
      </c>
    </row>
    <row r="2197" spans="1:14" x14ac:dyDescent="0.25">
      <c r="A2197" t="s">
        <v>463</v>
      </c>
      <c r="B2197" s="2">
        <v>45900</v>
      </c>
      <c r="C2197" t="s">
        <v>463</v>
      </c>
      <c r="D2197" t="s">
        <v>112</v>
      </c>
      <c r="E2197" t="s">
        <v>9</v>
      </c>
      <c r="F2197" s="3">
        <v>41700</v>
      </c>
      <c r="G2197" s="3">
        <v>41700</v>
      </c>
      <c r="H2197" t="s">
        <v>3</v>
      </c>
      <c r="I2197" t="s">
        <v>3</v>
      </c>
      <c r="J2197" t="s">
        <v>320</v>
      </c>
      <c r="K2197" t="s">
        <v>5</v>
      </c>
      <c r="L2197" t="s">
        <v>22</v>
      </c>
      <c r="M2197" t="s">
        <v>114</v>
      </c>
      <c r="N2197" s="2">
        <v>45900</v>
      </c>
    </row>
    <row r="2198" spans="1:14" x14ac:dyDescent="0.25">
      <c r="A2198" t="s">
        <v>463</v>
      </c>
      <c r="B2198" s="2">
        <v>45900</v>
      </c>
      <c r="C2198" t="s">
        <v>463</v>
      </c>
      <c r="D2198" t="s">
        <v>112</v>
      </c>
      <c r="E2198" t="s">
        <v>9</v>
      </c>
      <c r="F2198" s="3">
        <v>43100</v>
      </c>
      <c r="G2198" s="3">
        <v>43100</v>
      </c>
      <c r="H2198" t="s">
        <v>3</v>
      </c>
      <c r="I2198" t="s">
        <v>3</v>
      </c>
      <c r="J2198" t="s">
        <v>320</v>
      </c>
      <c r="K2198" t="s">
        <v>5</v>
      </c>
      <c r="L2198" t="s">
        <v>22</v>
      </c>
      <c r="M2198" t="s">
        <v>114</v>
      </c>
      <c r="N2198" s="2">
        <v>45900</v>
      </c>
    </row>
    <row r="2199" spans="1:14" x14ac:dyDescent="0.25">
      <c r="A2199" t="s">
        <v>463</v>
      </c>
      <c r="B2199" s="2">
        <v>45900</v>
      </c>
      <c r="C2199" t="s">
        <v>463</v>
      </c>
      <c r="D2199" t="s">
        <v>112</v>
      </c>
      <c r="E2199" t="s">
        <v>9</v>
      </c>
      <c r="F2199" s="3">
        <v>-41700</v>
      </c>
      <c r="G2199" s="3">
        <v>-41700</v>
      </c>
      <c r="H2199" t="s">
        <v>3</v>
      </c>
      <c r="I2199" t="s">
        <v>3</v>
      </c>
      <c r="J2199" t="s">
        <v>320</v>
      </c>
      <c r="K2199" t="s">
        <v>5</v>
      </c>
      <c r="L2199" t="s">
        <v>22</v>
      </c>
      <c r="M2199" t="s">
        <v>114</v>
      </c>
      <c r="N2199" s="2">
        <v>45900</v>
      </c>
    </row>
    <row r="2200" spans="1:14" x14ac:dyDescent="0.25">
      <c r="A2200" s="4" t="s">
        <v>267</v>
      </c>
      <c r="B2200" s="5"/>
      <c r="C2200" s="4" t="s">
        <v>9</v>
      </c>
      <c r="D2200" s="4" t="s">
        <v>9</v>
      </c>
      <c r="E2200" s="4" t="s">
        <v>9</v>
      </c>
      <c r="F2200" s="6">
        <v>0</v>
      </c>
      <c r="G2200" s="6">
        <v>0</v>
      </c>
      <c r="H2200" s="4" t="s">
        <v>9</v>
      </c>
      <c r="I2200" s="4" t="s">
        <v>3</v>
      </c>
      <c r="J2200" s="4" t="s">
        <v>9</v>
      </c>
      <c r="K2200" s="4" t="s">
        <v>9</v>
      </c>
      <c r="L2200" s="4" t="s">
        <v>9</v>
      </c>
      <c r="M2200" s="4" t="s">
        <v>9</v>
      </c>
      <c r="N2200" s="5"/>
    </row>
    <row r="2201" spans="1:14" x14ac:dyDescent="0.25">
      <c r="A2201" t="s">
        <v>463</v>
      </c>
      <c r="B2201" s="2">
        <v>45900</v>
      </c>
      <c r="C2201" t="s">
        <v>463</v>
      </c>
      <c r="D2201" t="s">
        <v>112</v>
      </c>
      <c r="E2201" t="s">
        <v>9</v>
      </c>
      <c r="F2201" s="3">
        <v>-43100</v>
      </c>
      <c r="G2201" s="3">
        <v>-43100</v>
      </c>
      <c r="H2201" t="s">
        <v>3</v>
      </c>
      <c r="I2201" t="s">
        <v>3</v>
      </c>
      <c r="J2201" t="s">
        <v>320</v>
      </c>
      <c r="K2201" t="s">
        <v>5</v>
      </c>
      <c r="L2201" t="s">
        <v>6</v>
      </c>
      <c r="M2201" t="s">
        <v>114</v>
      </c>
      <c r="N2201" s="2">
        <v>45901</v>
      </c>
    </row>
    <row r="2202" spans="1:14" x14ac:dyDescent="0.25">
      <c r="A2202" t="s">
        <v>463</v>
      </c>
      <c r="B2202" s="2">
        <v>45900</v>
      </c>
      <c r="C2202" t="s">
        <v>463</v>
      </c>
      <c r="D2202" t="s">
        <v>112</v>
      </c>
      <c r="E2202" t="s">
        <v>9</v>
      </c>
      <c r="F2202" s="3">
        <v>43100</v>
      </c>
      <c r="G2202" s="3">
        <v>43100</v>
      </c>
      <c r="H2202" t="s">
        <v>3</v>
      </c>
      <c r="I2202" t="s">
        <v>3</v>
      </c>
      <c r="J2202" t="s">
        <v>320</v>
      </c>
      <c r="K2202" t="s">
        <v>5</v>
      </c>
      <c r="L2202" t="s">
        <v>6</v>
      </c>
      <c r="M2202" t="s">
        <v>114</v>
      </c>
      <c r="N2202" s="2">
        <v>45901</v>
      </c>
    </row>
    <row r="2203" spans="1:14" x14ac:dyDescent="0.25">
      <c r="A2203" t="s">
        <v>463</v>
      </c>
      <c r="B2203" s="2">
        <v>45900</v>
      </c>
      <c r="C2203" t="s">
        <v>463</v>
      </c>
      <c r="D2203" t="s">
        <v>112</v>
      </c>
      <c r="E2203" t="s">
        <v>9</v>
      </c>
      <c r="F2203" s="3">
        <v>-41700</v>
      </c>
      <c r="G2203" s="3">
        <v>-41700</v>
      </c>
      <c r="H2203" t="s">
        <v>3</v>
      </c>
      <c r="I2203" t="s">
        <v>3</v>
      </c>
      <c r="J2203" t="s">
        <v>320</v>
      </c>
      <c r="K2203" t="s">
        <v>5</v>
      </c>
      <c r="L2203" t="s">
        <v>6</v>
      </c>
      <c r="M2203" t="s">
        <v>114</v>
      </c>
      <c r="N2203" s="2">
        <v>45901</v>
      </c>
    </row>
    <row r="2204" spans="1:14" x14ac:dyDescent="0.25">
      <c r="A2204" t="s">
        <v>463</v>
      </c>
      <c r="B2204" s="2">
        <v>45900</v>
      </c>
      <c r="C2204" t="s">
        <v>463</v>
      </c>
      <c r="D2204" t="s">
        <v>112</v>
      </c>
      <c r="E2204" t="s">
        <v>9</v>
      </c>
      <c r="F2204" s="3">
        <v>41700</v>
      </c>
      <c r="G2204" s="3">
        <v>41700</v>
      </c>
      <c r="H2204" t="s">
        <v>3</v>
      </c>
      <c r="I2204" t="s">
        <v>3</v>
      </c>
      <c r="J2204" t="s">
        <v>320</v>
      </c>
      <c r="K2204" t="s">
        <v>5</v>
      </c>
      <c r="L2204" t="s">
        <v>6</v>
      </c>
      <c r="M2204" t="s">
        <v>114</v>
      </c>
      <c r="N2204" s="2">
        <v>45901</v>
      </c>
    </row>
    <row r="2205" spans="1:14" x14ac:dyDescent="0.25">
      <c r="A2205" t="s">
        <v>463</v>
      </c>
      <c r="B2205" s="2">
        <v>45900</v>
      </c>
      <c r="C2205" t="s">
        <v>463</v>
      </c>
      <c r="D2205" t="s">
        <v>112</v>
      </c>
      <c r="E2205" t="s">
        <v>9</v>
      </c>
      <c r="F2205" s="3">
        <v>-43100</v>
      </c>
      <c r="G2205" s="3">
        <v>-43100</v>
      </c>
      <c r="H2205" t="s">
        <v>3</v>
      </c>
      <c r="I2205" t="s">
        <v>3</v>
      </c>
      <c r="J2205" t="s">
        <v>320</v>
      </c>
      <c r="K2205" t="s">
        <v>5</v>
      </c>
      <c r="L2205" t="s">
        <v>6</v>
      </c>
      <c r="M2205" t="s">
        <v>114</v>
      </c>
      <c r="N2205" s="2">
        <v>45901</v>
      </c>
    </row>
    <row r="2206" spans="1:14" x14ac:dyDescent="0.25">
      <c r="A2206" t="s">
        <v>463</v>
      </c>
      <c r="B2206" s="2">
        <v>45930</v>
      </c>
      <c r="C2206" t="s">
        <v>463</v>
      </c>
      <c r="D2206" t="s">
        <v>112</v>
      </c>
      <c r="E2206" t="s">
        <v>9</v>
      </c>
      <c r="F2206" s="3">
        <v>43100</v>
      </c>
      <c r="G2206" s="3">
        <v>43100</v>
      </c>
      <c r="H2206" t="s">
        <v>3</v>
      </c>
      <c r="I2206" t="s">
        <v>3</v>
      </c>
      <c r="J2206" t="s">
        <v>323</v>
      </c>
      <c r="K2206" t="s">
        <v>5</v>
      </c>
      <c r="L2206" t="s">
        <v>6</v>
      </c>
      <c r="M2206" t="s">
        <v>114</v>
      </c>
      <c r="N2206" s="2">
        <v>45930</v>
      </c>
    </row>
    <row r="2207" spans="1:14" x14ac:dyDescent="0.25">
      <c r="A2207" s="4" t="s">
        <v>272</v>
      </c>
      <c r="B2207" s="5"/>
      <c r="C2207" s="4" t="s">
        <v>9</v>
      </c>
      <c r="D2207" s="4" t="s">
        <v>9</v>
      </c>
      <c r="E2207" s="4" t="s">
        <v>9</v>
      </c>
      <c r="F2207" s="6">
        <v>0</v>
      </c>
      <c r="G2207" s="6">
        <v>0</v>
      </c>
      <c r="H2207" s="4" t="s">
        <v>9</v>
      </c>
      <c r="I2207" s="4" t="s">
        <v>3</v>
      </c>
      <c r="J2207" s="4" t="s">
        <v>9</v>
      </c>
      <c r="K2207" s="4" t="s">
        <v>9</v>
      </c>
      <c r="L2207" s="4" t="s">
        <v>9</v>
      </c>
      <c r="M2207" s="4" t="s">
        <v>9</v>
      </c>
      <c r="N2207" s="5"/>
    </row>
    <row r="2208" spans="1:14" x14ac:dyDescent="0.25">
      <c r="A2208" t="s">
        <v>463</v>
      </c>
      <c r="B2208" s="2">
        <v>45965</v>
      </c>
      <c r="C2208" t="s">
        <v>463</v>
      </c>
      <c r="D2208" t="s">
        <v>112</v>
      </c>
      <c r="E2208" t="s">
        <v>9</v>
      </c>
      <c r="F2208" s="3">
        <v>-4800</v>
      </c>
      <c r="G2208" s="3">
        <v>-4800</v>
      </c>
      <c r="H2208" t="s">
        <v>3</v>
      </c>
      <c r="I2208" t="s">
        <v>3</v>
      </c>
      <c r="J2208" t="s">
        <v>9</v>
      </c>
      <c r="K2208" t="s">
        <v>9</v>
      </c>
      <c r="L2208" t="s">
        <v>8</v>
      </c>
      <c r="M2208" t="s">
        <v>114</v>
      </c>
      <c r="N2208" s="2">
        <v>45961</v>
      </c>
    </row>
    <row r="2209" spans="1:14" x14ac:dyDescent="0.25">
      <c r="A2209" t="s">
        <v>463</v>
      </c>
      <c r="B2209" s="2">
        <v>45930</v>
      </c>
      <c r="C2209" t="s">
        <v>463</v>
      </c>
      <c r="D2209" t="s">
        <v>112</v>
      </c>
      <c r="E2209" t="s">
        <v>9</v>
      </c>
      <c r="F2209" s="3">
        <v>-43100</v>
      </c>
      <c r="G2209" s="3">
        <v>-43100</v>
      </c>
      <c r="H2209" t="s">
        <v>3</v>
      </c>
      <c r="I2209" t="s">
        <v>3</v>
      </c>
      <c r="J2209" t="s">
        <v>323</v>
      </c>
      <c r="K2209" t="s">
        <v>5</v>
      </c>
      <c r="L2209" t="s">
        <v>8</v>
      </c>
      <c r="M2209" t="s">
        <v>114</v>
      </c>
      <c r="N2209" s="2">
        <v>45931</v>
      </c>
    </row>
    <row r="2210" spans="1:14" x14ac:dyDescent="0.25">
      <c r="A2210" t="s">
        <v>463</v>
      </c>
      <c r="B2210" s="2">
        <v>45961</v>
      </c>
      <c r="C2210" t="s">
        <v>463</v>
      </c>
      <c r="D2210" t="s">
        <v>112</v>
      </c>
      <c r="E2210" t="s">
        <v>9</v>
      </c>
      <c r="F2210" s="3">
        <v>47900</v>
      </c>
      <c r="G2210" s="3">
        <v>47900</v>
      </c>
      <c r="H2210" t="s">
        <v>3</v>
      </c>
      <c r="I2210" t="s">
        <v>3</v>
      </c>
      <c r="J2210" t="s">
        <v>325</v>
      </c>
      <c r="K2210" t="s">
        <v>5</v>
      </c>
      <c r="L2210" t="s">
        <v>8</v>
      </c>
      <c r="M2210" t="s">
        <v>114</v>
      </c>
      <c r="N2210" s="2">
        <v>45961</v>
      </c>
    </row>
    <row r="2211" spans="1:14" x14ac:dyDescent="0.25">
      <c r="A2211" s="4" t="s">
        <v>278</v>
      </c>
      <c r="B2211" s="5"/>
      <c r="C2211" s="4" t="s">
        <v>9</v>
      </c>
      <c r="D2211" s="4" t="s">
        <v>9</v>
      </c>
      <c r="E2211" s="4" t="s">
        <v>9</v>
      </c>
      <c r="F2211" s="6">
        <v>0</v>
      </c>
      <c r="G2211" s="6">
        <v>0</v>
      </c>
      <c r="H2211" s="4" t="s">
        <v>9</v>
      </c>
      <c r="I2211" s="4" t="s">
        <v>3</v>
      </c>
      <c r="J2211" s="4" t="s">
        <v>9</v>
      </c>
      <c r="K2211" s="4" t="s">
        <v>9</v>
      </c>
      <c r="L2211" s="4" t="s">
        <v>9</v>
      </c>
      <c r="M2211" s="4" t="s">
        <v>9</v>
      </c>
      <c r="N2211" s="5"/>
    </row>
    <row r="2212" spans="1:14" x14ac:dyDescent="0.25">
      <c r="A2212" t="s">
        <v>463</v>
      </c>
      <c r="B2212" s="2">
        <v>45993</v>
      </c>
      <c r="C2212" t="s">
        <v>463</v>
      </c>
      <c r="D2212" t="s">
        <v>112</v>
      </c>
      <c r="E2212" t="s">
        <v>9</v>
      </c>
      <c r="F2212" s="3">
        <v>-1300</v>
      </c>
      <c r="G2212" s="3">
        <v>-1300</v>
      </c>
      <c r="H2212" t="s">
        <v>3</v>
      </c>
      <c r="I2212" t="s">
        <v>3</v>
      </c>
      <c r="J2212" t="s">
        <v>9</v>
      </c>
      <c r="K2212" t="s">
        <v>9</v>
      </c>
      <c r="L2212" t="s">
        <v>11</v>
      </c>
      <c r="M2212" t="s">
        <v>114</v>
      </c>
      <c r="N2212" s="2">
        <v>45991</v>
      </c>
    </row>
    <row r="2213" spans="1:14" x14ac:dyDescent="0.25">
      <c r="A2213" t="s">
        <v>463</v>
      </c>
      <c r="B2213" s="2">
        <v>45961</v>
      </c>
      <c r="C2213" t="s">
        <v>463</v>
      </c>
      <c r="D2213" t="s">
        <v>112</v>
      </c>
      <c r="E2213" t="s">
        <v>9</v>
      </c>
      <c r="F2213" s="3">
        <v>-47900</v>
      </c>
      <c r="G2213" s="3">
        <v>-47900</v>
      </c>
      <c r="H2213" t="s">
        <v>3</v>
      </c>
      <c r="I2213" t="s">
        <v>3</v>
      </c>
      <c r="J2213" t="s">
        <v>325</v>
      </c>
      <c r="K2213" t="s">
        <v>5</v>
      </c>
      <c r="L2213" t="s">
        <v>11</v>
      </c>
      <c r="M2213" t="s">
        <v>114</v>
      </c>
      <c r="N2213" s="2">
        <v>45962</v>
      </c>
    </row>
    <row r="2214" spans="1:14" x14ac:dyDescent="0.25">
      <c r="A2214" t="s">
        <v>463</v>
      </c>
      <c r="B2214" s="2">
        <v>45991</v>
      </c>
      <c r="C2214" t="s">
        <v>463</v>
      </c>
      <c r="D2214" t="s">
        <v>112</v>
      </c>
      <c r="E2214" t="s">
        <v>9</v>
      </c>
      <c r="F2214" s="3">
        <v>49200</v>
      </c>
      <c r="G2214" s="3">
        <v>49200</v>
      </c>
      <c r="H2214" t="s">
        <v>3</v>
      </c>
      <c r="I2214" t="s">
        <v>3</v>
      </c>
      <c r="J2214" t="s">
        <v>328</v>
      </c>
      <c r="K2214" t="s">
        <v>5</v>
      </c>
      <c r="L2214" t="s">
        <v>11</v>
      </c>
      <c r="M2214" t="s">
        <v>114</v>
      </c>
      <c r="N2214" s="2">
        <v>45991</v>
      </c>
    </row>
    <row r="2215" spans="1:14" x14ac:dyDescent="0.25">
      <c r="A2215" s="4" t="s">
        <v>226</v>
      </c>
      <c r="B2215" s="5"/>
      <c r="C2215" s="4" t="s">
        <v>9</v>
      </c>
      <c r="D2215" s="4" t="s">
        <v>9</v>
      </c>
      <c r="E2215" s="4" t="s">
        <v>9</v>
      </c>
      <c r="F2215" s="6">
        <v>0</v>
      </c>
      <c r="G2215" s="6">
        <v>0</v>
      </c>
      <c r="H2215" s="4" t="s">
        <v>9</v>
      </c>
      <c r="I2215" s="4" t="s">
        <v>3</v>
      </c>
      <c r="J2215" s="4" t="s">
        <v>9</v>
      </c>
      <c r="K2215" s="4" t="s">
        <v>9</v>
      </c>
      <c r="L2215" s="4" t="s">
        <v>9</v>
      </c>
      <c r="M2215" s="4" t="s">
        <v>9</v>
      </c>
      <c r="N2215" s="5"/>
    </row>
    <row r="2216" spans="1:14" x14ac:dyDescent="0.25">
      <c r="A2216" t="s">
        <v>463</v>
      </c>
      <c r="B2216" s="2">
        <v>46028</v>
      </c>
      <c r="C2216" t="s">
        <v>463</v>
      </c>
      <c r="D2216" t="s">
        <v>112</v>
      </c>
      <c r="E2216" t="s">
        <v>9</v>
      </c>
      <c r="F2216" s="3">
        <v>-2500</v>
      </c>
      <c r="G2216" s="3">
        <v>-2500</v>
      </c>
      <c r="H2216" t="s">
        <v>3</v>
      </c>
      <c r="I2216" t="s">
        <v>3</v>
      </c>
      <c r="J2216" t="s">
        <v>9</v>
      </c>
      <c r="K2216" t="s">
        <v>9</v>
      </c>
      <c r="L2216" t="s">
        <v>12</v>
      </c>
      <c r="M2216" t="s">
        <v>114</v>
      </c>
      <c r="N2216" s="2">
        <v>46022</v>
      </c>
    </row>
    <row r="2217" spans="1:14" x14ac:dyDescent="0.25">
      <c r="A2217" t="s">
        <v>463</v>
      </c>
      <c r="B2217" s="2">
        <v>45991</v>
      </c>
      <c r="C2217" t="s">
        <v>463</v>
      </c>
      <c r="D2217" t="s">
        <v>112</v>
      </c>
      <c r="E2217" t="s">
        <v>9</v>
      </c>
      <c r="F2217" s="3">
        <v>-49200</v>
      </c>
      <c r="G2217" s="3">
        <v>-49200</v>
      </c>
      <c r="H2217" t="s">
        <v>3</v>
      </c>
      <c r="I2217" t="s">
        <v>3</v>
      </c>
      <c r="J2217" t="s">
        <v>328</v>
      </c>
      <c r="K2217" t="s">
        <v>5</v>
      </c>
      <c r="L2217" t="s">
        <v>12</v>
      </c>
      <c r="M2217" t="s">
        <v>114</v>
      </c>
      <c r="N2217" s="2">
        <v>45992</v>
      </c>
    </row>
    <row r="2218" spans="1:14" x14ac:dyDescent="0.25">
      <c r="A2218" t="s">
        <v>463</v>
      </c>
      <c r="B2218" s="2">
        <v>46022</v>
      </c>
      <c r="C2218" t="s">
        <v>463</v>
      </c>
      <c r="D2218" t="s">
        <v>112</v>
      </c>
      <c r="E2218" t="s">
        <v>9</v>
      </c>
      <c r="F2218" s="3">
        <v>51700</v>
      </c>
      <c r="G2218" s="3">
        <v>51700</v>
      </c>
      <c r="H2218" t="s">
        <v>3</v>
      </c>
      <c r="I2218" t="s">
        <v>3</v>
      </c>
      <c r="J2218" t="s">
        <v>298</v>
      </c>
      <c r="K2218" t="s">
        <v>5</v>
      </c>
      <c r="L2218" t="s">
        <v>12</v>
      </c>
      <c r="M2218" t="s">
        <v>114</v>
      </c>
      <c r="N2218" s="2">
        <v>46022</v>
      </c>
    </row>
    <row r="2219" spans="1:14" x14ac:dyDescent="0.25">
      <c r="A2219" t="s">
        <v>463</v>
      </c>
      <c r="B2219" s="2">
        <v>46022</v>
      </c>
      <c r="C2219" t="s">
        <v>463</v>
      </c>
      <c r="D2219" t="s">
        <v>112</v>
      </c>
      <c r="E2219" t="s">
        <v>9</v>
      </c>
      <c r="F2219" s="3">
        <v>51700</v>
      </c>
      <c r="G2219" s="3">
        <v>51700</v>
      </c>
      <c r="H2219" t="s">
        <v>3</v>
      </c>
      <c r="I2219" t="s">
        <v>3</v>
      </c>
      <c r="J2219" t="s">
        <v>298</v>
      </c>
      <c r="K2219" t="s">
        <v>5</v>
      </c>
      <c r="L2219" t="s">
        <v>12</v>
      </c>
      <c r="M2219" t="s">
        <v>114</v>
      </c>
      <c r="N2219" s="2">
        <v>46022</v>
      </c>
    </row>
    <row r="2220" spans="1:14" x14ac:dyDescent="0.25">
      <c r="A2220" t="s">
        <v>463</v>
      </c>
      <c r="B2220" s="2">
        <v>46022</v>
      </c>
      <c r="C2220" t="s">
        <v>463</v>
      </c>
      <c r="D2220" t="s">
        <v>112</v>
      </c>
      <c r="E2220" t="s">
        <v>9</v>
      </c>
      <c r="F2220" s="3">
        <v>-51700</v>
      </c>
      <c r="G2220" s="3">
        <v>-51700</v>
      </c>
      <c r="H2220" t="s">
        <v>3</v>
      </c>
      <c r="I2220" t="s">
        <v>3</v>
      </c>
      <c r="J2220" t="s">
        <v>298</v>
      </c>
      <c r="K2220" t="s">
        <v>5</v>
      </c>
      <c r="L2220" t="s">
        <v>12</v>
      </c>
      <c r="M2220" t="s">
        <v>114</v>
      </c>
      <c r="N2220" s="2">
        <v>46022</v>
      </c>
    </row>
    <row r="2221" spans="1:14" x14ac:dyDescent="0.25">
      <c r="A2221" s="4" t="s">
        <v>228</v>
      </c>
      <c r="B2221" s="5"/>
      <c r="C2221" s="4" t="s">
        <v>9</v>
      </c>
      <c r="D2221" s="4" t="s">
        <v>9</v>
      </c>
      <c r="E2221" s="4" t="s">
        <v>9</v>
      </c>
      <c r="F2221" s="6">
        <v>0</v>
      </c>
      <c r="G2221" s="6">
        <v>0</v>
      </c>
      <c r="H2221" s="4" t="s">
        <v>9</v>
      </c>
      <c r="I2221" s="4" t="s">
        <v>3</v>
      </c>
      <c r="J2221" s="4" t="s">
        <v>9</v>
      </c>
      <c r="K2221" s="4" t="s">
        <v>9</v>
      </c>
      <c r="L2221" s="4" t="s">
        <v>9</v>
      </c>
      <c r="M2221" s="4" t="s">
        <v>9</v>
      </c>
      <c r="N2221" s="5"/>
    </row>
    <row r="2222" spans="1:14" x14ac:dyDescent="0.25">
      <c r="A2222" s="4" t="s">
        <v>463</v>
      </c>
      <c r="B2222" s="5"/>
      <c r="C2222" s="4" t="s">
        <v>9</v>
      </c>
      <c r="D2222" s="4" t="s">
        <v>9</v>
      </c>
      <c r="E2222" s="4" t="s">
        <v>9</v>
      </c>
      <c r="F2222" s="6">
        <v>0</v>
      </c>
      <c r="G2222" s="6">
        <v>0</v>
      </c>
      <c r="H2222" s="4" t="s">
        <v>9</v>
      </c>
      <c r="I2222" s="4" t="s">
        <v>3</v>
      </c>
      <c r="J2222" s="4" t="s">
        <v>9</v>
      </c>
      <c r="K2222" s="4" t="s">
        <v>9</v>
      </c>
      <c r="L2222" s="4" t="s">
        <v>9</v>
      </c>
      <c r="M2222" s="4" t="s">
        <v>9</v>
      </c>
      <c r="N2222" s="5"/>
    </row>
    <row r="2223" spans="1:14" x14ac:dyDescent="0.25">
      <c r="A2223" t="s">
        <v>464</v>
      </c>
      <c r="B2223" s="2">
        <v>45901</v>
      </c>
      <c r="C2223" t="s">
        <v>464</v>
      </c>
      <c r="D2223" t="s">
        <v>99</v>
      </c>
      <c r="E2223" t="s">
        <v>9</v>
      </c>
      <c r="F2223" s="3">
        <v>-7567.2</v>
      </c>
      <c r="G2223" s="3">
        <v>-7567.2</v>
      </c>
      <c r="H2223" t="s">
        <v>3</v>
      </c>
      <c r="I2223" t="s">
        <v>3</v>
      </c>
      <c r="J2223" t="s">
        <v>9</v>
      </c>
      <c r="K2223" t="s">
        <v>9</v>
      </c>
      <c r="L2223" t="s">
        <v>22</v>
      </c>
      <c r="M2223" t="s">
        <v>102</v>
      </c>
      <c r="N2223" s="2">
        <v>45900</v>
      </c>
    </row>
    <row r="2224" spans="1:14" x14ac:dyDescent="0.25">
      <c r="A2224" t="s">
        <v>464</v>
      </c>
      <c r="B2224" s="2">
        <v>45877</v>
      </c>
      <c r="C2224" t="s">
        <v>464</v>
      </c>
      <c r="D2224" t="s">
        <v>99</v>
      </c>
      <c r="E2224" t="s">
        <v>465</v>
      </c>
      <c r="F2224" s="3">
        <v>1008.96</v>
      </c>
      <c r="G2224" s="3">
        <v>1008.96</v>
      </c>
      <c r="H2224" t="s">
        <v>3</v>
      </c>
      <c r="I2224" t="s">
        <v>3</v>
      </c>
      <c r="J2224" t="s">
        <v>466</v>
      </c>
      <c r="K2224" t="s">
        <v>5</v>
      </c>
      <c r="L2224" t="s">
        <v>22</v>
      </c>
      <c r="M2224" t="s">
        <v>102</v>
      </c>
      <c r="N2224" s="2">
        <v>45877</v>
      </c>
    </row>
    <row r="2225" spans="1:14" x14ac:dyDescent="0.25">
      <c r="A2225" t="s">
        <v>464</v>
      </c>
      <c r="B2225" s="2">
        <v>45877</v>
      </c>
      <c r="C2225" t="s">
        <v>464</v>
      </c>
      <c r="D2225" t="s">
        <v>99</v>
      </c>
      <c r="E2225" t="s">
        <v>465</v>
      </c>
      <c r="F2225" s="3">
        <v>3531.36</v>
      </c>
      <c r="G2225" s="3">
        <v>3531.36</v>
      </c>
      <c r="H2225" t="s">
        <v>3</v>
      </c>
      <c r="I2225" t="s">
        <v>3</v>
      </c>
      <c r="J2225" t="s">
        <v>466</v>
      </c>
      <c r="K2225" t="s">
        <v>5</v>
      </c>
      <c r="L2225" t="s">
        <v>22</v>
      </c>
      <c r="M2225" t="s">
        <v>102</v>
      </c>
      <c r="N2225" s="2">
        <v>45877</v>
      </c>
    </row>
    <row r="2226" spans="1:14" x14ac:dyDescent="0.25">
      <c r="A2226" t="s">
        <v>464</v>
      </c>
      <c r="B2226" s="2">
        <v>45877</v>
      </c>
      <c r="C2226" t="s">
        <v>464</v>
      </c>
      <c r="D2226" t="s">
        <v>99</v>
      </c>
      <c r="E2226" t="s">
        <v>465</v>
      </c>
      <c r="F2226" s="3">
        <v>3026.88</v>
      </c>
      <c r="G2226" s="3">
        <v>3026.88</v>
      </c>
      <c r="H2226" t="s">
        <v>3</v>
      </c>
      <c r="I2226" t="s">
        <v>3</v>
      </c>
      <c r="J2226" t="s">
        <v>466</v>
      </c>
      <c r="K2226" t="s">
        <v>5</v>
      </c>
      <c r="L2226" t="s">
        <v>22</v>
      </c>
      <c r="M2226" t="s">
        <v>102</v>
      </c>
      <c r="N2226" s="2">
        <v>45877</v>
      </c>
    </row>
    <row r="2227" spans="1:14" x14ac:dyDescent="0.25">
      <c r="A2227" s="4" t="s">
        <v>267</v>
      </c>
      <c r="B2227" s="5"/>
      <c r="C2227" s="4" t="s">
        <v>9</v>
      </c>
      <c r="D2227" s="4" t="s">
        <v>9</v>
      </c>
      <c r="E2227" s="4" t="s">
        <v>9</v>
      </c>
      <c r="F2227" s="6">
        <v>0</v>
      </c>
      <c r="G2227" s="6">
        <v>0</v>
      </c>
      <c r="H2227" s="4" t="s">
        <v>9</v>
      </c>
      <c r="I2227" s="4" t="s">
        <v>3</v>
      </c>
      <c r="J2227" s="4" t="s">
        <v>9</v>
      </c>
      <c r="K2227" s="4" t="s">
        <v>9</v>
      </c>
      <c r="L2227" s="4" t="s">
        <v>9</v>
      </c>
      <c r="M2227" s="4" t="s">
        <v>9</v>
      </c>
      <c r="N2227" s="5"/>
    </row>
    <row r="2228" spans="1:14" x14ac:dyDescent="0.25">
      <c r="A2228" s="4" t="s">
        <v>464</v>
      </c>
      <c r="B2228" s="5"/>
      <c r="C2228" s="4" t="s">
        <v>9</v>
      </c>
      <c r="D2228" s="4" t="s">
        <v>9</v>
      </c>
      <c r="E2228" s="4" t="s">
        <v>9</v>
      </c>
      <c r="F2228" s="6">
        <v>0</v>
      </c>
      <c r="G2228" s="6">
        <v>0</v>
      </c>
      <c r="H2228" s="4" t="s">
        <v>9</v>
      </c>
      <c r="I2228" s="4" t="s">
        <v>3</v>
      </c>
      <c r="J2228" s="4" t="s">
        <v>9</v>
      </c>
      <c r="K2228" s="4" t="s">
        <v>9</v>
      </c>
      <c r="L2228" s="4" t="s">
        <v>9</v>
      </c>
      <c r="M2228" s="4" t="s">
        <v>9</v>
      </c>
      <c r="N2228" s="5"/>
    </row>
    <row r="2229" spans="1:14" x14ac:dyDescent="0.25">
      <c r="A2229" t="s">
        <v>467</v>
      </c>
      <c r="B2229" s="2">
        <v>46056</v>
      </c>
      <c r="C2229" t="s">
        <v>467</v>
      </c>
      <c r="D2229" t="s">
        <v>112</v>
      </c>
      <c r="E2229" t="s">
        <v>9</v>
      </c>
      <c r="F2229" s="3">
        <v>-3414</v>
      </c>
      <c r="G2229" s="3">
        <v>-3414</v>
      </c>
      <c r="H2229" t="s">
        <v>3</v>
      </c>
      <c r="I2229" t="s">
        <v>3</v>
      </c>
      <c r="J2229" t="s">
        <v>9</v>
      </c>
      <c r="K2229" t="s">
        <v>9</v>
      </c>
      <c r="L2229" t="s">
        <v>14</v>
      </c>
      <c r="M2229" t="s">
        <v>114</v>
      </c>
      <c r="N2229" s="2">
        <v>46053</v>
      </c>
    </row>
    <row r="2230" spans="1:14" x14ac:dyDescent="0.25">
      <c r="A2230" t="s">
        <v>467</v>
      </c>
      <c r="B2230" s="2">
        <v>46022</v>
      </c>
      <c r="C2230" t="s">
        <v>467</v>
      </c>
      <c r="D2230" t="s">
        <v>112</v>
      </c>
      <c r="E2230" t="s">
        <v>9</v>
      </c>
      <c r="F2230" s="3">
        <v>-10600</v>
      </c>
      <c r="G2230" s="3">
        <v>-10600</v>
      </c>
      <c r="H2230" t="s">
        <v>3</v>
      </c>
      <c r="I2230" t="s">
        <v>3</v>
      </c>
      <c r="J2230" t="s">
        <v>298</v>
      </c>
      <c r="K2230" t="s">
        <v>13</v>
      </c>
      <c r="L2230" t="s">
        <v>14</v>
      </c>
      <c r="M2230" t="s">
        <v>114</v>
      </c>
      <c r="N2230" s="2">
        <v>46023</v>
      </c>
    </row>
    <row r="2231" spans="1:14" x14ac:dyDescent="0.25">
      <c r="A2231" t="s">
        <v>467</v>
      </c>
      <c r="B2231" s="2">
        <v>46023</v>
      </c>
      <c r="C2231" t="s">
        <v>467</v>
      </c>
      <c r="D2231" t="s">
        <v>112</v>
      </c>
      <c r="E2231" t="s">
        <v>9</v>
      </c>
      <c r="F2231" s="3">
        <v>10600</v>
      </c>
      <c r="G2231" s="3">
        <v>10600</v>
      </c>
      <c r="H2231" t="s">
        <v>3</v>
      </c>
      <c r="I2231" t="s">
        <v>3</v>
      </c>
      <c r="J2231" t="s">
        <v>298</v>
      </c>
      <c r="K2231" t="s">
        <v>13</v>
      </c>
      <c r="L2231" t="s">
        <v>14</v>
      </c>
      <c r="M2231" t="s">
        <v>114</v>
      </c>
      <c r="N2231" s="2">
        <v>46023</v>
      </c>
    </row>
    <row r="2232" spans="1:14" x14ac:dyDescent="0.25">
      <c r="A2232" t="s">
        <v>467</v>
      </c>
      <c r="B2232" s="2">
        <v>46053</v>
      </c>
      <c r="C2232" t="s">
        <v>467</v>
      </c>
      <c r="D2232" t="s">
        <v>112</v>
      </c>
      <c r="E2232" t="s">
        <v>9</v>
      </c>
      <c r="F2232" s="3">
        <v>100</v>
      </c>
      <c r="G2232" s="3">
        <v>100</v>
      </c>
      <c r="H2232" t="s">
        <v>3</v>
      </c>
      <c r="I2232" t="s">
        <v>3</v>
      </c>
      <c r="J2232" t="s">
        <v>300</v>
      </c>
      <c r="K2232" t="s">
        <v>13</v>
      </c>
      <c r="L2232" t="s">
        <v>14</v>
      </c>
      <c r="M2232" t="s">
        <v>114</v>
      </c>
      <c r="N2232" s="2">
        <v>46053</v>
      </c>
    </row>
    <row r="2233" spans="1:14" x14ac:dyDescent="0.25">
      <c r="A2233" t="s">
        <v>467</v>
      </c>
      <c r="B2233" s="2">
        <v>46053</v>
      </c>
      <c r="C2233" t="s">
        <v>467</v>
      </c>
      <c r="D2233" t="s">
        <v>112</v>
      </c>
      <c r="E2233" t="s">
        <v>9</v>
      </c>
      <c r="F2233" s="3">
        <v>3314</v>
      </c>
      <c r="G2233" s="3">
        <v>3314</v>
      </c>
      <c r="H2233" t="s">
        <v>3</v>
      </c>
      <c r="I2233" t="s">
        <v>3</v>
      </c>
      <c r="J2233" t="s">
        <v>391</v>
      </c>
      <c r="K2233" t="s">
        <v>13</v>
      </c>
      <c r="L2233" t="s">
        <v>14</v>
      </c>
      <c r="M2233" t="s">
        <v>114</v>
      </c>
      <c r="N2233" s="2">
        <v>46053</v>
      </c>
    </row>
    <row r="2234" spans="1:14" x14ac:dyDescent="0.25">
      <c r="A2234" s="4" t="s">
        <v>234</v>
      </c>
      <c r="B2234" s="5"/>
      <c r="C2234" s="4" t="s">
        <v>9</v>
      </c>
      <c r="D2234" s="4" t="s">
        <v>9</v>
      </c>
      <c r="E2234" s="4" t="s">
        <v>9</v>
      </c>
      <c r="F2234" s="6">
        <v>0</v>
      </c>
      <c r="G2234" s="6">
        <v>0</v>
      </c>
      <c r="H2234" s="4" t="s">
        <v>9</v>
      </c>
      <c r="I2234" s="4" t="s">
        <v>3</v>
      </c>
      <c r="J2234" s="4" t="s">
        <v>9</v>
      </c>
      <c r="K2234" s="4" t="s">
        <v>9</v>
      </c>
      <c r="L2234" s="4" t="s">
        <v>9</v>
      </c>
      <c r="M2234" s="4" t="s">
        <v>9</v>
      </c>
      <c r="N2234" s="5"/>
    </row>
    <row r="2235" spans="1:14" x14ac:dyDescent="0.25">
      <c r="A2235" t="s">
        <v>467</v>
      </c>
      <c r="B2235" s="2">
        <v>46084</v>
      </c>
      <c r="C2235" t="s">
        <v>467</v>
      </c>
      <c r="D2235" t="s">
        <v>112</v>
      </c>
      <c r="E2235" t="s">
        <v>9</v>
      </c>
      <c r="F2235" s="3">
        <v>-500</v>
      </c>
      <c r="G2235" s="3">
        <v>-500</v>
      </c>
      <c r="H2235" t="s">
        <v>3</v>
      </c>
      <c r="I2235" t="s">
        <v>3</v>
      </c>
      <c r="J2235" t="s">
        <v>9</v>
      </c>
      <c r="K2235" t="s">
        <v>9</v>
      </c>
      <c r="L2235" t="s">
        <v>15</v>
      </c>
      <c r="M2235" t="s">
        <v>114</v>
      </c>
      <c r="N2235" s="2">
        <v>46081</v>
      </c>
    </row>
    <row r="2236" spans="1:14" x14ac:dyDescent="0.25">
      <c r="A2236" t="s">
        <v>467</v>
      </c>
      <c r="B2236" s="2">
        <v>46054</v>
      </c>
      <c r="C2236" t="s">
        <v>467</v>
      </c>
      <c r="D2236" t="s">
        <v>112</v>
      </c>
      <c r="E2236" t="s">
        <v>9</v>
      </c>
      <c r="F2236" s="3">
        <v>-100</v>
      </c>
      <c r="G2236" s="3">
        <v>-100</v>
      </c>
      <c r="H2236" t="s">
        <v>3</v>
      </c>
      <c r="I2236" t="s">
        <v>3</v>
      </c>
      <c r="J2236" t="s">
        <v>300</v>
      </c>
      <c r="K2236" t="s">
        <v>13</v>
      </c>
      <c r="L2236" t="s">
        <v>15</v>
      </c>
      <c r="M2236" t="s">
        <v>114</v>
      </c>
      <c r="N2236" s="2">
        <v>46054</v>
      </c>
    </row>
    <row r="2237" spans="1:14" x14ac:dyDescent="0.25">
      <c r="A2237" t="s">
        <v>467</v>
      </c>
      <c r="B2237" s="2">
        <v>46054</v>
      </c>
      <c r="C2237" t="s">
        <v>467</v>
      </c>
      <c r="D2237" t="s">
        <v>112</v>
      </c>
      <c r="E2237" t="s">
        <v>9</v>
      </c>
      <c r="F2237" s="3">
        <v>-3314</v>
      </c>
      <c r="G2237" s="3">
        <v>-3314</v>
      </c>
      <c r="H2237" t="s">
        <v>3</v>
      </c>
      <c r="I2237" t="s">
        <v>3</v>
      </c>
      <c r="J2237" t="s">
        <v>391</v>
      </c>
      <c r="K2237" t="s">
        <v>13</v>
      </c>
      <c r="L2237" t="s">
        <v>15</v>
      </c>
      <c r="M2237" t="s">
        <v>114</v>
      </c>
      <c r="N2237" s="2">
        <v>46054</v>
      </c>
    </row>
    <row r="2238" spans="1:14" x14ac:dyDescent="0.25">
      <c r="A2238" t="s">
        <v>467</v>
      </c>
      <c r="B2238" s="2">
        <v>46054</v>
      </c>
      <c r="C2238" t="s">
        <v>467</v>
      </c>
      <c r="D2238" t="s">
        <v>112</v>
      </c>
      <c r="E2238" t="s">
        <v>9</v>
      </c>
      <c r="F2238" s="3">
        <v>100</v>
      </c>
      <c r="G2238" s="3">
        <v>100</v>
      </c>
      <c r="H2238" t="s">
        <v>3</v>
      </c>
      <c r="I2238" t="s">
        <v>3</v>
      </c>
      <c r="J2238" t="s">
        <v>300</v>
      </c>
      <c r="K2238" t="s">
        <v>13</v>
      </c>
      <c r="L2238" t="s">
        <v>15</v>
      </c>
      <c r="M2238" t="s">
        <v>114</v>
      </c>
      <c r="N2238" s="2">
        <v>46055</v>
      </c>
    </row>
    <row r="2239" spans="1:14" x14ac:dyDescent="0.25">
      <c r="A2239" t="s">
        <v>467</v>
      </c>
      <c r="B2239" s="2">
        <v>46054</v>
      </c>
      <c r="C2239" t="s">
        <v>467</v>
      </c>
      <c r="D2239" t="s">
        <v>112</v>
      </c>
      <c r="E2239" t="s">
        <v>9</v>
      </c>
      <c r="F2239" s="3">
        <v>3314</v>
      </c>
      <c r="G2239" s="3">
        <v>3314</v>
      </c>
      <c r="H2239" t="s">
        <v>3</v>
      </c>
      <c r="I2239" t="s">
        <v>3</v>
      </c>
      <c r="J2239" t="s">
        <v>391</v>
      </c>
      <c r="K2239" t="s">
        <v>13</v>
      </c>
      <c r="L2239" t="s">
        <v>15</v>
      </c>
      <c r="M2239" t="s">
        <v>114</v>
      </c>
      <c r="N2239" s="2">
        <v>46055</v>
      </c>
    </row>
    <row r="2240" spans="1:14" x14ac:dyDescent="0.25">
      <c r="A2240" t="s">
        <v>467</v>
      </c>
      <c r="B2240" s="2">
        <v>46054</v>
      </c>
      <c r="C2240" t="s">
        <v>467</v>
      </c>
      <c r="D2240" t="s">
        <v>112</v>
      </c>
      <c r="E2240" t="s">
        <v>9</v>
      </c>
      <c r="F2240" s="3">
        <v>-100</v>
      </c>
      <c r="G2240" s="3">
        <v>-100</v>
      </c>
      <c r="H2240" t="s">
        <v>3</v>
      </c>
      <c r="I2240" t="s">
        <v>3</v>
      </c>
      <c r="J2240" t="s">
        <v>300</v>
      </c>
      <c r="K2240" t="s">
        <v>13</v>
      </c>
      <c r="L2240" t="s">
        <v>15</v>
      </c>
      <c r="M2240" t="s">
        <v>114</v>
      </c>
      <c r="N2240" s="2">
        <v>46054</v>
      </c>
    </row>
    <row r="2241" spans="1:14" x14ac:dyDescent="0.25">
      <c r="A2241" t="s">
        <v>467</v>
      </c>
      <c r="B2241" s="2">
        <v>46054</v>
      </c>
      <c r="C2241" t="s">
        <v>467</v>
      </c>
      <c r="D2241" t="s">
        <v>112</v>
      </c>
      <c r="E2241" t="s">
        <v>9</v>
      </c>
      <c r="F2241" s="3">
        <v>-3314</v>
      </c>
      <c r="G2241" s="3">
        <v>-3314</v>
      </c>
      <c r="H2241" t="s">
        <v>3</v>
      </c>
      <c r="I2241" t="s">
        <v>3</v>
      </c>
      <c r="J2241" t="s">
        <v>391</v>
      </c>
      <c r="K2241" t="s">
        <v>13</v>
      </c>
      <c r="L2241" t="s">
        <v>15</v>
      </c>
      <c r="M2241" t="s">
        <v>114</v>
      </c>
      <c r="N2241" s="2">
        <v>46054</v>
      </c>
    </row>
    <row r="2242" spans="1:14" x14ac:dyDescent="0.25">
      <c r="A2242" t="s">
        <v>467</v>
      </c>
      <c r="B2242" s="2">
        <v>46081</v>
      </c>
      <c r="C2242" t="s">
        <v>467</v>
      </c>
      <c r="D2242" t="s">
        <v>112</v>
      </c>
      <c r="E2242" t="s">
        <v>9</v>
      </c>
      <c r="F2242" s="3">
        <v>600</v>
      </c>
      <c r="G2242" s="3">
        <v>600</v>
      </c>
      <c r="H2242" t="s">
        <v>3</v>
      </c>
      <c r="I2242" t="s">
        <v>3</v>
      </c>
      <c r="J2242" t="s">
        <v>304</v>
      </c>
      <c r="K2242" t="s">
        <v>13</v>
      </c>
      <c r="L2242" t="s">
        <v>15</v>
      </c>
      <c r="M2242" t="s">
        <v>114</v>
      </c>
      <c r="N2242" s="2">
        <v>46081</v>
      </c>
    </row>
    <row r="2243" spans="1:14" x14ac:dyDescent="0.25">
      <c r="A2243" t="s">
        <v>467</v>
      </c>
      <c r="B2243" s="2">
        <v>46081</v>
      </c>
      <c r="C2243" t="s">
        <v>467</v>
      </c>
      <c r="D2243" t="s">
        <v>112</v>
      </c>
      <c r="E2243" t="s">
        <v>9</v>
      </c>
      <c r="F2243" s="3">
        <v>3314</v>
      </c>
      <c r="G2243" s="3">
        <v>3314</v>
      </c>
      <c r="H2243" t="s">
        <v>3</v>
      </c>
      <c r="I2243" t="s">
        <v>3</v>
      </c>
      <c r="J2243" t="s">
        <v>393</v>
      </c>
      <c r="K2243" t="s">
        <v>13</v>
      </c>
      <c r="L2243" t="s">
        <v>15</v>
      </c>
      <c r="M2243" t="s">
        <v>114</v>
      </c>
      <c r="N2243" s="2">
        <v>46081</v>
      </c>
    </row>
    <row r="2244" spans="1:14" x14ac:dyDescent="0.25">
      <c r="A2244" s="4" t="s">
        <v>239</v>
      </c>
      <c r="B2244" s="5"/>
      <c r="C2244" s="4" t="s">
        <v>9</v>
      </c>
      <c r="D2244" s="4" t="s">
        <v>9</v>
      </c>
      <c r="E2244" s="4" t="s">
        <v>9</v>
      </c>
      <c r="F2244" s="6">
        <v>0</v>
      </c>
      <c r="G2244" s="6">
        <v>0</v>
      </c>
      <c r="H2244" s="4" t="s">
        <v>9</v>
      </c>
      <c r="I2244" s="4" t="s">
        <v>3</v>
      </c>
      <c r="J2244" s="4" t="s">
        <v>9</v>
      </c>
      <c r="K2244" s="4" t="s">
        <v>9</v>
      </c>
      <c r="L2244" s="4" t="s">
        <v>9</v>
      </c>
      <c r="M2244" s="4" t="s">
        <v>9</v>
      </c>
      <c r="N2244" s="5"/>
    </row>
    <row r="2245" spans="1:14" x14ac:dyDescent="0.25">
      <c r="A2245" t="s">
        <v>467</v>
      </c>
      <c r="B2245" s="2">
        <v>45749</v>
      </c>
      <c r="C2245" t="s">
        <v>467</v>
      </c>
      <c r="D2245" t="s">
        <v>112</v>
      </c>
      <c r="E2245" t="s">
        <v>9</v>
      </c>
      <c r="F2245" s="3">
        <v>-1900</v>
      </c>
      <c r="G2245" s="3">
        <v>-1900</v>
      </c>
      <c r="H2245" t="s">
        <v>3</v>
      </c>
      <c r="I2245" t="s">
        <v>3</v>
      </c>
      <c r="J2245" t="s">
        <v>9</v>
      </c>
      <c r="K2245" t="s">
        <v>9</v>
      </c>
      <c r="L2245" t="s">
        <v>16</v>
      </c>
      <c r="M2245" t="s">
        <v>114</v>
      </c>
      <c r="N2245" s="2">
        <v>45747</v>
      </c>
    </row>
    <row r="2246" spans="1:14" x14ac:dyDescent="0.25">
      <c r="A2246" t="s">
        <v>467</v>
      </c>
      <c r="B2246" s="2">
        <v>46115</v>
      </c>
      <c r="C2246" t="s">
        <v>467</v>
      </c>
      <c r="D2246" t="s">
        <v>112</v>
      </c>
      <c r="E2246" t="s">
        <v>9</v>
      </c>
      <c r="F2246" s="3">
        <v>-11384</v>
      </c>
      <c r="G2246" s="3">
        <v>-11384</v>
      </c>
      <c r="H2246" t="s">
        <v>3</v>
      </c>
      <c r="I2246" t="s">
        <v>3</v>
      </c>
      <c r="J2246" t="s">
        <v>9</v>
      </c>
      <c r="K2246" t="s">
        <v>9</v>
      </c>
      <c r="L2246" t="s">
        <v>16</v>
      </c>
      <c r="M2246" t="s">
        <v>114</v>
      </c>
      <c r="N2246" s="2">
        <v>46112</v>
      </c>
    </row>
    <row r="2247" spans="1:14" x14ac:dyDescent="0.25">
      <c r="A2247" t="s">
        <v>467</v>
      </c>
      <c r="B2247" s="2">
        <v>45747</v>
      </c>
      <c r="C2247" t="s">
        <v>467</v>
      </c>
      <c r="D2247" t="s">
        <v>112</v>
      </c>
      <c r="E2247" t="s">
        <v>9</v>
      </c>
      <c r="F2247" s="3">
        <v>1900</v>
      </c>
      <c r="G2247" s="3">
        <v>1900</v>
      </c>
      <c r="H2247" t="s">
        <v>3</v>
      </c>
      <c r="I2247" t="s">
        <v>3</v>
      </c>
      <c r="J2247" t="s">
        <v>305</v>
      </c>
      <c r="K2247" t="s">
        <v>5</v>
      </c>
      <c r="L2247" t="s">
        <v>16</v>
      </c>
      <c r="M2247" t="s">
        <v>114</v>
      </c>
      <c r="N2247" s="2">
        <v>45747</v>
      </c>
    </row>
    <row r="2248" spans="1:14" x14ac:dyDescent="0.25">
      <c r="A2248" t="s">
        <v>467</v>
      </c>
      <c r="B2248" s="2">
        <v>46081</v>
      </c>
      <c r="C2248" t="s">
        <v>467</v>
      </c>
      <c r="D2248" t="s">
        <v>112</v>
      </c>
      <c r="E2248" t="s">
        <v>9</v>
      </c>
      <c r="F2248" s="3">
        <v>-600</v>
      </c>
      <c r="G2248" s="3">
        <v>-600</v>
      </c>
      <c r="H2248" t="s">
        <v>3</v>
      </c>
      <c r="I2248" t="s">
        <v>3</v>
      </c>
      <c r="J2248" t="s">
        <v>304</v>
      </c>
      <c r="K2248" t="s">
        <v>13</v>
      </c>
      <c r="L2248" t="s">
        <v>16</v>
      </c>
      <c r="M2248" t="s">
        <v>114</v>
      </c>
      <c r="N2248" s="2">
        <v>46082</v>
      </c>
    </row>
    <row r="2249" spans="1:14" x14ac:dyDescent="0.25">
      <c r="A2249" t="s">
        <v>467</v>
      </c>
      <c r="B2249" s="2">
        <v>46081</v>
      </c>
      <c r="C2249" t="s">
        <v>467</v>
      </c>
      <c r="D2249" t="s">
        <v>112</v>
      </c>
      <c r="E2249" t="s">
        <v>9</v>
      </c>
      <c r="F2249" s="3">
        <v>-3314</v>
      </c>
      <c r="G2249" s="3">
        <v>-3314</v>
      </c>
      <c r="H2249" t="s">
        <v>3</v>
      </c>
      <c r="I2249" t="s">
        <v>3</v>
      </c>
      <c r="J2249" t="s">
        <v>393</v>
      </c>
      <c r="K2249" t="s">
        <v>13</v>
      </c>
      <c r="L2249" t="s">
        <v>16</v>
      </c>
      <c r="M2249" t="s">
        <v>114</v>
      </c>
      <c r="N2249" s="2">
        <v>46082</v>
      </c>
    </row>
    <row r="2250" spans="1:14" x14ac:dyDescent="0.25">
      <c r="A2250" t="s">
        <v>467</v>
      </c>
      <c r="B2250" s="2">
        <v>46112</v>
      </c>
      <c r="C2250" t="s">
        <v>467</v>
      </c>
      <c r="D2250" t="s">
        <v>112</v>
      </c>
      <c r="E2250" t="s">
        <v>9</v>
      </c>
      <c r="F2250" s="3">
        <v>1400</v>
      </c>
      <c r="G2250" s="3">
        <v>1400</v>
      </c>
      <c r="H2250" t="s">
        <v>3</v>
      </c>
      <c r="I2250" t="s">
        <v>3</v>
      </c>
      <c r="J2250" t="s">
        <v>307</v>
      </c>
      <c r="K2250" t="s">
        <v>13</v>
      </c>
      <c r="L2250" t="s">
        <v>16</v>
      </c>
      <c r="M2250" t="s">
        <v>114</v>
      </c>
      <c r="N2250" s="2">
        <v>46112</v>
      </c>
    </row>
    <row r="2251" spans="1:14" x14ac:dyDescent="0.25">
      <c r="A2251" t="s">
        <v>467</v>
      </c>
      <c r="B2251" s="2">
        <v>46112</v>
      </c>
      <c r="C2251" t="s">
        <v>467</v>
      </c>
      <c r="D2251" t="s">
        <v>112</v>
      </c>
      <c r="E2251" t="s">
        <v>9</v>
      </c>
      <c r="F2251" s="3">
        <v>13898</v>
      </c>
      <c r="G2251" s="3">
        <v>13898</v>
      </c>
      <c r="H2251" t="s">
        <v>3</v>
      </c>
      <c r="I2251" t="s">
        <v>3</v>
      </c>
      <c r="J2251" t="s">
        <v>395</v>
      </c>
      <c r="K2251" t="s">
        <v>13</v>
      </c>
      <c r="L2251" t="s">
        <v>16</v>
      </c>
      <c r="M2251" t="s">
        <v>114</v>
      </c>
      <c r="N2251" s="2">
        <v>46112</v>
      </c>
    </row>
    <row r="2252" spans="1:14" x14ac:dyDescent="0.25">
      <c r="A2252" s="4" t="s">
        <v>244</v>
      </c>
      <c r="B2252" s="5"/>
      <c r="C2252" s="4" t="s">
        <v>9</v>
      </c>
      <c r="D2252" s="4" t="s">
        <v>9</v>
      </c>
      <c r="E2252" s="4" t="s">
        <v>9</v>
      </c>
      <c r="F2252" s="6">
        <v>0</v>
      </c>
      <c r="G2252" s="6">
        <v>0</v>
      </c>
      <c r="H2252" s="4" t="s">
        <v>9</v>
      </c>
      <c r="I2252" s="4" t="s">
        <v>3</v>
      </c>
      <c r="J2252" s="4" t="s">
        <v>9</v>
      </c>
      <c r="K2252" s="4" t="s">
        <v>9</v>
      </c>
      <c r="L2252" s="4" t="s">
        <v>9</v>
      </c>
      <c r="M2252" s="4" t="s">
        <v>9</v>
      </c>
      <c r="N2252" s="5"/>
    </row>
    <row r="2253" spans="1:14" x14ac:dyDescent="0.25">
      <c r="A2253" t="s">
        <v>467</v>
      </c>
      <c r="B2253" s="2">
        <v>45782</v>
      </c>
      <c r="C2253" t="s">
        <v>467</v>
      </c>
      <c r="D2253" t="s">
        <v>112</v>
      </c>
      <c r="E2253" t="s">
        <v>9</v>
      </c>
      <c r="F2253" s="3">
        <v>-200</v>
      </c>
      <c r="G2253" s="3">
        <v>-200</v>
      </c>
      <c r="H2253" t="s">
        <v>3</v>
      </c>
      <c r="I2253" t="s">
        <v>3</v>
      </c>
      <c r="J2253" t="s">
        <v>9</v>
      </c>
      <c r="K2253" t="s">
        <v>9</v>
      </c>
      <c r="L2253" t="s">
        <v>17</v>
      </c>
      <c r="M2253" t="s">
        <v>114</v>
      </c>
      <c r="N2253" s="2">
        <v>45777</v>
      </c>
    </row>
    <row r="2254" spans="1:14" x14ac:dyDescent="0.25">
      <c r="A2254" t="s">
        <v>467</v>
      </c>
      <c r="B2254" s="2">
        <v>46147</v>
      </c>
      <c r="C2254" t="s">
        <v>467</v>
      </c>
      <c r="D2254" t="s">
        <v>112</v>
      </c>
      <c r="E2254" t="s">
        <v>9</v>
      </c>
      <c r="F2254" s="3">
        <v>-1900</v>
      </c>
      <c r="G2254" s="3">
        <v>-1900</v>
      </c>
      <c r="H2254" t="s">
        <v>3</v>
      </c>
      <c r="I2254" t="s">
        <v>3</v>
      </c>
      <c r="J2254" t="s">
        <v>9</v>
      </c>
      <c r="K2254" t="s">
        <v>9</v>
      </c>
      <c r="L2254" t="s">
        <v>17</v>
      </c>
      <c r="M2254" t="s">
        <v>114</v>
      </c>
      <c r="N2254" s="2">
        <v>46142</v>
      </c>
    </row>
    <row r="2255" spans="1:14" x14ac:dyDescent="0.25">
      <c r="A2255" t="s">
        <v>467</v>
      </c>
      <c r="B2255" s="2">
        <v>45747</v>
      </c>
      <c r="C2255" t="s">
        <v>467</v>
      </c>
      <c r="D2255" t="s">
        <v>112</v>
      </c>
      <c r="E2255" t="s">
        <v>9</v>
      </c>
      <c r="F2255" s="3">
        <v>-1900</v>
      </c>
      <c r="G2255" s="3">
        <v>-1900</v>
      </c>
      <c r="H2255" t="s">
        <v>3</v>
      </c>
      <c r="I2255" t="s">
        <v>3</v>
      </c>
      <c r="J2255" t="s">
        <v>305</v>
      </c>
      <c r="K2255" t="s">
        <v>5</v>
      </c>
      <c r="L2255" t="s">
        <v>17</v>
      </c>
      <c r="M2255" t="s">
        <v>114</v>
      </c>
      <c r="N2255" s="2">
        <v>45748</v>
      </c>
    </row>
    <row r="2256" spans="1:14" x14ac:dyDescent="0.25">
      <c r="A2256" t="s">
        <v>467</v>
      </c>
      <c r="B2256" s="2">
        <v>45777</v>
      </c>
      <c r="C2256" t="s">
        <v>467</v>
      </c>
      <c r="D2256" t="s">
        <v>112</v>
      </c>
      <c r="E2256" t="s">
        <v>9</v>
      </c>
      <c r="F2256" s="3">
        <v>2100</v>
      </c>
      <c r="G2256" s="3">
        <v>2100</v>
      </c>
      <c r="H2256" t="s">
        <v>3</v>
      </c>
      <c r="I2256" t="s">
        <v>3</v>
      </c>
      <c r="J2256" t="s">
        <v>308</v>
      </c>
      <c r="K2256" t="s">
        <v>5</v>
      </c>
      <c r="L2256" t="s">
        <v>17</v>
      </c>
      <c r="M2256" t="s">
        <v>114</v>
      </c>
      <c r="N2256" s="2">
        <v>45777</v>
      </c>
    </row>
    <row r="2257" spans="1:14" x14ac:dyDescent="0.25">
      <c r="A2257" t="s">
        <v>467</v>
      </c>
      <c r="B2257" s="2">
        <v>46112</v>
      </c>
      <c r="C2257" t="s">
        <v>467</v>
      </c>
      <c r="D2257" t="s">
        <v>112</v>
      </c>
      <c r="E2257" t="s">
        <v>9</v>
      </c>
      <c r="F2257" s="3">
        <v>-1400</v>
      </c>
      <c r="G2257" s="3">
        <v>-1400</v>
      </c>
      <c r="H2257" t="s">
        <v>3</v>
      </c>
      <c r="I2257" t="s">
        <v>3</v>
      </c>
      <c r="J2257" t="s">
        <v>307</v>
      </c>
      <c r="K2257" t="s">
        <v>13</v>
      </c>
      <c r="L2257" t="s">
        <v>17</v>
      </c>
      <c r="M2257" t="s">
        <v>114</v>
      </c>
      <c r="N2257" s="2">
        <v>46113</v>
      </c>
    </row>
    <row r="2258" spans="1:14" x14ac:dyDescent="0.25">
      <c r="A2258" t="s">
        <v>467</v>
      </c>
      <c r="B2258" s="2">
        <v>46112</v>
      </c>
      <c r="C2258" t="s">
        <v>467</v>
      </c>
      <c r="D2258" t="s">
        <v>112</v>
      </c>
      <c r="E2258" t="s">
        <v>9</v>
      </c>
      <c r="F2258" s="3">
        <v>-13898</v>
      </c>
      <c r="G2258" s="3">
        <v>-13898</v>
      </c>
      <c r="H2258" t="s">
        <v>3</v>
      </c>
      <c r="I2258" t="s">
        <v>3</v>
      </c>
      <c r="J2258" t="s">
        <v>395</v>
      </c>
      <c r="K2258" t="s">
        <v>13</v>
      </c>
      <c r="L2258" t="s">
        <v>17</v>
      </c>
      <c r="M2258" t="s">
        <v>114</v>
      </c>
      <c r="N2258" s="2">
        <v>46113</v>
      </c>
    </row>
    <row r="2259" spans="1:14" x14ac:dyDescent="0.25">
      <c r="A2259" t="s">
        <v>467</v>
      </c>
      <c r="B2259" s="2">
        <v>46142</v>
      </c>
      <c r="C2259" t="s">
        <v>467</v>
      </c>
      <c r="D2259" t="s">
        <v>112</v>
      </c>
      <c r="E2259" t="s">
        <v>9</v>
      </c>
      <c r="F2259" s="3">
        <v>2400</v>
      </c>
      <c r="G2259" s="3">
        <v>2400</v>
      </c>
      <c r="H2259" t="s">
        <v>3</v>
      </c>
      <c r="I2259" t="s">
        <v>3</v>
      </c>
      <c r="J2259" t="s">
        <v>310</v>
      </c>
      <c r="K2259" t="s">
        <v>13</v>
      </c>
      <c r="L2259" t="s">
        <v>17</v>
      </c>
      <c r="M2259" t="s">
        <v>114</v>
      </c>
      <c r="N2259" s="2">
        <v>46142</v>
      </c>
    </row>
    <row r="2260" spans="1:14" x14ac:dyDescent="0.25">
      <c r="A2260" t="s">
        <v>467</v>
      </c>
      <c r="B2260" s="2">
        <v>46142</v>
      </c>
      <c r="C2260" t="s">
        <v>467</v>
      </c>
      <c r="D2260" t="s">
        <v>112</v>
      </c>
      <c r="E2260" t="s">
        <v>9</v>
      </c>
      <c r="F2260" s="3">
        <v>14798</v>
      </c>
      <c r="G2260" s="3">
        <v>14798</v>
      </c>
      <c r="H2260" t="s">
        <v>3</v>
      </c>
      <c r="I2260" t="s">
        <v>3</v>
      </c>
      <c r="J2260" t="s">
        <v>423</v>
      </c>
      <c r="K2260" t="s">
        <v>13</v>
      </c>
      <c r="L2260" t="s">
        <v>17</v>
      </c>
      <c r="M2260" t="s">
        <v>114</v>
      </c>
      <c r="N2260" s="2">
        <v>46142</v>
      </c>
    </row>
    <row r="2261" spans="1:14" x14ac:dyDescent="0.25">
      <c r="A2261" s="4" t="s">
        <v>249</v>
      </c>
      <c r="B2261" s="5"/>
      <c r="C2261" s="4" t="s">
        <v>9</v>
      </c>
      <c r="D2261" s="4" t="s">
        <v>9</v>
      </c>
      <c r="E2261" s="4" t="s">
        <v>9</v>
      </c>
      <c r="F2261" s="6">
        <v>0</v>
      </c>
      <c r="G2261" s="6">
        <v>0</v>
      </c>
      <c r="H2261" s="4" t="s">
        <v>9</v>
      </c>
      <c r="I2261" s="4" t="s">
        <v>3</v>
      </c>
      <c r="J2261" s="4" t="s">
        <v>9</v>
      </c>
      <c r="K2261" s="4" t="s">
        <v>9</v>
      </c>
      <c r="L2261" s="4" t="s">
        <v>9</v>
      </c>
      <c r="M2261" s="4" t="s">
        <v>9</v>
      </c>
      <c r="N2261" s="5"/>
    </row>
    <row r="2262" spans="1:14" x14ac:dyDescent="0.25">
      <c r="A2262" t="s">
        <v>467</v>
      </c>
      <c r="B2262" s="2">
        <v>45810</v>
      </c>
      <c r="C2262" t="s">
        <v>467</v>
      </c>
      <c r="D2262" t="s">
        <v>112</v>
      </c>
      <c r="E2262" t="s">
        <v>9</v>
      </c>
      <c r="F2262" s="3">
        <v>-700</v>
      </c>
      <c r="G2262" s="3">
        <v>-700</v>
      </c>
      <c r="H2262" t="s">
        <v>3</v>
      </c>
      <c r="I2262" t="s">
        <v>3</v>
      </c>
      <c r="J2262" t="s">
        <v>9</v>
      </c>
      <c r="K2262" t="s">
        <v>9</v>
      </c>
      <c r="L2262" t="s">
        <v>18</v>
      </c>
      <c r="M2262" t="s">
        <v>114</v>
      </c>
      <c r="N2262" s="2">
        <v>45808</v>
      </c>
    </row>
    <row r="2263" spans="1:14" x14ac:dyDescent="0.25">
      <c r="A2263" t="s">
        <v>467</v>
      </c>
      <c r="B2263" s="2">
        <v>46175</v>
      </c>
      <c r="C2263" t="s">
        <v>467</v>
      </c>
      <c r="D2263" t="s">
        <v>112</v>
      </c>
      <c r="E2263" t="s">
        <v>9</v>
      </c>
      <c r="F2263" s="3">
        <v>-1834.38</v>
      </c>
      <c r="G2263" s="3">
        <v>-1834.38</v>
      </c>
      <c r="H2263" t="s">
        <v>3</v>
      </c>
      <c r="I2263" t="s">
        <v>3</v>
      </c>
      <c r="J2263" t="s">
        <v>9</v>
      </c>
      <c r="K2263" t="s">
        <v>9</v>
      </c>
      <c r="L2263" t="s">
        <v>18</v>
      </c>
      <c r="M2263" t="s">
        <v>114</v>
      </c>
      <c r="N2263" s="2">
        <v>46173</v>
      </c>
    </row>
    <row r="2264" spans="1:14" x14ac:dyDescent="0.25">
      <c r="A2264" t="s">
        <v>467</v>
      </c>
      <c r="B2264" s="2">
        <v>45777</v>
      </c>
      <c r="C2264" t="s">
        <v>467</v>
      </c>
      <c r="D2264" t="s">
        <v>112</v>
      </c>
      <c r="E2264" t="s">
        <v>9</v>
      </c>
      <c r="F2264" s="3">
        <v>-2100</v>
      </c>
      <c r="G2264" s="3">
        <v>-2100</v>
      </c>
      <c r="H2264" t="s">
        <v>3</v>
      </c>
      <c r="I2264" t="s">
        <v>3</v>
      </c>
      <c r="J2264" t="s">
        <v>308</v>
      </c>
      <c r="K2264" t="s">
        <v>5</v>
      </c>
      <c r="L2264" t="s">
        <v>18</v>
      </c>
      <c r="M2264" t="s">
        <v>114</v>
      </c>
      <c r="N2264" s="2">
        <v>45778</v>
      </c>
    </row>
    <row r="2265" spans="1:14" x14ac:dyDescent="0.25">
      <c r="A2265" t="s">
        <v>467</v>
      </c>
      <c r="B2265" s="2">
        <v>45808</v>
      </c>
      <c r="C2265" t="s">
        <v>467</v>
      </c>
      <c r="D2265" t="s">
        <v>112</v>
      </c>
      <c r="E2265" t="s">
        <v>9</v>
      </c>
      <c r="F2265" s="3">
        <v>2800</v>
      </c>
      <c r="G2265" s="3">
        <v>2800</v>
      </c>
      <c r="H2265" t="s">
        <v>3</v>
      </c>
      <c r="I2265" t="s">
        <v>3</v>
      </c>
      <c r="J2265" t="s">
        <v>311</v>
      </c>
      <c r="K2265" t="s">
        <v>5</v>
      </c>
      <c r="L2265" t="s">
        <v>18</v>
      </c>
      <c r="M2265" t="s">
        <v>114</v>
      </c>
      <c r="N2265" s="2">
        <v>45808</v>
      </c>
    </row>
    <row r="2266" spans="1:14" x14ac:dyDescent="0.25">
      <c r="A2266" t="s">
        <v>467</v>
      </c>
      <c r="B2266" s="2">
        <v>46142</v>
      </c>
      <c r="C2266" t="s">
        <v>467</v>
      </c>
      <c r="D2266" t="s">
        <v>112</v>
      </c>
      <c r="E2266" t="s">
        <v>9</v>
      </c>
      <c r="F2266" s="3">
        <v>-2400</v>
      </c>
      <c r="G2266" s="3">
        <v>-2400</v>
      </c>
      <c r="H2266" t="s">
        <v>3</v>
      </c>
      <c r="I2266" t="s">
        <v>3</v>
      </c>
      <c r="J2266" t="s">
        <v>310</v>
      </c>
      <c r="K2266" t="s">
        <v>13</v>
      </c>
      <c r="L2266" t="s">
        <v>18</v>
      </c>
      <c r="M2266" t="s">
        <v>114</v>
      </c>
      <c r="N2266" s="2">
        <v>46143</v>
      </c>
    </row>
    <row r="2267" spans="1:14" x14ac:dyDescent="0.25">
      <c r="A2267" t="s">
        <v>467</v>
      </c>
      <c r="B2267" s="2">
        <v>46142</v>
      </c>
      <c r="C2267" t="s">
        <v>467</v>
      </c>
      <c r="D2267" t="s">
        <v>112</v>
      </c>
      <c r="E2267" t="s">
        <v>9</v>
      </c>
      <c r="F2267" s="3">
        <v>-14798</v>
      </c>
      <c r="G2267" s="3">
        <v>-14798</v>
      </c>
      <c r="H2267" t="s">
        <v>3</v>
      </c>
      <c r="I2267" t="s">
        <v>3</v>
      </c>
      <c r="J2267" t="s">
        <v>423</v>
      </c>
      <c r="K2267" t="s">
        <v>13</v>
      </c>
      <c r="L2267" t="s">
        <v>18</v>
      </c>
      <c r="M2267" t="s">
        <v>114</v>
      </c>
      <c r="N2267" s="2">
        <v>46143</v>
      </c>
    </row>
    <row r="2268" spans="1:14" x14ac:dyDescent="0.25">
      <c r="A2268" t="s">
        <v>467</v>
      </c>
      <c r="B2268" s="2">
        <v>46173</v>
      </c>
      <c r="C2268" t="s">
        <v>467</v>
      </c>
      <c r="D2268" t="s">
        <v>112</v>
      </c>
      <c r="E2268" t="s">
        <v>9</v>
      </c>
      <c r="F2268" s="3">
        <v>3300</v>
      </c>
      <c r="G2268" s="3">
        <v>3300</v>
      </c>
      <c r="H2268" t="s">
        <v>3</v>
      </c>
      <c r="I2268" t="s">
        <v>3</v>
      </c>
      <c r="J2268" t="s">
        <v>313</v>
      </c>
      <c r="K2268" t="s">
        <v>13</v>
      </c>
      <c r="L2268" t="s">
        <v>18</v>
      </c>
      <c r="M2268" t="s">
        <v>114</v>
      </c>
      <c r="N2268" s="2">
        <v>46173</v>
      </c>
    </row>
    <row r="2269" spans="1:14" x14ac:dyDescent="0.25">
      <c r="A2269" t="s">
        <v>467</v>
      </c>
      <c r="B2269" s="2">
        <v>46173</v>
      </c>
      <c r="C2269" t="s">
        <v>467</v>
      </c>
      <c r="D2269" t="s">
        <v>112</v>
      </c>
      <c r="E2269" t="s">
        <v>9</v>
      </c>
      <c r="F2269" s="3">
        <v>15732.38</v>
      </c>
      <c r="G2269" s="3">
        <v>15732.38</v>
      </c>
      <c r="H2269" t="s">
        <v>3</v>
      </c>
      <c r="I2269" t="s">
        <v>3</v>
      </c>
      <c r="J2269" t="s">
        <v>427</v>
      </c>
      <c r="K2269" t="s">
        <v>13</v>
      </c>
      <c r="L2269" t="s">
        <v>18</v>
      </c>
      <c r="M2269" t="s">
        <v>114</v>
      </c>
      <c r="N2269" s="2">
        <v>46173</v>
      </c>
    </row>
    <row r="2270" spans="1:14" x14ac:dyDescent="0.25">
      <c r="A2270" s="4" t="s">
        <v>223</v>
      </c>
      <c r="B2270" s="5"/>
      <c r="C2270" s="4" t="s">
        <v>9</v>
      </c>
      <c r="D2270" s="4" t="s">
        <v>9</v>
      </c>
      <c r="E2270" s="4" t="s">
        <v>9</v>
      </c>
      <c r="F2270" s="6">
        <v>0</v>
      </c>
      <c r="G2270" s="6">
        <v>0</v>
      </c>
      <c r="H2270" s="4" t="s">
        <v>9</v>
      </c>
      <c r="I2270" s="4" t="s">
        <v>3</v>
      </c>
      <c r="J2270" s="4" t="s">
        <v>9</v>
      </c>
      <c r="K2270" s="4" t="s">
        <v>9</v>
      </c>
      <c r="L2270" s="4" t="s">
        <v>9</v>
      </c>
      <c r="M2270" s="4" t="s">
        <v>9</v>
      </c>
      <c r="N2270" s="5"/>
    </row>
    <row r="2271" spans="1:14" x14ac:dyDescent="0.25">
      <c r="A2271" t="s">
        <v>467</v>
      </c>
      <c r="B2271" s="2">
        <v>45839</v>
      </c>
      <c r="C2271" t="s">
        <v>467</v>
      </c>
      <c r="D2271" t="s">
        <v>112</v>
      </c>
      <c r="E2271" t="s">
        <v>9</v>
      </c>
      <c r="F2271" s="3">
        <v>-500</v>
      </c>
      <c r="G2271" s="3">
        <v>-500</v>
      </c>
      <c r="H2271" t="s">
        <v>3</v>
      </c>
      <c r="I2271" t="s">
        <v>3</v>
      </c>
      <c r="J2271" t="s">
        <v>9</v>
      </c>
      <c r="K2271" t="s">
        <v>9</v>
      </c>
      <c r="L2271" t="s">
        <v>19</v>
      </c>
      <c r="M2271" t="s">
        <v>114</v>
      </c>
      <c r="N2271" s="2">
        <v>45838</v>
      </c>
    </row>
    <row r="2272" spans="1:14" x14ac:dyDescent="0.25">
      <c r="A2272" t="s">
        <v>467</v>
      </c>
      <c r="B2272" s="2">
        <v>46205</v>
      </c>
      <c r="C2272" t="s">
        <v>467</v>
      </c>
      <c r="D2272" t="s">
        <v>112</v>
      </c>
      <c r="E2272" t="s">
        <v>9</v>
      </c>
      <c r="F2272" s="3">
        <v>0.01</v>
      </c>
      <c r="G2272" s="3">
        <v>0.01</v>
      </c>
      <c r="H2272" t="s">
        <v>3</v>
      </c>
      <c r="I2272" t="s">
        <v>3</v>
      </c>
      <c r="J2272" t="s">
        <v>9</v>
      </c>
      <c r="K2272" t="s">
        <v>9</v>
      </c>
      <c r="L2272" t="s">
        <v>19</v>
      </c>
      <c r="M2272" t="s">
        <v>114</v>
      </c>
      <c r="N2272" s="2">
        <v>46203</v>
      </c>
    </row>
    <row r="2273" spans="1:14" x14ac:dyDescent="0.25">
      <c r="A2273" t="s">
        <v>467</v>
      </c>
      <c r="B2273" s="2">
        <v>45808</v>
      </c>
      <c r="C2273" t="s">
        <v>467</v>
      </c>
      <c r="D2273" t="s">
        <v>112</v>
      </c>
      <c r="E2273" t="s">
        <v>9</v>
      </c>
      <c r="F2273" s="3">
        <v>-2800</v>
      </c>
      <c r="G2273" s="3">
        <v>-2800</v>
      </c>
      <c r="H2273" t="s">
        <v>3</v>
      </c>
      <c r="I2273" t="s">
        <v>3</v>
      </c>
      <c r="J2273" t="s">
        <v>311</v>
      </c>
      <c r="K2273" t="s">
        <v>5</v>
      </c>
      <c r="L2273" t="s">
        <v>19</v>
      </c>
      <c r="M2273" t="s">
        <v>114</v>
      </c>
      <c r="N2273" s="2">
        <v>45809</v>
      </c>
    </row>
    <row r="2274" spans="1:14" x14ac:dyDescent="0.25">
      <c r="A2274" t="s">
        <v>467</v>
      </c>
      <c r="B2274" s="2">
        <v>45838</v>
      </c>
      <c r="C2274" t="s">
        <v>467</v>
      </c>
      <c r="D2274" t="s">
        <v>112</v>
      </c>
      <c r="E2274" t="s">
        <v>9</v>
      </c>
      <c r="F2274" s="3">
        <v>3300</v>
      </c>
      <c r="G2274" s="3">
        <v>3300</v>
      </c>
      <c r="H2274" t="s">
        <v>3</v>
      </c>
      <c r="I2274" t="s">
        <v>3</v>
      </c>
      <c r="J2274" t="s">
        <v>314</v>
      </c>
      <c r="K2274" t="s">
        <v>5</v>
      </c>
      <c r="L2274" t="s">
        <v>19</v>
      </c>
      <c r="M2274" t="s">
        <v>114</v>
      </c>
      <c r="N2274" s="2">
        <v>45838</v>
      </c>
    </row>
    <row r="2275" spans="1:14" x14ac:dyDescent="0.25">
      <c r="A2275" t="s">
        <v>467</v>
      </c>
      <c r="B2275" s="2">
        <v>46173</v>
      </c>
      <c r="C2275" t="s">
        <v>467</v>
      </c>
      <c r="D2275" t="s">
        <v>112</v>
      </c>
      <c r="E2275" t="s">
        <v>9</v>
      </c>
      <c r="F2275" s="3">
        <v>-3300</v>
      </c>
      <c r="G2275" s="3">
        <v>-3300</v>
      </c>
      <c r="H2275" t="s">
        <v>3</v>
      </c>
      <c r="I2275" t="s">
        <v>3</v>
      </c>
      <c r="J2275" t="s">
        <v>313</v>
      </c>
      <c r="K2275" t="s">
        <v>13</v>
      </c>
      <c r="L2275" t="s">
        <v>19</v>
      </c>
      <c r="M2275" t="s">
        <v>114</v>
      </c>
      <c r="N2275" s="2">
        <v>46174</v>
      </c>
    </row>
    <row r="2276" spans="1:14" x14ac:dyDescent="0.25">
      <c r="A2276" t="s">
        <v>467</v>
      </c>
      <c r="B2276" s="2">
        <v>46173</v>
      </c>
      <c r="C2276" t="s">
        <v>467</v>
      </c>
      <c r="D2276" t="s">
        <v>112</v>
      </c>
      <c r="E2276" t="s">
        <v>9</v>
      </c>
      <c r="F2276" s="3">
        <v>-15732.38</v>
      </c>
      <c r="G2276" s="3">
        <v>-15732.38</v>
      </c>
      <c r="H2276" t="s">
        <v>3</v>
      </c>
      <c r="I2276" t="s">
        <v>3</v>
      </c>
      <c r="J2276" t="s">
        <v>427</v>
      </c>
      <c r="K2276" t="s">
        <v>13</v>
      </c>
      <c r="L2276" t="s">
        <v>19</v>
      </c>
      <c r="M2276" t="s">
        <v>114</v>
      </c>
      <c r="N2276" s="2">
        <v>46174</v>
      </c>
    </row>
    <row r="2277" spans="1:14" x14ac:dyDescent="0.25">
      <c r="A2277" t="s">
        <v>467</v>
      </c>
      <c r="B2277" s="2">
        <v>46203</v>
      </c>
      <c r="C2277" t="s">
        <v>467</v>
      </c>
      <c r="D2277" t="s">
        <v>112</v>
      </c>
      <c r="E2277" t="s">
        <v>9</v>
      </c>
      <c r="F2277" s="3">
        <v>3300</v>
      </c>
      <c r="G2277" s="3">
        <v>3300</v>
      </c>
      <c r="H2277" t="s">
        <v>3</v>
      </c>
      <c r="I2277" t="s">
        <v>3</v>
      </c>
      <c r="J2277" t="s">
        <v>316</v>
      </c>
      <c r="K2277" t="s">
        <v>13</v>
      </c>
      <c r="L2277" t="s">
        <v>19</v>
      </c>
      <c r="M2277" t="s">
        <v>114</v>
      </c>
      <c r="N2277" s="2">
        <v>46203</v>
      </c>
    </row>
    <row r="2278" spans="1:14" x14ac:dyDescent="0.25">
      <c r="A2278" t="s">
        <v>467</v>
      </c>
      <c r="B2278" s="2">
        <v>46203</v>
      </c>
      <c r="C2278" t="s">
        <v>467</v>
      </c>
      <c r="D2278" t="s">
        <v>112</v>
      </c>
      <c r="E2278" t="s">
        <v>9</v>
      </c>
      <c r="F2278" s="3">
        <v>15732.37</v>
      </c>
      <c r="G2278" s="3">
        <v>15732.37</v>
      </c>
      <c r="H2278" t="s">
        <v>3</v>
      </c>
      <c r="I2278" t="s">
        <v>3</v>
      </c>
      <c r="J2278" t="s">
        <v>428</v>
      </c>
      <c r="K2278" t="s">
        <v>13</v>
      </c>
      <c r="L2278" t="s">
        <v>19</v>
      </c>
      <c r="M2278" t="s">
        <v>114</v>
      </c>
      <c r="N2278" s="2">
        <v>46203</v>
      </c>
    </row>
    <row r="2279" spans="1:14" x14ac:dyDescent="0.25">
      <c r="A2279" s="4" t="s">
        <v>224</v>
      </c>
      <c r="B2279" s="5"/>
      <c r="C2279" s="4" t="s">
        <v>9</v>
      </c>
      <c r="D2279" s="4" t="s">
        <v>9</v>
      </c>
      <c r="E2279" s="4" t="s">
        <v>9</v>
      </c>
      <c r="F2279" s="6">
        <v>0</v>
      </c>
      <c r="G2279" s="6">
        <v>0</v>
      </c>
      <c r="H2279" s="4" t="s">
        <v>9</v>
      </c>
      <c r="I2279" s="4" t="s">
        <v>3</v>
      </c>
      <c r="J2279" s="4" t="s">
        <v>9</v>
      </c>
      <c r="K2279" s="4" t="s">
        <v>9</v>
      </c>
      <c r="L2279" s="4" t="s">
        <v>9</v>
      </c>
      <c r="M2279" s="4" t="s">
        <v>9</v>
      </c>
      <c r="N2279" s="5"/>
    </row>
    <row r="2280" spans="1:14" x14ac:dyDescent="0.25">
      <c r="A2280" t="s">
        <v>467</v>
      </c>
      <c r="B2280" s="2">
        <v>45870</v>
      </c>
      <c r="C2280" t="s">
        <v>467</v>
      </c>
      <c r="D2280" t="s">
        <v>112</v>
      </c>
      <c r="E2280" t="s">
        <v>9</v>
      </c>
      <c r="F2280" s="3">
        <v>-1000</v>
      </c>
      <c r="G2280" s="3">
        <v>-1000</v>
      </c>
      <c r="H2280" t="s">
        <v>3</v>
      </c>
      <c r="I2280" t="s">
        <v>3</v>
      </c>
      <c r="J2280" t="s">
        <v>9</v>
      </c>
      <c r="K2280" t="s">
        <v>9</v>
      </c>
      <c r="L2280" t="s">
        <v>21</v>
      </c>
      <c r="M2280" t="s">
        <v>114</v>
      </c>
      <c r="N2280" s="2">
        <v>45869</v>
      </c>
    </row>
    <row r="2281" spans="1:14" x14ac:dyDescent="0.25">
      <c r="A2281" t="s">
        <v>467</v>
      </c>
      <c r="B2281" s="2">
        <v>46239</v>
      </c>
      <c r="C2281" t="s">
        <v>467</v>
      </c>
      <c r="D2281" t="s">
        <v>112</v>
      </c>
      <c r="E2281" t="s">
        <v>9</v>
      </c>
      <c r="F2281" s="3">
        <v>19032.37</v>
      </c>
      <c r="G2281" s="3">
        <v>19032.37</v>
      </c>
      <c r="H2281" t="s">
        <v>3</v>
      </c>
      <c r="I2281" t="s">
        <v>3</v>
      </c>
      <c r="J2281" t="s">
        <v>9</v>
      </c>
      <c r="K2281" t="s">
        <v>9</v>
      </c>
      <c r="L2281" t="s">
        <v>21</v>
      </c>
      <c r="M2281" t="s">
        <v>114</v>
      </c>
      <c r="N2281" s="2">
        <v>46234</v>
      </c>
    </row>
    <row r="2282" spans="1:14" x14ac:dyDescent="0.25">
      <c r="A2282" t="s">
        <v>467</v>
      </c>
      <c r="B2282" s="2">
        <v>46239</v>
      </c>
      <c r="C2282" t="s">
        <v>467</v>
      </c>
      <c r="D2282" t="s">
        <v>112</v>
      </c>
      <c r="E2282" t="s">
        <v>9</v>
      </c>
      <c r="F2282" s="3">
        <v>-19032.38</v>
      </c>
      <c r="G2282" s="3">
        <v>-19032.38</v>
      </c>
      <c r="H2282" t="s">
        <v>3</v>
      </c>
      <c r="I2282" t="s">
        <v>3</v>
      </c>
      <c r="J2282" t="s">
        <v>9</v>
      </c>
      <c r="K2282" t="s">
        <v>9</v>
      </c>
      <c r="L2282" t="s">
        <v>21</v>
      </c>
      <c r="M2282" t="s">
        <v>114</v>
      </c>
      <c r="N2282" s="2">
        <v>46234</v>
      </c>
    </row>
    <row r="2283" spans="1:14" x14ac:dyDescent="0.25">
      <c r="A2283" t="s">
        <v>467</v>
      </c>
      <c r="B2283" s="2">
        <v>45838</v>
      </c>
      <c r="C2283" t="s">
        <v>467</v>
      </c>
      <c r="D2283" t="s">
        <v>112</v>
      </c>
      <c r="E2283" t="s">
        <v>9</v>
      </c>
      <c r="F2283" s="3">
        <v>-3300</v>
      </c>
      <c r="G2283" s="3">
        <v>-3300</v>
      </c>
      <c r="H2283" t="s">
        <v>3</v>
      </c>
      <c r="I2283" t="s">
        <v>3</v>
      </c>
      <c r="J2283" t="s">
        <v>314</v>
      </c>
      <c r="K2283" t="s">
        <v>5</v>
      </c>
      <c r="L2283" t="s">
        <v>21</v>
      </c>
      <c r="M2283" t="s">
        <v>114</v>
      </c>
      <c r="N2283" s="2">
        <v>45839</v>
      </c>
    </row>
    <row r="2284" spans="1:14" x14ac:dyDescent="0.25">
      <c r="A2284" t="s">
        <v>467</v>
      </c>
      <c r="B2284" s="2">
        <v>45869</v>
      </c>
      <c r="C2284" t="s">
        <v>467</v>
      </c>
      <c r="D2284" t="s">
        <v>112</v>
      </c>
      <c r="E2284" t="s">
        <v>9</v>
      </c>
      <c r="F2284" s="3">
        <v>4300</v>
      </c>
      <c r="G2284" s="3">
        <v>4300</v>
      </c>
      <c r="H2284" t="s">
        <v>3</v>
      </c>
      <c r="I2284" t="s">
        <v>3</v>
      </c>
      <c r="J2284" t="s">
        <v>317</v>
      </c>
      <c r="K2284" t="s">
        <v>5</v>
      </c>
      <c r="L2284" t="s">
        <v>21</v>
      </c>
      <c r="M2284" t="s">
        <v>114</v>
      </c>
      <c r="N2284" s="2">
        <v>45869</v>
      </c>
    </row>
    <row r="2285" spans="1:14" x14ac:dyDescent="0.25">
      <c r="A2285" t="s">
        <v>467</v>
      </c>
      <c r="B2285" s="2">
        <v>46203</v>
      </c>
      <c r="C2285" t="s">
        <v>467</v>
      </c>
      <c r="D2285" t="s">
        <v>112</v>
      </c>
      <c r="E2285" t="s">
        <v>9</v>
      </c>
      <c r="F2285" s="3">
        <v>-3300</v>
      </c>
      <c r="G2285" s="3">
        <v>-3300</v>
      </c>
      <c r="H2285" t="s">
        <v>3</v>
      </c>
      <c r="I2285" t="s">
        <v>3</v>
      </c>
      <c r="J2285" t="s">
        <v>316</v>
      </c>
      <c r="K2285" t="s">
        <v>13</v>
      </c>
      <c r="L2285" t="s">
        <v>21</v>
      </c>
      <c r="M2285" t="s">
        <v>114</v>
      </c>
      <c r="N2285" s="2">
        <v>46204</v>
      </c>
    </row>
    <row r="2286" spans="1:14" x14ac:dyDescent="0.25">
      <c r="A2286" t="s">
        <v>467</v>
      </c>
      <c r="B2286" s="2">
        <v>46203</v>
      </c>
      <c r="C2286" t="s">
        <v>467</v>
      </c>
      <c r="D2286" t="s">
        <v>112</v>
      </c>
      <c r="E2286" t="s">
        <v>9</v>
      </c>
      <c r="F2286" s="3">
        <v>-15732.37</v>
      </c>
      <c r="G2286" s="3">
        <v>-15732.37</v>
      </c>
      <c r="H2286" t="s">
        <v>3</v>
      </c>
      <c r="I2286" t="s">
        <v>3</v>
      </c>
      <c r="J2286" t="s">
        <v>428</v>
      </c>
      <c r="K2286" t="s">
        <v>13</v>
      </c>
      <c r="L2286" t="s">
        <v>21</v>
      </c>
      <c r="M2286" t="s">
        <v>114</v>
      </c>
      <c r="N2286" s="2">
        <v>46204</v>
      </c>
    </row>
    <row r="2287" spans="1:14" x14ac:dyDescent="0.25">
      <c r="A2287" t="s">
        <v>467</v>
      </c>
      <c r="B2287" s="2">
        <v>46234</v>
      </c>
      <c r="C2287" t="s">
        <v>467</v>
      </c>
      <c r="D2287" t="s">
        <v>112</v>
      </c>
      <c r="E2287" t="s">
        <v>9</v>
      </c>
      <c r="F2287" s="3">
        <v>3300</v>
      </c>
      <c r="G2287" s="3">
        <v>3300</v>
      </c>
      <c r="H2287" t="s">
        <v>3</v>
      </c>
      <c r="I2287" t="s">
        <v>3</v>
      </c>
      <c r="J2287" t="s">
        <v>319</v>
      </c>
      <c r="K2287" t="s">
        <v>13</v>
      </c>
      <c r="L2287" t="s">
        <v>21</v>
      </c>
      <c r="M2287" t="s">
        <v>114</v>
      </c>
      <c r="N2287" s="2">
        <v>46234</v>
      </c>
    </row>
    <row r="2288" spans="1:14" x14ac:dyDescent="0.25">
      <c r="A2288" t="s">
        <v>467</v>
      </c>
      <c r="B2288" s="2">
        <v>46234</v>
      </c>
      <c r="C2288" t="s">
        <v>467</v>
      </c>
      <c r="D2288" t="s">
        <v>112</v>
      </c>
      <c r="E2288" t="s">
        <v>9</v>
      </c>
      <c r="F2288" s="3">
        <v>15732.38</v>
      </c>
      <c r="G2288" s="3">
        <v>15732.38</v>
      </c>
      <c r="H2288" t="s">
        <v>3</v>
      </c>
      <c r="I2288" t="s">
        <v>3</v>
      </c>
      <c r="J2288" t="s">
        <v>429</v>
      </c>
      <c r="K2288" t="s">
        <v>13</v>
      </c>
      <c r="L2288" t="s">
        <v>21</v>
      </c>
      <c r="M2288" t="s">
        <v>114</v>
      </c>
      <c r="N2288" s="2">
        <v>46234</v>
      </c>
    </row>
    <row r="2289" spans="1:14" x14ac:dyDescent="0.25">
      <c r="A2289" s="4" t="s">
        <v>262</v>
      </c>
      <c r="B2289" s="5"/>
      <c r="C2289" s="4" t="s">
        <v>9</v>
      </c>
      <c r="D2289" s="4" t="s">
        <v>9</v>
      </c>
      <c r="E2289" s="4" t="s">
        <v>9</v>
      </c>
      <c r="F2289" s="6">
        <v>0</v>
      </c>
      <c r="G2289" s="6">
        <v>0</v>
      </c>
      <c r="H2289" s="4" t="s">
        <v>9</v>
      </c>
      <c r="I2289" s="4" t="s">
        <v>3</v>
      </c>
      <c r="J2289" s="4" t="s">
        <v>9</v>
      </c>
      <c r="K2289" s="4" t="s">
        <v>9</v>
      </c>
      <c r="L2289" s="4" t="s">
        <v>9</v>
      </c>
      <c r="M2289" s="4" t="s">
        <v>9</v>
      </c>
      <c r="N2289" s="5"/>
    </row>
    <row r="2290" spans="1:14" x14ac:dyDescent="0.25">
      <c r="A2290" t="s">
        <v>467</v>
      </c>
      <c r="B2290" s="2">
        <v>45901</v>
      </c>
      <c r="C2290" t="s">
        <v>467</v>
      </c>
      <c r="D2290" t="s">
        <v>112</v>
      </c>
      <c r="E2290" t="s">
        <v>9</v>
      </c>
      <c r="F2290" s="3">
        <v>-700</v>
      </c>
      <c r="G2290" s="3">
        <v>-700</v>
      </c>
      <c r="H2290" t="s">
        <v>3</v>
      </c>
      <c r="I2290" t="s">
        <v>3</v>
      </c>
      <c r="J2290" t="s">
        <v>9</v>
      </c>
      <c r="K2290" t="s">
        <v>9</v>
      </c>
      <c r="L2290" t="s">
        <v>22</v>
      </c>
      <c r="M2290" t="s">
        <v>114</v>
      </c>
      <c r="N2290" s="2">
        <v>45900</v>
      </c>
    </row>
    <row r="2291" spans="1:14" x14ac:dyDescent="0.25">
      <c r="A2291" t="s">
        <v>467</v>
      </c>
      <c r="B2291" s="2">
        <v>45869</v>
      </c>
      <c r="C2291" t="s">
        <v>467</v>
      </c>
      <c r="D2291" t="s">
        <v>112</v>
      </c>
      <c r="E2291" t="s">
        <v>9</v>
      </c>
      <c r="F2291" s="3">
        <v>-4300</v>
      </c>
      <c r="G2291" s="3">
        <v>-4300</v>
      </c>
      <c r="H2291" t="s">
        <v>3</v>
      </c>
      <c r="I2291" t="s">
        <v>3</v>
      </c>
      <c r="J2291" t="s">
        <v>317</v>
      </c>
      <c r="K2291" t="s">
        <v>5</v>
      </c>
      <c r="L2291" t="s">
        <v>22</v>
      </c>
      <c r="M2291" t="s">
        <v>114</v>
      </c>
      <c r="N2291" s="2">
        <v>45870</v>
      </c>
    </row>
    <row r="2292" spans="1:14" x14ac:dyDescent="0.25">
      <c r="A2292" t="s">
        <v>467</v>
      </c>
      <c r="B2292" s="2">
        <v>45900</v>
      </c>
      <c r="C2292" t="s">
        <v>467</v>
      </c>
      <c r="D2292" t="s">
        <v>112</v>
      </c>
      <c r="E2292" t="s">
        <v>9</v>
      </c>
      <c r="F2292" s="3">
        <v>5000</v>
      </c>
      <c r="G2292" s="3">
        <v>5000</v>
      </c>
      <c r="H2292" t="s">
        <v>3</v>
      </c>
      <c r="I2292" t="s">
        <v>3</v>
      </c>
      <c r="J2292" t="s">
        <v>320</v>
      </c>
      <c r="K2292" t="s">
        <v>5</v>
      </c>
      <c r="L2292" t="s">
        <v>22</v>
      </c>
      <c r="M2292" t="s">
        <v>114</v>
      </c>
      <c r="N2292" s="2">
        <v>45900</v>
      </c>
    </row>
    <row r="2293" spans="1:14" x14ac:dyDescent="0.25">
      <c r="A2293" t="s">
        <v>467</v>
      </c>
      <c r="B2293" s="2">
        <v>45900</v>
      </c>
      <c r="C2293" t="s">
        <v>467</v>
      </c>
      <c r="D2293" t="s">
        <v>112</v>
      </c>
      <c r="E2293" t="s">
        <v>9</v>
      </c>
      <c r="F2293" s="3">
        <v>-5000</v>
      </c>
      <c r="G2293" s="3">
        <v>-5000</v>
      </c>
      <c r="H2293" t="s">
        <v>3</v>
      </c>
      <c r="I2293" t="s">
        <v>3</v>
      </c>
      <c r="J2293" t="s">
        <v>320</v>
      </c>
      <c r="K2293" t="s">
        <v>5</v>
      </c>
      <c r="L2293" t="s">
        <v>22</v>
      </c>
      <c r="M2293" t="s">
        <v>114</v>
      </c>
      <c r="N2293" s="2">
        <v>45900</v>
      </c>
    </row>
    <row r="2294" spans="1:14" x14ac:dyDescent="0.25">
      <c r="A2294" t="s">
        <v>467</v>
      </c>
      <c r="B2294" s="2">
        <v>45900</v>
      </c>
      <c r="C2294" t="s">
        <v>467</v>
      </c>
      <c r="D2294" t="s">
        <v>112</v>
      </c>
      <c r="E2294" t="s">
        <v>9</v>
      </c>
      <c r="F2294" s="3">
        <v>5100</v>
      </c>
      <c r="G2294" s="3">
        <v>5100</v>
      </c>
      <c r="H2294" t="s">
        <v>3</v>
      </c>
      <c r="I2294" t="s">
        <v>3</v>
      </c>
      <c r="J2294" t="s">
        <v>320</v>
      </c>
      <c r="K2294" t="s">
        <v>5</v>
      </c>
      <c r="L2294" t="s">
        <v>22</v>
      </c>
      <c r="M2294" t="s">
        <v>114</v>
      </c>
      <c r="N2294" s="2">
        <v>45900</v>
      </c>
    </row>
    <row r="2295" spans="1:14" x14ac:dyDescent="0.25">
      <c r="A2295" t="s">
        <v>467</v>
      </c>
      <c r="B2295" s="2">
        <v>45900</v>
      </c>
      <c r="C2295" t="s">
        <v>467</v>
      </c>
      <c r="D2295" t="s">
        <v>112</v>
      </c>
      <c r="E2295" t="s">
        <v>9</v>
      </c>
      <c r="F2295" s="3">
        <v>5000</v>
      </c>
      <c r="G2295" s="3">
        <v>5000</v>
      </c>
      <c r="H2295" t="s">
        <v>3</v>
      </c>
      <c r="I2295" t="s">
        <v>3</v>
      </c>
      <c r="J2295" t="s">
        <v>320</v>
      </c>
      <c r="K2295" t="s">
        <v>5</v>
      </c>
      <c r="L2295" t="s">
        <v>22</v>
      </c>
      <c r="M2295" t="s">
        <v>114</v>
      </c>
      <c r="N2295" s="2">
        <v>45900</v>
      </c>
    </row>
    <row r="2296" spans="1:14" x14ac:dyDescent="0.25">
      <c r="A2296" t="s">
        <v>467</v>
      </c>
      <c r="B2296" s="2">
        <v>45900</v>
      </c>
      <c r="C2296" t="s">
        <v>467</v>
      </c>
      <c r="D2296" t="s">
        <v>112</v>
      </c>
      <c r="E2296" t="s">
        <v>9</v>
      </c>
      <c r="F2296" s="3">
        <v>-5100</v>
      </c>
      <c r="G2296" s="3">
        <v>-5100</v>
      </c>
      <c r="H2296" t="s">
        <v>3</v>
      </c>
      <c r="I2296" t="s">
        <v>3</v>
      </c>
      <c r="J2296" t="s">
        <v>320</v>
      </c>
      <c r="K2296" t="s">
        <v>5</v>
      </c>
      <c r="L2296" t="s">
        <v>22</v>
      </c>
      <c r="M2296" t="s">
        <v>114</v>
      </c>
      <c r="N2296" s="2">
        <v>45900</v>
      </c>
    </row>
    <row r="2297" spans="1:14" x14ac:dyDescent="0.25">
      <c r="A2297" t="s">
        <v>467</v>
      </c>
      <c r="B2297" s="2">
        <v>46234</v>
      </c>
      <c r="C2297" t="s">
        <v>467</v>
      </c>
      <c r="D2297" t="s">
        <v>112</v>
      </c>
      <c r="E2297" t="s">
        <v>9</v>
      </c>
      <c r="F2297" s="3">
        <v>-3300</v>
      </c>
      <c r="G2297" s="3">
        <v>-3300</v>
      </c>
      <c r="H2297" t="s">
        <v>3</v>
      </c>
      <c r="I2297" t="s">
        <v>3</v>
      </c>
      <c r="J2297" t="s">
        <v>319</v>
      </c>
      <c r="K2297" t="s">
        <v>13</v>
      </c>
      <c r="L2297" t="s">
        <v>22</v>
      </c>
      <c r="M2297" t="s">
        <v>114</v>
      </c>
      <c r="N2297" s="2">
        <v>46235</v>
      </c>
    </row>
    <row r="2298" spans="1:14" x14ac:dyDescent="0.25">
      <c r="A2298" t="s">
        <v>467</v>
      </c>
      <c r="B2298" s="2">
        <v>46234</v>
      </c>
      <c r="C2298" t="s">
        <v>467</v>
      </c>
      <c r="D2298" t="s">
        <v>112</v>
      </c>
      <c r="E2298" t="s">
        <v>9</v>
      </c>
      <c r="F2298" s="3">
        <v>-15732.38</v>
      </c>
      <c r="G2298" s="3">
        <v>-15732.38</v>
      </c>
      <c r="H2298" t="s">
        <v>3</v>
      </c>
      <c r="I2298" t="s">
        <v>3</v>
      </c>
      <c r="J2298" t="s">
        <v>429</v>
      </c>
      <c r="K2298" t="s">
        <v>13</v>
      </c>
      <c r="L2298" t="s">
        <v>22</v>
      </c>
      <c r="M2298" t="s">
        <v>114</v>
      </c>
      <c r="N2298" s="2">
        <v>46235</v>
      </c>
    </row>
    <row r="2299" spans="1:14" x14ac:dyDescent="0.25">
      <c r="A2299" t="s">
        <v>467</v>
      </c>
      <c r="B2299" s="2">
        <v>46265</v>
      </c>
      <c r="C2299" t="s">
        <v>467</v>
      </c>
      <c r="D2299" t="s">
        <v>112</v>
      </c>
      <c r="E2299" t="s">
        <v>9</v>
      </c>
      <c r="F2299" s="3">
        <v>3300</v>
      </c>
      <c r="G2299" s="3">
        <v>3300</v>
      </c>
      <c r="H2299" t="s">
        <v>3</v>
      </c>
      <c r="I2299" t="s">
        <v>3</v>
      </c>
      <c r="J2299" t="s">
        <v>322</v>
      </c>
      <c r="K2299" t="s">
        <v>13</v>
      </c>
      <c r="L2299" t="s">
        <v>22</v>
      </c>
      <c r="M2299" t="s">
        <v>114</v>
      </c>
      <c r="N2299" s="2">
        <v>46265</v>
      </c>
    </row>
    <row r="2300" spans="1:14" x14ac:dyDescent="0.25">
      <c r="A2300" t="s">
        <v>467</v>
      </c>
      <c r="B2300" s="2">
        <v>46265</v>
      </c>
      <c r="C2300" t="s">
        <v>467</v>
      </c>
      <c r="D2300" t="s">
        <v>112</v>
      </c>
      <c r="E2300" t="s">
        <v>9</v>
      </c>
      <c r="F2300" s="3">
        <v>15732.38</v>
      </c>
      <c r="G2300" s="3">
        <v>15732.38</v>
      </c>
      <c r="H2300" t="s">
        <v>3</v>
      </c>
      <c r="I2300" t="s">
        <v>3</v>
      </c>
      <c r="J2300" t="s">
        <v>431</v>
      </c>
      <c r="K2300" t="s">
        <v>13</v>
      </c>
      <c r="L2300" t="s">
        <v>22</v>
      </c>
      <c r="M2300" t="s">
        <v>114</v>
      </c>
      <c r="N2300" s="2">
        <v>46265</v>
      </c>
    </row>
    <row r="2301" spans="1:14" x14ac:dyDescent="0.25">
      <c r="A2301" s="4" t="s">
        <v>267</v>
      </c>
      <c r="B2301" s="5"/>
      <c r="C2301" s="4" t="s">
        <v>9</v>
      </c>
      <c r="D2301" s="4" t="s">
        <v>9</v>
      </c>
      <c r="E2301" s="4" t="s">
        <v>9</v>
      </c>
      <c r="F2301" s="6">
        <v>0</v>
      </c>
      <c r="G2301" s="6">
        <v>0</v>
      </c>
      <c r="H2301" s="4" t="s">
        <v>9</v>
      </c>
      <c r="I2301" s="4" t="s">
        <v>3</v>
      </c>
      <c r="J2301" s="4" t="s">
        <v>9</v>
      </c>
      <c r="K2301" s="4" t="s">
        <v>9</v>
      </c>
      <c r="L2301" s="4" t="s">
        <v>9</v>
      </c>
      <c r="M2301" s="4" t="s">
        <v>9</v>
      </c>
      <c r="N2301" s="5"/>
    </row>
    <row r="2302" spans="1:14" x14ac:dyDescent="0.25">
      <c r="A2302" t="s">
        <v>467</v>
      </c>
      <c r="B2302" s="2">
        <v>45932</v>
      </c>
      <c r="C2302" t="s">
        <v>467</v>
      </c>
      <c r="D2302" t="s">
        <v>112</v>
      </c>
      <c r="E2302" t="s">
        <v>9</v>
      </c>
      <c r="F2302" s="3">
        <v>-200</v>
      </c>
      <c r="G2302" s="3">
        <v>-200</v>
      </c>
      <c r="H2302" t="s">
        <v>3</v>
      </c>
      <c r="I2302" t="s">
        <v>3</v>
      </c>
      <c r="J2302" t="s">
        <v>9</v>
      </c>
      <c r="K2302" t="s">
        <v>9</v>
      </c>
      <c r="L2302" t="s">
        <v>6</v>
      </c>
      <c r="M2302" t="s">
        <v>114</v>
      </c>
      <c r="N2302" s="2">
        <v>45930</v>
      </c>
    </row>
    <row r="2303" spans="1:14" x14ac:dyDescent="0.25">
      <c r="A2303" t="s">
        <v>467</v>
      </c>
      <c r="B2303" s="2">
        <v>45900</v>
      </c>
      <c r="C2303" t="s">
        <v>467</v>
      </c>
      <c r="D2303" t="s">
        <v>112</v>
      </c>
      <c r="E2303" t="s">
        <v>9</v>
      </c>
      <c r="F2303" s="3">
        <v>-5000</v>
      </c>
      <c r="G2303" s="3">
        <v>-5000</v>
      </c>
      <c r="H2303" t="s">
        <v>3</v>
      </c>
      <c r="I2303" t="s">
        <v>3</v>
      </c>
      <c r="J2303" t="s">
        <v>320</v>
      </c>
      <c r="K2303" t="s">
        <v>5</v>
      </c>
      <c r="L2303" t="s">
        <v>6</v>
      </c>
      <c r="M2303" t="s">
        <v>114</v>
      </c>
      <c r="N2303" s="2">
        <v>45901</v>
      </c>
    </row>
    <row r="2304" spans="1:14" x14ac:dyDescent="0.25">
      <c r="A2304" t="s">
        <v>467</v>
      </c>
      <c r="B2304" s="2">
        <v>45900</v>
      </c>
      <c r="C2304" t="s">
        <v>467</v>
      </c>
      <c r="D2304" t="s">
        <v>112</v>
      </c>
      <c r="E2304" t="s">
        <v>9</v>
      </c>
      <c r="F2304" s="3">
        <v>5000</v>
      </c>
      <c r="G2304" s="3">
        <v>5000</v>
      </c>
      <c r="H2304" t="s">
        <v>3</v>
      </c>
      <c r="I2304" t="s">
        <v>3</v>
      </c>
      <c r="J2304" t="s">
        <v>320</v>
      </c>
      <c r="K2304" t="s">
        <v>5</v>
      </c>
      <c r="L2304" t="s">
        <v>6</v>
      </c>
      <c r="M2304" t="s">
        <v>114</v>
      </c>
      <c r="N2304" s="2">
        <v>45901</v>
      </c>
    </row>
    <row r="2305" spans="1:14" x14ac:dyDescent="0.25">
      <c r="A2305" t="s">
        <v>467</v>
      </c>
      <c r="B2305" s="2">
        <v>45900</v>
      </c>
      <c r="C2305" t="s">
        <v>467</v>
      </c>
      <c r="D2305" t="s">
        <v>112</v>
      </c>
      <c r="E2305" t="s">
        <v>9</v>
      </c>
      <c r="F2305" s="3">
        <v>-5100</v>
      </c>
      <c r="G2305" s="3">
        <v>-5100</v>
      </c>
      <c r="H2305" t="s">
        <v>3</v>
      </c>
      <c r="I2305" t="s">
        <v>3</v>
      </c>
      <c r="J2305" t="s">
        <v>320</v>
      </c>
      <c r="K2305" t="s">
        <v>5</v>
      </c>
      <c r="L2305" t="s">
        <v>6</v>
      </c>
      <c r="M2305" t="s">
        <v>114</v>
      </c>
      <c r="N2305" s="2">
        <v>45901</v>
      </c>
    </row>
    <row r="2306" spans="1:14" x14ac:dyDescent="0.25">
      <c r="A2306" t="s">
        <v>467</v>
      </c>
      <c r="B2306" s="2">
        <v>45900</v>
      </c>
      <c r="C2306" t="s">
        <v>467</v>
      </c>
      <c r="D2306" t="s">
        <v>112</v>
      </c>
      <c r="E2306" t="s">
        <v>9</v>
      </c>
      <c r="F2306" s="3">
        <v>5100</v>
      </c>
      <c r="G2306" s="3">
        <v>5100</v>
      </c>
      <c r="H2306" t="s">
        <v>3</v>
      </c>
      <c r="I2306" t="s">
        <v>3</v>
      </c>
      <c r="J2306" t="s">
        <v>320</v>
      </c>
      <c r="K2306" t="s">
        <v>5</v>
      </c>
      <c r="L2306" t="s">
        <v>6</v>
      </c>
      <c r="M2306" t="s">
        <v>114</v>
      </c>
      <c r="N2306" s="2">
        <v>45901</v>
      </c>
    </row>
    <row r="2307" spans="1:14" x14ac:dyDescent="0.25">
      <c r="A2307" t="s">
        <v>467</v>
      </c>
      <c r="B2307" s="2">
        <v>45900</v>
      </c>
      <c r="C2307" t="s">
        <v>467</v>
      </c>
      <c r="D2307" t="s">
        <v>112</v>
      </c>
      <c r="E2307" t="s">
        <v>9</v>
      </c>
      <c r="F2307" s="3">
        <v>-5000</v>
      </c>
      <c r="G2307" s="3">
        <v>-5000</v>
      </c>
      <c r="H2307" t="s">
        <v>3</v>
      </c>
      <c r="I2307" t="s">
        <v>3</v>
      </c>
      <c r="J2307" t="s">
        <v>320</v>
      </c>
      <c r="K2307" t="s">
        <v>5</v>
      </c>
      <c r="L2307" t="s">
        <v>6</v>
      </c>
      <c r="M2307" t="s">
        <v>114</v>
      </c>
      <c r="N2307" s="2">
        <v>45901</v>
      </c>
    </row>
    <row r="2308" spans="1:14" x14ac:dyDescent="0.25">
      <c r="A2308" t="s">
        <v>467</v>
      </c>
      <c r="B2308" s="2">
        <v>45930</v>
      </c>
      <c r="C2308" t="s">
        <v>467</v>
      </c>
      <c r="D2308" t="s">
        <v>112</v>
      </c>
      <c r="E2308" t="s">
        <v>9</v>
      </c>
      <c r="F2308" s="3">
        <v>5200</v>
      </c>
      <c r="G2308" s="3">
        <v>5200</v>
      </c>
      <c r="H2308" t="s">
        <v>3</v>
      </c>
      <c r="I2308" t="s">
        <v>3</v>
      </c>
      <c r="J2308" t="s">
        <v>323</v>
      </c>
      <c r="K2308" t="s">
        <v>5</v>
      </c>
      <c r="L2308" t="s">
        <v>6</v>
      </c>
      <c r="M2308" t="s">
        <v>114</v>
      </c>
      <c r="N2308" s="2">
        <v>45930</v>
      </c>
    </row>
    <row r="2309" spans="1:14" x14ac:dyDescent="0.25">
      <c r="A2309" s="4" t="s">
        <v>272</v>
      </c>
      <c r="B2309" s="5"/>
      <c r="C2309" s="4" t="s">
        <v>9</v>
      </c>
      <c r="D2309" s="4" t="s">
        <v>9</v>
      </c>
      <c r="E2309" s="4" t="s">
        <v>9</v>
      </c>
      <c r="F2309" s="6">
        <v>0</v>
      </c>
      <c r="G2309" s="6">
        <v>0</v>
      </c>
      <c r="H2309" s="4" t="s">
        <v>9</v>
      </c>
      <c r="I2309" s="4" t="s">
        <v>3</v>
      </c>
      <c r="J2309" s="4" t="s">
        <v>9</v>
      </c>
      <c r="K2309" s="4" t="s">
        <v>9</v>
      </c>
      <c r="L2309" s="4" t="s">
        <v>9</v>
      </c>
      <c r="M2309" s="4" t="s">
        <v>9</v>
      </c>
      <c r="N2309" s="5"/>
    </row>
    <row r="2310" spans="1:14" x14ac:dyDescent="0.25">
      <c r="A2310" t="s">
        <v>467</v>
      </c>
      <c r="B2310" s="2">
        <v>45965</v>
      </c>
      <c r="C2310" t="s">
        <v>467</v>
      </c>
      <c r="D2310" t="s">
        <v>112</v>
      </c>
      <c r="E2310" t="s">
        <v>9</v>
      </c>
      <c r="F2310" s="3">
        <v>-2300</v>
      </c>
      <c r="G2310" s="3">
        <v>-2300</v>
      </c>
      <c r="H2310" t="s">
        <v>3</v>
      </c>
      <c r="I2310" t="s">
        <v>3</v>
      </c>
      <c r="J2310" t="s">
        <v>9</v>
      </c>
      <c r="K2310" t="s">
        <v>9</v>
      </c>
      <c r="L2310" t="s">
        <v>8</v>
      </c>
      <c r="M2310" t="s">
        <v>114</v>
      </c>
      <c r="N2310" s="2">
        <v>45961</v>
      </c>
    </row>
    <row r="2311" spans="1:14" x14ac:dyDescent="0.25">
      <c r="A2311" t="s">
        <v>467</v>
      </c>
      <c r="B2311" s="2">
        <v>45930</v>
      </c>
      <c r="C2311" t="s">
        <v>467</v>
      </c>
      <c r="D2311" t="s">
        <v>112</v>
      </c>
      <c r="E2311" t="s">
        <v>9</v>
      </c>
      <c r="F2311" s="3">
        <v>-5200</v>
      </c>
      <c r="G2311" s="3">
        <v>-5200</v>
      </c>
      <c r="H2311" t="s">
        <v>3</v>
      </c>
      <c r="I2311" t="s">
        <v>3</v>
      </c>
      <c r="J2311" t="s">
        <v>323</v>
      </c>
      <c r="K2311" t="s">
        <v>5</v>
      </c>
      <c r="L2311" t="s">
        <v>8</v>
      </c>
      <c r="M2311" t="s">
        <v>114</v>
      </c>
      <c r="N2311" s="2">
        <v>45931</v>
      </c>
    </row>
    <row r="2312" spans="1:14" x14ac:dyDescent="0.25">
      <c r="A2312" t="s">
        <v>467</v>
      </c>
      <c r="B2312" s="2">
        <v>45961</v>
      </c>
      <c r="C2312" t="s">
        <v>467</v>
      </c>
      <c r="D2312" t="s">
        <v>112</v>
      </c>
      <c r="E2312" t="s">
        <v>9</v>
      </c>
      <c r="F2312" s="3">
        <v>7500</v>
      </c>
      <c r="G2312" s="3">
        <v>7500</v>
      </c>
      <c r="H2312" t="s">
        <v>3</v>
      </c>
      <c r="I2312" t="s">
        <v>3</v>
      </c>
      <c r="J2312" t="s">
        <v>325</v>
      </c>
      <c r="K2312" t="s">
        <v>5</v>
      </c>
      <c r="L2312" t="s">
        <v>8</v>
      </c>
      <c r="M2312" t="s">
        <v>114</v>
      </c>
      <c r="N2312" s="2">
        <v>45961</v>
      </c>
    </row>
    <row r="2313" spans="1:14" x14ac:dyDescent="0.25">
      <c r="A2313" s="4" t="s">
        <v>278</v>
      </c>
      <c r="B2313" s="5"/>
      <c r="C2313" s="4" t="s">
        <v>9</v>
      </c>
      <c r="D2313" s="4" t="s">
        <v>9</v>
      </c>
      <c r="E2313" s="4" t="s">
        <v>9</v>
      </c>
      <c r="F2313" s="6">
        <v>0</v>
      </c>
      <c r="G2313" s="6">
        <v>0</v>
      </c>
      <c r="H2313" s="4" t="s">
        <v>9</v>
      </c>
      <c r="I2313" s="4" t="s">
        <v>3</v>
      </c>
      <c r="J2313" s="4" t="s">
        <v>9</v>
      </c>
      <c r="K2313" s="4" t="s">
        <v>9</v>
      </c>
      <c r="L2313" s="4" t="s">
        <v>9</v>
      </c>
      <c r="M2313" s="4" t="s">
        <v>9</v>
      </c>
      <c r="N2313" s="5"/>
    </row>
    <row r="2314" spans="1:14" x14ac:dyDescent="0.25">
      <c r="A2314" t="s">
        <v>467</v>
      </c>
      <c r="B2314" s="2">
        <v>45993</v>
      </c>
      <c r="C2314" t="s">
        <v>467</v>
      </c>
      <c r="D2314" t="s">
        <v>112</v>
      </c>
      <c r="E2314" t="s">
        <v>9</v>
      </c>
      <c r="F2314" s="3">
        <v>-1900</v>
      </c>
      <c r="G2314" s="3">
        <v>-1900</v>
      </c>
      <c r="H2314" t="s">
        <v>3</v>
      </c>
      <c r="I2314" t="s">
        <v>3</v>
      </c>
      <c r="J2314" t="s">
        <v>9</v>
      </c>
      <c r="K2314" t="s">
        <v>9</v>
      </c>
      <c r="L2314" t="s">
        <v>11</v>
      </c>
      <c r="M2314" t="s">
        <v>114</v>
      </c>
      <c r="N2314" s="2">
        <v>45991</v>
      </c>
    </row>
    <row r="2315" spans="1:14" x14ac:dyDescent="0.25">
      <c r="A2315" t="s">
        <v>467</v>
      </c>
      <c r="B2315" s="2">
        <v>45961</v>
      </c>
      <c r="C2315" t="s">
        <v>467</v>
      </c>
      <c r="D2315" t="s">
        <v>112</v>
      </c>
      <c r="E2315" t="s">
        <v>9</v>
      </c>
      <c r="F2315" s="3">
        <v>-7500</v>
      </c>
      <c r="G2315" s="3">
        <v>-7500</v>
      </c>
      <c r="H2315" t="s">
        <v>3</v>
      </c>
      <c r="I2315" t="s">
        <v>3</v>
      </c>
      <c r="J2315" t="s">
        <v>325</v>
      </c>
      <c r="K2315" t="s">
        <v>5</v>
      </c>
      <c r="L2315" t="s">
        <v>11</v>
      </c>
      <c r="M2315" t="s">
        <v>114</v>
      </c>
      <c r="N2315" s="2">
        <v>45962</v>
      </c>
    </row>
    <row r="2316" spans="1:14" x14ac:dyDescent="0.25">
      <c r="A2316" t="s">
        <v>467</v>
      </c>
      <c r="B2316" s="2">
        <v>45991</v>
      </c>
      <c r="C2316" t="s">
        <v>467</v>
      </c>
      <c r="D2316" t="s">
        <v>112</v>
      </c>
      <c r="E2316" t="s">
        <v>9</v>
      </c>
      <c r="F2316" s="3">
        <v>9400</v>
      </c>
      <c r="G2316" s="3">
        <v>9400</v>
      </c>
      <c r="H2316" t="s">
        <v>3</v>
      </c>
      <c r="I2316" t="s">
        <v>3</v>
      </c>
      <c r="J2316" t="s">
        <v>328</v>
      </c>
      <c r="K2316" t="s">
        <v>5</v>
      </c>
      <c r="L2316" t="s">
        <v>11</v>
      </c>
      <c r="M2316" t="s">
        <v>114</v>
      </c>
      <c r="N2316" s="2">
        <v>45991</v>
      </c>
    </row>
    <row r="2317" spans="1:14" x14ac:dyDescent="0.25">
      <c r="A2317" s="4" t="s">
        <v>226</v>
      </c>
      <c r="B2317" s="5"/>
      <c r="C2317" s="4" t="s">
        <v>9</v>
      </c>
      <c r="D2317" s="4" t="s">
        <v>9</v>
      </c>
      <c r="E2317" s="4" t="s">
        <v>9</v>
      </c>
      <c r="F2317" s="6">
        <v>0</v>
      </c>
      <c r="G2317" s="6">
        <v>0</v>
      </c>
      <c r="H2317" s="4" t="s">
        <v>9</v>
      </c>
      <c r="I2317" s="4" t="s">
        <v>3</v>
      </c>
      <c r="J2317" s="4" t="s">
        <v>9</v>
      </c>
      <c r="K2317" s="4" t="s">
        <v>9</v>
      </c>
      <c r="L2317" s="4" t="s">
        <v>9</v>
      </c>
      <c r="M2317" s="4" t="s">
        <v>9</v>
      </c>
      <c r="N2317" s="5"/>
    </row>
    <row r="2318" spans="1:14" x14ac:dyDescent="0.25">
      <c r="A2318" t="s">
        <v>467</v>
      </c>
      <c r="B2318" s="2">
        <v>46028</v>
      </c>
      <c r="C2318" t="s">
        <v>467</v>
      </c>
      <c r="D2318" t="s">
        <v>112</v>
      </c>
      <c r="E2318" t="s">
        <v>9</v>
      </c>
      <c r="F2318" s="3">
        <v>-1200</v>
      </c>
      <c r="G2318" s="3">
        <v>-1200</v>
      </c>
      <c r="H2318" t="s">
        <v>3</v>
      </c>
      <c r="I2318" t="s">
        <v>3</v>
      </c>
      <c r="J2318" t="s">
        <v>9</v>
      </c>
      <c r="K2318" t="s">
        <v>9</v>
      </c>
      <c r="L2318" t="s">
        <v>12</v>
      </c>
      <c r="M2318" t="s">
        <v>114</v>
      </c>
      <c r="N2318" s="2">
        <v>46022</v>
      </c>
    </row>
    <row r="2319" spans="1:14" x14ac:dyDescent="0.25">
      <c r="A2319" t="s">
        <v>467</v>
      </c>
      <c r="B2319" s="2">
        <v>45991</v>
      </c>
      <c r="C2319" t="s">
        <v>467</v>
      </c>
      <c r="D2319" t="s">
        <v>112</v>
      </c>
      <c r="E2319" t="s">
        <v>9</v>
      </c>
      <c r="F2319" s="3">
        <v>-9400</v>
      </c>
      <c r="G2319" s="3">
        <v>-9400</v>
      </c>
      <c r="H2319" t="s">
        <v>3</v>
      </c>
      <c r="I2319" t="s">
        <v>3</v>
      </c>
      <c r="J2319" t="s">
        <v>328</v>
      </c>
      <c r="K2319" t="s">
        <v>5</v>
      </c>
      <c r="L2319" t="s">
        <v>12</v>
      </c>
      <c r="M2319" t="s">
        <v>114</v>
      </c>
      <c r="N2319" s="2">
        <v>45992</v>
      </c>
    </row>
    <row r="2320" spans="1:14" x14ac:dyDescent="0.25">
      <c r="A2320" t="s">
        <v>467</v>
      </c>
      <c r="B2320" s="2">
        <v>46022</v>
      </c>
      <c r="C2320" t="s">
        <v>467</v>
      </c>
      <c r="D2320" t="s">
        <v>112</v>
      </c>
      <c r="E2320" t="s">
        <v>9</v>
      </c>
      <c r="F2320" s="3">
        <v>10600</v>
      </c>
      <c r="G2320" s="3">
        <v>10600</v>
      </c>
      <c r="H2320" t="s">
        <v>3</v>
      </c>
      <c r="I2320" t="s">
        <v>3</v>
      </c>
      <c r="J2320" t="s">
        <v>298</v>
      </c>
      <c r="K2320" t="s">
        <v>5</v>
      </c>
      <c r="L2320" t="s">
        <v>12</v>
      </c>
      <c r="M2320" t="s">
        <v>114</v>
      </c>
      <c r="N2320" s="2">
        <v>46022</v>
      </c>
    </row>
    <row r="2321" spans="1:14" x14ac:dyDescent="0.25">
      <c r="A2321" t="s">
        <v>467</v>
      </c>
      <c r="B2321" s="2">
        <v>46022</v>
      </c>
      <c r="C2321" t="s">
        <v>467</v>
      </c>
      <c r="D2321" t="s">
        <v>112</v>
      </c>
      <c r="E2321" t="s">
        <v>9</v>
      </c>
      <c r="F2321" s="3">
        <v>10600</v>
      </c>
      <c r="G2321" s="3">
        <v>10600</v>
      </c>
      <c r="H2321" t="s">
        <v>3</v>
      </c>
      <c r="I2321" t="s">
        <v>3</v>
      </c>
      <c r="J2321" t="s">
        <v>298</v>
      </c>
      <c r="K2321" t="s">
        <v>5</v>
      </c>
      <c r="L2321" t="s">
        <v>12</v>
      </c>
      <c r="M2321" t="s">
        <v>114</v>
      </c>
      <c r="N2321" s="2">
        <v>46022</v>
      </c>
    </row>
    <row r="2322" spans="1:14" x14ac:dyDescent="0.25">
      <c r="A2322" t="s">
        <v>467</v>
      </c>
      <c r="B2322" s="2">
        <v>46022</v>
      </c>
      <c r="C2322" t="s">
        <v>467</v>
      </c>
      <c r="D2322" t="s">
        <v>112</v>
      </c>
      <c r="E2322" t="s">
        <v>9</v>
      </c>
      <c r="F2322" s="3">
        <v>-10600</v>
      </c>
      <c r="G2322" s="3">
        <v>-10600</v>
      </c>
      <c r="H2322" t="s">
        <v>3</v>
      </c>
      <c r="I2322" t="s">
        <v>3</v>
      </c>
      <c r="J2322" t="s">
        <v>298</v>
      </c>
      <c r="K2322" t="s">
        <v>5</v>
      </c>
      <c r="L2322" t="s">
        <v>12</v>
      </c>
      <c r="M2322" t="s">
        <v>114</v>
      </c>
      <c r="N2322" s="2">
        <v>46022</v>
      </c>
    </row>
    <row r="2323" spans="1:14" x14ac:dyDescent="0.25">
      <c r="A2323" s="4" t="s">
        <v>228</v>
      </c>
      <c r="B2323" s="5"/>
      <c r="C2323" s="4" t="s">
        <v>9</v>
      </c>
      <c r="D2323" s="4" t="s">
        <v>9</v>
      </c>
      <c r="E2323" s="4" t="s">
        <v>9</v>
      </c>
      <c r="F2323" s="6">
        <v>0</v>
      </c>
      <c r="G2323" s="6">
        <v>0</v>
      </c>
      <c r="H2323" s="4" t="s">
        <v>9</v>
      </c>
      <c r="I2323" s="4" t="s">
        <v>3</v>
      </c>
      <c r="J2323" s="4" t="s">
        <v>9</v>
      </c>
      <c r="K2323" s="4" t="s">
        <v>9</v>
      </c>
      <c r="L2323" s="4" t="s">
        <v>9</v>
      </c>
      <c r="M2323" s="4" t="s">
        <v>9</v>
      </c>
      <c r="N2323" s="5"/>
    </row>
    <row r="2324" spans="1:14" x14ac:dyDescent="0.25">
      <c r="A2324" s="4" t="s">
        <v>467</v>
      </c>
      <c r="B2324" s="5"/>
      <c r="C2324" s="4" t="s">
        <v>9</v>
      </c>
      <c r="D2324" s="4" t="s">
        <v>9</v>
      </c>
      <c r="E2324" s="4" t="s">
        <v>9</v>
      </c>
      <c r="F2324" s="6">
        <v>0</v>
      </c>
      <c r="G2324" s="6">
        <v>0</v>
      </c>
      <c r="H2324" s="4" t="s">
        <v>9</v>
      </c>
      <c r="I2324" s="4" t="s">
        <v>3</v>
      </c>
      <c r="J2324" s="4" t="s">
        <v>9</v>
      </c>
      <c r="K2324" s="4" t="s">
        <v>9</v>
      </c>
      <c r="L2324" s="4" t="s">
        <v>9</v>
      </c>
      <c r="M2324" s="4" t="s">
        <v>9</v>
      </c>
      <c r="N2324" s="5"/>
    </row>
    <row r="2325" spans="1:14" x14ac:dyDescent="0.25">
      <c r="A2325" t="s">
        <v>468</v>
      </c>
      <c r="B2325" s="2">
        <v>45782</v>
      </c>
      <c r="C2325" t="s">
        <v>468</v>
      </c>
      <c r="D2325" t="s">
        <v>33</v>
      </c>
      <c r="E2325" t="s">
        <v>9</v>
      </c>
      <c r="F2325" s="3">
        <v>1470</v>
      </c>
      <c r="G2325" s="3">
        <v>1470</v>
      </c>
      <c r="H2325" t="s">
        <v>3</v>
      </c>
      <c r="I2325" t="s">
        <v>3</v>
      </c>
      <c r="J2325" t="s">
        <v>9</v>
      </c>
      <c r="K2325" t="s">
        <v>9</v>
      </c>
      <c r="L2325" t="s">
        <v>17</v>
      </c>
      <c r="M2325" t="s">
        <v>35</v>
      </c>
      <c r="N2325" s="2">
        <v>45777</v>
      </c>
    </row>
    <row r="2326" spans="1:14" x14ac:dyDescent="0.25">
      <c r="A2326" t="s">
        <v>468</v>
      </c>
      <c r="B2326" s="2">
        <v>45763</v>
      </c>
      <c r="C2326" t="s">
        <v>468</v>
      </c>
      <c r="D2326" t="s">
        <v>33</v>
      </c>
      <c r="E2326" t="s">
        <v>9</v>
      </c>
      <c r="F2326" s="3">
        <v>-1470</v>
      </c>
      <c r="G2326" s="3">
        <v>-1470</v>
      </c>
      <c r="H2326" t="s">
        <v>3</v>
      </c>
      <c r="I2326" t="s">
        <v>3</v>
      </c>
      <c r="J2326" t="s">
        <v>9</v>
      </c>
      <c r="K2326" t="s">
        <v>5</v>
      </c>
      <c r="L2326" t="s">
        <v>17</v>
      </c>
      <c r="M2326" t="s">
        <v>35</v>
      </c>
      <c r="N2326" s="2">
        <v>45763</v>
      </c>
    </row>
    <row r="2327" spans="1:14" x14ac:dyDescent="0.25">
      <c r="A2327" s="4" t="s">
        <v>249</v>
      </c>
      <c r="B2327" s="5"/>
      <c r="C2327" s="4" t="s">
        <v>9</v>
      </c>
      <c r="D2327" s="4" t="s">
        <v>9</v>
      </c>
      <c r="E2327" s="4" t="s">
        <v>9</v>
      </c>
      <c r="F2327" s="6">
        <v>0</v>
      </c>
      <c r="G2327" s="6">
        <v>0</v>
      </c>
      <c r="H2327" s="4" t="s">
        <v>9</v>
      </c>
      <c r="I2327" s="4" t="s">
        <v>3</v>
      </c>
      <c r="J2327" s="4" t="s">
        <v>9</v>
      </c>
      <c r="K2327" s="4" t="s">
        <v>9</v>
      </c>
      <c r="L2327" s="4" t="s">
        <v>9</v>
      </c>
      <c r="M2327" s="4" t="s">
        <v>9</v>
      </c>
      <c r="N2327" s="5"/>
    </row>
    <row r="2328" spans="1:14" x14ac:dyDescent="0.25">
      <c r="A2328" t="s">
        <v>468</v>
      </c>
      <c r="B2328" s="2">
        <v>45810</v>
      </c>
      <c r="C2328" t="s">
        <v>468</v>
      </c>
      <c r="D2328" t="s">
        <v>33</v>
      </c>
      <c r="E2328" t="s">
        <v>9</v>
      </c>
      <c r="F2328" s="3">
        <v>8838</v>
      </c>
      <c r="G2328" s="3">
        <v>8838</v>
      </c>
      <c r="H2328" t="s">
        <v>3</v>
      </c>
      <c r="I2328" t="s">
        <v>3</v>
      </c>
      <c r="J2328" t="s">
        <v>9</v>
      </c>
      <c r="K2328" t="s">
        <v>9</v>
      </c>
      <c r="L2328" t="s">
        <v>18</v>
      </c>
      <c r="M2328" t="s">
        <v>35</v>
      </c>
      <c r="N2328" s="2">
        <v>45808</v>
      </c>
    </row>
    <row r="2329" spans="1:14" x14ac:dyDescent="0.25">
      <c r="A2329" t="s">
        <v>468</v>
      </c>
      <c r="B2329" s="2">
        <v>45799</v>
      </c>
      <c r="C2329" t="s">
        <v>468</v>
      </c>
      <c r="D2329" t="s">
        <v>33</v>
      </c>
      <c r="E2329" t="s">
        <v>9</v>
      </c>
      <c r="F2329" s="3">
        <v>-8838</v>
      </c>
      <c r="G2329" s="3">
        <v>-8838</v>
      </c>
      <c r="H2329" t="s">
        <v>3</v>
      </c>
      <c r="I2329" t="s">
        <v>3</v>
      </c>
      <c r="J2329" t="s">
        <v>9</v>
      </c>
      <c r="K2329" t="s">
        <v>5</v>
      </c>
      <c r="L2329" t="s">
        <v>18</v>
      </c>
      <c r="M2329" t="s">
        <v>35</v>
      </c>
      <c r="N2329" s="2">
        <v>45799</v>
      </c>
    </row>
    <row r="2330" spans="1:14" x14ac:dyDescent="0.25">
      <c r="A2330" s="4" t="s">
        <v>223</v>
      </c>
      <c r="B2330" s="5"/>
      <c r="C2330" s="4" t="s">
        <v>9</v>
      </c>
      <c r="D2330" s="4" t="s">
        <v>9</v>
      </c>
      <c r="E2330" s="4" t="s">
        <v>9</v>
      </c>
      <c r="F2330" s="6">
        <v>0</v>
      </c>
      <c r="G2330" s="6">
        <v>0</v>
      </c>
      <c r="H2330" s="4" t="s">
        <v>9</v>
      </c>
      <c r="I2330" s="4" t="s">
        <v>3</v>
      </c>
      <c r="J2330" s="4" t="s">
        <v>9</v>
      </c>
      <c r="K2330" s="4" t="s">
        <v>9</v>
      </c>
      <c r="L2330" s="4" t="s">
        <v>9</v>
      </c>
      <c r="M2330" s="4" t="s">
        <v>9</v>
      </c>
      <c r="N2330" s="5"/>
    </row>
    <row r="2331" spans="1:14" x14ac:dyDescent="0.25">
      <c r="A2331" t="s">
        <v>468</v>
      </c>
      <c r="B2331" s="2">
        <v>45839</v>
      </c>
      <c r="C2331" t="s">
        <v>468</v>
      </c>
      <c r="D2331" t="s">
        <v>33</v>
      </c>
      <c r="E2331" t="s">
        <v>9</v>
      </c>
      <c r="F2331" s="3">
        <v>7531</v>
      </c>
      <c r="G2331" s="3">
        <v>7531</v>
      </c>
      <c r="H2331" t="s">
        <v>3</v>
      </c>
      <c r="I2331" t="s">
        <v>3</v>
      </c>
      <c r="J2331" t="s">
        <v>9</v>
      </c>
      <c r="K2331" t="s">
        <v>9</v>
      </c>
      <c r="L2331" t="s">
        <v>19</v>
      </c>
      <c r="M2331" t="s">
        <v>35</v>
      </c>
      <c r="N2331" s="2">
        <v>45838</v>
      </c>
    </row>
    <row r="2332" spans="1:14" x14ac:dyDescent="0.25">
      <c r="A2332" t="s">
        <v>468</v>
      </c>
      <c r="B2332" s="2">
        <v>45825</v>
      </c>
      <c r="C2332" t="s">
        <v>468</v>
      </c>
      <c r="D2332" t="s">
        <v>33</v>
      </c>
      <c r="E2332" t="s">
        <v>9</v>
      </c>
      <c r="F2332" s="3">
        <v>-7531</v>
      </c>
      <c r="G2332" s="3">
        <v>-7531</v>
      </c>
      <c r="H2332" t="s">
        <v>3</v>
      </c>
      <c r="I2332" t="s">
        <v>3</v>
      </c>
      <c r="J2332" t="s">
        <v>9</v>
      </c>
      <c r="K2332" t="s">
        <v>5</v>
      </c>
      <c r="L2332" t="s">
        <v>19</v>
      </c>
      <c r="M2332" t="s">
        <v>35</v>
      </c>
      <c r="N2332" s="2">
        <v>45825</v>
      </c>
    </row>
    <row r="2333" spans="1:14" x14ac:dyDescent="0.25">
      <c r="A2333" s="4" t="s">
        <v>224</v>
      </c>
      <c r="B2333" s="5"/>
      <c r="C2333" s="4" t="s">
        <v>9</v>
      </c>
      <c r="D2333" s="4" t="s">
        <v>9</v>
      </c>
      <c r="E2333" s="4" t="s">
        <v>9</v>
      </c>
      <c r="F2333" s="6">
        <v>0</v>
      </c>
      <c r="G2333" s="6">
        <v>0</v>
      </c>
      <c r="H2333" s="4" t="s">
        <v>9</v>
      </c>
      <c r="I2333" s="4" t="s">
        <v>3</v>
      </c>
      <c r="J2333" s="4" t="s">
        <v>9</v>
      </c>
      <c r="K2333" s="4" t="s">
        <v>9</v>
      </c>
      <c r="L2333" s="4" t="s">
        <v>9</v>
      </c>
      <c r="M2333" s="4" t="s">
        <v>9</v>
      </c>
      <c r="N2333" s="5"/>
    </row>
    <row r="2334" spans="1:14" x14ac:dyDescent="0.25">
      <c r="A2334" t="s">
        <v>468</v>
      </c>
      <c r="B2334" s="2">
        <v>45870</v>
      </c>
      <c r="C2334" t="s">
        <v>468</v>
      </c>
      <c r="D2334" t="s">
        <v>33</v>
      </c>
      <c r="E2334" t="s">
        <v>9</v>
      </c>
      <c r="F2334" s="3">
        <v>3651</v>
      </c>
      <c r="G2334" s="3">
        <v>3651</v>
      </c>
      <c r="H2334" t="s">
        <v>3</v>
      </c>
      <c r="I2334" t="s">
        <v>3</v>
      </c>
      <c r="J2334" t="s">
        <v>9</v>
      </c>
      <c r="K2334" t="s">
        <v>9</v>
      </c>
      <c r="L2334" t="s">
        <v>21</v>
      </c>
      <c r="M2334" t="s">
        <v>35</v>
      </c>
      <c r="N2334" s="2">
        <v>45869</v>
      </c>
    </row>
    <row r="2335" spans="1:14" x14ac:dyDescent="0.25">
      <c r="A2335" t="s">
        <v>468</v>
      </c>
      <c r="B2335" s="2">
        <v>45849</v>
      </c>
      <c r="C2335" t="s">
        <v>468</v>
      </c>
      <c r="D2335" t="s">
        <v>33</v>
      </c>
      <c r="E2335" t="s">
        <v>9</v>
      </c>
      <c r="F2335" s="3">
        <v>-3651</v>
      </c>
      <c r="G2335" s="3">
        <v>-3651</v>
      </c>
      <c r="H2335" t="s">
        <v>3</v>
      </c>
      <c r="I2335" t="s">
        <v>3</v>
      </c>
      <c r="J2335" t="s">
        <v>9</v>
      </c>
      <c r="K2335" t="s">
        <v>5</v>
      </c>
      <c r="L2335" t="s">
        <v>21</v>
      </c>
      <c r="M2335" t="s">
        <v>35</v>
      </c>
      <c r="N2335" s="2">
        <v>45849</v>
      </c>
    </row>
    <row r="2336" spans="1:14" x14ac:dyDescent="0.25">
      <c r="A2336" s="4" t="s">
        <v>262</v>
      </c>
      <c r="B2336" s="5"/>
      <c r="C2336" s="4" t="s">
        <v>9</v>
      </c>
      <c r="D2336" s="4" t="s">
        <v>9</v>
      </c>
      <c r="E2336" s="4" t="s">
        <v>9</v>
      </c>
      <c r="F2336" s="6">
        <v>0</v>
      </c>
      <c r="G2336" s="6">
        <v>0</v>
      </c>
      <c r="H2336" s="4" t="s">
        <v>9</v>
      </c>
      <c r="I2336" s="4" t="s">
        <v>3</v>
      </c>
      <c r="J2336" s="4" t="s">
        <v>9</v>
      </c>
      <c r="K2336" s="4" t="s">
        <v>9</v>
      </c>
      <c r="L2336" s="4" t="s">
        <v>9</v>
      </c>
      <c r="M2336" s="4" t="s">
        <v>9</v>
      </c>
      <c r="N2336" s="5"/>
    </row>
    <row r="2337" spans="1:14" x14ac:dyDescent="0.25">
      <c r="A2337" t="s">
        <v>468</v>
      </c>
      <c r="B2337" s="2">
        <v>45901</v>
      </c>
      <c r="C2337" t="s">
        <v>468</v>
      </c>
      <c r="D2337" t="s">
        <v>33</v>
      </c>
      <c r="E2337" t="s">
        <v>9</v>
      </c>
      <c r="F2337" s="3">
        <v>3431</v>
      </c>
      <c r="G2337" s="3">
        <v>3431</v>
      </c>
      <c r="H2337" t="s">
        <v>3</v>
      </c>
      <c r="I2337" t="s">
        <v>3</v>
      </c>
      <c r="J2337" t="s">
        <v>9</v>
      </c>
      <c r="K2337" t="s">
        <v>9</v>
      </c>
      <c r="L2337" t="s">
        <v>22</v>
      </c>
      <c r="M2337" t="s">
        <v>35</v>
      </c>
      <c r="N2337" s="2">
        <v>45900</v>
      </c>
    </row>
    <row r="2338" spans="1:14" x14ac:dyDescent="0.25">
      <c r="A2338" t="s">
        <v>468</v>
      </c>
      <c r="B2338" s="2">
        <v>45888</v>
      </c>
      <c r="C2338" t="s">
        <v>468</v>
      </c>
      <c r="D2338" t="s">
        <v>33</v>
      </c>
      <c r="E2338" t="s">
        <v>9</v>
      </c>
      <c r="F2338" s="3">
        <v>-3431</v>
      </c>
      <c r="G2338" s="3">
        <v>-3431</v>
      </c>
      <c r="H2338" t="s">
        <v>3</v>
      </c>
      <c r="I2338" t="s">
        <v>3</v>
      </c>
      <c r="J2338" t="s">
        <v>9</v>
      </c>
      <c r="K2338" t="s">
        <v>5</v>
      </c>
      <c r="L2338" t="s">
        <v>22</v>
      </c>
      <c r="M2338" t="s">
        <v>35</v>
      </c>
      <c r="N2338" s="2">
        <v>45888</v>
      </c>
    </row>
    <row r="2339" spans="1:14" x14ac:dyDescent="0.25">
      <c r="A2339" s="4" t="s">
        <v>267</v>
      </c>
      <c r="B2339" s="5"/>
      <c r="C2339" s="4" t="s">
        <v>9</v>
      </c>
      <c r="D2339" s="4" t="s">
        <v>9</v>
      </c>
      <c r="E2339" s="4" t="s">
        <v>9</v>
      </c>
      <c r="F2339" s="6">
        <v>0</v>
      </c>
      <c r="G2339" s="6">
        <v>0</v>
      </c>
      <c r="H2339" s="4" t="s">
        <v>9</v>
      </c>
      <c r="I2339" s="4" t="s">
        <v>3</v>
      </c>
      <c r="J2339" s="4" t="s">
        <v>9</v>
      </c>
      <c r="K2339" s="4" t="s">
        <v>9</v>
      </c>
      <c r="L2339" s="4" t="s">
        <v>9</v>
      </c>
      <c r="M2339" s="4" t="s">
        <v>9</v>
      </c>
      <c r="N2339" s="5"/>
    </row>
    <row r="2340" spans="1:14" x14ac:dyDescent="0.25">
      <c r="A2340" t="s">
        <v>468</v>
      </c>
      <c r="B2340" s="2">
        <v>45932</v>
      </c>
      <c r="C2340" t="s">
        <v>468</v>
      </c>
      <c r="D2340" t="s">
        <v>33</v>
      </c>
      <c r="E2340" t="s">
        <v>9</v>
      </c>
      <c r="F2340" s="3">
        <v>21096</v>
      </c>
      <c r="G2340" s="3">
        <v>21096</v>
      </c>
      <c r="H2340" t="s">
        <v>3</v>
      </c>
      <c r="I2340" t="s">
        <v>3</v>
      </c>
      <c r="J2340" t="s">
        <v>9</v>
      </c>
      <c r="K2340" t="s">
        <v>9</v>
      </c>
      <c r="L2340" t="s">
        <v>6</v>
      </c>
      <c r="M2340" t="s">
        <v>35</v>
      </c>
      <c r="N2340" s="2">
        <v>45930</v>
      </c>
    </row>
    <row r="2341" spans="1:14" x14ac:dyDescent="0.25">
      <c r="A2341" t="s">
        <v>468</v>
      </c>
      <c r="B2341" s="2">
        <v>45910</v>
      </c>
      <c r="C2341" t="s">
        <v>468</v>
      </c>
      <c r="D2341" t="s">
        <v>33</v>
      </c>
      <c r="E2341" t="s">
        <v>9</v>
      </c>
      <c r="F2341" s="3">
        <v>-21096</v>
      </c>
      <c r="G2341" s="3">
        <v>-21096</v>
      </c>
      <c r="H2341" t="s">
        <v>3</v>
      </c>
      <c r="I2341" t="s">
        <v>3</v>
      </c>
      <c r="J2341" t="s">
        <v>9</v>
      </c>
      <c r="K2341" t="s">
        <v>5</v>
      </c>
      <c r="L2341" t="s">
        <v>6</v>
      </c>
      <c r="M2341" t="s">
        <v>35</v>
      </c>
      <c r="N2341" s="2">
        <v>45910</v>
      </c>
    </row>
    <row r="2342" spans="1:14" x14ac:dyDescent="0.25">
      <c r="A2342" s="4" t="s">
        <v>272</v>
      </c>
      <c r="B2342" s="5"/>
      <c r="C2342" s="4" t="s">
        <v>9</v>
      </c>
      <c r="D2342" s="4" t="s">
        <v>9</v>
      </c>
      <c r="E2342" s="4" t="s">
        <v>9</v>
      </c>
      <c r="F2342" s="6">
        <v>0</v>
      </c>
      <c r="G2342" s="6">
        <v>0</v>
      </c>
      <c r="H2342" s="4" t="s">
        <v>9</v>
      </c>
      <c r="I2342" s="4" t="s">
        <v>3</v>
      </c>
      <c r="J2342" s="4" t="s">
        <v>9</v>
      </c>
      <c r="K2342" s="4" t="s">
        <v>9</v>
      </c>
      <c r="L2342" s="4" t="s">
        <v>9</v>
      </c>
      <c r="M2342" s="4" t="s">
        <v>9</v>
      </c>
      <c r="N2342" s="5"/>
    </row>
    <row r="2343" spans="1:14" x14ac:dyDescent="0.25">
      <c r="A2343" t="s">
        <v>468</v>
      </c>
      <c r="B2343" s="2">
        <v>45965</v>
      </c>
      <c r="C2343" t="s">
        <v>468</v>
      </c>
      <c r="D2343" t="s">
        <v>33</v>
      </c>
      <c r="E2343" t="s">
        <v>9</v>
      </c>
      <c r="F2343" s="3">
        <v>-4507</v>
      </c>
      <c r="G2343" s="3">
        <v>-4507</v>
      </c>
      <c r="H2343" t="s">
        <v>3</v>
      </c>
      <c r="I2343" t="s">
        <v>3</v>
      </c>
      <c r="J2343" t="s">
        <v>9</v>
      </c>
      <c r="K2343" t="s">
        <v>9</v>
      </c>
      <c r="L2343" t="s">
        <v>8</v>
      </c>
      <c r="M2343" t="s">
        <v>35</v>
      </c>
      <c r="N2343" s="2">
        <v>45961</v>
      </c>
    </row>
    <row r="2344" spans="1:14" x14ac:dyDescent="0.25">
      <c r="A2344" t="s">
        <v>468</v>
      </c>
      <c r="B2344" s="2">
        <v>45947</v>
      </c>
      <c r="C2344" t="s">
        <v>468</v>
      </c>
      <c r="D2344" t="s">
        <v>33</v>
      </c>
      <c r="E2344" t="s">
        <v>9</v>
      </c>
      <c r="F2344" s="3">
        <v>-16589</v>
      </c>
      <c r="G2344" s="3">
        <v>-16589</v>
      </c>
      <c r="H2344" t="s">
        <v>3</v>
      </c>
      <c r="I2344" t="s">
        <v>3</v>
      </c>
      <c r="J2344" t="s">
        <v>9</v>
      </c>
      <c r="K2344" t="s">
        <v>5</v>
      </c>
      <c r="L2344" t="s">
        <v>8</v>
      </c>
      <c r="M2344" t="s">
        <v>35</v>
      </c>
      <c r="N2344" s="2">
        <v>45947</v>
      </c>
    </row>
    <row r="2345" spans="1:14" x14ac:dyDescent="0.25">
      <c r="A2345" t="s">
        <v>468</v>
      </c>
      <c r="B2345" s="2">
        <v>45947</v>
      </c>
      <c r="C2345" t="s">
        <v>468</v>
      </c>
      <c r="D2345" t="s">
        <v>33</v>
      </c>
      <c r="E2345" t="s">
        <v>9</v>
      </c>
      <c r="F2345" s="3">
        <v>21096</v>
      </c>
      <c r="G2345" s="3">
        <v>21096</v>
      </c>
      <c r="H2345" t="s">
        <v>3</v>
      </c>
      <c r="I2345" t="s">
        <v>3</v>
      </c>
      <c r="J2345" t="s">
        <v>9</v>
      </c>
      <c r="K2345" t="s">
        <v>5</v>
      </c>
      <c r="L2345" t="s">
        <v>8</v>
      </c>
      <c r="M2345" t="s">
        <v>35</v>
      </c>
      <c r="N2345" s="2">
        <v>45947</v>
      </c>
    </row>
    <row r="2346" spans="1:14" x14ac:dyDescent="0.25">
      <c r="A2346" s="4" t="s">
        <v>278</v>
      </c>
      <c r="B2346" s="5"/>
      <c r="C2346" s="4" t="s">
        <v>9</v>
      </c>
      <c r="D2346" s="4" t="s">
        <v>9</v>
      </c>
      <c r="E2346" s="4" t="s">
        <v>9</v>
      </c>
      <c r="F2346" s="6">
        <v>0</v>
      </c>
      <c r="G2346" s="6">
        <v>0</v>
      </c>
      <c r="H2346" s="4" t="s">
        <v>9</v>
      </c>
      <c r="I2346" s="4" t="s">
        <v>3</v>
      </c>
      <c r="J2346" s="4" t="s">
        <v>9</v>
      </c>
      <c r="K2346" s="4" t="s">
        <v>9</v>
      </c>
      <c r="L2346" s="4" t="s">
        <v>9</v>
      </c>
      <c r="M2346" s="4" t="s">
        <v>9</v>
      </c>
      <c r="N2346" s="5"/>
    </row>
    <row r="2347" spans="1:14" x14ac:dyDescent="0.25">
      <c r="A2347" s="4" t="s">
        <v>468</v>
      </c>
      <c r="B2347" s="5"/>
      <c r="C2347" s="4" t="s">
        <v>9</v>
      </c>
      <c r="D2347" s="4" t="s">
        <v>9</v>
      </c>
      <c r="E2347" s="4" t="s">
        <v>9</v>
      </c>
      <c r="F2347" s="6">
        <v>0</v>
      </c>
      <c r="G2347" s="6">
        <v>0</v>
      </c>
      <c r="H2347" s="4" t="s">
        <v>9</v>
      </c>
      <c r="I2347" s="4" t="s">
        <v>3</v>
      </c>
      <c r="J2347" s="4" t="s">
        <v>9</v>
      </c>
      <c r="K2347" s="4" t="s">
        <v>9</v>
      </c>
      <c r="L2347" s="4" t="s">
        <v>9</v>
      </c>
      <c r="M2347" s="4" t="s">
        <v>9</v>
      </c>
      <c r="N2347" s="5"/>
    </row>
    <row r="2348" spans="1:14" x14ac:dyDescent="0.25">
      <c r="A2348" t="s">
        <v>469</v>
      </c>
      <c r="B2348" s="2">
        <v>46022</v>
      </c>
      <c r="C2348" t="s">
        <v>469</v>
      </c>
      <c r="D2348" t="s">
        <v>112</v>
      </c>
      <c r="E2348" t="s">
        <v>9</v>
      </c>
      <c r="F2348" s="3">
        <v>-23734.5</v>
      </c>
      <c r="G2348" s="3">
        <v>-23734.5</v>
      </c>
      <c r="H2348" t="s">
        <v>3</v>
      </c>
      <c r="I2348" t="s">
        <v>3</v>
      </c>
      <c r="J2348" t="s">
        <v>298</v>
      </c>
      <c r="K2348" t="s">
        <v>13</v>
      </c>
      <c r="L2348" t="s">
        <v>14</v>
      </c>
      <c r="M2348" t="s">
        <v>114</v>
      </c>
      <c r="N2348" s="2">
        <v>46023</v>
      </c>
    </row>
    <row r="2349" spans="1:14" x14ac:dyDescent="0.25">
      <c r="A2349" t="s">
        <v>469</v>
      </c>
      <c r="B2349" s="2">
        <v>46023</v>
      </c>
      <c r="C2349" t="s">
        <v>469</v>
      </c>
      <c r="D2349" t="s">
        <v>112</v>
      </c>
      <c r="E2349" t="s">
        <v>9</v>
      </c>
      <c r="F2349" s="3">
        <v>23734.5</v>
      </c>
      <c r="G2349" s="3">
        <v>23734.5</v>
      </c>
      <c r="H2349" t="s">
        <v>3</v>
      </c>
      <c r="I2349" t="s">
        <v>3</v>
      </c>
      <c r="J2349" t="s">
        <v>298</v>
      </c>
      <c r="K2349" t="s">
        <v>13</v>
      </c>
      <c r="L2349" t="s">
        <v>14</v>
      </c>
      <c r="M2349" t="s">
        <v>114</v>
      </c>
      <c r="N2349" s="2">
        <v>46023</v>
      </c>
    </row>
    <row r="2350" spans="1:14" x14ac:dyDescent="0.25">
      <c r="A2350" s="4" t="s">
        <v>234</v>
      </c>
      <c r="B2350" s="5"/>
      <c r="C2350" s="4" t="s">
        <v>9</v>
      </c>
      <c r="D2350" s="4" t="s">
        <v>9</v>
      </c>
      <c r="E2350" s="4" t="s">
        <v>9</v>
      </c>
      <c r="F2350" s="6">
        <v>0</v>
      </c>
      <c r="G2350" s="6">
        <v>0</v>
      </c>
      <c r="H2350" s="4" t="s">
        <v>9</v>
      </c>
      <c r="I2350" s="4" t="s">
        <v>3</v>
      </c>
      <c r="J2350" s="4" t="s">
        <v>9</v>
      </c>
      <c r="K2350" s="4" t="s">
        <v>9</v>
      </c>
      <c r="L2350" s="4" t="s">
        <v>9</v>
      </c>
      <c r="M2350" s="4" t="s">
        <v>9</v>
      </c>
      <c r="N2350" s="5"/>
    </row>
    <row r="2351" spans="1:14" x14ac:dyDescent="0.25">
      <c r="A2351" t="s">
        <v>469</v>
      </c>
      <c r="B2351" s="2">
        <v>45749</v>
      </c>
      <c r="C2351" t="s">
        <v>469</v>
      </c>
      <c r="D2351" t="s">
        <v>112</v>
      </c>
      <c r="E2351" t="s">
        <v>9</v>
      </c>
      <c r="F2351" s="3">
        <v>-1400</v>
      </c>
      <c r="G2351" s="3">
        <v>-1400</v>
      </c>
      <c r="H2351" t="s">
        <v>3</v>
      </c>
      <c r="I2351" t="s">
        <v>3</v>
      </c>
      <c r="J2351" t="s">
        <v>9</v>
      </c>
      <c r="K2351" t="s">
        <v>9</v>
      </c>
      <c r="L2351" t="s">
        <v>16</v>
      </c>
      <c r="M2351" t="s">
        <v>114</v>
      </c>
      <c r="N2351" s="2">
        <v>45747</v>
      </c>
    </row>
    <row r="2352" spans="1:14" x14ac:dyDescent="0.25">
      <c r="A2352" t="s">
        <v>469</v>
      </c>
      <c r="B2352" s="2">
        <v>46115</v>
      </c>
      <c r="C2352" t="s">
        <v>469</v>
      </c>
      <c r="D2352" t="s">
        <v>112</v>
      </c>
      <c r="E2352" t="s">
        <v>9</v>
      </c>
      <c r="F2352" s="3">
        <v>-3344</v>
      </c>
      <c r="G2352" s="3">
        <v>-3344</v>
      </c>
      <c r="H2352" t="s">
        <v>3</v>
      </c>
      <c r="I2352" t="s">
        <v>3</v>
      </c>
      <c r="J2352" t="s">
        <v>9</v>
      </c>
      <c r="K2352" t="s">
        <v>9</v>
      </c>
      <c r="L2352" t="s">
        <v>16</v>
      </c>
      <c r="M2352" t="s">
        <v>114</v>
      </c>
      <c r="N2352" s="2">
        <v>46112</v>
      </c>
    </row>
    <row r="2353" spans="1:14" x14ac:dyDescent="0.25">
      <c r="A2353" t="s">
        <v>469</v>
      </c>
      <c r="B2353" s="2">
        <v>45747</v>
      </c>
      <c r="C2353" t="s">
        <v>469</v>
      </c>
      <c r="D2353" t="s">
        <v>112</v>
      </c>
      <c r="E2353" t="s">
        <v>9</v>
      </c>
      <c r="F2353" s="3">
        <v>1400</v>
      </c>
      <c r="G2353" s="3">
        <v>1400</v>
      </c>
      <c r="H2353" t="s">
        <v>3</v>
      </c>
      <c r="I2353" t="s">
        <v>3</v>
      </c>
      <c r="J2353" t="s">
        <v>305</v>
      </c>
      <c r="K2353" t="s">
        <v>5</v>
      </c>
      <c r="L2353" t="s">
        <v>16</v>
      </c>
      <c r="M2353" t="s">
        <v>114</v>
      </c>
      <c r="N2353" s="2">
        <v>45747</v>
      </c>
    </row>
    <row r="2354" spans="1:14" x14ac:dyDescent="0.25">
      <c r="A2354" t="s">
        <v>469</v>
      </c>
      <c r="B2354" s="2">
        <v>46112</v>
      </c>
      <c r="C2354" t="s">
        <v>469</v>
      </c>
      <c r="D2354" t="s">
        <v>112</v>
      </c>
      <c r="E2354" t="s">
        <v>9</v>
      </c>
      <c r="F2354" s="3">
        <v>3344</v>
      </c>
      <c r="G2354" s="3">
        <v>3344</v>
      </c>
      <c r="H2354" t="s">
        <v>3</v>
      </c>
      <c r="I2354" t="s">
        <v>3</v>
      </c>
      <c r="J2354" t="s">
        <v>307</v>
      </c>
      <c r="K2354" t="s">
        <v>13</v>
      </c>
      <c r="L2354" t="s">
        <v>16</v>
      </c>
      <c r="M2354" t="s">
        <v>114</v>
      </c>
      <c r="N2354" s="2">
        <v>46112</v>
      </c>
    </row>
    <row r="2355" spans="1:14" x14ac:dyDescent="0.25">
      <c r="A2355" s="4" t="s">
        <v>244</v>
      </c>
      <c r="B2355" s="5"/>
      <c r="C2355" s="4" t="s">
        <v>9</v>
      </c>
      <c r="D2355" s="4" t="s">
        <v>9</v>
      </c>
      <c r="E2355" s="4" t="s">
        <v>9</v>
      </c>
      <c r="F2355" s="6">
        <v>0</v>
      </c>
      <c r="G2355" s="6">
        <v>0</v>
      </c>
      <c r="H2355" s="4" t="s">
        <v>9</v>
      </c>
      <c r="I2355" s="4" t="s">
        <v>3</v>
      </c>
      <c r="J2355" s="4" t="s">
        <v>9</v>
      </c>
      <c r="K2355" s="4" t="s">
        <v>9</v>
      </c>
      <c r="L2355" s="4" t="s">
        <v>9</v>
      </c>
      <c r="M2355" s="4" t="s">
        <v>9</v>
      </c>
      <c r="N2355" s="5"/>
    </row>
    <row r="2356" spans="1:14" x14ac:dyDescent="0.25">
      <c r="A2356" t="s">
        <v>469</v>
      </c>
      <c r="B2356" s="2">
        <v>45782</v>
      </c>
      <c r="C2356" t="s">
        <v>469</v>
      </c>
      <c r="D2356" t="s">
        <v>112</v>
      </c>
      <c r="E2356" t="s">
        <v>9</v>
      </c>
      <c r="F2356" s="3">
        <v>-8416.5</v>
      </c>
      <c r="G2356" s="3">
        <v>-8416.5</v>
      </c>
      <c r="H2356" t="s">
        <v>3</v>
      </c>
      <c r="I2356" t="s">
        <v>3</v>
      </c>
      <c r="J2356" t="s">
        <v>9</v>
      </c>
      <c r="K2356" t="s">
        <v>9</v>
      </c>
      <c r="L2356" t="s">
        <v>17</v>
      </c>
      <c r="M2356" t="s">
        <v>114</v>
      </c>
      <c r="N2356" s="2">
        <v>45777</v>
      </c>
    </row>
    <row r="2357" spans="1:14" x14ac:dyDescent="0.25">
      <c r="A2357" t="s">
        <v>469</v>
      </c>
      <c r="B2357" s="2">
        <v>45747</v>
      </c>
      <c r="C2357" t="s">
        <v>469</v>
      </c>
      <c r="D2357" t="s">
        <v>112</v>
      </c>
      <c r="E2357" t="s">
        <v>9</v>
      </c>
      <c r="F2357" s="3">
        <v>-1400</v>
      </c>
      <c r="G2357" s="3">
        <v>-1400</v>
      </c>
      <c r="H2357" t="s">
        <v>3</v>
      </c>
      <c r="I2357" t="s">
        <v>3</v>
      </c>
      <c r="J2357" t="s">
        <v>305</v>
      </c>
      <c r="K2357" t="s">
        <v>5</v>
      </c>
      <c r="L2357" t="s">
        <v>17</v>
      </c>
      <c r="M2357" t="s">
        <v>114</v>
      </c>
      <c r="N2357" s="2">
        <v>45748</v>
      </c>
    </row>
    <row r="2358" spans="1:14" x14ac:dyDescent="0.25">
      <c r="A2358" t="s">
        <v>469</v>
      </c>
      <c r="B2358" s="2">
        <v>45777</v>
      </c>
      <c r="C2358" t="s">
        <v>469</v>
      </c>
      <c r="D2358" t="s">
        <v>112</v>
      </c>
      <c r="E2358" t="s">
        <v>9</v>
      </c>
      <c r="F2358" s="3">
        <v>9816.5</v>
      </c>
      <c r="G2358" s="3">
        <v>9816.5</v>
      </c>
      <c r="H2358" t="s">
        <v>3</v>
      </c>
      <c r="I2358" t="s">
        <v>3</v>
      </c>
      <c r="J2358" t="s">
        <v>308</v>
      </c>
      <c r="K2358" t="s">
        <v>5</v>
      </c>
      <c r="L2358" t="s">
        <v>17</v>
      </c>
      <c r="M2358" t="s">
        <v>114</v>
      </c>
      <c r="N2358" s="2">
        <v>45777</v>
      </c>
    </row>
    <row r="2359" spans="1:14" x14ac:dyDescent="0.25">
      <c r="A2359" t="s">
        <v>469</v>
      </c>
      <c r="B2359" s="2">
        <v>46112</v>
      </c>
      <c r="C2359" t="s">
        <v>469</v>
      </c>
      <c r="D2359" t="s">
        <v>112</v>
      </c>
      <c r="E2359" t="s">
        <v>9</v>
      </c>
      <c r="F2359" s="3">
        <v>-3344</v>
      </c>
      <c r="G2359" s="3">
        <v>-3344</v>
      </c>
      <c r="H2359" t="s">
        <v>3</v>
      </c>
      <c r="I2359" t="s">
        <v>3</v>
      </c>
      <c r="J2359" t="s">
        <v>307</v>
      </c>
      <c r="K2359" t="s">
        <v>13</v>
      </c>
      <c r="L2359" t="s">
        <v>17</v>
      </c>
      <c r="M2359" t="s">
        <v>114</v>
      </c>
      <c r="N2359" s="2">
        <v>46113</v>
      </c>
    </row>
    <row r="2360" spans="1:14" x14ac:dyDescent="0.25">
      <c r="A2360" t="s">
        <v>469</v>
      </c>
      <c r="B2360" s="2">
        <v>46142</v>
      </c>
      <c r="C2360" t="s">
        <v>469</v>
      </c>
      <c r="D2360" t="s">
        <v>112</v>
      </c>
      <c r="E2360" t="s">
        <v>9</v>
      </c>
      <c r="F2360" s="3">
        <v>3344</v>
      </c>
      <c r="G2360" s="3">
        <v>3344</v>
      </c>
      <c r="H2360" t="s">
        <v>3</v>
      </c>
      <c r="I2360" t="s">
        <v>3</v>
      </c>
      <c r="J2360" t="s">
        <v>310</v>
      </c>
      <c r="K2360" t="s">
        <v>13</v>
      </c>
      <c r="L2360" t="s">
        <v>17</v>
      </c>
      <c r="M2360" t="s">
        <v>114</v>
      </c>
      <c r="N2360" s="2">
        <v>46142</v>
      </c>
    </row>
    <row r="2361" spans="1:14" x14ac:dyDescent="0.25">
      <c r="A2361" s="4" t="s">
        <v>249</v>
      </c>
      <c r="B2361" s="5"/>
      <c r="C2361" s="4" t="s">
        <v>9</v>
      </c>
      <c r="D2361" s="4" t="s">
        <v>9</v>
      </c>
      <c r="E2361" s="4" t="s">
        <v>9</v>
      </c>
      <c r="F2361" s="6">
        <v>0</v>
      </c>
      <c r="G2361" s="6">
        <v>0</v>
      </c>
      <c r="H2361" s="4" t="s">
        <v>9</v>
      </c>
      <c r="I2361" s="4" t="s">
        <v>3</v>
      </c>
      <c r="J2361" s="4" t="s">
        <v>9</v>
      </c>
      <c r="K2361" s="4" t="s">
        <v>9</v>
      </c>
      <c r="L2361" s="4" t="s">
        <v>9</v>
      </c>
      <c r="M2361" s="4" t="s">
        <v>9</v>
      </c>
      <c r="N2361" s="5"/>
    </row>
    <row r="2362" spans="1:14" x14ac:dyDescent="0.25">
      <c r="A2362" t="s">
        <v>469</v>
      </c>
      <c r="B2362" s="2">
        <v>45810</v>
      </c>
      <c r="C2362" t="s">
        <v>469</v>
      </c>
      <c r="D2362" t="s">
        <v>112</v>
      </c>
      <c r="E2362" t="s">
        <v>9</v>
      </c>
      <c r="F2362" s="3">
        <v>-7173</v>
      </c>
      <c r="G2362" s="3">
        <v>-7173</v>
      </c>
      <c r="H2362" t="s">
        <v>3</v>
      </c>
      <c r="I2362" t="s">
        <v>3</v>
      </c>
      <c r="J2362" t="s">
        <v>9</v>
      </c>
      <c r="K2362" t="s">
        <v>9</v>
      </c>
      <c r="L2362" t="s">
        <v>18</v>
      </c>
      <c r="M2362" t="s">
        <v>114</v>
      </c>
      <c r="N2362" s="2">
        <v>45808</v>
      </c>
    </row>
    <row r="2363" spans="1:14" x14ac:dyDescent="0.25">
      <c r="A2363" t="s">
        <v>469</v>
      </c>
      <c r="B2363" s="2">
        <v>46175</v>
      </c>
      <c r="C2363" t="s">
        <v>469</v>
      </c>
      <c r="D2363" t="s">
        <v>112</v>
      </c>
      <c r="E2363" t="s">
        <v>9</v>
      </c>
      <c r="F2363" s="3">
        <v>-1012</v>
      </c>
      <c r="G2363" s="3">
        <v>-1012</v>
      </c>
      <c r="H2363" t="s">
        <v>3</v>
      </c>
      <c r="I2363" t="s">
        <v>3</v>
      </c>
      <c r="J2363" t="s">
        <v>9</v>
      </c>
      <c r="K2363" t="s">
        <v>9</v>
      </c>
      <c r="L2363" t="s">
        <v>18</v>
      </c>
      <c r="M2363" t="s">
        <v>114</v>
      </c>
      <c r="N2363" s="2">
        <v>46173</v>
      </c>
    </row>
    <row r="2364" spans="1:14" x14ac:dyDescent="0.25">
      <c r="A2364" t="s">
        <v>469</v>
      </c>
      <c r="B2364" s="2">
        <v>45777</v>
      </c>
      <c r="C2364" t="s">
        <v>469</v>
      </c>
      <c r="D2364" t="s">
        <v>112</v>
      </c>
      <c r="E2364" t="s">
        <v>9</v>
      </c>
      <c r="F2364" s="3">
        <v>-9816.5</v>
      </c>
      <c r="G2364" s="3">
        <v>-9816.5</v>
      </c>
      <c r="H2364" t="s">
        <v>3</v>
      </c>
      <c r="I2364" t="s">
        <v>3</v>
      </c>
      <c r="J2364" t="s">
        <v>308</v>
      </c>
      <c r="K2364" t="s">
        <v>5</v>
      </c>
      <c r="L2364" t="s">
        <v>18</v>
      </c>
      <c r="M2364" t="s">
        <v>114</v>
      </c>
      <c r="N2364" s="2">
        <v>45778</v>
      </c>
    </row>
    <row r="2365" spans="1:14" x14ac:dyDescent="0.25">
      <c r="A2365" t="s">
        <v>469</v>
      </c>
      <c r="B2365" s="2">
        <v>45808</v>
      </c>
      <c r="C2365" t="s">
        <v>469</v>
      </c>
      <c r="D2365" t="s">
        <v>112</v>
      </c>
      <c r="E2365" t="s">
        <v>9</v>
      </c>
      <c r="F2365" s="3">
        <v>16989.5</v>
      </c>
      <c r="G2365" s="3">
        <v>16989.5</v>
      </c>
      <c r="H2365" t="s">
        <v>3</v>
      </c>
      <c r="I2365" t="s">
        <v>3</v>
      </c>
      <c r="J2365" t="s">
        <v>311</v>
      </c>
      <c r="K2365" t="s">
        <v>5</v>
      </c>
      <c r="L2365" t="s">
        <v>18</v>
      </c>
      <c r="M2365" t="s">
        <v>114</v>
      </c>
      <c r="N2365" s="2">
        <v>45808</v>
      </c>
    </row>
    <row r="2366" spans="1:14" x14ac:dyDescent="0.25">
      <c r="A2366" t="s">
        <v>469</v>
      </c>
      <c r="B2366" s="2">
        <v>46142</v>
      </c>
      <c r="C2366" t="s">
        <v>469</v>
      </c>
      <c r="D2366" t="s">
        <v>112</v>
      </c>
      <c r="E2366" t="s">
        <v>9</v>
      </c>
      <c r="F2366" s="3">
        <v>-3344</v>
      </c>
      <c r="G2366" s="3">
        <v>-3344</v>
      </c>
      <c r="H2366" t="s">
        <v>3</v>
      </c>
      <c r="I2366" t="s">
        <v>3</v>
      </c>
      <c r="J2366" t="s">
        <v>310</v>
      </c>
      <c r="K2366" t="s">
        <v>13</v>
      </c>
      <c r="L2366" t="s">
        <v>18</v>
      </c>
      <c r="M2366" t="s">
        <v>114</v>
      </c>
      <c r="N2366" s="2">
        <v>46143</v>
      </c>
    </row>
    <row r="2367" spans="1:14" x14ac:dyDescent="0.25">
      <c r="A2367" t="s">
        <v>469</v>
      </c>
      <c r="B2367" s="2">
        <v>46173</v>
      </c>
      <c r="C2367" t="s">
        <v>469</v>
      </c>
      <c r="D2367" t="s">
        <v>112</v>
      </c>
      <c r="E2367" t="s">
        <v>9</v>
      </c>
      <c r="F2367" s="3">
        <v>4356</v>
      </c>
      <c r="G2367" s="3">
        <v>4356</v>
      </c>
      <c r="H2367" t="s">
        <v>3</v>
      </c>
      <c r="I2367" t="s">
        <v>3</v>
      </c>
      <c r="J2367" t="s">
        <v>313</v>
      </c>
      <c r="K2367" t="s">
        <v>13</v>
      </c>
      <c r="L2367" t="s">
        <v>18</v>
      </c>
      <c r="M2367" t="s">
        <v>114</v>
      </c>
      <c r="N2367" s="2">
        <v>46173</v>
      </c>
    </row>
    <row r="2368" spans="1:14" x14ac:dyDescent="0.25">
      <c r="A2368" s="4" t="s">
        <v>223</v>
      </c>
      <c r="B2368" s="5"/>
      <c r="C2368" s="4" t="s">
        <v>9</v>
      </c>
      <c r="D2368" s="4" t="s">
        <v>9</v>
      </c>
      <c r="E2368" s="4" t="s">
        <v>9</v>
      </c>
      <c r="F2368" s="6">
        <v>0</v>
      </c>
      <c r="G2368" s="6">
        <v>0</v>
      </c>
      <c r="H2368" s="4" t="s">
        <v>9</v>
      </c>
      <c r="I2368" s="4" t="s">
        <v>3</v>
      </c>
      <c r="J2368" s="4" t="s">
        <v>9</v>
      </c>
      <c r="K2368" s="4" t="s">
        <v>9</v>
      </c>
      <c r="L2368" s="4" t="s">
        <v>9</v>
      </c>
      <c r="M2368" s="4" t="s">
        <v>9</v>
      </c>
      <c r="N2368" s="5"/>
    </row>
    <row r="2369" spans="1:14" x14ac:dyDescent="0.25">
      <c r="A2369" t="s">
        <v>469</v>
      </c>
      <c r="B2369" s="2">
        <v>45839</v>
      </c>
      <c r="C2369" t="s">
        <v>469</v>
      </c>
      <c r="D2369" t="s">
        <v>112</v>
      </c>
      <c r="E2369" t="s">
        <v>9</v>
      </c>
      <c r="F2369" s="3">
        <v>-3477</v>
      </c>
      <c r="G2369" s="3">
        <v>-3477</v>
      </c>
      <c r="H2369" t="s">
        <v>3</v>
      </c>
      <c r="I2369" t="s">
        <v>3</v>
      </c>
      <c r="J2369" t="s">
        <v>9</v>
      </c>
      <c r="K2369" t="s">
        <v>9</v>
      </c>
      <c r="L2369" t="s">
        <v>19</v>
      </c>
      <c r="M2369" t="s">
        <v>114</v>
      </c>
      <c r="N2369" s="2">
        <v>45838</v>
      </c>
    </row>
    <row r="2370" spans="1:14" x14ac:dyDescent="0.25">
      <c r="A2370" t="s">
        <v>469</v>
      </c>
      <c r="B2370" s="2">
        <v>45808</v>
      </c>
      <c r="C2370" t="s">
        <v>469</v>
      </c>
      <c r="D2370" t="s">
        <v>112</v>
      </c>
      <c r="E2370" t="s">
        <v>9</v>
      </c>
      <c r="F2370" s="3">
        <v>-16989.5</v>
      </c>
      <c r="G2370" s="3">
        <v>-16989.5</v>
      </c>
      <c r="H2370" t="s">
        <v>3</v>
      </c>
      <c r="I2370" t="s">
        <v>3</v>
      </c>
      <c r="J2370" t="s">
        <v>311</v>
      </c>
      <c r="K2370" t="s">
        <v>5</v>
      </c>
      <c r="L2370" t="s">
        <v>19</v>
      </c>
      <c r="M2370" t="s">
        <v>114</v>
      </c>
      <c r="N2370" s="2">
        <v>45809</v>
      </c>
    </row>
    <row r="2371" spans="1:14" x14ac:dyDescent="0.25">
      <c r="A2371" t="s">
        <v>469</v>
      </c>
      <c r="B2371" s="2">
        <v>45838</v>
      </c>
      <c r="C2371" t="s">
        <v>469</v>
      </c>
      <c r="D2371" t="s">
        <v>112</v>
      </c>
      <c r="E2371" t="s">
        <v>9</v>
      </c>
      <c r="F2371" s="3">
        <v>20466.5</v>
      </c>
      <c r="G2371" s="3">
        <v>20466.5</v>
      </c>
      <c r="H2371" t="s">
        <v>3</v>
      </c>
      <c r="I2371" t="s">
        <v>3</v>
      </c>
      <c r="J2371" t="s">
        <v>314</v>
      </c>
      <c r="K2371" t="s">
        <v>5</v>
      </c>
      <c r="L2371" t="s">
        <v>19</v>
      </c>
      <c r="M2371" t="s">
        <v>114</v>
      </c>
      <c r="N2371" s="2">
        <v>45838</v>
      </c>
    </row>
    <row r="2372" spans="1:14" x14ac:dyDescent="0.25">
      <c r="A2372" t="s">
        <v>469</v>
      </c>
      <c r="B2372" s="2">
        <v>46173</v>
      </c>
      <c r="C2372" t="s">
        <v>469</v>
      </c>
      <c r="D2372" t="s">
        <v>112</v>
      </c>
      <c r="E2372" t="s">
        <v>9</v>
      </c>
      <c r="F2372" s="3">
        <v>-4356</v>
      </c>
      <c r="G2372" s="3">
        <v>-4356</v>
      </c>
      <c r="H2372" t="s">
        <v>3</v>
      </c>
      <c r="I2372" t="s">
        <v>3</v>
      </c>
      <c r="J2372" t="s">
        <v>313</v>
      </c>
      <c r="K2372" t="s">
        <v>13</v>
      </c>
      <c r="L2372" t="s">
        <v>19</v>
      </c>
      <c r="M2372" t="s">
        <v>114</v>
      </c>
      <c r="N2372" s="2">
        <v>46174</v>
      </c>
    </row>
    <row r="2373" spans="1:14" x14ac:dyDescent="0.25">
      <c r="A2373" t="s">
        <v>469</v>
      </c>
      <c r="B2373" s="2">
        <v>46203</v>
      </c>
      <c r="C2373" t="s">
        <v>469</v>
      </c>
      <c r="D2373" t="s">
        <v>112</v>
      </c>
      <c r="E2373" t="s">
        <v>9</v>
      </c>
      <c r="F2373" s="3">
        <v>4356</v>
      </c>
      <c r="G2373" s="3">
        <v>4356</v>
      </c>
      <c r="H2373" t="s">
        <v>3</v>
      </c>
      <c r="I2373" t="s">
        <v>3</v>
      </c>
      <c r="J2373" t="s">
        <v>316</v>
      </c>
      <c r="K2373" t="s">
        <v>13</v>
      </c>
      <c r="L2373" t="s">
        <v>19</v>
      </c>
      <c r="M2373" t="s">
        <v>114</v>
      </c>
      <c r="N2373" s="2">
        <v>46203</v>
      </c>
    </row>
    <row r="2374" spans="1:14" x14ac:dyDescent="0.25">
      <c r="A2374" s="4" t="s">
        <v>224</v>
      </c>
      <c r="B2374" s="5"/>
      <c r="C2374" s="4" t="s">
        <v>9</v>
      </c>
      <c r="D2374" s="4" t="s">
        <v>9</v>
      </c>
      <c r="E2374" s="4" t="s">
        <v>9</v>
      </c>
      <c r="F2374" s="6">
        <v>0</v>
      </c>
      <c r="G2374" s="6">
        <v>0</v>
      </c>
      <c r="H2374" s="4" t="s">
        <v>9</v>
      </c>
      <c r="I2374" s="4" t="s">
        <v>3</v>
      </c>
      <c r="J2374" s="4" t="s">
        <v>9</v>
      </c>
      <c r="K2374" s="4" t="s">
        <v>9</v>
      </c>
      <c r="L2374" s="4" t="s">
        <v>9</v>
      </c>
      <c r="M2374" s="4" t="s">
        <v>9</v>
      </c>
      <c r="N2374" s="5"/>
    </row>
    <row r="2375" spans="1:14" x14ac:dyDescent="0.25">
      <c r="A2375" t="s">
        <v>469</v>
      </c>
      <c r="B2375" s="2">
        <v>45870</v>
      </c>
      <c r="C2375" t="s">
        <v>469</v>
      </c>
      <c r="D2375" t="s">
        <v>112</v>
      </c>
      <c r="E2375" t="s">
        <v>9</v>
      </c>
      <c r="F2375" s="3">
        <v>-3268</v>
      </c>
      <c r="G2375" s="3">
        <v>-3268</v>
      </c>
      <c r="H2375" t="s">
        <v>3</v>
      </c>
      <c r="I2375" t="s">
        <v>3</v>
      </c>
      <c r="J2375" t="s">
        <v>9</v>
      </c>
      <c r="K2375" t="s">
        <v>9</v>
      </c>
      <c r="L2375" t="s">
        <v>21</v>
      </c>
      <c r="M2375" t="s">
        <v>114</v>
      </c>
      <c r="N2375" s="2">
        <v>45869</v>
      </c>
    </row>
    <row r="2376" spans="1:14" x14ac:dyDescent="0.25">
      <c r="A2376" t="s">
        <v>469</v>
      </c>
      <c r="B2376" s="2">
        <v>46239</v>
      </c>
      <c r="C2376" t="s">
        <v>469</v>
      </c>
      <c r="D2376" t="s">
        <v>112</v>
      </c>
      <c r="E2376" t="s">
        <v>9</v>
      </c>
      <c r="F2376" s="3">
        <v>4356</v>
      </c>
      <c r="G2376" s="3">
        <v>4356</v>
      </c>
      <c r="H2376" t="s">
        <v>3</v>
      </c>
      <c r="I2376" t="s">
        <v>3</v>
      </c>
      <c r="J2376" t="s">
        <v>9</v>
      </c>
      <c r="K2376" t="s">
        <v>9</v>
      </c>
      <c r="L2376" t="s">
        <v>21</v>
      </c>
      <c r="M2376" t="s">
        <v>114</v>
      </c>
      <c r="N2376" s="2">
        <v>46234</v>
      </c>
    </row>
    <row r="2377" spans="1:14" x14ac:dyDescent="0.25">
      <c r="A2377" t="s">
        <v>469</v>
      </c>
      <c r="B2377" s="2">
        <v>46239</v>
      </c>
      <c r="C2377" t="s">
        <v>469</v>
      </c>
      <c r="D2377" t="s">
        <v>112</v>
      </c>
      <c r="E2377" t="s">
        <v>9</v>
      </c>
      <c r="F2377" s="3">
        <v>-4356</v>
      </c>
      <c r="G2377" s="3">
        <v>-4356</v>
      </c>
      <c r="H2377" t="s">
        <v>3</v>
      </c>
      <c r="I2377" t="s">
        <v>3</v>
      </c>
      <c r="J2377" t="s">
        <v>9</v>
      </c>
      <c r="K2377" t="s">
        <v>9</v>
      </c>
      <c r="L2377" t="s">
        <v>21</v>
      </c>
      <c r="M2377" t="s">
        <v>114</v>
      </c>
      <c r="N2377" s="2">
        <v>46234</v>
      </c>
    </row>
    <row r="2378" spans="1:14" x14ac:dyDescent="0.25">
      <c r="A2378" t="s">
        <v>469</v>
      </c>
      <c r="B2378" s="2">
        <v>45838</v>
      </c>
      <c r="C2378" t="s">
        <v>469</v>
      </c>
      <c r="D2378" t="s">
        <v>112</v>
      </c>
      <c r="E2378" t="s">
        <v>9</v>
      </c>
      <c r="F2378" s="3">
        <v>-20466.5</v>
      </c>
      <c r="G2378" s="3">
        <v>-20466.5</v>
      </c>
      <c r="H2378" t="s">
        <v>3</v>
      </c>
      <c r="I2378" t="s">
        <v>3</v>
      </c>
      <c r="J2378" t="s">
        <v>314</v>
      </c>
      <c r="K2378" t="s">
        <v>5</v>
      </c>
      <c r="L2378" t="s">
        <v>21</v>
      </c>
      <c r="M2378" t="s">
        <v>114</v>
      </c>
      <c r="N2378" s="2">
        <v>45839</v>
      </c>
    </row>
    <row r="2379" spans="1:14" x14ac:dyDescent="0.25">
      <c r="A2379" t="s">
        <v>469</v>
      </c>
      <c r="B2379" s="2">
        <v>45869</v>
      </c>
      <c r="C2379" t="s">
        <v>469</v>
      </c>
      <c r="D2379" t="s">
        <v>112</v>
      </c>
      <c r="E2379" t="s">
        <v>9</v>
      </c>
      <c r="F2379" s="3">
        <v>23734.5</v>
      </c>
      <c r="G2379" s="3">
        <v>23734.5</v>
      </c>
      <c r="H2379" t="s">
        <v>3</v>
      </c>
      <c r="I2379" t="s">
        <v>3</v>
      </c>
      <c r="J2379" t="s">
        <v>317</v>
      </c>
      <c r="K2379" t="s">
        <v>5</v>
      </c>
      <c r="L2379" t="s">
        <v>21</v>
      </c>
      <c r="M2379" t="s">
        <v>114</v>
      </c>
      <c r="N2379" s="2">
        <v>45869</v>
      </c>
    </row>
    <row r="2380" spans="1:14" x14ac:dyDescent="0.25">
      <c r="A2380" t="s">
        <v>469</v>
      </c>
      <c r="B2380" s="2">
        <v>46203</v>
      </c>
      <c r="C2380" t="s">
        <v>469</v>
      </c>
      <c r="D2380" t="s">
        <v>112</v>
      </c>
      <c r="E2380" t="s">
        <v>9</v>
      </c>
      <c r="F2380" s="3">
        <v>-4356</v>
      </c>
      <c r="G2380" s="3">
        <v>-4356</v>
      </c>
      <c r="H2380" t="s">
        <v>3</v>
      </c>
      <c r="I2380" t="s">
        <v>3</v>
      </c>
      <c r="J2380" t="s">
        <v>316</v>
      </c>
      <c r="K2380" t="s">
        <v>13</v>
      </c>
      <c r="L2380" t="s">
        <v>21</v>
      </c>
      <c r="M2380" t="s">
        <v>114</v>
      </c>
      <c r="N2380" s="2">
        <v>46204</v>
      </c>
    </row>
    <row r="2381" spans="1:14" x14ac:dyDescent="0.25">
      <c r="A2381" t="s">
        <v>469</v>
      </c>
      <c r="B2381" s="2">
        <v>46234</v>
      </c>
      <c r="C2381" t="s">
        <v>469</v>
      </c>
      <c r="D2381" t="s">
        <v>112</v>
      </c>
      <c r="E2381" t="s">
        <v>9</v>
      </c>
      <c r="F2381" s="3">
        <v>4356</v>
      </c>
      <c r="G2381" s="3">
        <v>4356</v>
      </c>
      <c r="H2381" t="s">
        <v>3</v>
      </c>
      <c r="I2381" t="s">
        <v>3</v>
      </c>
      <c r="J2381" t="s">
        <v>319</v>
      </c>
      <c r="K2381" t="s">
        <v>13</v>
      </c>
      <c r="L2381" t="s">
        <v>21</v>
      </c>
      <c r="M2381" t="s">
        <v>114</v>
      </c>
      <c r="N2381" s="2">
        <v>46234</v>
      </c>
    </row>
    <row r="2382" spans="1:14" x14ac:dyDescent="0.25">
      <c r="A2382" s="4" t="s">
        <v>262</v>
      </c>
      <c r="B2382" s="5"/>
      <c r="C2382" s="4" t="s">
        <v>9</v>
      </c>
      <c r="D2382" s="4" t="s">
        <v>9</v>
      </c>
      <c r="E2382" s="4" t="s">
        <v>9</v>
      </c>
      <c r="F2382" s="6">
        <v>0</v>
      </c>
      <c r="G2382" s="6">
        <v>0</v>
      </c>
      <c r="H2382" s="4" t="s">
        <v>9</v>
      </c>
      <c r="I2382" s="4" t="s">
        <v>3</v>
      </c>
      <c r="J2382" s="4" t="s">
        <v>9</v>
      </c>
      <c r="K2382" s="4" t="s">
        <v>9</v>
      </c>
      <c r="L2382" s="4" t="s">
        <v>9</v>
      </c>
      <c r="M2382" s="4" t="s">
        <v>9</v>
      </c>
      <c r="N2382" s="5"/>
    </row>
    <row r="2383" spans="1:14" x14ac:dyDescent="0.25">
      <c r="A2383" t="s">
        <v>469</v>
      </c>
      <c r="B2383" s="2">
        <v>45869</v>
      </c>
      <c r="C2383" t="s">
        <v>469</v>
      </c>
      <c r="D2383" t="s">
        <v>112</v>
      </c>
      <c r="E2383" t="s">
        <v>9</v>
      </c>
      <c r="F2383" s="3">
        <v>-23734.5</v>
      </c>
      <c r="G2383" s="3">
        <v>-23734.5</v>
      </c>
      <c r="H2383" t="s">
        <v>3</v>
      </c>
      <c r="I2383" t="s">
        <v>3</v>
      </c>
      <c r="J2383" t="s">
        <v>317</v>
      </c>
      <c r="K2383" t="s">
        <v>5</v>
      </c>
      <c r="L2383" t="s">
        <v>22</v>
      </c>
      <c r="M2383" t="s">
        <v>114</v>
      </c>
      <c r="N2383" s="2">
        <v>45870</v>
      </c>
    </row>
    <row r="2384" spans="1:14" x14ac:dyDescent="0.25">
      <c r="A2384" t="s">
        <v>469</v>
      </c>
      <c r="B2384" s="2">
        <v>45900</v>
      </c>
      <c r="C2384" t="s">
        <v>469</v>
      </c>
      <c r="D2384" t="s">
        <v>112</v>
      </c>
      <c r="E2384" t="s">
        <v>9</v>
      </c>
      <c r="F2384" s="3">
        <v>23734.5</v>
      </c>
      <c r="G2384" s="3">
        <v>23734.5</v>
      </c>
      <c r="H2384" t="s">
        <v>3</v>
      </c>
      <c r="I2384" t="s">
        <v>3</v>
      </c>
      <c r="J2384" t="s">
        <v>320</v>
      </c>
      <c r="K2384" t="s">
        <v>5</v>
      </c>
      <c r="L2384" t="s">
        <v>22</v>
      </c>
      <c r="M2384" t="s">
        <v>114</v>
      </c>
      <c r="N2384" s="2">
        <v>45900</v>
      </c>
    </row>
    <row r="2385" spans="1:14" x14ac:dyDescent="0.25">
      <c r="A2385" t="s">
        <v>469</v>
      </c>
      <c r="B2385" s="2">
        <v>45900</v>
      </c>
      <c r="C2385" t="s">
        <v>469</v>
      </c>
      <c r="D2385" t="s">
        <v>112</v>
      </c>
      <c r="E2385" t="s">
        <v>9</v>
      </c>
      <c r="F2385" s="3">
        <v>-23734.5</v>
      </c>
      <c r="G2385" s="3">
        <v>-23734.5</v>
      </c>
      <c r="H2385" t="s">
        <v>3</v>
      </c>
      <c r="I2385" t="s">
        <v>3</v>
      </c>
      <c r="J2385" t="s">
        <v>320</v>
      </c>
      <c r="K2385" t="s">
        <v>5</v>
      </c>
      <c r="L2385" t="s">
        <v>22</v>
      </c>
      <c r="M2385" t="s">
        <v>114</v>
      </c>
      <c r="N2385" s="2">
        <v>45900</v>
      </c>
    </row>
    <row r="2386" spans="1:14" x14ac:dyDescent="0.25">
      <c r="A2386" t="s">
        <v>469</v>
      </c>
      <c r="B2386" s="2">
        <v>45900</v>
      </c>
      <c r="C2386" t="s">
        <v>469</v>
      </c>
      <c r="D2386" t="s">
        <v>112</v>
      </c>
      <c r="E2386" t="s">
        <v>9</v>
      </c>
      <c r="F2386" s="3">
        <v>23734.5</v>
      </c>
      <c r="G2386" s="3">
        <v>23734.5</v>
      </c>
      <c r="H2386" t="s">
        <v>3</v>
      </c>
      <c r="I2386" t="s">
        <v>3</v>
      </c>
      <c r="J2386" t="s">
        <v>320</v>
      </c>
      <c r="K2386" t="s">
        <v>5</v>
      </c>
      <c r="L2386" t="s">
        <v>22</v>
      </c>
      <c r="M2386" t="s">
        <v>114</v>
      </c>
      <c r="N2386" s="2">
        <v>45900</v>
      </c>
    </row>
    <row r="2387" spans="1:14" x14ac:dyDescent="0.25">
      <c r="A2387" t="s">
        <v>469</v>
      </c>
      <c r="B2387" s="2">
        <v>45900</v>
      </c>
      <c r="C2387" t="s">
        <v>469</v>
      </c>
      <c r="D2387" t="s">
        <v>112</v>
      </c>
      <c r="E2387" t="s">
        <v>9</v>
      </c>
      <c r="F2387" s="3">
        <v>23734.5</v>
      </c>
      <c r="G2387" s="3">
        <v>23734.5</v>
      </c>
      <c r="H2387" t="s">
        <v>3</v>
      </c>
      <c r="I2387" t="s">
        <v>3</v>
      </c>
      <c r="J2387" t="s">
        <v>320</v>
      </c>
      <c r="K2387" t="s">
        <v>5</v>
      </c>
      <c r="L2387" t="s">
        <v>22</v>
      </c>
      <c r="M2387" t="s">
        <v>114</v>
      </c>
      <c r="N2387" s="2">
        <v>45900</v>
      </c>
    </row>
    <row r="2388" spans="1:14" x14ac:dyDescent="0.25">
      <c r="A2388" t="s">
        <v>469</v>
      </c>
      <c r="B2388" s="2">
        <v>45900</v>
      </c>
      <c r="C2388" t="s">
        <v>469</v>
      </c>
      <c r="D2388" t="s">
        <v>112</v>
      </c>
      <c r="E2388" t="s">
        <v>9</v>
      </c>
      <c r="F2388" s="3">
        <v>-23734.5</v>
      </c>
      <c r="G2388" s="3">
        <v>-23734.5</v>
      </c>
      <c r="H2388" t="s">
        <v>3</v>
      </c>
      <c r="I2388" t="s">
        <v>3</v>
      </c>
      <c r="J2388" t="s">
        <v>320</v>
      </c>
      <c r="K2388" t="s">
        <v>5</v>
      </c>
      <c r="L2388" t="s">
        <v>22</v>
      </c>
      <c r="M2388" t="s">
        <v>114</v>
      </c>
      <c r="N2388" s="2">
        <v>45900</v>
      </c>
    </row>
    <row r="2389" spans="1:14" x14ac:dyDescent="0.25">
      <c r="A2389" t="s">
        <v>469</v>
      </c>
      <c r="B2389" s="2">
        <v>46234</v>
      </c>
      <c r="C2389" t="s">
        <v>469</v>
      </c>
      <c r="D2389" t="s">
        <v>112</v>
      </c>
      <c r="E2389" t="s">
        <v>9</v>
      </c>
      <c r="F2389" s="3">
        <v>-4356</v>
      </c>
      <c r="G2389" s="3">
        <v>-4356</v>
      </c>
      <c r="H2389" t="s">
        <v>3</v>
      </c>
      <c r="I2389" t="s">
        <v>3</v>
      </c>
      <c r="J2389" t="s">
        <v>319</v>
      </c>
      <c r="K2389" t="s">
        <v>13</v>
      </c>
      <c r="L2389" t="s">
        <v>22</v>
      </c>
      <c r="M2389" t="s">
        <v>114</v>
      </c>
      <c r="N2389" s="2">
        <v>46235</v>
      </c>
    </row>
    <row r="2390" spans="1:14" x14ac:dyDescent="0.25">
      <c r="A2390" t="s">
        <v>469</v>
      </c>
      <c r="B2390" s="2">
        <v>46265</v>
      </c>
      <c r="C2390" t="s">
        <v>469</v>
      </c>
      <c r="D2390" t="s">
        <v>112</v>
      </c>
      <c r="E2390" t="s">
        <v>9</v>
      </c>
      <c r="F2390" s="3">
        <v>4356</v>
      </c>
      <c r="G2390" s="3">
        <v>4356</v>
      </c>
      <c r="H2390" t="s">
        <v>3</v>
      </c>
      <c r="I2390" t="s">
        <v>3</v>
      </c>
      <c r="J2390" t="s">
        <v>322</v>
      </c>
      <c r="K2390" t="s">
        <v>13</v>
      </c>
      <c r="L2390" t="s">
        <v>22</v>
      </c>
      <c r="M2390" t="s">
        <v>114</v>
      </c>
      <c r="N2390" s="2">
        <v>46265</v>
      </c>
    </row>
    <row r="2391" spans="1:14" x14ac:dyDescent="0.25">
      <c r="A2391" s="4" t="s">
        <v>267</v>
      </c>
      <c r="B2391" s="5"/>
      <c r="C2391" s="4" t="s">
        <v>9</v>
      </c>
      <c r="D2391" s="4" t="s">
        <v>9</v>
      </c>
      <c r="E2391" s="4" t="s">
        <v>9</v>
      </c>
      <c r="F2391" s="6">
        <v>0</v>
      </c>
      <c r="G2391" s="6">
        <v>0</v>
      </c>
      <c r="H2391" s="4" t="s">
        <v>9</v>
      </c>
      <c r="I2391" s="4" t="s">
        <v>3</v>
      </c>
      <c r="J2391" s="4" t="s">
        <v>9</v>
      </c>
      <c r="K2391" s="4" t="s">
        <v>9</v>
      </c>
      <c r="L2391" s="4" t="s">
        <v>9</v>
      </c>
      <c r="M2391" s="4" t="s">
        <v>9</v>
      </c>
      <c r="N2391" s="5"/>
    </row>
    <row r="2392" spans="1:14" x14ac:dyDescent="0.25">
      <c r="A2392" t="s">
        <v>469</v>
      </c>
      <c r="B2392" s="2">
        <v>45900</v>
      </c>
      <c r="C2392" t="s">
        <v>469</v>
      </c>
      <c r="D2392" t="s">
        <v>112</v>
      </c>
      <c r="E2392" t="s">
        <v>9</v>
      </c>
      <c r="F2392" s="3">
        <v>-23734.5</v>
      </c>
      <c r="G2392" s="3">
        <v>-23734.5</v>
      </c>
      <c r="H2392" t="s">
        <v>3</v>
      </c>
      <c r="I2392" t="s">
        <v>3</v>
      </c>
      <c r="J2392" t="s">
        <v>320</v>
      </c>
      <c r="K2392" t="s">
        <v>5</v>
      </c>
      <c r="L2392" t="s">
        <v>6</v>
      </c>
      <c r="M2392" t="s">
        <v>114</v>
      </c>
      <c r="N2392" s="2">
        <v>45901</v>
      </c>
    </row>
    <row r="2393" spans="1:14" x14ac:dyDescent="0.25">
      <c r="A2393" t="s">
        <v>469</v>
      </c>
      <c r="B2393" s="2">
        <v>45900</v>
      </c>
      <c r="C2393" t="s">
        <v>469</v>
      </c>
      <c r="D2393" t="s">
        <v>112</v>
      </c>
      <c r="E2393" t="s">
        <v>9</v>
      </c>
      <c r="F2393" s="3">
        <v>23734.5</v>
      </c>
      <c r="G2393" s="3">
        <v>23734.5</v>
      </c>
      <c r="H2393" t="s">
        <v>3</v>
      </c>
      <c r="I2393" t="s">
        <v>3</v>
      </c>
      <c r="J2393" t="s">
        <v>320</v>
      </c>
      <c r="K2393" t="s">
        <v>5</v>
      </c>
      <c r="L2393" t="s">
        <v>6</v>
      </c>
      <c r="M2393" t="s">
        <v>114</v>
      </c>
      <c r="N2393" s="2">
        <v>45901</v>
      </c>
    </row>
    <row r="2394" spans="1:14" x14ac:dyDescent="0.25">
      <c r="A2394" t="s">
        <v>469</v>
      </c>
      <c r="B2394" s="2">
        <v>45900</v>
      </c>
      <c r="C2394" t="s">
        <v>469</v>
      </c>
      <c r="D2394" t="s">
        <v>112</v>
      </c>
      <c r="E2394" t="s">
        <v>9</v>
      </c>
      <c r="F2394" s="3">
        <v>-23734.5</v>
      </c>
      <c r="G2394" s="3">
        <v>-23734.5</v>
      </c>
      <c r="H2394" t="s">
        <v>3</v>
      </c>
      <c r="I2394" t="s">
        <v>3</v>
      </c>
      <c r="J2394" t="s">
        <v>320</v>
      </c>
      <c r="K2394" t="s">
        <v>5</v>
      </c>
      <c r="L2394" t="s">
        <v>6</v>
      </c>
      <c r="M2394" t="s">
        <v>114</v>
      </c>
      <c r="N2394" s="2">
        <v>45901</v>
      </c>
    </row>
    <row r="2395" spans="1:14" x14ac:dyDescent="0.25">
      <c r="A2395" t="s">
        <v>469</v>
      </c>
      <c r="B2395" s="2">
        <v>45900</v>
      </c>
      <c r="C2395" t="s">
        <v>469</v>
      </c>
      <c r="D2395" t="s">
        <v>112</v>
      </c>
      <c r="E2395" t="s">
        <v>9</v>
      </c>
      <c r="F2395" s="3">
        <v>23734.5</v>
      </c>
      <c r="G2395" s="3">
        <v>23734.5</v>
      </c>
      <c r="H2395" t="s">
        <v>3</v>
      </c>
      <c r="I2395" t="s">
        <v>3</v>
      </c>
      <c r="J2395" t="s">
        <v>320</v>
      </c>
      <c r="K2395" t="s">
        <v>5</v>
      </c>
      <c r="L2395" t="s">
        <v>6</v>
      </c>
      <c r="M2395" t="s">
        <v>114</v>
      </c>
      <c r="N2395" s="2">
        <v>45901</v>
      </c>
    </row>
    <row r="2396" spans="1:14" x14ac:dyDescent="0.25">
      <c r="A2396" t="s">
        <v>469</v>
      </c>
      <c r="B2396" s="2">
        <v>45900</v>
      </c>
      <c r="C2396" t="s">
        <v>469</v>
      </c>
      <c r="D2396" t="s">
        <v>112</v>
      </c>
      <c r="E2396" t="s">
        <v>9</v>
      </c>
      <c r="F2396" s="3">
        <v>-23734.5</v>
      </c>
      <c r="G2396" s="3">
        <v>-23734.5</v>
      </c>
      <c r="H2396" t="s">
        <v>3</v>
      </c>
      <c r="I2396" t="s">
        <v>3</v>
      </c>
      <c r="J2396" t="s">
        <v>320</v>
      </c>
      <c r="K2396" t="s">
        <v>5</v>
      </c>
      <c r="L2396" t="s">
        <v>6</v>
      </c>
      <c r="M2396" t="s">
        <v>114</v>
      </c>
      <c r="N2396" s="2">
        <v>45901</v>
      </c>
    </row>
    <row r="2397" spans="1:14" x14ac:dyDescent="0.25">
      <c r="A2397" t="s">
        <v>469</v>
      </c>
      <c r="B2397" s="2">
        <v>45930</v>
      </c>
      <c r="C2397" t="s">
        <v>469</v>
      </c>
      <c r="D2397" t="s">
        <v>112</v>
      </c>
      <c r="E2397" t="s">
        <v>9</v>
      </c>
      <c r="F2397" s="3">
        <v>23734.5</v>
      </c>
      <c r="G2397" s="3">
        <v>23734.5</v>
      </c>
      <c r="H2397" t="s">
        <v>3</v>
      </c>
      <c r="I2397" t="s">
        <v>3</v>
      </c>
      <c r="J2397" t="s">
        <v>323</v>
      </c>
      <c r="K2397" t="s">
        <v>5</v>
      </c>
      <c r="L2397" t="s">
        <v>6</v>
      </c>
      <c r="M2397" t="s">
        <v>114</v>
      </c>
      <c r="N2397" s="2">
        <v>45930</v>
      </c>
    </row>
    <row r="2398" spans="1:14" x14ac:dyDescent="0.25">
      <c r="A2398" s="4" t="s">
        <v>272</v>
      </c>
      <c r="B2398" s="5"/>
      <c r="C2398" s="4" t="s">
        <v>9</v>
      </c>
      <c r="D2398" s="4" t="s">
        <v>9</v>
      </c>
      <c r="E2398" s="4" t="s">
        <v>9</v>
      </c>
      <c r="F2398" s="6">
        <v>0</v>
      </c>
      <c r="G2398" s="6">
        <v>0</v>
      </c>
      <c r="H2398" s="4" t="s">
        <v>9</v>
      </c>
      <c r="I2398" s="4" t="s">
        <v>3</v>
      </c>
      <c r="J2398" s="4" t="s">
        <v>9</v>
      </c>
      <c r="K2398" s="4" t="s">
        <v>9</v>
      </c>
      <c r="L2398" s="4" t="s">
        <v>9</v>
      </c>
      <c r="M2398" s="4" t="s">
        <v>9</v>
      </c>
      <c r="N2398" s="5"/>
    </row>
    <row r="2399" spans="1:14" x14ac:dyDescent="0.25">
      <c r="A2399" t="s">
        <v>469</v>
      </c>
      <c r="B2399" s="2">
        <v>45930</v>
      </c>
      <c r="C2399" t="s">
        <v>469</v>
      </c>
      <c r="D2399" t="s">
        <v>112</v>
      </c>
      <c r="E2399" t="s">
        <v>9</v>
      </c>
      <c r="F2399" s="3">
        <v>-23734.5</v>
      </c>
      <c r="G2399" s="3">
        <v>-23734.5</v>
      </c>
      <c r="H2399" t="s">
        <v>3</v>
      </c>
      <c r="I2399" t="s">
        <v>3</v>
      </c>
      <c r="J2399" t="s">
        <v>323</v>
      </c>
      <c r="K2399" t="s">
        <v>5</v>
      </c>
      <c r="L2399" t="s">
        <v>8</v>
      </c>
      <c r="M2399" t="s">
        <v>114</v>
      </c>
      <c r="N2399" s="2">
        <v>45931</v>
      </c>
    </row>
    <row r="2400" spans="1:14" x14ac:dyDescent="0.25">
      <c r="A2400" t="s">
        <v>469</v>
      </c>
      <c r="B2400" s="2">
        <v>45961</v>
      </c>
      <c r="C2400" t="s">
        <v>469</v>
      </c>
      <c r="D2400" t="s">
        <v>112</v>
      </c>
      <c r="E2400" t="s">
        <v>9</v>
      </c>
      <c r="F2400" s="3">
        <v>23734.5</v>
      </c>
      <c r="G2400" s="3">
        <v>23734.5</v>
      </c>
      <c r="H2400" t="s">
        <v>3</v>
      </c>
      <c r="I2400" t="s">
        <v>3</v>
      </c>
      <c r="J2400" t="s">
        <v>325</v>
      </c>
      <c r="K2400" t="s">
        <v>5</v>
      </c>
      <c r="L2400" t="s">
        <v>8</v>
      </c>
      <c r="M2400" t="s">
        <v>114</v>
      </c>
      <c r="N2400" s="2">
        <v>45961</v>
      </c>
    </row>
    <row r="2401" spans="1:14" x14ac:dyDescent="0.25">
      <c r="A2401" s="4" t="s">
        <v>278</v>
      </c>
      <c r="B2401" s="5"/>
      <c r="C2401" s="4" t="s">
        <v>9</v>
      </c>
      <c r="D2401" s="4" t="s">
        <v>9</v>
      </c>
      <c r="E2401" s="4" t="s">
        <v>9</v>
      </c>
      <c r="F2401" s="6">
        <v>0</v>
      </c>
      <c r="G2401" s="6">
        <v>0</v>
      </c>
      <c r="H2401" s="4" t="s">
        <v>9</v>
      </c>
      <c r="I2401" s="4" t="s">
        <v>3</v>
      </c>
      <c r="J2401" s="4" t="s">
        <v>9</v>
      </c>
      <c r="K2401" s="4" t="s">
        <v>9</v>
      </c>
      <c r="L2401" s="4" t="s">
        <v>9</v>
      </c>
      <c r="M2401" s="4" t="s">
        <v>9</v>
      </c>
      <c r="N2401" s="5"/>
    </row>
    <row r="2402" spans="1:14" x14ac:dyDescent="0.25">
      <c r="A2402" t="s">
        <v>469</v>
      </c>
      <c r="B2402" s="2">
        <v>45961</v>
      </c>
      <c r="C2402" t="s">
        <v>469</v>
      </c>
      <c r="D2402" t="s">
        <v>112</v>
      </c>
      <c r="E2402" t="s">
        <v>9</v>
      </c>
      <c r="F2402" s="3">
        <v>-23734.5</v>
      </c>
      <c r="G2402" s="3">
        <v>-23734.5</v>
      </c>
      <c r="H2402" t="s">
        <v>3</v>
      </c>
      <c r="I2402" t="s">
        <v>3</v>
      </c>
      <c r="J2402" t="s">
        <v>325</v>
      </c>
      <c r="K2402" t="s">
        <v>5</v>
      </c>
      <c r="L2402" t="s">
        <v>11</v>
      </c>
      <c r="M2402" t="s">
        <v>114</v>
      </c>
      <c r="N2402" s="2">
        <v>45962</v>
      </c>
    </row>
    <row r="2403" spans="1:14" x14ac:dyDescent="0.25">
      <c r="A2403" t="s">
        <v>469</v>
      </c>
      <c r="B2403" s="2">
        <v>45991</v>
      </c>
      <c r="C2403" t="s">
        <v>469</v>
      </c>
      <c r="D2403" t="s">
        <v>112</v>
      </c>
      <c r="E2403" t="s">
        <v>9</v>
      </c>
      <c r="F2403" s="3">
        <v>23734.5</v>
      </c>
      <c r="G2403" s="3">
        <v>23734.5</v>
      </c>
      <c r="H2403" t="s">
        <v>3</v>
      </c>
      <c r="I2403" t="s">
        <v>3</v>
      </c>
      <c r="J2403" t="s">
        <v>328</v>
      </c>
      <c r="K2403" t="s">
        <v>5</v>
      </c>
      <c r="L2403" t="s">
        <v>11</v>
      </c>
      <c r="M2403" t="s">
        <v>114</v>
      </c>
      <c r="N2403" s="2">
        <v>45991</v>
      </c>
    </row>
    <row r="2404" spans="1:14" x14ac:dyDescent="0.25">
      <c r="A2404" s="4" t="s">
        <v>226</v>
      </c>
      <c r="B2404" s="5"/>
      <c r="C2404" s="4" t="s">
        <v>9</v>
      </c>
      <c r="D2404" s="4" t="s">
        <v>9</v>
      </c>
      <c r="E2404" s="4" t="s">
        <v>9</v>
      </c>
      <c r="F2404" s="6">
        <v>0</v>
      </c>
      <c r="G2404" s="6">
        <v>0</v>
      </c>
      <c r="H2404" s="4" t="s">
        <v>9</v>
      </c>
      <c r="I2404" s="4" t="s">
        <v>3</v>
      </c>
      <c r="J2404" s="4" t="s">
        <v>9</v>
      </c>
      <c r="K2404" s="4" t="s">
        <v>9</v>
      </c>
      <c r="L2404" s="4" t="s">
        <v>9</v>
      </c>
      <c r="M2404" s="4" t="s">
        <v>9</v>
      </c>
      <c r="N2404" s="5"/>
    </row>
    <row r="2405" spans="1:14" x14ac:dyDescent="0.25">
      <c r="A2405" t="s">
        <v>469</v>
      </c>
      <c r="B2405" s="2">
        <v>45991</v>
      </c>
      <c r="C2405" t="s">
        <v>469</v>
      </c>
      <c r="D2405" t="s">
        <v>112</v>
      </c>
      <c r="E2405" t="s">
        <v>9</v>
      </c>
      <c r="F2405" s="3">
        <v>-23734.5</v>
      </c>
      <c r="G2405" s="3">
        <v>-23734.5</v>
      </c>
      <c r="H2405" t="s">
        <v>3</v>
      </c>
      <c r="I2405" t="s">
        <v>3</v>
      </c>
      <c r="J2405" t="s">
        <v>328</v>
      </c>
      <c r="K2405" t="s">
        <v>5</v>
      </c>
      <c r="L2405" t="s">
        <v>12</v>
      </c>
      <c r="M2405" t="s">
        <v>114</v>
      </c>
      <c r="N2405" s="2">
        <v>45992</v>
      </c>
    </row>
    <row r="2406" spans="1:14" x14ac:dyDescent="0.25">
      <c r="A2406" t="s">
        <v>469</v>
      </c>
      <c r="B2406" s="2">
        <v>46022</v>
      </c>
      <c r="C2406" t="s">
        <v>469</v>
      </c>
      <c r="D2406" t="s">
        <v>112</v>
      </c>
      <c r="E2406" t="s">
        <v>9</v>
      </c>
      <c r="F2406" s="3">
        <v>23734.5</v>
      </c>
      <c r="G2406" s="3">
        <v>23734.5</v>
      </c>
      <c r="H2406" t="s">
        <v>3</v>
      </c>
      <c r="I2406" t="s">
        <v>3</v>
      </c>
      <c r="J2406" t="s">
        <v>298</v>
      </c>
      <c r="K2406" t="s">
        <v>5</v>
      </c>
      <c r="L2406" t="s">
        <v>12</v>
      </c>
      <c r="M2406" t="s">
        <v>114</v>
      </c>
      <c r="N2406" s="2">
        <v>46022</v>
      </c>
    </row>
    <row r="2407" spans="1:14" x14ac:dyDescent="0.25">
      <c r="A2407" t="s">
        <v>469</v>
      </c>
      <c r="B2407" s="2">
        <v>46022</v>
      </c>
      <c r="C2407" t="s">
        <v>469</v>
      </c>
      <c r="D2407" t="s">
        <v>112</v>
      </c>
      <c r="E2407" t="s">
        <v>9</v>
      </c>
      <c r="F2407" s="3">
        <v>23734.5</v>
      </c>
      <c r="G2407" s="3">
        <v>23734.5</v>
      </c>
      <c r="H2407" t="s">
        <v>3</v>
      </c>
      <c r="I2407" t="s">
        <v>3</v>
      </c>
      <c r="J2407" t="s">
        <v>298</v>
      </c>
      <c r="K2407" t="s">
        <v>5</v>
      </c>
      <c r="L2407" t="s">
        <v>12</v>
      </c>
      <c r="M2407" t="s">
        <v>114</v>
      </c>
      <c r="N2407" s="2">
        <v>46022</v>
      </c>
    </row>
    <row r="2408" spans="1:14" x14ac:dyDescent="0.25">
      <c r="A2408" t="s">
        <v>469</v>
      </c>
      <c r="B2408" s="2">
        <v>46022</v>
      </c>
      <c r="C2408" t="s">
        <v>469</v>
      </c>
      <c r="D2408" t="s">
        <v>112</v>
      </c>
      <c r="E2408" t="s">
        <v>9</v>
      </c>
      <c r="F2408" s="3">
        <v>-23734.5</v>
      </c>
      <c r="G2408" s="3">
        <v>-23734.5</v>
      </c>
      <c r="H2408" t="s">
        <v>3</v>
      </c>
      <c r="I2408" t="s">
        <v>3</v>
      </c>
      <c r="J2408" t="s">
        <v>298</v>
      </c>
      <c r="K2408" t="s">
        <v>5</v>
      </c>
      <c r="L2408" t="s">
        <v>12</v>
      </c>
      <c r="M2408" t="s">
        <v>114</v>
      </c>
      <c r="N2408" s="2">
        <v>46022</v>
      </c>
    </row>
    <row r="2409" spans="1:14" x14ac:dyDescent="0.25">
      <c r="A2409" s="4" t="s">
        <v>228</v>
      </c>
      <c r="B2409" s="5"/>
      <c r="C2409" s="4" t="s">
        <v>9</v>
      </c>
      <c r="D2409" s="4" t="s">
        <v>9</v>
      </c>
      <c r="E2409" s="4" t="s">
        <v>9</v>
      </c>
      <c r="F2409" s="6">
        <v>0</v>
      </c>
      <c r="G2409" s="6">
        <v>0</v>
      </c>
      <c r="H2409" s="4" t="s">
        <v>9</v>
      </c>
      <c r="I2409" s="4" t="s">
        <v>3</v>
      </c>
      <c r="J2409" s="4" t="s">
        <v>9</v>
      </c>
      <c r="K2409" s="4" t="s">
        <v>9</v>
      </c>
      <c r="L2409" s="4" t="s">
        <v>9</v>
      </c>
      <c r="M2409" s="4" t="s">
        <v>9</v>
      </c>
      <c r="N2409" s="5"/>
    </row>
    <row r="2410" spans="1:14" x14ac:dyDescent="0.25">
      <c r="A2410" s="4" t="s">
        <v>469</v>
      </c>
      <c r="B2410" s="5"/>
      <c r="C2410" s="4" t="s">
        <v>9</v>
      </c>
      <c r="D2410" s="4" t="s">
        <v>9</v>
      </c>
      <c r="E2410" s="4" t="s">
        <v>9</v>
      </c>
      <c r="F2410" s="6">
        <v>0</v>
      </c>
      <c r="G2410" s="6">
        <v>0</v>
      </c>
      <c r="H2410" s="4" t="s">
        <v>9</v>
      </c>
      <c r="I2410" s="4" t="s">
        <v>3</v>
      </c>
      <c r="J2410" s="4" t="s">
        <v>9</v>
      </c>
      <c r="K2410" s="4" t="s">
        <v>9</v>
      </c>
      <c r="L2410" s="4" t="s">
        <v>9</v>
      </c>
      <c r="M2410" s="4" t="s">
        <v>9</v>
      </c>
      <c r="N2410" s="5"/>
    </row>
    <row r="2411" spans="1:14" x14ac:dyDescent="0.25">
      <c r="A2411" t="s">
        <v>470</v>
      </c>
      <c r="B2411" s="2">
        <v>45810</v>
      </c>
      <c r="C2411" t="s">
        <v>470</v>
      </c>
      <c r="D2411" t="s">
        <v>99</v>
      </c>
      <c r="E2411" t="s">
        <v>9</v>
      </c>
      <c r="F2411" s="3">
        <v>-6405</v>
      </c>
      <c r="G2411" s="3">
        <v>-6405</v>
      </c>
      <c r="H2411" t="s">
        <v>3</v>
      </c>
      <c r="I2411" t="s">
        <v>3</v>
      </c>
      <c r="J2411" t="s">
        <v>9</v>
      </c>
      <c r="K2411" t="s">
        <v>9</v>
      </c>
      <c r="L2411" t="s">
        <v>18</v>
      </c>
      <c r="M2411" t="s">
        <v>102</v>
      </c>
      <c r="N2411" s="2">
        <v>45808</v>
      </c>
    </row>
    <row r="2412" spans="1:14" x14ac:dyDescent="0.25">
      <c r="A2412" t="s">
        <v>470</v>
      </c>
      <c r="B2412" s="2">
        <v>45808</v>
      </c>
      <c r="C2412" t="s">
        <v>470</v>
      </c>
      <c r="D2412" t="s">
        <v>99</v>
      </c>
      <c r="E2412" t="s">
        <v>9</v>
      </c>
      <c r="F2412" s="3">
        <v>6405</v>
      </c>
      <c r="G2412" s="3">
        <v>6405</v>
      </c>
      <c r="H2412" t="s">
        <v>3</v>
      </c>
      <c r="I2412" t="s">
        <v>3</v>
      </c>
      <c r="J2412" t="s">
        <v>471</v>
      </c>
      <c r="K2412" t="s">
        <v>5</v>
      </c>
      <c r="L2412" t="s">
        <v>18</v>
      </c>
      <c r="M2412" t="s">
        <v>102</v>
      </c>
      <c r="N2412" s="2">
        <v>45808</v>
      </c>
    </row>
    <row r="2413" spans="1:14" x14ac:dyDescent="0.25">
      <c r="A2413" s="4" t="s">
        <v>223</v>
      </c>
      <c r="B2413" s="5"/>
      <c r="C2413" s="4" t="s">
        <v>9</v>
      </c>
      <c r="D2413" s="4" t="s">
        <v>9</v>
      </c>
      <c r="E2413" s="4" t="s">
        <v>9</v>
      </c>
      <c r="F2413" s="6">
        <v>0</v>
      </c>
      <c r="G2413" s="6">
        <v>0</v>
      </c>
      <c r="H2413" s="4" t="s">
        <v>9</v>
      </c>
      <c r="I2413" s="4" t="s">
        <v>3</v>
      </c>
      <c r="J2413" s="4" t="s">
        <v>9</v>
      </c>
      <c r="K2413" s="4" t="s">
        <v>9</v>
      </c>
      <c r="L2413" s="4" t="s">
        <v>9</v>
      </c>
      <c r="M2413" s="4" t="s">
        <v>9</v>
      </c>
      <c r="N2413" s="5"/>
    </row>
    <row r="2414" spans="1:14" x14ac:dyDescent="0.25">
      <c r="A2414" t="s">
        <v>470</v>
      </c>
      <c r="B2414" s="2">
        <v>45839</v>
      </c>
      <c r="C2414" t="s">
        <v>470</v>
      </c>
      <c r="D2414" t="s">
        <v>99</v>
      </c>
      <c r="E2414" t="s">
        <v>9</v>
      </c>
      <c r="F2414" s="3">
        <v>-7560</v>
      </c>
      <c r="G2414" s="3">
        <v>-7560</v>
      </c>
      <c r="H2414" t="s">
        <v>3</v>
      </c>
      <c r="I2414" t="s">
        <v>3</v>
      </c>
      <c r="J2414" t="s">
        <v>9</v>
      </c>
      <c r="K2414" t="s">
        <v>9</v>
      </c>
      <c r="L2414" t="s">
        <v>19</v>
      </c>
      <c r="M2414" t="s">
        <v>102</v>
      </c>
      <c r="N2414" s="2">
        <v>45838</v>
      </c>
    </row>
    <row r="2415" spans="1:14" x14ac:dyDescent="0.25">
      <c r="A2415" t="s">
        <v>470</v>
      </c>
      <c r="B2415" s="2">
        <v>45838</v>
      </c>
      <c r="C2415" t="s">
        <v>470</v>
      </c>
      <c r="D2415" t="s">
        <v>99</v>
      </c>
      <c r="E2415" t="s">
        <v>9</v>
      </c>
      <c r="F2415" s="3">
        <v>7560</v>
      </c>
      <c r="G2415" s="3">
        <v>7560</v>
      </c>
      <c r="H2415" t="s">
        <v>3</v>
      </c>
      <c r="I2415" t="s">
        <v>3</v>
      </c>
      <c r="J2415" t="s">
        <v>472</v>
      </c>
      <c r="K2415" t="s">
        <v>5</v>
      </c>
      <c r="L2415" t="s">
        <v>19</v>
      </c>
      <c r="M2415" t="s">
        <v>102</v>
      </c>
      <c r="N2415" s="2">
        <v>45838</v>
      </c>
    </row>
    <row r="2416" spans="1:14" x14ac:dyDescent="0.25">
      <c r="A2416" s="4" t="s">
        <v>224</v>
      </c>
      <c r="B2416" s="5"/>
      <c r="C2416" s="4" t="s">
        <v>9</v>
      </c>
      <c r="D2416" s="4" t="s">
        <v>9</v>
      </c>
      <c r="E2416" s="4" t="s">
        <v>9</v>
      </c>
      <c r="F2416" s="6">
        <v>0</v>
      </c>
      <c r="G2416" s="6">
        <v>0</v>
      </c>
      <c r="H2416" s="4" t="s">
        <v>9</v>
      </c>
      <c r="I2416" s="4" t="s">
        <v>3</v>
      </c>
      <c r="J2416" s="4" t="s">
        <v>9</v>
      </c>
      <c r="K2416" s="4" t="s">
        <v>9</v>
      </c>
      <c r="L2416" s="4" t="s">
        <v>9</v>
      </c>
      <c r="M2416" s="4" t="s">
        <v>9</v>
      </c>
      <c r="N2416" s="5"/>
    </row>
    <row r="2417" spans="1:14" x14ac:dyDescent="0.25">
      <c r="A2417" t="s">
        <v>470</v>
      </c>
      <c r="B2417" s="2">
        <v>45870</v>
      </c>
      <c r="C2417" t="s">
        <v>470</v>
      </c>
      <c r="D2417" t="s">
        <v>99</v>
      </c>
      <c r="E2417" t="s">
        <v>9</v>
      </c>
      <c r="F2417" s="3">
        <v>-7035</v>
      </c>
      <c r="G2417" s="3">
        <v>-7035</v>
      </c>
      <c r="H2417" t="s">
        <v>3</v>
      </c>
      <c r="I2417" t="s">
        <v>3</v>
      </c>
      <c r="J2417" t="s">
        <v>9</v>
      </c>
      <c r="K2417" t="s">
        <v>9</v>
      </c>
      <c r="L2417" t="s">
        <v>21</v>
      </c>
      <c r="M2417" t="s">
        <v>102</v>
      </c>
      <c r="N2417" s="2">
        <v>45869</v>
      </c>
    </row>
    <row r="2418" spans="1:14" x14ac:dyDescent="0.25">
      <c r="A2418" t="s">
        <v>470</v>
      </c>
      <c r="B2418" s="2">
        <v>45869</v>
      </c>
      <c r="C2418" t="s">
        <v>470</v>
      </c>
      <c r="D2418" t="s">
        <v>99</v>
      </c>
      <c r="E2418" t="s">
        <v>9</v>
      </c>
      <c r="F2418" s="3">
        <v>7035</v>
      </c>
      <c r="G2418" s="3">
        <v>7035</v>
      </c>
      <c r="H2418" t="s">
        <v>3</v>
      </c>
      <c r="I2418" t="s">
        <v>3</v>
      </c>
      <c r="J2418" t="s">
        <v>473</v>
      </c>
      <c r="K2418" t="s">
        <v>5</v>
      </c>
      <c r="L2418" t="s">
        <v>21</v>
      </c>
      <c r="M2418" t="s">
        <v>102</v>
      </c>
      <c r="N2418" s="2">
        <v>45869</v>
      </c>
    </row>
    <row r="2419" spans="1:14" x14ac:dyDescent="0.25">
      <c r="A2419" s="4" t="s">
        <v>262</v>
      </c>
      <c r="B2419" s="5"/>
      <c r="C2419" s="4" t="s">
        <v>9</v>
      </c>
      <c r="D2419" s="4" t="s">
        <v>9</v>
      </c>
      <c r="E2419" s="4" t="s">
        <v>9</v>
      </c>
      <c r="F2419" s="6">
        <v>0</v>
      </c>
      <c r="G2419" s="6">
        <v>0</v>
      </c>
      <c r="H2419" s="4" t="s">
        <v>9</v>
      </c>
      <c r="I2419" s="4" t="s">
        <v>3</v>
      </c>
      <c r="J2419" s="4" t="s">
        <v>9</v>
      </c>
      <c r="K2419" s="4" t="s">
        <v>9</v>
      </c>
      <c r="L2419" s="4" t="s">
        <v>9</v>
      </c>
      <c r="M2419" s="4" t="s">
        <v>9</v>
      </c>
      <c r="N2419" s="5"/>
    </row>
    <row r="2420" spans="1:14" x14ac:dyDescent="0.25">
      <c r="A2420" s="4" t="s">
        <v>470</v>
      </c>
      <c r="B2420" s="5"/>
      <c r="C2420" s="4" t="s">
        <v>9</v>
      </c>
      <c r="D2420" s="4" t="s">
        <v>9</v>
      </c>
      <c r="E2420" s="4" t="s">
        <v>9</v>
      </c>
      <c r="F2420" s="6">
        <v>0</v>
      </c>
      <c r="G2420" s="6">
        <v>0</v>
      </c>
      <c r="H2420" s="4" t="s">
        <v>9</v>
      </c>
      <c r="I2420" s="4" t="s">
        <v>3</v>
      </c>
      <c r="J2420" s="4" t="s">
        <v>9</v>
      </c>
      <c r="K2420" s="4" t="s">
        <v>9</v>
      </c>
      <c r="L2420" s="4" t="s">
        <v>9</v>
      </c>
      <c r="M2420" s="4" t="s">
        <v>9</v>
      </c>
      <c r="N2420" s="5"/>
    </row>
    <row r="2421" spans="1:14" x14ac:dyDescent="0.25">
      <c r="A2421" t="s">
        <v>474</v>
      </c>
      <c r="B2421" s="2">
        <v>46022</v>
      </c>
      <c r="C2421" t="s">
        <v>474</v>
      </c>
      <c r="D2421" t="s">
        <v>112</v>
      </c>
      <c r="E2421" t="s">
        <v>9</v>
      </c>
      <c r="F2421" s="3">
        <v>-96000</v>
      </c>
      <c r="G2421" s="3">
        <v>-96000</v>
      </c>
      <c r="H2421" t="s">
        <v>3</v>
      </c>
      <c r="I2421" t="s">
        <v>3</v>
      </c>
      <c r="J2421" t="s">
        <v>298</v>
      </c>
      <c r="K2421" t="s">
        <v>13</v>
      </c>
      <c r="L2421" t="s">
        <v>14</v>
      </c>
      <c r="M2421" t="s">
        <v>114</v>
      </c>
      <c r="N2421" s="2">
        <v>46023</v>
      </c>
    </row>
    <row r="2422" spans="1:14" x14ac:dyDescent="0.25">
      <c r="A2422" t="s">
        <v>474</v>
      </c>
      <c r="B2422" s="2">
        <v>46022</v>
      </c>
      <c r="C2422" t="s">
        <v>474</v>
      </c>
      <c r="D2422" t="s">
        <v>112</v>
      </c>
      <c r="E2422" t="s">
        <v>9</v>
      </c>
      <c r="F2422" s="3">
        <v>-9850</v>
      </c>
      <c r="G2422" s="3">
        <v>-9850</v>
      </c>
      <c r="H2422" t="s">
        <v>3</v>
      </c>
      <c r="I2422" t="s">
        <v>3</v>
      </c>
      <c r="J2422" t="s">
        <v>299</v>
      </c>
      <c r="K2422" t="s">
        <v>13</v>
      </c>
      <c r="L2422" t="s">
        <v>14</v>
      </c>
      <c r="M2422" t="s">
        <v>114</v>
      </c>
      <c r="N2422" s="2">
        <v>46023</v>
      </c>
    </row>
    <row r="2423" spans="1:14" x14ac:dyDescent="0.25">
      <c r="A2423" t="s">
        <v>474</v>
      </c>
      <c r="B2423" s="2">
        <v>46022</v>
      </c>
      <c r="C2423" t="s">
        <v>474</v>
      </c>
      <c r="D2423" t="s">
        <v>112</v>
      </c>
      <c r="E2423" t="s">
        <v>9</v>
      </c>
      <c r="F2423" s="3">
        <v>-32822.78</v>
      </c>
      <c r="G2423" s="3">
        <v>-32822.78</v>
      </c>
      <c r="H2423" t="s">
        <v>3</v>
      </c>
      <c r="I2423" t="s">
        <v>3</v>
      </c>
      <c r="J2423" t="s">
        <v>381</v>
      </c>
      <c r="K2423" t="s">
        <v>13</v>
      </c>
      <c r="L2423" t="s">
        <v>14</v>
      </c>
      <c r="M2423" t="s">
        <v>114</v>
      </c>
      <c r="N2423" s="2">
        <v>46023</v>
      </c>
    </row>
    <row r="2424" spans="1:14" x14ac:dyDescent="0.25">
      <c r="A2424" t="s">
        <v>474</v>
      </c>
      <c r="B2424" s="2">
        <v>46023</v>
      </c>
      <c r="C2424" t="s">
        <v>474</v>
      </c>
      <c r="D2424" t="s">
        <v>112</v>
      </c>
      <c r="E2424" t="s">
        <v>9</v>
      </c>
      <c r="F2424" s="3">
        <v>96000</v>
      </c>
      <c r="G2424" s="3">
        <v>96000</v>
      </c>
      <c r="H2424" t="s">
        <v>3</v>
      </c>
      <c r="I2424" t="s">
        <v>3</v>
      </c>
      <c r="J2424" t="s">
        <v>298</v>
      </c>
      <c r="K2424" t="s">
        <v>13</v>
      </c>
      <c r="L2424" t="s">
        <v>14</v>
      </c>
      <c r="M2424" t="s">
        <v>114</v>
      </c>
      <c r="N2424" s="2">
        <v>46023</v>
      </c>
    </row>
    <row r="2425" spans="1:14" x14ac:dyDescent="0.25">
      <c r="A2425" t="s">
        <v>474</v>
      </c>
      <c r="B2425" s="2">
        <v>46023</v>
      </c>
      <c r="C2425" t="s">
        <v>474</v>
      </c>
      <c r="D2425" t="s">
        <v>112</v>
      </c>
      <c r="E2425" t="s">
        <v>9</v>
      </c>
      <c r="F2425" s="3">
        <v>9850</v>
      </c>
      <c r="G2425" s="3">
        <v>9850</v>
      </c>
      <c r="H2425" t="s">
        <v>3</v>
      </c>
      <c r="I2425" t="s">
        <v>3</v>
      </c>
      <c r="J2425" t="s">
        <v>299</v>
      </c>
      <c r="K2425" t="s">
        <v>13</v>
      </c>
      <c r="L2425" t="s">
        <v>14</v>
      </c>
      <c r="M2425" t="s">
        <v>114</v>
      </c>
      <c r="N2425" s="2">
        <v>46023</v>
      </c>
    </row>
    <row r="2426" spans="1:14" x14ac:dyDescent="0.25">
      <c r="A2426" t="s">
        <v>474</v>
      </c>
      <c r="B2426" s="2">
        <v>46023</v>
      </c>
      <c r="C2426" t="s">
        <v>474</v>
      </c>
      <c r="D2426" t="s">
        <v>112</v>
      </c>
      <c r="E2426" t="s">
        <v>9</v>
      </c>
      <c r="F2426" s="3">
        <v>32822.78</v>
      </c>
      <c r="G2426" s="3">
        <v>32822.78</v>
      </c>
      <c r="H2426" t="s">
        <v>3</v>
      </c>
      <c r="I2426" t="s">
        <v>3</v>
      </c>
      <c r="J2426" t="s">
        <v>381</v>
      </c>
      <c r="K2426" t="s">
        <v>13</v>
      </c>
      <c r="L2426" t="s">
        <v>14</v>
      </c>
      <c r="M2426" t="s">
        <v>114</v>
      </c>
      <c r="N2426" s="2">
        <v>46023</v>
      </c>
    </row>
    <row r="2427" spans="1:14" x14ac:dyDescent="0.25">
      <c r="A2427" s="4" t="s">
        <v>234</v>
      </c>
      <c r="B2427" s="5"/>
      <c r="C2427" s="4" t="s">
        <v>9</v>
      </c>
      <c r="D2427" s="4" t="s">
        <v>9</v>
      </c>
      <c r="E2427" s="4" t="s">
        <v>9</v>
      </c>
      <c r="F2427" s="6">
        <v>0</v>
      </c>
      <c r="G2427" s="6">
        <v>0</v>
      </c>
      <c r="H2427" s="4" t="s">
        <v>9</v>
      </c>
      <c r="I2427" s="4" t="s">
        <v>3</v>
      </c>
      <c r="J2427" s="4" t="s">
        <v>9</v>
      </c>
      <c r="K2427" s="4" t="s">
        <v>9</v>
      </c>
      <c r="L2427" s="4" t="s">
        <v>9</v>
      </c>
      <c r="M2427" s="4" t="s">
        <v>9</v>
      </c>
      <c r="N2427" s="5"/>
    </row>
    <row r="2428" spans="1:14" x14ac:dyDescent="0.25">
      <c r="A2428" t="s">
        <v>474</v>
      </c>
      <c r="B2428" s="2">
        <v>45720</v>
      </c>
      <c r="C2428" t="s">
        <v>474</v>
      </c>
      <c r="D2428" t="s">
        <v>112</v>
      </c>
      <c r="E2428" t="s">
        <v>9</v>
      </c>
      <c r="F2428" s="3">
        <v>-27800</v>
      </c>
      <c r="G2428" s="3">
        <v>-27800</v>
      </c>
      <c r="H2428" t="s">
        <v>3</v>
      </c>
      <c r="I2428" t="s">
        <v>3</v>
      </c>
      <c r="J2428" t="s">
        <v>9</v>
      </c>
      <c r="K2428" t="s">
        <v>9</v>
      </c>
      <c r="L2428" t="s">
        <v>15</v>
      </c>
      <c r="M2428" t="s">
        <v>114</v>
      </c>
      <c r="N2428" s="2">
        <v>45716</v>
      </c>
    </row>
    <row r="2429" spans="1:14" x14ac:dyDescent="0.25">
      <c r="A2429" t="s">
        <v>474</v>
      </c>
      <c r="B2429" s="2">
        <v>45720</v>
      </c>
      <c r="C2429" t="s">
        <v>474</v>
      </c>
      <c r="D2429" t="s">
        <v>301</v>
      </c>
      <c r="E2429" t="s">
        <v>9</v>
      </c>
      <c r="F2429" s="3">
        <v>27800</v>
      </c>
      <c r="G2429" s="3">
        <v>27800</v>
      </c>
      <c r="H2429" t="s">
        <v>3</v>
      </c>
      <c r="I2429" t="s">
        <v>3</v>
      </c>
      <c r="J2429" t="s">
        <v>9</v>
      </c>
      <c r="K2429" t="s">
        <v>9</v>
      </c>
      <c r="L2429" t="s">
        <v>15</v>
      </c>
      <c r="M2429" t="s">
        <v>302</v>
      </c>
      <c r="N2429" s="2">
        <v>45716</v>
      </c>
    </row>
    <row r="2430" spans="1:14" x14ac:dyDescent="0.25">
      <c r="A2430" t="s">
        <v>474</v>
      </c>
      <c r="B2430" s="2">
        <v>45716</v>
      </c>
      <c r="C2430" t="s">
        <v>474</v>
      </c>
      <c r="D2430" t="s">
        <v>112</v>
      </c>
      <c r="E2430" t="s">
        <v>9</v>
      </c>
      <c r="F2430" s="3">
        <v>27800</v>
      </c>
      <c r="G2430" s="3">
        <v>27800</v>
      </c>
      <c r="H2430" t="s">
        <v>3</v>
      </c>
      <c r="I2430" t="s">
        <v>3</v>
      </c>
      <c r="J2430" t="s">
        <v>303</v>
      </c>
      <c r="K2430" t="s">
        <v>5</v>
      </c>
      <c r="L2430" t="s">
        <v>15</v>
      </c>
      <c r="M2430" t="s">
        <v>114</v>
      </c>
      <c r="N2430" s="2">
        <v>45716</v>
      </c>
    </row>
    <row r="2431" spans="1:14" x14ac:dyDescent="0.25">
      <c r="A2431" t="s">
        <v>474</v>
      </c>
      <c r="B2431" s="2">
        <v>45716</v>
      </c>
      <c r="C2431" t="s">
        <v>474</v>
      </c>
      <c r="D2431" t="s">
        <v>112</v>
      </c>
      <c r="E2431" t="s">
        <v>9</v>
      </c>
      <c r="F2431" s="3">
        <v>-27800</v>
      </c>
      <c r="G2431" s="3">
        <v>-27800</v>
      </c>
      <c r="H2431" t="s">
        <v>3</v>
      </c>
      <c r="I2431" t="s">
        <v>3</v>
      </c>
      <c r="J2431" t="s">
        <v>10</v>
      </c>
      <c r="K2431" t="s">
        <v>5</v>
      </c>
      <c r="L2431" t="s">
        <v>15</v>
      </c>
      <c r="M2431" t="s">
        <v>114</v>
      </c>
      <c r="N2431" s="2">
        <v>45716</v>
      </c>
    </row>
    <row r="2432" spans="1:14" x14ac:dyDescent="0.25">
      <c r="A2432" t="s">
        <v>474</v>
      </c>
      <c r="B2432" s="2">
        <v>45716</v>
      </c>
      <c r="C2432" t="s">
        <v>474</v>
      </c>
      <c r="D2432" t="s">
        <v>112</v>
      </c>
      <c r="E2432" t="s">
        <v>9</v>
      </c>
      <c r="F2432" s="3">
        <v>27800</v>
      </c>
      <c r="G2432" s="3">
        <v>27800</v>
      </c>
      <c r="H2432" t="s">
        <v>3</v>
      </c>
      <c r="I2432" t="s">
        <v>3</v>
      </c>
      <c r="J2432" t="s">
        <v>10</v>
      </c>
      <c r="K2432" t="s">
        <v>5</v>
      </c>
      <c r="L2432" t="s">
        <v>15</v>
      </c>
      <c r="M2432" t="s">
        <v>114</v>
      </c>
      <c r="N2432" s="2">
        <v>45716</v>
      </c>
    </row>
    <row r="2433" spans="1:14" x14ac:dyDescent="0.25">
      <c r="A2433" t="s">
        <v>474</v>
      </c>
      <c r="B2433" s="2">
        <v>45716</v>
      </c>
      <c r="C2433" t="s">
        <v>474</v>
      </c>
      <c r="D2433" t="s">
        <v>301</v>
      </c>
      <c r="E2433" t="s">
        <v>9</v>
      </c>
      <c r="F2433" s="3">
        <v>-27800</v>
      </c>
      <c r="G2433" s="3">
        <v>-27800</v>
      </c>
      <c r="H2433" t="s">
        <v>3</v>
      </c>
      <c r="I2433" t="s">
        <v>3</v>
      </c>
      <c r="J2433" t="s">
        <v>10</v>
      </c>
      <c r="K2433" t="s">
        <v>5</v>
      </c>
      <c r="L2433" t="s">
        <v>15</v>
      </c>
      <c r="M2433" t="s">
        <v>302</v>
      </c>
      <c r="N2433" s="2">
        <v>45716</v>
      </c>
    </row>
    <row r="2434" spans="1:14" x14ac:dyDescent="0.25">
      <c r="A2434" s="4" t="s">
        <v>239</v>
      </c>
      <c r="B2434" s="5"/>
      <c r="C2434" s="4" t="s">
        <v>9</v>
      </c>
      <c r="D2434" s="4" t="s">
        <v>9</v>
      </c>
      <c r="E2434" s="4" t="s">
        <v>9</v>
      </c>
      <c r="F2434" s="6">
        <v>0</v>
      </c>
      <c r="G2434" s="6">
        <v>0</v>
      </c>
      <c r="H2434" s="4" t="s">
        <v>9</v>
      </c>
      <c r="I2434" s="4" t="s">
        <v>3</v>
      </c>
      <c r="J2434" s="4" t="s">
        <v>9</v>
      </c>
      <c r="K2434" s="4" t="s">
        <v>9</v>
      </c>
      <c r="L2434" s="4" t="s">
        <v>9</v>
      </c>
      <c r="M2434" s="4" t="s">
        <v>9</v>
      </c>
      <c r="N2434" s="5"/>
    </row>
    <row r="2435" spans="1:14" x14ac:dyDescent="0.25">
      <c r="A2435" t="s">
        <v>474</v>
      </c>
      <c r="B2435" s="2">
        <v>45749</v>
      </c>
      <c r="C2435" t="s">
        <v>474</v>
      </c>
      <c r="D2435" t="s">
        <v>112</v>
      </c>
      <c r="E2435" t="s">
        <v>9</v>
      </c>
      <c r="F2435" s="3">
        <v>-26900</v>
      </c>
      <c r="G2435" s="3">
        <v>-26900</v>
      </c>
      <c r="H2435" t="s">
        <v>3</v>
      </c>
      <c r="I2435" t="s">
        <v>3</v>
      </c>
      <c r="J2435" t="s">
        <v>9</v>
      </c>
      <c r="K2435" t="s">
        <v>9</v>
      </c>
      <c r="L2435" t="s">
        <v>16</v>
      </c>
      <c r="M2435" t="s">
        <v>114</v>
      </c>
      <c r="N2435" s="2">
        <v>45747</v>
      </c>
    </row>
    <row r="2436" spans="1:14" x14ac:dyDescent="0.25">
      <c r="A2436" t="s">
        <v>474</v>
      </c>
      <c r="B2436" s="2">
        <v>45749</v>
      </c>
      <c r="C2436" t="s">
        <v>474</v>
      </c>
      <c r="D2436" t="s">
        <v>301</v>
      </c>
      <c r="E2436" t="s">
        <v>9</v>
      </c>
      <c r="F2436" s="3">
        <v>30850</v>
      </c>
      <c r="G2436" s="3">
        <v>30850</v>
      </c>
      <c r="H2436" t="s">
        <v>3</v>
      </c>
      <c r="I2436" t="s">
        <v>3</v>
      </c>
      <c r="J2436" t="s">
        <v>9</v>
      </c>
      <c r="K2436" t="s">
        <v>9</v>
      </c>
      <c r="L2436" t="s">
        <v>16</v>
      </c>
      <c r="M2436" t="s">
        <v>302</v>
      </c>
      <c r="N2436" s="2">
        <v>45747</v>
      </c>
    </row>
    <row r="2437" spans="1:14" x14ac:dyDescent="0.25">
      <c r="A2437" t="s">
        <v>474</v>
      </c>
      <c r="B2437" s="2">
        <v>45717</v>
      </c>
      <c r="C2437" t="s">
        <v>474</v>
      </c>
      <c r="D2437" t="s">
        <v>112</v>
      </c>
      <c r="E2437" t="s">
        <v>9</v>
      </c>
      <c r="F2437" s="3">
        <v>-27800</v>
      </c>
      <c r="G2437" s="3">
        <v>-27800</v>
      </c>
      <c r="H2437" t="s">
        <v>3</v>
      </c>
      <c r="I2437" t="s">
        <v>3</v>
      </c>
      <c r="J2437" t="s">
        <v>303</v>
      </c>
      <c r="K2437" t="s">
        <v>5</v>
      </c>
      <c r="L2437" t="s">
        <v>16</v>
      </c>
      <c r="M2437" t="s">
        <v>114</v>
      </c>
      <c r="N2437" s="2">
        <v>45717</v>
      </c>
    </row>
    <row r="2438" spans="1:14" x14ac:dyDescent="0.25">
      <c r="A2438" t="s">
        <v>474</v>
      </c>
      <c r="B2438" s="2">
        <v>45734</v>
      </c>
      <c r="C2438" t="s">
        <v>474</v>
      </c>
      <c r="D2438" t="s">
        <v>112</v>
      </c>
      <c r="E2438" t="s">
        <v>9</v>
      </c>
      <c r="F2438" s="3">
        <v>11800</v>
      </c>
      <c r="G2438" s="3">
        <v>11800</v>
      </c>
      <c r="H2438" t="s">
        <v>3</v>
      </c>
      <c r="I2438" t="s">
        <v>3</v>
      </c>
      <c r="J2438" t="s">
        <v>475</v>
      </c>
      <c r="K2438" t="s">
        <v>5</v>
      </c>
      <c r="L2438" t="s">
        <v>16</v>
      </c>
      <c r="M2438" t="s">
        <v>114</v>
      </c>
      <c r="N2438" s="2">
        <v>45734</v>
      </c>
    </row>
    <row r="2439" spans="1:14" x14ac:dyDescent="0.25">
      <c r="A2439" t="s">
        <v>474</v>
      </c>
      <c r="B2439" s="2">
        <v>45747</v>
      </c>
      <c r="C2439" t="s">
        <v>474</v>
      </c>
      <c r="D2439" t="s">
        <v>301</v>
      </c>
      <c r="E2439" t="s">
        <v>9</v>
      </c>
      <c r="F2439" s="3">
        <v>-30850</v>
      </c>
      <c r="G2439" s="3">
        <v>-30850</v>
      </c>
      <c r="H2439" t="s">
        <v>3</v>
      </c>
      <c r="I2439" t="s">
        <v>3</v>
      </c>
      <c r="J2439" t="s">
        <v>10</v>
      </c>
      <c r="K2439" t="s">
        <v>5</v>
      </c>
      <c r="L2439" t="s">
        <v>16</v>
      </c>
      <c r="M2439" t="s">
        <v>302</v>
      </c>
      <c r="N2439" s="2">
        <v>45747</v>
      </c>
    </row>
    <row r="2440" spans="1:14" x14ac:dyDescent="0.25">
      <c r="A2440" t="s">
        <v>474</v>
      </c>
      <c r="B2440" s="2">
        <v>45747</v>
      </c>
      <c r="C2440" t="s">
        <v>474</v>
      </c>
      <c r="D2440" t="s">
        <v>112</v>
      </c>
      <c r="E2440" t="s">
        <v>9</v>
      </c>
      <c r="F2440" s="3">
        <v>42900</v>
      </c>
      <c r="G2440" s="3">
        <v>42900</v>
      </c>
      <c r="H2440" t="s">
        <v>3</v>
      </c>
      <c r="I2440" t="s">
        <v>3</v>
      </c>
      <c r="J2440" t="s">
        <v>305</v>
      </c>
      <c r="K2440" t="s">
        <v>5</v>
      </c>
      <c r="L2440" t="s">
        <v>16</v>
      </c>
      <c r="M2440" t="s">
        <v>114</v>
      </c>
      <c r="N2440" s="2">
        <v>45747</v>
      </c>
    </row>
    <row r="2441" spans="1:14" x14ac:dyDescent="0.25">
      <c r="A2441" s="4" t="s">
        <v>244</v>
      </c>
      <c r="B2441" s="5"/>
      <c r="C2441" s="4" t="s">
        <v>9</v>
      </c>
      <c r="D2441" s="4" t="s">
        <v>9</v>
      </c>
      <c r="E2441" s="4" t="s">
        <v>9</v>
      </c>
      <c r="F2441" s="6">
        <v>0</v>
      </c>
      <c r="G2441" s="6">
        <v>0</v>
      </c>
      <c r="H2441" s="4" t="s">
        <v>9</v>
      </c>
      <c r="I2441" s="4" t="s">
        <v>3</v>
      </c>
      <c r="J2441" s="4" t="s">
        <v>9</v>
      </c>
      <c r="K2441" s="4" t="s">
        <v>9</v>
      </c>
      <c r="L2441" s="4" t="s">
        <v>9</v>
      </c>
      <c r="M2441" s="4" t="s">
        <v>9</v>
      </c>
      <c r="N2441" s="5"/>
    </row>
    <row r="2442" spans="1:14" x14ac:dyDescent="0.25">
      <c r="A2442" t="s">
        <v>474</v>
      </c>
      <c r="B2442" s="2">
        <v>45782</v>
      </c>
      <c r="C2442" t="s">
        <v>474</v>
      </c>
      <c r="D2442" t="s">
        <v>112</v>
      </c>
      <c r="E2442" t="s">
        <v>9</v>
      </c>
      <c r="F2442" s="3">
        <v>-23850</v>
      </c>
      <c r="G2442" s="3">
        <v>-23850</v>
      </c>
      <c r="H2442" t="s">
        <v>3</v>
      </c>
      <c r="I2442" t="s">
        <v>3</v>
      </c>
      <c r="J2442" t="s">
        <v>9</v>
      </c>
      <c r="K2442" t="s">
        <v>9</v>
      </c>
      <c r="L2442" t="s">
        <v>17</v>
      </c>
      <c r="M2442" t="s">
        <v>114</v>
      </c>
      <c r="N2442" s="2">
        <v>45777</v>
      </c>
    </row>
    <row r="2443" spans="1:14" x14ac:dyDescent="0.25">
      <c r="A2443" t="s">
        <v>474</v>
      </c>
      <c r="B2443" s="2">
        <v>45782</v>
      </c>
      <c r="C2443" t="s">
        <v>474</v>
      </c>
      <c r="D2443" t="s">
        <v>301</v>
      </c>
      <c r="E2443" t="s">
        <v>9</v>
      </c>
      <c r="F2443" s="3">
        <v>8100</v>
      </c>
      <c r="G2443" s="3">
        <v>8100</v>
      </c>
      <c r="H2443" t="s">
        <v>3</v>
      </c>
      <c r="I2443" t="s">
        <v>3</v>
      </c>
      <c r="J2443" t="s">
        <v>9</v>
      </c>
      <c r="K2443" t="s">
        <v>9</v>
      </c>
      <c r="L2443" t="s">
        <v>17</v>
      </c>
      <c r="M2443" t="s">
        <v>302</v>
      </c>
      <c r="N2443" s="2">
        <v>45777</v>
      </c>
    </row>
    <row r="2444" spans="1:14" x14ac:dyDescent="0.25">
      <c r="A2444" t="s">
        <v>474</v>
      </c>
      <c r="B2444" s="2">
        <v>45747</v>
      </c>
      <c r="C2444" t="s">
        <v>474</v>
      </c>
      <c r="D2444" t="s">
        <v>112</v>
      </c>
      <c r="E2444" t="s">
        <v>9</v>
      </c>
      <c r="F2444" s="3">
        <v>-42900</v>
      </c>
      <c r="G2444" s="3">
        <v>-42900</v>
      </c>
      <c r="H2444" t="s">
        <v>3</v>
      </c>
      <c r="I2444" t="s">
        <v>3</v>
      </c>
      <c r="J2444" t="s">
        <v>305</v>
      </c>
      <c r="K2444" t="s">
        <v>5</v>
      </c>
      <c r="L2444" t="s">
        <v>17</v>
      </c>
      <c r="M2444" t="s">
        <v>114</v>
      </c>
      <c r="N2444" s="2">
        <v>45748</v>
      </c>
    </row>
    <row r="2445" spans="1:14" x14ac:dyDescent="0.25">
      <c r="A2445" t="s">
        <v>474</v>
      </c>
      <c r="B2445" s="2">
        <v>45777</v>
      </c>
      <c r="C2445" t="s">
        <v>474</v>
      </c>
      <c r="D2445" t="s">
        <v>112</v>
      </c>
      <c r="E2445" t="s">
        <v>9</v>
      </c>
      <c r="F2445" s="3">
        <v>61900</v>
      </c>
      <c r="G2445" s="3">
        <v>61900</v>
      </c>
      <c r="H2445" t="s">
        <v>3</v>
      </c>
      <c r="I2445" t="s">
        <v>3</v>
      </c>
      <c r="J2445" t="s">
        <v>308</v>
      </c>
      <c r="K2445" t="s">
        <v>5</v>
      </c>
      <c r="L2445" t="s">
        <v>17</v>
      </c>
      <c r="M2445" t="s">
        <v>114</v>
      </c>
      <c r="N2445" s="2">
        <v>45777</v>
      </c>
    </row>
    <row r="2446" spans="1:14" x14ac:dyDescent="0.25">
      <c r="A2446" t="s">
        <v>474</v>
      </c>
      <c r="B2446" s="2">
        <v>45777</v>
      </c>
      <c r="C2446" t="s">
        <v>474</v>
      </c>
      <c r="D2446" t="s">
        <v>112</v>
      </c>
      <c r="E2446" t="s">
        <v>9</v>
      </c>
      <c r="F2446" s="3">
        <v>4850</v>
      </c>
      <c r="G2446" s="3">
        <v>4850</v>
      </c>
      <c r="H2446" t="s">
        <v>3</v>
      </c>
      <c r="I2446" t="s">
        <v>3</v>
      </c>
      <c r="J2446" t="s">
        <v>309</v>
      </c>
      <c r="K2446" t="s">
        <v>5</v>
      </c>
      <c r="L2446" t="s">
        <v>17</v>
      </c>
      <c r="M2446" t="s">
        <v>114</v>
      </c>
      <c r="N2446" s="2">
        <v>45777</v>
      </c>
    </row>
    <row r="2447" spans="1:14" x14ac:dyDescent="0.25">
      <c r="A2447" t="s">
        <v>474</v>
      </c>
      <c r="B2447" s="2">
        <v>45777</v>
      </c>
      <c r="C2447" t="s">
        <v>474</v>
      </c>
      <c r="D2447" t="s">
        <v>301</v>
      </c>
      <c r="E2447" t="s">
        <v>9</v>
      </c>
      <c r="F2447" s="3">
        <v>-8100</v>
      </c>
      <c r="G2447" s="3">
        <v>-8100</v>
      </c>
      <c r="H2447" t="s">
        <v>3</v>
      </c>
      <c r="I2447" t="s">
        <v>3</v>
      </c>
      <c r="J2447" t="s">
        <v>10</v>
      </c>
      <c r="K2447" t="s">
        <v>5</v>
      </c>
      <c r="L2447" t="s">
        <v>17</v>
      </c>
      <c r="M2447" t="s">
        <v>302</v>
      </c>
      <c r="N2447" s="2">
        <v>45777</v>
      </c>
    </row>
    <row r="2448" spans="1:14" x14ac:dyDescent="0.25">
      <c r="A2448" s="4" t="s">
        <v>249</v>
      </c>
      <c r="B2448" s="5"/>
      <c r="C2448" s="4" t="s">
        <v>9</v>
      </c>
      <c r="D2448" s="4" t="s">
        <v>9</v>
      </c>
      <c r="E2448" s="4" t="s">
        <v>9</v>
      </c>
      <c r="F2448" s="6">
        <v>0</v>
      </c>
      <c r="G2448" s="6">
        <v>0</v>
      </c>
      <c r="H2448" s="4" t="s">
        <v>9</v>
      </c>
      <c r="I2448" s="4" t="s">
        <v>3</v>
      </c>
      <c r="J2448" s="4" t="s">
        <v>9</v>
      </c>
      <c r="K2448" s="4" t="s">
        <v>9</v>
      </c>
      <c r="L2448" s="4" t="s">
        <v>9</v>
      </c>
      <c r="M2448" s="4" t="s">
        <v>9</v>
      </c>
      <c r="N2448" s="5"/>
    </row>
    <row r="2449" spans="1:14" x14ac:dyDescent="0.25">
      <c r="A2449" t="s">
        <v>474</v>
      </c>
      <c r="B2449" s="2">
        <v>45810</v>
      </c>
      <c r="C2449" t="s">
        <v>474</v>
      </c>
      <c r="D2449" t="s">
        <v>112</v>
      </c>
      <c r="E2449" t="s">
        <v>9</v>
      </c>
      <c r="F2449" s="3">
        <v>-12200</v>
      </c>
      <c r="G2449" s="3">
        <v>-12200</v>
      </c>
      <c r="H2449" t="s">
        <v>3</v>
      </c>
      <c r="I2449" t="s">
        <v>3</v>
      </c>
      <c r="J2449" t="s">
        <v>9</v>
      </c>
      <c r="K2449" t="s">
        <v>9</v>
      </c>
      <c r="L2449" t="s">
        <v>18</v>
      </c>
      <c r="M2449" t="s">
        <v>114</v>
      </c>
      <c r="N2449" s="2">
        <v>45808</v>
      </c>
    </row>
    <row r="2450" spans="1:14" x14ac:dyDescent="0.25">
      <c r="A2450" t="s">
        <v>474</v>
      </c>
      <c r="B2450" s="2">
        <v>45810</v>
      </c>
      <c r="C2450" t="s">
        <v>474</v>
      </c>
      <c r="D2450" t="s">
        <v>301</v>
      </c>
      <c r="E2450" t="s">
        <v>9</v>
      </c>
      <c r="F2450" s="3">
        <v>12200</v>
      </c>
      <c r="G2450" s="3">
        <v>12200</v>
      </c>
      <c r="H2450" t="s">
        <v>3</v>
      </c>
      <c r="I2450" t="s">
        <v>3</v>
      </c>
      <c r="J2450" t="s">
        <v>9</v>
      </c>
      <c r="K2450" t="s">
        <v>9</v>
      </c>
      <c r="L2450" t="s">
        <v>18</v>
      </c>
      <c r="M2450" t="s">
        <v>302</v>
      </c>
      <c r="N2450" s="2">
        <v>45808</v>
      </c>
    </row>
    <row r="2451" spans="1:14" x14ac:dyDescent="0.25">
      <c r="A2451" t="s">
        <v>474</v>
      </c>
      <c r="B2451" s="2">
        <v>45777</v>
      </c>
      <c r="C2451" t="s">
        <v>474</v>
      </c>
      <c r="D2451" t="s">
        <v>112</v>
      </c>
      <c r="E2451" t="s">
        <v>9</v>
      </c>
      <c r="F2451" s="3">
        <v>-61900</v>
      </c>
      <c r="G2451" s="3">
        <v>-61900</v>
      </c>
      <c r="H2451" t="s">
        <v>3</v>
      </c>
      <c r="I2451" t="s">
        <v>3</v>
      </c>
      <c r="J2451" t="s">
        <v>308</v>
      </c>
      <c r="K2451" t="s">
        <v>5</v>
      </c>
      <c r="L2451" t="s">
        <v>18</v>
      </c>
      <c r="M2451" t="s">
        <v>114</v>
      </c>
      <c r="N2451" s="2">
        <v>45778</v>
      </c>
    </row>
    <row r="2452" spans="1:14" x14ac:dyDescent="0.25">
      <c r="A2452" t="s">
        <v>474</v>
      </c>
      <c r="B2452" s="2">
        <v>45777</v>
      </c>
      <c r="C2452" t="s">
        <v>474</v>
      </c>
      <c r="D2452" t="s">
        <v>112</v>
      </c>
      <c r="E2452" t="s">
        <v>9</v>
      </c>
      <c r="F2452" s="3">
        <v>-4850</v>
      </c>
      <c r="G2452" s="3">
        <v>-4850</v>
      </c>
      <c r="H2452" t="s">
        <v>3</v>
      </c>
      <c r="I2452" t="s">
        <v>3</v>
      </c>
      <c r="J2452" t="s">
        <v>309</v>
      </c>
      <c r="K2452" t="s">
        <v>5</v>
      </c>
      <c r="L2452" t="s">
        <v>18</v>
      </c>
      <c r="M2452" t="s">
        <v>114</v>
      </c>
      <c r="N2452" s="2">
        <v>45778</v>
      </c>
    </row>
    <row r="2453" spans="1:14" x14ac:dyDescent="0.25">
      <c r="A2453" t="s">
        <v>474</v>
      </c>
      <c r="B2453" s="2">
        <v>45808</v>
      </c>
      <c r="C2453" t="s">
        <v>474</v>
      </c>
      <c r="D2453" t="s">
        <v>112</v>
      </c>
      <c r="E2453" t="s">
        <v>9</v>
      </c>
      <c r="F2453" s="3">
        <v>73500</v>
      </c>
      <c r="G2453" s="3">
        <v>73500</v>
      </c>
      <c r="H2453" t="s">
        <v>3</v>
      </c>
      <c r="I2453" t="s">
        <v>3</v>
      </c>
      <c r="J2453" t="s">
        <v>311</v>
      </c>
      <c r="K2453" t="s">
        <v>5</v>
      </c>
      <c r="L2453" t="s">
        <v>18</v>
      </c>
      <c r="M2453" t="s">
        <v>114</v>
      </c>
      <c r="N2453" s="2">
        <v>45808</v>
      </c>
    </row>
    <row r="2454" spans="1:14" x14ac:dyDescent="0.25">
      <c r="A2454" t="s">
        <v>474</v>
      </c>
      <c r="B2454" s="2">
        <v>45808</v>
      </c>
      <c r="C2454" t="s">
        <v>474</v>
      </c>
      <c r="D2454" t="s">
        <v>112</v>
      </c>
      <c r="E2454" t="s">
        <v>9</v>
      </c>
      <c r="F2454" s="3">
        <v>5450</v>
      </c>
      <c r="G2454" s="3">
        <v>5450</v>
      </c>
      <c r="H2454" t="s">
        <v>3</v>
      </c>
      <c r="I2454" t="s">
        <v>3</v>
      </c>
      <c r="J2454" t="s">
        <v>312</v>
      </c>
      <c r="K2454" t="s">
        <v>5</v>
      </c>
      <c r="L2454" t="s">
        <v>18</v>
      </c>
      <c r="M2454" t="s">
        <v>114</v>
      </c>
      <c r="N2454" s="2">
        <v>45808</v>
      </c>
    </row>
    <row r="2455" spans="1:14" x14ac:dyDescent="0.25">
      <c r="A2455" t="s">
        <v>474</v>
      </c>
      <c r="B2455" s="2">
        <v>45808</v>
      </c>
      <c r="C2455" t="s">
        <v>474</v>
      </c>
      <c r="D2455" t="s">
        <v>301</v>
      </c>
      <c r="E2455" t="s">
        <v>9</v>
      </c>
      <c r="F2455" s="3">
        <v>-12200</v>
      </c>
      <c r="G2455" s="3">
        <v>-12200</v>
      </c>
      <c r="H2455" t="s">
        <v>3</v>
      </c>
      <c r="I2455" t="s">
        <v>3</v>
      </c>
      <c r="J2455" t="s">
        <v>10</v>
      </c>
      <c r="K2455" t="s">
        <v>5</v>
      </c>
      <c r="L2455" t="s">
        <v>18</v>
      </c>
      <c r="M2455" t="s">
        <v>302</v>
      </c>
      <c r="N2455" s="2">
        <v>45808</v>
      </c>
    </row>
    <row r="2456" spans="1:14" x14ac:dyDescent="0.25">
      <c r="A2456" s="4" t="s">
        <v>223</v>
      </c>
      <c r="B2456" s="5"/>
      <c r="C2456" s="4" t="s">
        <v>9</v>
      </c>
      <c r="D2456" s="4" t="s">
        <v>9</v>
      </c>
      <c r="E2456" s="4" t="s">
        <v>9</v>
      </c>
      <c r="F2456" s="6">
        <v>0</v>
      </c>
      <c r="G2456" s="6">
        <v>0</v>
      </c>
      <c r="H2456" s="4" t="s">
        <v>9</v>
      </c>
      <c r="I2456" s="4" t="s">
        <v>3</v>
      </c>
      <c r="J2456" s="4" t="s">
        <v>9</v>
      </c>
      <c r="K2456" s="4" t="s">
        <v>9</v>
      </c>
      <c r="L2456" s="4" t="s">
        <v>9</v>
      </c>
      <c r="M2456" s="4" t="s">
        <v>9</v>
      </c>
      <c r="N2456" s="5"/>
    </row>
    <row r="2457" spans="1:14" x14ac:dyDescent="0.25">
      <c r="A2457" t="s">
        <v>474</v>
      </c>
      <c r="B2457" s="2">
        <v>45839</v>
      </c>
      <c r="C2457" t="s">
        <v>474</v>
      </c>
      <c r="D2457" t="s">
        <v>112</v>
      </c>
      <c r="E2457" t="s">
        <v>9</v>
      </c>
      <c r="F2457" s="3">
        <v>-4000</v>
      </c>
      <c r="G2457" s="3">
        <v>-4000</v>
      </c>
      <c r="H2457" t="s">
        <v>3</v>
      </c>
      <c r="I2457" t="s">
        <v>3</v>
      </c>
      <c r="J2457" t="s">
        <v>9</v>
      </c>
      <c r="K2457" t="s">
        <v>9</v>
      </c>
      <c r="L2457" t="s">
        <v>19</v>
      </c>
      <c r="M2457" t="s">
        <v>114</v>
      </c>
      <c r="N2457" s="2">
        <v>45838</v>
      </c>
    </row>
    <row r="2458" spans="1:14" x14ac:dyDescent="0.25">
      <c r="A2458" t="s">
        <v>474</v>
      </c>
      <c r="B2458" s="2">
        <v>45839</v>
      </c>
      <c r="C2458" t="s">
        <v>474</v>
      </c>
      <c r="D2458" t="s">
        <v>301</v>
      </c>
      <c r="E2458" t="s">
        <v>9</v>
      </c>
      <c r="F2458" s="3">
        <v>4000</v>
      </c>
      <c r="G2458" s="3">
        <v>4000</v>
      </c>
      <c r="H2458" t="s">
        <v>3</v>
      </c>
      <c r="I2458" t="s">
        <v>3</v>
      </c>
      <c r="J2458" t="s">
        <v>9</v>
      </c>
      <c r="K2458" t="s">
        <v>9</v>
      </c>
      <c r="L2458" t="s">
        <v>19</v>
      </c>
      <c r="M2458" t="s">
        <v>302</v>
      </c>
      <c r="N2458" s="2">
        <v>45838</v>
      </c>
    </row>
    <row r="2459" spans="1:14" x14ac:dyDescent="0.25">
      <c r="A2459" t="s">
        <v>474</v>
      </c>
      <c r="B2459" s="2">
        <v>45808</v>
      </c>
      <c r="C2459" t="s">
        <v>474</v>
      </c>
      <c r="D2459" t="s">
        <v>112</v>
      </c>
      <c r="E2459" t="s">
        <v>9</v>
      </c>
      <c r="F2459" s="3">
        <v>-73500</v>
      </c>
      <c r="G2459" s="3">
        <v>-73500</v>
      </c>
      <c r="H2459" t="s">
        <v>3</v>
      </c>
      <c r="I2459" t="s">
        <v>3</v>
      </c>
      <c r="J2459" t="s">
        <v>311</v>
      </c>
      <c r="K2459" t="s">
        <v>5</v>
      </c>
      <c r="L2459" t="s">
        <v>19</v>
      </c>
      <c r="M2459" t="s">
        <v>114</v>
      </c>
      <c r="N2459" s="2">
        <v>45809</v>
      </c>
    </row>
    <row r="2460" spans="1:14" x14ac:dyDescent="0.25">
      <c r="A2460" t="s">
        <v>474</v>
      </c>
      <c r="B2460" s="2">
        <v>45808</v>
      </c>
      <c r="C2460" t="s">
        <v>474</v>
      </c>
      <c r="D2460" t="s">
        <v>112</v>
      </c>
      <c r="E2460" t="s">
        <v>9</v>
      </c>
      <c r="F2460" s="3">
        <v>-5450</v>
      </c>
      <c r="G2460" s="3">
        <v>-5450</v>
      </c>
      <c r="H2460" t="s">
        <v>3</v>
      </c>
      <c r="I2460" t="s">
        <v>3</v>
      </c>
      <c r="J2460" t="s">
        <v>312</v>
      </c>
      <c r="K2460" t="s">
        <v>5</v>
      </c>
      <c r="L2460" t="s">
        <v>19</v>
      </c>
      <c r="M2460" t="s">
        <v>114</v>
      </c>
      <c r="N2460" s="2">
        <v>45809</v>
      </c>
    </row>
    <row r="2461" spans="1:14" x14ac:dyDescent="0.25">
      <c r="A2461" t="s">
        <v>474</v>
      </c>
      <c r="B2461" s="2">
        <v>45838</v>
      </c>
      <c r="C2461" t="s">
        <v>474</v>
      </c>
      <c r="D2461" t="s">
        <v>112</v>
      </c>
      <c r="E2461" t="s">
        <v>9</v>
      </c>
      <c r="F2461" s="3">
        <v>77500</v>
      </c>
      <c r="G2461" s="3">
        <v>77500</v>
      </c>
      <c r="H2461" t="s">
        <v>3</v>
      </c>
      <c r="I2461" t="s">
        <v>3</v>
      </c>
      <c r="J2461" t="s">
        <v>314</v>
      </c>
      <c r="K2461" t="s">
        <v>5</v>
      </c>
      <c r="L2461" t="s">
        <v>19</v>
      </c>
      <c r="M2461" t="s">
        <v>114</v>
      </c>
      <c r="N2461" s="2">
        <v>45838</v>
      </c>
    </row>
    <row r="2462" spans="1:14" x14ac:dyDescent="0.25">
      <c r="A2462" t="s">
        <v>474</v>
      </c>
      <c r="B2462" s="2">
        <v>45838</v>
      </c>
      <c r="C2462" t="s">
        <v>474</v>
      </c>
      <c r="D2462" t="s">
        <v>112</v>
      </c>
      <c r="E2462" t="s">
        <v>9</v>
      </c>
      <c r="F2462" s="3">
        <v>5450</v>
      </c>
      <c r="G2462" s="3">
        <v>5450</v>
      </c>
      <c r="H2462" t="s">
        <v>3</v>
      </c>
      <c r="I2462" t="s">
        <v>3</v>
      </c>
      <c r="J2462" t="s">
        <v>315</v>
      </c>
      <c r="K2462" t="s">
        <v>5</v>
      </c>
      <c r="L2462" t="s">
        <v>19</v>
      </c>
      <c r="M2462" t="s">
        <v>114</v>
      </c>
      <c r="N2462" s="2">
        <v>45838</v>
      </c>
    </row>
    <row r="2463" spans="1:14" x14ac:dyDescent="0.25">
      <c r="A2463" t="s">
        <v>474</v>
      </c>
      <c r="B2463" s="2">
        <v>45838</v>
      </c>
      <c r="C2463" t="s">
        <v>474</v>
      </c>
      <c r="D2463" t="s">
        <v>301</v>
      </c>
      <c r="E2463" t="s">
        <v>9</v>
      </c>
      <c r="F2463" s="3">
        <v>-4000</v>
      </c>
      <c r="G2463" s="3">
        <v>-4000</v>
      </c>
      <c r="H2463" t="s">
        <v>3</v>
      </c>
      <c r="I2463" t="s">
        <v>3</v>
      </c>
      <c r="J2463" t="s">
        <v>10</v>
      </c>
      <c r="K2463" t="s">
        <v>5</v>
      </c>
      <c r="L2463" t="s">
        <v>19</v>
      </c>
      <c r="M2463" t="s">
        <v>302</v>
      </c>
      <c r="N2463" s="2">
        <v>45838</v>
      </c>
    </row>
    <row r="2464" spans="1:14" x14ac:dyDescent="0.25">
      <c r="A2464" s="4" t="s">
        <v>224</v>
      </c>
      <c r="B2464" s="5"/>
      <c r="C2464" s="4" t="s">
        <v>9</v>
      </c>
      <c r="D2464" s="4" t="s">
        <v>9</v>
      </c>
      <c r="E2464" s="4" t="s">
        <v>9</v>
      </c>
      <c r="F2464" s="6">
        <v>0</v>
      </c>
      <c r="G2464" s="6">
        <v>0</v>
      </c>
      <c r="H2464" s="4" t="s">
        <v>9</v>
      </c>
      <c r="I2464" s="4" t="s">
        <v>3</v>
      </c>
      <c r="J2464" s="4" t="s">
        <v>9</v>
      </c>
      <c r="K2464" s="4" t="s">
        <v>9</v>
      </c>
      <c r="L2464" s="4" t="s">
        <v>9</v>
      </c>
      <c r="M2464" s="4" t="s">
        <v>9</v>
      </c>
      <c r="N2464" s="5"/>
    </row>
    <row r="2465" spans="1:14" x14ac:dyDescent="0.25">
      <c r="A2465" t="s">
        <v>474</v>
      </c>
      <c r="B2465" s="2">
        <v>45870</v>
      </c>
      <c r="C2465" t="s">
        <v>474</v>
      </c>
      <c r="D2465" t="s">
        <v>112</v>
      </c>
      <c r="E2465" t="s">
        <v>9</v>
      </c>
      <c r="F2465" s="3">
        <v>-34013.800000000003</v>
      </c>
      <c r="G2465" s="3">
        <v>-34013.800000000003</v>
      </c>
      <c r="H2465" t="s">
        <v>3</v>
      </c>
      <c r="I2465" t="s">
        <v>3</v>
      </c>
      <c r="J2465" t="s">
        <v>9</v>
      </c>
      <c r="K2465" t="s">
        <v>9</v>
      </c>
      <c r="L2465" t="s">
        <v>21</v>
      </c>
      <c r="M2465" t="s">
        <v>114</v>
      </c>
      <c r="N2465" s="2">
        <v>45869</v>
      </c>
    </row>
    <row r="2466" spans="1:14" x14ac:dyDescent="0.25">
      <c r="A2466" t="s">
        <v>474</v>
      </c>
      <c r="B2466" s="2">
        <v>45870</v>
      </c>
      <c r="C2466" t="s">
        <v>474</v>
      </c>
      <c r="D2466" t="s">
        <v>301</v>
      </c>
      <c r="E2466" t="s">
        <v>9</v>
      </c>
      <c r="F2466" s="3">
        <v>34013.800000000003</v>
      </c>
      <c r="G2466" s="3">
        <v>34013.800000000003</v>
      </c>
      <c r="H2466" t="s">
        <v>3</v>
      </c>
      <c r="I2466" t="s">
        <v>3</v>
      </c>
      <c r="J2466" t="s">
        <v>9</v>
      </c>
      <c r="K2466" t="s">
        <v>9</v>
      </c>
      <c r="L2466" t="s">
        <v>21</v>
      </c>
      <c r="M2466" t="s">
        <v>302</v>
      </c>
      <c r="N2466" s="2">
        <v>45869</v>
      </c>
    </row>
    <row r="2467" spans="1:14" x14ac:dyDescent="0.25">
      <c r="A2467" t="s">
        <v>474</v>
      </c>
      <c r="B2467" s="2">
        <v>45838</v>
      </c>
      <c r="C2467" t="s">
        <v>474</v>
      </c>
      <c r="D2467" t="s">
        <v>112</v>
      </c>
      <c r="E2467" t="s">
        <v>9</v>
      </c>
      <c r="F2467" s="3">
        <v>-77500</v>
      </c>
      <c r="G2467" s="3">
        <v>-77500</v>
      </c>
      <c r="H2467" t="s">
        <v>3</v>
      </c>
      <c r="I2467" t="s">
        <v>3</v>
      </c>
      <c r="J2467" t="s">
        <v>314</v>
      </c>
      <c r="K2467" t="s">
        <v>5</v>
      </c>
      <c r="L2467" t="s">
        <v>21</v>
      </c>
      <c r="M2467" t="s">
        <v>114</v>
      </c>
      <c r="N2467" s="2">
        <v>45839</v>
      </c>
    </row>
    <row r="2468" spans="1:14" x14ac:dyDescent="0.25">
      <c r="A2468" t="s">
        <v>474</v>
      </c>
      <c r="B2468" s="2">
        <v>45838</v>
      </c>
      <c r="C2468" t="s">
        <v>474</v>
      </c>
      <c r="D2468" t="s">
        <v>112</v>
      </c>
      <c r="E2468" t="s">
        <v>9</v>
      </c>
      <c r="F2468" s="3">
        <v>-5450</v>
      </c>
      <c r="G2468" s="3">
        <v>-5450</v>
      </c>
      <c r="H2468" t="s">
        <v>3</v>
      </c>
      <c r="I2468" t="s">
        <v>3</v>
      </c>
      <c r="J2468" t="s">
        <v>315</v>
      </c>
      <c r="K2468" t="s">
        <v>5</v>
      </c>
      <c r="L2468" t="s">
        <v>21</v>
      </c>
      <c r="M2468" t="s">
        <v>114</v>
      </c>
      <c r="N2468" s="2">
        <v>45839</v>
      </c>
    </row>
    <row r="2469" spans="1:14" x14ac:dyDescent="0.25">
      <c r="A2469" t="s">
        <v>474</v>
      </c>
      <c r="B2469" s="2">
        <v>45869</v>
      </c>
      <c r="C2469" t="s">
        <v>474</v>
      </c>
      <c r="D2469" t="s">
        <v>112</v>
      </c>
      <c r="E2469" t="s">
        <v>9</v>
      </c>
      <c r="F2469" s="3">
        <v>91600</v>
      </c>
      <c r="G2469" s="3">
        <v>91600</v>
      </c>
      <c r="H2469" t="s">
        <v>3</v>
      </c>
      <c r="I2469" t="s">
        <v>3</v>
      </c>
      <c r="J2469" t="s">
        <v>317</v>
      </c>
      <c r="K2469" t="s">
        <v>5</v>
      </c>
      <c r="L2469" t="s">
        <v>21</v>
      </c>
      <c r="M2469" t="s">
        <v>114</v>
      </c>
      <c r="N2469" s="2">
        <v>45869</v>
      </c>
    </row>
    <row r="2470" spans="1:14" x14ac:dyDescent="0.25">
      <c r="A2470" t="s">
        <v>474</v>
      </c>
      <c r="B2470" s="2">
        <v>45869</v>
      </c>
      <c r="C2470" t="s">
        <v>474</v>
      </c>
      <c r="D2470" t="s">
        <v>112</v>
      </c>
      <c r="E2470" t="s">
        <v>9</v>
      </c>
      <c r="F2470" s="3">
        <v>5450</v>
      </c>
      <c r="G2470" s="3">
        <v>5450</v>
      </c>
      <c r="H2470" t="s">
        <v>3</v>
      </c>
      <c r="I2470" t="s">
        <v>3</v>
      </c>
      <c r="J2470" t="s">
        <v>318</v>
      </c>
      <c r="K2470" t="s">
        <v>5</v>
      </c>
      <c r="L2470" t="s">
        <v>21</v>
      </c>
      <c r="M2470" t="s">
        <v>114</v>
      </c>
      <c r="N2470" s="2">
        <v>45869</v>
      </c>
    </row>
    <row r="2471" spans="1:14" x14ac:dyDescent="0.25">
      <c r="A2471" t="s">
        <v>474</v>
      </c>
      <c r="B2471" s="2">
        <v>45869</v>
      </c>
      <c r="C2471" t="s">
        <v>474</v>
      </c>
      <c r="D2471" t="s">
        <v>112</v>
      </c>
      <c r="E2471" t="s">
        <v>9</v>
      </c>
      <c r="F2471" s="3">
        <v>19913.8</v>
      </c>
      <c r="G2471" s="3">
        <v>19913.8</v>
      </c>
      <c r="H2471" t="s">
        <v>3</v>
      </c>
      <c r="I2471" t="s">
        <v>3</v>
      </c>
      <c r="J2471" t="s">
        <v>382</v>
      </c>
      <c r="K2471" t="s">
        <v>5</v>
      </c>
      <c r="L2471" t="s">
        <v>21</v>
      </c>
      <c r="M2471" t="s">
        <v>114</v>
      </c>
      <c r="N2471" s="2">
        <v>45869</v>
      </c>
    </row>
    <row r="2472" spans="1:14" x14ac:dyDescent="0.25">
      <c r="A2472" t="s">
        <v>474</v>
      </c>
      <c r="B2472" s="2">
        <v>45869</v>
      </c>
      <c r="C2472" t="s">
        <v>474</v>
      </c>
      <c r="D2472" t="s">
        <v>301</v>
      </c>
      <c r="E2472" t="s">
        <v>9</v>
      </c>
      <c r="F2472" s="3">
        <v>-34013.800000000003</v>
      </c>
      <c r="G2472" s="3">
        <v>-34013.800000000003</v>
      </c>
      <c r="H2472" t="s">
        <v>3</v>
      </c>
      <c r="I2472" t="s">
        <v>3</v>
      </c>
      <c r="J2472" t="s">
        <v>10</v>
      </c>
      <c r="K2472" t="s">
        <v>5</v>
      </c>
      <c r="L2472" t="s">
        <v>21</v>
      </c>
      <c r="M2472" t="s">
        <v>302</v>
      </c>
      <c r="N2472" s="2">
        <v>45869</v>
      </c>
    </row>
    <row r="2473" spans="1:14" x14ac:dyDescent="0.25">
      <c r="A2473" s="4" t="s">
        <v>262</v>
      </c>
      <c r="B2473" s="5"/>
      <c r="C2473" s="4" t="s">
        <v>9</v>
      </c>
      <c r="D2473" s="4" t="s">
        <v>9</v>
      </c>
      <c r="E2473" s="4" t="s">
        <v>9</v>
      </c>
      <c r="F2473" s="6">
        <v>0</v>
      </c>
      <c r="G2473" s="6">
        <v>0</v>
      </c>
      <c r="H2473" s="4" t="s">
        <v>9</v>
      </c>
      <c r="I2473" s="4" t="s">
        <v>3</v>
      </c>
      <c r="J2473" s="4" t="s">
        <v>9</v>
      </c>
      <c r="K2473" s="4" t="s">
        <v>9</v>
      </c>
      <c r="L2473" s="4" t="s">
        <v>9</v>
      </c>
      <c r="M2473" s="4" t="s">
        <v>9</v>
      </c>
      <c r="N2473" s="5"/>
    </row>
    <row r="2474" spans="1:14" x14ac:dyDescent="0.25">
      <c r="A2474" t="s">
        <v>474</v>
      </c>
      <c r="B2474" s="2">
        <v>45901</v>
      </c>
      <c r="C2474" t="s">
        <v>474</v>
      </c>
      <c r="D2474" t="s">
        <v>112</v>
      </c>
      <c r="E2474" t="s">
        <v>9</v>
      </c>
      <c r="F2474" s="3">
        <v>-12911.6</v>
      </c>
      <c r="G2474" s="3">
        <v>-12911.6</v>
      </c>
      <c r="H2474" t="s">
        <v>3</v>
      </c>
      <c r="I2474" t="s">
        <v>3</v>
      </c>
      <c r="J2474" t="s">
        <v>9</v>
      </c>
      <c r="K2474" t="s">
        <v>9</v>
      </c>
      <c r="L2474" t="s">
        <v>22</v>
      </c>
      <c r="M2474" t="s">
        <v>114</v>
      </c>
      <c r="N2474" s="2">
        <v>45900</v>
      </c>
    </row>
    <row r="2475" spans="1:14" x14ac:dyDescent="0.25">
      <c r="A2475" t="s">
        <v>474</v>
      </c>
      <c r="B2475" s="2">
        <v>45903</v>
      </c>
      <c r="C2475" t="s">
        <v>474</v>
      </c>
      <c r="D2475" t="s">
        <v>112</v>
      </c>
      <c r="E2475" t="s">
        <v>9</v>
      </c>
      <c r="F2475" s="3">
        <v>-3500</v>
      </c>
      <c r="G2475" s="3">
        <v>-3500</v>
      </c>
      <c r="H2475" t="s">
        <v>3</v>
      </c>
      <c r="I2475" t="s">
        <v>3</v>
      </c>
      <c r="J2475" t="s">
        <v>9</v>
      </c>
      <c r="K2475" t="s">
        <v>9</v>
      </c>
      <c r="L2475" t="s">
        <v>22</v>
      </c>
      <c r="M2475" t="s">
        <v>114</v>
      </c>
      <c r="N2475" s="2">
        <v>45900</v>
      </c>
    </row>
    <row r="2476" spans="1:14" x14ac:dyDescent="0.25">
      <c r="A2476" t="s">
        <v>474</v>
      </c>
      <c r="B2476" s="2">
        <v>45869</v>
      </c>
      <c r="C2476" t="s">
        <v>474</v>
      </c>
      <c r="D2476" t="s">
        <v>112</v>
      </c>
      <c r="E2476" t="s">
        <v>9</v>
      </c>
      <c r="F2476" s="3">
        <v>-91600</v>
      </c>
      <c r="G2476" s="3">
        <v>-91600</v>
      </c>
      <c r="H2476" t="s">
        <v>3</v>
      </c>
      <c r="I2476" t="s">
        <v>3</v>
      </c>
      <c r="J2476" t="s">
        <v>317</v>
      </c>
      <c r="K2476" t="s">
        <v>5</v>
      </c>
      <c r="L2476" t="s">
        <v>22</v>
      </c>
      <c r="M2476" t="s">
        <v>114</v>
      </c>
      <c r="N2476" s="2">
        <v>45870</v>
      </c>
    </row>
    <row r="2477" spans="1:14" x14ac:dyDescent="0.25">
      <c r="A2477" t="s">
        <v>474</v>
      </c>
      <c r="B2477" s="2">
        <v>45869</v>
      </c>
      <c r="C2477" t="s">
        <v>474</v>
      </c>
      <c r="D2477" t="s">
        <v>112</v>
      </c>
      <c r="E2477" t="s">
        <v>9</v>
      </c>
      <c r="F2477" s="3">
        <v>-5450</v>
      </c>
      <c r="G2477" s="3">
        <v>-5450</v>
      </c>
      <c r="H2477" t="s">
        <v>3</v>
      </c>
      <c r="I2477" t="s">
        <v>3</v>
      </c>
      <c r="J2477" t="s">
        <v>318</v>
      </c>
      <c r="K2477" t="s">
        <v>5</v>
      </c>
      <c r="L2477" t="s">
        <v>22</v>
      </c>
      <c r="M2477" t="s">
        <v>114</v>
      </c>
      <c r="N2477" s="2">
        <v>45870</v>
      </c>
    </row>
    <row r="2478" spans="1:14" x14ac:dyDescent="0.25">
      <c r="A2478" t="s">
        <v>474</v>
      </c>
      <c r="B2478" s="2">
        <v>45869</v>
      </c>
      <c r="C2478" t="s">
        <v>474</v>
      </c>
      <c r="D2478" t="s">
        <v>112</v>
      </c>
      <c r="E2478" t="s">
        <v>9</v>
      </c>
      <c r="F2478" s="3">
        <v>-19913.8</v>
      </c>
      <c r="G2478" s="3">
        <v>-19913.8</v>
      </c>
      <c r="H2478" t="s">
        <v>3</v>
      </c>
      <c r="I2478" t="s">
        <v>3</v>
      </c>
      <c r="J2478" t="s">
        <v>382</v>
      </c>
      <c r="K2478" t="s">
        <v>5</v>
      </c>
      <c r="L2478" t="s">
        <v>22</v>
      </c>
      <c r="M2478" t="s">
        <v>114</v>
      </c>
      <c r="N2478" s="2">
        <v>45870</v>
      </c>
    </row>
    <row r="2479" spans="1:14" x14ac:dyDescent="0.25">
      <c r="A2479" t="s">
        <v>474</v>
      </c>
      <c r="B2479" s="2">
        <v>45900</v>
      </c>
      <c r="C2479" t="s">
        <v>474</v>
      </c>
      <c r="D2479" t="s">
        <v>112</v>
      </c>
      <c r="E2479" t="s">
        <v>9</v>
      </c>
      <c r="F2479" s="3">
        <v>91700</v>
      </c>
      <c r="G2479" s="3">
        <v>91700</v>
      </c>
      <c r="H2479" t="s">
        <v>3</v>
      </c>
      <c r="I2479" t="s">
        <v>3</v>
      </c>
      <c r="J2479" t="s">
        <v>320</v>
      </c>
      <c r="K2479" t="s">
        <v>5</v>
      </c>
      <c r="L2479" t="s">
        <v>22</v>
      </c>
      <c r="M2479" t="s">
        <v>114</v>
      </c>
      <c r="N2479" s="2">
        <v>45900</v>
      </c>
    </row>
    <row r="2480" spans="1:14" x14ac:dyDescent="0.25">
      <c r="A2480" t="s">
        <v>474</v>
      </c>
      <c r="B2480" s="2">
        <v>45900</v>
      </c>
      <c r="C2480" t="s">
        <v>474</v>
      </c>
      <c r="D2480" t="s">
        <v>112</v>
      </c>
      <c r="E2480" t="s">
        <v>9</v>
      </c>
      <c r="F2480" s="3">
        <v>5450</v>
      </c>
      <c r="G2480" s="3">
        <v>5450</v>
      </c>
      <c r="H2480" t="s">
        <v>3</v>
      </c>
      <c r="I2480" t="s">
        <v>3</v>
      </c>
      <c r="J2480" t="s">
        <v>321</v>
      </c>
      <c r="K2480" t="s">
        <v>5</v>
      </c>
      <c r="L2480" t="s">
        <v>22</v>
      </c>
      <c r="M2480" t="s">
        <v>114</v>
      </c>
      <c r="N2480" s="2">
        <v>45900</v>
      </c>
    </row>
    <row r="2481" spans="1:14" x14ac:dyDescent="0.25">
      <c r="A2481" t="s">
        <v>474</v>
      </c>
      <c r="B2481" s="2">
        <v>45900</v>
      </c>
      <c r="C2481" t="s">
        <v>474</v>
      </c>
      <c r="D2481" t="s">
        <v>112</v>
      </c>
      <c r="E2481" t="s">
        <v>9</v>
      </c>
      <c r="F2481" s="3">
        <v>32725.4</v>
      </c>
      <c r="G2481" s="3">
        <v>32725.4</v>
      </c>
      <c r="H2481" t="s">
        <v>3</v>
      </c>
      <c r="I2481" t="s">
        <v>3</v>
      </c>
      <c r="J2481" t="s">
        <v>383</v>
      </c>
      <c r="K2481" t="s">
        <v>5</v>
      </c>
      <c r="L2481" t="s">
        <v>22</v>
      </c>
      <c r="M2481" t="s">
        <v>114</v>
      </c>
      <c r="N2481" s="2">
        <v>45900</v>
      </c>
    </row>
    <row r="2482" spans="1:14" x14ac:dyDescent="0.25">
      <c r="A2482" t="s">
        <v>474</v>
      </c>
      <c r="B2482" s="2">
        <v>45900</v>
      </c>
      <c r="C2482" t="s">
        <v>474</v>
      </c>
      <c r="D2482" t="s">
        <v>112</v>
      </c>
      <c r="E2482" t="s">
        <v>9</v>
      </c>
      <c r="F2482" s="3">
        <v>-91700</v>
      </c>
      <c r="G2482" s="3">
        <v>-91700</v>
      </c>
      <c r="H2482" t="s">
        <v>3</v>
      </c>
      <c r="I2482" t="s">
        <v>3</v>
      </c>
      <c r="J2482" t="s">
        <v>320</v>
      </c>
      <c r="K2482" t="s">
        <v>5</v>
      </c>
      <c r="L2482" t="s">
        <v>22</v>
      </c>
      <c r="M2482" t="s">
        <v>114</v>
      </c>
      <c r="N2482" s="2">
        <v>45900</v>
      </c>
    </row>
    <row r="2483" spans="1:14" x14ac:dyDescent="0.25">
      <c r="A2483" t="s">
        <v>474</v>
      </c>
      <c r="B2483" s="2">
        <v>45900</v>
      </c>
      <c r="C2483" t="s">
        <v>474</v>
      </c>
      <c r="D2483" t="s">
        <v>112</v>
      </c>
      <c r="E2483" t="s">
        <v>9</v>
      </c>
      <c r="F2483" s="3">
        <v>-5450</v>
      </c>
      <c r="G2483" s="3">
        <v>-5450</v>
      </c>
      <c r="H2483" t="s">
        <v>3</v>
      </c>
      <c r="I2483" t="s">
        <v>3</v>
      </c>
      <c r="J2483" t="s">
        <v>321</v>
      </c>
      <c r="K2483" t="s">
        <v>5</v>
      </c>
      <c r="L2483" t="s">
        <v>22</v>
      </c>
      <c r="M2483" t="s">
        <v>114</v>
      </c>
      <c r="N2483" s="2">
        <v>45900</v>
      </c>
    </row>
    <row r="2484" spans="1:14" x14ac:dyDescent="0.25">
      <c r="A2484" t="s">
        <v>474</v>
      </c>
      <c r="B2484" s="2">
        <v>45900</v>
      </c>
      <c r="C2484" t="s">
        <v>474</v>
      </c>
      <c r="D2484" t="s">
        <v>112</v>
      </c>
      <c r="E2484" t="s">
        <v>9</v>
      </c>
      <c r="F2484" s="3">
        <v>-32725.4</v>
      </c>
      <c r="G2484" s="3">
        <v>-32725.4</v>
      </c>
      <c r="H2484" t="s">
        <v>3</v>
      </c>
      <c r="I2484" t="s">
        <v>3</v>
      </c>
      <c r="J2484" t="s">
        <v>383</v>
      </c>
      <c r="K2484" t="s">
        <v>5</v>
      </c>
      <c r="L2484" t="s">
        <v>22</v>
      </c>
      <c r="M2484" t="s">
        <v>114</v>
      </c>
      <c r="N2484" s="2">
        <v>45900</v>
      </c>
    </row>
    <row r="2485" spans="1:14" x14ac:dyDescent="0.25">
      <c r="A2485" t="s">
        <v>474</v>
      </c>
      <c r="B2485" s="2">
        <v>45900</v>
      </c>
      <c r="C2485" t="s">
        <v>474</v>
      </c>
      <c r="D2485" t="s">
        <v>112</v>
      </c>
      <c r="E2485" t="s">
        <v>9</v>
      </c>
      <c r="F2485" s="3">
        <v>95100</v>
      </c>
      <c r="G2485" s="3">
        <v>95100</v>
      </c>
      <c r="H2485" t="s">
        <v>3</v>
      </c>
      <c r="I2485" t="s">
        <v>3</v>
      </c>
      <c r="J2485" t="s">
        <v>320</v>
      </c>
      <c r="K2485" t="s">
        <v>5</v>
      </c>
      <c r="L2485" t="s">
        <v>22</v>
      </c>
      <c r="M2485" t="s">
        <v>114</v>
      </c>
      <c r="N2485" s="2">
        <v>45900</v>
      </c>
    </row>
    <row r="2486" spans="1:14" x14ac:dyDescent="0.25">
      <c r="A2486" t="s">
        <v>474</v>
      </c>
      <c r="B2486" s="2">
        <v>45900</v>
      </c>
      <c r="C2486" t="s">
        <v>474</v>
      </c>
      <c r="D2486" t="s">
        <v>112</v>
      </c>
      <c r="E2486" t="s">
        <v>9</v>
      </c>
      <c r="F2486" s="3">
        <v>5450</v>
      </c>
      <c r="G2486" s="3">
        <v>5450</v>
      </c>
      <c r="H2486" t="s">
        <v>3</v>
      </c>
      <c r="I2486" t="s">
        <v>3</v>
      </c>
      <c r="J2486" t="s">
        <v>321</v>
      </c>
      <c r="K2486" t="s">
        <v>5</v>
      </c>
      <c r="L2486" t="s">
        <v>22</v>
      </c>
      <c r="M2486" t="s">
        <v>114</v>
      </c>
      <c r="N2486" s="2">
        <v>45900</v>
      </c>
    </row>
    <row r="2487" spans="1:14" x14ac:dyDescent="0.25">
      <c r="A2487" t="s">
        <v>474</v>
      </c>
      <c r="B2487" s="2">
        <v>45900</v>
      </c>
      <c r="C2487" t="s">
        <v>474</v>
      </c>
      <c r="D2487" t="s">
        <v>112</v>
      </c>
      <c r="E2487" t="s">
        <v>9</v>
      </c>
      <c r="F2487" s="3">
        <v>35915.32</v>
      </c>
      <c r="G2487" s="3">
        <v>35915.32</v>
      </c>
      <c r="H2487" t="s">
        <v>3</v>
      </c>
      <c r="I2487" t="s">
        <v>3</v>
      </c>
      <c r="J2487" t="s">
        <v>383</v>
      </c>
      <c r="K2487" t="s">
        <v>5</v>
      </c>
      <c r="L2487" t="s">
        <v>22</v>
      </c>
      <c r="M2487" t="s">
        <v>114</v>
      </c>
      <c r="N2487" s="2">
        <v>45900</v>
      </c>
    </row>
    <row r="2488" spans="1:14" x14ac:dyDescent="0.25">
      <c r="A2488" t="s">
        <v>474</v>
      </c>
      <c r="B2488" s="2">
        <v>45900</v>
      </c>
      <c r="C2488" t="s">
        <v>474</v>
      </c>
      <c r="D2488" t="s">
        <v>112</v>
      </c>
      <c r="E2488" t="s">
        <v>9</v>
      </c>
      <c r="F2488" s="3">
        <v>95200</v>
      </c>
      <c r="G2488" s="3">
        <v>95200</v>
      </c>
      <c r="H2488" t="s">
        <v>3</v>
      </c>
      <c r="I2488" t="s">
        <v>3</v>
      </c>
      <c r="J2488" t="s">
        <v>320</v>
      </c>
      <c r="K2488" t="s">
        <v>5</v>
      </c>
      <c r="L2488" t="s">
        <v>22</v>
      </c>
      <c r="M2488" t="s">
        <v>114</v>
      </c>
      <c r="N2488" s="2">
        <v>45900</v>
      </c>
    </row>
    <row r="2489" spans="1:14" x14ac:dyDescent="0.25">
      <c r="A2489" t="s">
        <v>474</v>
      </c>
      <c r="B2489" s="2">
        <v>45900</v>
      </c>
      <c r="C2489" t="s">
        <v>474</v>
      </c>
      <c r="D2489" t="s">
        <v>112</v>
      </c>
      <c r="E2489" t="s">
        <v>9</v>
      </c>
      <c r="F2489" s="3">
        <v>5450</v>
      </c>
      <c r="G2489" s="3">
        <v>5450</v>
      </c>
      <c r="H2489" t="s">
        <v>3</v>
      </c>
      <c r="I2489" t="s">
        <v>3</v>
      </c>
      <c r="J2489" t="s">
        <v>321</v>
      </c>
      <c r="K2489" t="s">
        <v>5</v>
      </c>
      <c r="L2489" t="s">
        <v>22</v>
      </c>
      <c r="M2489" t="s">
        <v>114</v>
      </c>
      <c r="N2489" s="2">
        <v>45900</v>
      </c>
    </row>
    <row r="2490" spans="1:14" x14ac:dyDescent="0.25">
      <c r="A2490" t="s">
        <v>474</v>
      </c>
      <c r="B2490" s="2">
        <v>45900</v>
      </c>
      <c r="C2490" t="s">
        <v>474</v>
      </c>
      <c r="D2490" t="s">
        <v>112</v>
      </c>
      <c r="E2490" t="s">
        <v>9</v>
      </c>
      <c r="F2490" s="3">
        <v>32725.4</v>
      </c>
      <c r="G2490" s="3">
        <v>32725.4</v>
      </c>
      <c r="H2490" t="s">
        <v>3</v>
      </c>
      <c r="I2490" t="s">
        <v>3</v>
      </c>
      <c r="J2490" t="s">
        <v>383</v>
      </c>
      <c r="K2490" t="s">
        <v>5</v>
      </c>
      <c r="L2490" t="s">
        <v>22</v>
      </c>
      <c r="M2490" t="s">
        <v>114</v>
      </c>
      <c r="N2490" s="2">
        <v>45900</v>
      </c>
    </row>
    <row r="2491" spans="1:14" x14ac:dyDescent="0.25">
      <c r="A2491" t="s">
        <v>474</v>
      </c>
      <c r="B2491" s="2">
        <v>45900</v>
      </c>
      <c r="C2491" t="s">
        <v>474</v>
      </c>
      <c r="D2491" t="s">
        <v>112</v>
      </c>
      <c r="E2491" t="s">
        <v>9</v>
      </c>
      <c r="F2491" s="3">
        <v>-95100</v>
      </c>
      <c r="G2491" s="3">
        <v>-95100</v>
      </c>
      <c r="H2491" t="s">
        <v>3</v>
      </c>
      <c r="I2491" t="s">
        <v>3</v>
      </c>
      <c r="J2491" t="s">
        <v>320</v>
      </c>
      <c r="K2491" t="s">
        <v>5</v>
      </c>
      <c r="L2491" t="s">
        <v>22</v>
      </c>
      <c r="M2491" t="s">
        <v>114</v>
      </c>
      <c r="N2491" s="2">
        <v>45900</v>
      </c>
    </row>
    <row r="2492" spans="1:14" x14ac:dyDescent="0.25">
      <c r="A2492" t="s">
        <v>474</v>
      </c>
      <c r="B2492" s="2">
        <v>45900</v>
      </c>
      <c r="C2492" t="s">
        <v>474</v>
      </c>
      <c r="D2492" t="s">
        <v>112</v>
      </c>
      <c r="E2492" t="s">
        <v>9</v>
      </c>
      <c r="F2492" s="3">
        <v>-5450</v>
      </c>
      <c r="G2492" s="3">
        <v>-5450</v>
      </c>
      <c r="H2492" t="s">
        <v>3</v>
      </c>
      <c r="I2492" t="s">
        <v>3</v>
      </c>
      <c r="J2492" t="s">
        <v>321</v>
      </c>
      <c r="K2492" t="s">
        <v>5</v>
      </c>
      <c r="L2492" t="s">
        <v>22</v>
      </c>
      <c r="M2492" t="s">
        <v>114</v>
      </c>
      <c r="N2492" s="2">
        <v>45900</v>
      </c>
    </row>
    <row r="2493" spans="1:14" x14ac:dyDescent="0.25">
      <c r="A2493" t="s">
        <v>474</v>
      </c>
      <c r="B2493" s="2">
        <v>45900</v>
      </c>
      <c r="C2493" t="s">
        <v>474</v>
      </c>
      <c r="D2493" t="s">
        <v>112</v>
      </c>
      <c r="E2493" t="s">
        <v>9</v>
      </c>
      <c r="F2493" s="3">
        <v>-35915.32</v>
      </c>
      <c r="G2493" s="3">
        <v>-35915.32</v>
      </c>
      <c r="H2493" t="s">
        <v>3</v>
      </c>
      <c r="I2493" t="s">
        <v>3</v>
      </c>
      <c r="J2493" t="s">
        <v>383</v>
      </c>
      <c r="K2493" t="s">
        <v>5</v>
      </c>
      <c r="L2493" t="s">
        <v>22</v>
      </c>
      <c r="M2493" t="s">
        <v>114</v>
      </c>
      <c r="N2493" s="2">
        <v>45900</v>
      </c>
    </row>
    <row r="2494" spans="1:14" x14ac:dyDescent="0.25">
      <c r="A2494" s="4" t="s">
        <v>267</v>
      </c>
      <c r="B2494" s="5"/>
      <c r="C2494" s="4" t="s">
        <v>9</v>
      </c>
      <c r="D2494" s="4" t="s">
        <v>9</v>
      </c>
      <c r="E2494" s="4" t="s">
        <v>9</v>
      </c>
      <c r="F2494" s="6">
        <v>0</v>
      </c>
      <c r="G2494" s="6">
        <v>0</v>
      </c>
      <c r="H2494" s="4" t="s">
        <v>9</v>
      </c>
      <c r="I2494" s="4" t="s">
        <v>3</v>
      </c>
      <c r="J2494" s="4" t="s">
        <v>9</v>
      </c>
      <c r="K2494" s="4" t="s">
        <v>9</v>
      </c>
      <c r="L2494" s="4" t="s">
        <v>9</v>
      </c>
      <c r="M2494" s="4" t="s">
        <v>9</v>
      </c>
      <c r="N2494" s="5"/>
    </row>
    <row r="2495" spans="1:14" x14ac:dyDescent="0.25">
      <c r="A2495" t="s">
        <v>474</v>
      </c>
      <c r="B2495" s="2">
        <v>45932</v>
      </c>
      <c r="C2495" t="s">
        <v>474</v>
      </c>
      <c r="D2495" t="s">
        <v>112</v>
      </c>
      <c r="E2495" t="s">
        <v>9</v>
      </c>
      <c r="F2495" s="3">
        <v>-3797.38</v>
      </c>
      <c r="G2495" s="3">
        <v>-3797.38</v>
      </c>
      <c r="H2495" t="s">
        <v>3</v>
      </c>
      <c r="I2495" t="s">
        <v>3</v>
      </c>
      <c r="J2495" t="s">
        <v>9</v>
      </c>
      <c r="K2495" t="s">
        <v>9</v>
      </c>
      <c r="L2495" t="s">
        <v>6</v>
      </c>
      <c r="M2495" t="s">
        <v>114</v>
      </c>
      <c r="N2495" s="2">
        <v>45930</v>
      </c>
    </row>
    <row r="2496" spans="1:14" x14ac:dyDescent="0.25">
      <c r="A2496" t="s">
        <v>474</v>
      </c>
      <c r="B2496" s="2">
        <v>45900</v>
      </c>
      <c r="C2496" t="s">
        <v>474</v>
      </c>
      <c r="D2496" t="s">
        <v>112</v>
      </c>
      <c r="E2496" t="s">
        <v>9</v>
      </c>
      <c r="F2496" s="3">
        <v>-91700</v>
      </c>
      <c r="G2496" s="3">
        <v>-91700</v>
      </c>
      <c r="H2496" t="s">
        <v>3</v>
      </c>
      <c r="I2496" t="s">
        <v>3</v>
      </c>
      <c r="J2496" t="s">
        <v>320</v>
      </c>
      <c r="K2496" t="s">
        <v>5</v>
      </c>
      <c r="L2496" t="s">
        <v>6</v>
      </c>
      <c r="M2496" t="s">
        <v>114</v>
      </c>
      <c r="N2496" s="2">
        <v>45901</v>
      </c>
    </row>
    <row r="2497" spans="1:14" x14ac:dyDescent="0.25">
      <c r="A2497" t="s">
        <v>474</v>
      </c>
      <c r="B2497" s="2">
        <v>45900</v>
      </c>
      <c r="C2497" t="s">
        <v>474</v>
      </c>
      <c r="D2497" t="s">
        <v>112</v>
      </c>
      <c r="E2497" t="s">
        <v>9</v>
      </c>
      <c r="F2497" s="3">
        <v>-5450</v>
      </c>
      <c r="G2497" s="3">
        <v>-5450</v>
      </c>
      <c r="H2497" t="s">
        <v>3</v>
      </c>
      <c r="I2497" t="s">
        <v>3</v>
      </c>
      <c r="J2497" t="s">
        <v>321</v>
      </c>
      <c r="K2497" t="s">
        <v>5</v>
      </c>
      <c r="L2497" t="s">
        <v>6</v>
      </c>
      <c r="M2497" t="s">
        <v>114</v>
      </c>
      <c r="N2497" s="2">
        <v>45901</v>
      </c>
    </row>
    <row r="2498" spans="1:14" x14ac:dyDescent="0.25">
      <c r="A2498" t="s">
        <v>474</v>
      </c>
      <c r="B2498" s="2">
        <v>45900</v>
      </c>
      <c r="C2498" t="s">
        <v>474</v>
      </c>
      <c r="D2498" t="s">
        <v>112</v>
      </c>
      <c r="E2498" t="s">
        <v>9</v>
      </c>
      <c r="F2498" s="3">
        <v>-32725.4</v>
      </c>
      <c r="G2498" s="3">
        <v>-32725.4</v>
      </c>
      <c r="H2498" t="s">
        <v>3</v>
      </c>
      <c r="I2498" t="s">
        <v>3</v>
      </c>
      <c r="J2498" t="s">
        <v>383</v>
      </c>
      <c r="K2498" t="s">
        <v>5</v>
      </c>
      <c r="L2498" t="s">
        <v>6</v>
      </c>
      <c r="M2498" t="s">
        <v>114</v>
      </c>
      <c r="N2498" s="2">
        <v>45901</v>
      </c>
    </row>
    <row r="2499" spans="1:14" x14ac:dyDescent="0.25">
      <c r="A2499" t="s">
        <v>474</v>
      </c>
      <c r="B2499" s="2">
        <v>45900</v>
      </c>
      <c r="C2499" t="s">
        <v>474</v>
      </c>
      <c r="D2499" t="s">
        <v>112</v>
      </c>
      <c r="E2499" t="s">
        <v>9</v>
      </c>
      <c r="F2499" s="3">
        <v>91700</v>
      </c>
      <c r="G2499" s="3">
        <v>91700</v>
      </c>
      <c r="H2499" t="s">
        <v>3</v>
      </c>
      <c r="I2499" t="s">
        <v>3</v>
      </c>
      <c r="J2499" t="s">
        <v>320</v>
      </c>
      <c r="K2499" t="s">
        <v>5</v>
      </c>
      <c r="L2499" t="s">
        <v>6</v>
      </c>
      <c r="M2499" t="s">
        <v>114</v>
      </c>
      <c r="N2499" s="2">
        <v>45901</v>
      </c>
    </row>
    <row r="2500" spans="1:14" x14ac:dyDescent="0.25">
      <c r="A2500" t="s">
        <v>474</v>
      </c>
      <c r="B2500" s="2">
        <v>45900</v>
      </c>
      <c r="C2500" t="s">
        <v>474</v>
      </c>
      <c r="D2500" t="s">
        <v>112</v>
      </c>
      <c r="E2500" t="s">
        <v>9</v>
      </c>
      <c r="F2500" s="3">
        <v>5450</v>
      </c>
      <c r="G2500" s="3">
        <v>5450</v>
      </c>
      <c r="H2500" t="s">
        <v>3</v>
      </c>
      <c r="I2500" t="s">
        <v>3</v>
      </c>
      <c r="J2500" t="s">
        <v>321</v>
      </c>
      <c r="K2500" t="s">
        <v>5</v>
      </c>
      <c r="L2500" t="s">
        <v>6</v>
      </c>
      <c r="M2500" t="s">
        <v>114</v>
      </c>
      <c r="N2500" s="2">
        <v>45901</v>
      </c>
    </row>
    <row r="2501" spans="1:14" x14ac:dyDescent="0.25">
      <c r="A2501" t="s">
        <v>474</v>
      </c>
      <c r="B2501" s="2">
        <v>45900</v>
      </c>
      <c r="C2501" t="s">
        <v>474</v>
      </c>
      <c r="D2501" t="s">
        <v>112</v>
      </c>
      <c r="E2501" t="s">
        <v>9</v>
      </c>
      <c r="F2501" s="3">
        <v>32725.4</v>
      </c>
      <c r="G2501" s="3">
        <v>32725.4</v>
      </c>
      <c r="H2501" t="s">
        <v>3</v>
      </c>
      <c r="I2501" t="s">
        <v>3</v>
      </c>
      <c r="J2501" t="s">
        <v>383</v>
      </c>
      <c r="K2501" t="s">
        <v>5</v>
      </c>
      <c r="L2501" t="s">
        <v>6</v>
      </c>
      <c r="M2501" t="s">
        <v>114</v>
      </c>
      <c r="N2501" s="2">
        <v>45901</v>
      </c>
    </row>
    <row r="2502" spans="1:14" x14ac:dyDescent="0.25">
      <c r="A2502" t="s">
        <v>474</v>
      </c>
      <c r="B2502" s="2">
        <v>45900</v>
      </c>
      <c r="C2502" t="s">
        <v>474</v>
      </c>
      <c r="D2502" t="s">
        <v>112</v>
      </c>
      <c r="E2502" t="s">
        <v>9</v>
      </c>
      <c r="F2502" s="3">
        <v>-95100</v>
      </c>
      <c r="G2502" s="3">
        <v>-95100</v>
      </c>
      <c r="H2502" t="s">
        <v>3</v>
      </c>
      <c r="I2502" t="s">
        <v>3</v>
      </c>
      <c r="J2502" t="s">
        <v>320</v>
      </c>
      <c r="K2502" t="s">
        <v>5</v>
      </c>
      <c r="L2502" t="s">
        <v>6</v>
      </c>
      <c r="M2502" t="s">
        <v>114</v>
      </c>
      <c r="N2502" s="2">
        <v>45901</v>
      </c>
    </row>
    <row r="2503" spans="1:14" x14ac:dyDescent="0.25">
      <c r="A2503" t="s">
        <v>474</v>
      </c>
      <c r="B2503" s="2">
        <v>45900</v>
      </c>
      <c r="C2503" t="s">
        <v>474</v>
      </c>
      <c r="D2503" t="s">
        <v>112</v>
      </c>
      <c r="E2503" t="s">
        <v>9</v>
      </c>
      <c r="F2503" s="3">
        <v>-5450</v>
      </c>
      <c r="G2503" s="3">
        <v>-5450</v>
      </c>
      <c r="H2503" t="s">
        <v>3</v>
      </c>
      <c r="I2503" t="s">
        <v>3</v>
      </c>
      <c r="J2503" t="s">
        <v>321</v>
      </c>
      <c r="K2503" t="s">
        <v>5</v>
      </c>
      <c r="L2503" t="s">
        <v>6</v>
      </c>
      <c r="M2503" t="s">
        <v>114</v>
      </c>
      <c r="N2503" s="2">
        <v>45901</v>
      </c>
    </row>
    <row r="2504" spans="1:14" x14ac:dyDescent="0.25">
      <c r="A2504" t="s">
        <v>474</v>
      </c>
      <c r="B2504" s="2">
        <v>45900</v>
      </c>
      <c r="C2504" t="s">
        <v>474</v>
      </c>
      <c r="D2504" t="s">
        <v>112</v>
      </c>
      <c r="E2504" t="s">
        <v>9</v>
      </c>
      <c r="F2504" s="3">
        <v>-35915.32</v>
      </c>
      <c r="G2504" s="3">
        <v>-35915.32</v>
      </c>
      <c r="H2504" t="s">
        <v>3</v>
      </c>
      <c r="I2504" t="s">
        <v>3</v>
      </c>
      <c r="J2504" t="s">
        <v>383</v>
      </c>
      <c r="K2504" t="s">
        <v>5</v>
      </c>
      <c r="L2504" t="s">
        <v>6</v>
      </c>
      <c r="M2504" t="s">
        <v>114</v>
      </c>
      <c r="N2504" s="2">
        <v>45901</v>
      </c>
    </row>
    <row r="2505" spans="1:14" x14ac:dyDescent="0.25">
      <c r="A2505" t="s">
        <v>474</v>
      </c>
      <c r="B2505" s="2">
        <v>45900</v>
      </c>
      <c r="C2505" t="s">
        <v>474</v>
      </c>
      <c r="D2505" t="s">
        <v>112</v>
      </c>
      <c r="E2505" t="s">
        <v>9</v>
      </c>
      <c r="F2505" s="3">
        <v>95100</v>
      </c>
      <c r="G2505" s="3">
        <v>95100</v>
      </c>
      <c r="H2505" t="s">
        <v>3</v>
      </c>
      <c r="I2505" t="s">
        <v>3</v>
      </c>
      <c r="J2505" t="s">
        <v>320</v>
      </c>
      <c r="K2505" t="s">
        <v>5</v>
      </c>
      <c r="L2505" t="s">
        <v>6</v>
      </c>
      <c r="M2505" t="s">
        <v>114</v>
      </c>
      <c r="N2505" s="2">
        <v>45901</v>
      </c>
    </row>
    <row r="2506" spans="1:14" x14ac:dyDescent="0.25">
      <c r="A2506" t="s">
        <v>474</v>
      </c>
      <c r="B2506" s="2">
        <v>45900</v>
      </c>
      <c r="C2506" t="s">
        <v>474</v>
      </c>
      <c r="D2506" t="s">
        <v>112</v>
      </c>
      <c r="E2506" t="s">
        <v>9</v>
      </c>
      <c r="F2506" s="3">
        <v>5450</v>
      </c>
      <c r="G2506" s="3">
        <v>5450</v>
      </c>
      <c r="H2506" t="s">
        <v>3</v>
      </c>
      <c r="I2506" t="s">
        <v>3</v>
      </c>
      <c r="J2506" t="s">
        <v>321</v>
      </c>
      <c r="K2506" t="s">
        <v>5</v>
      </c>
      <c r="L2506" t="s">
        <v>6</v>
      </c>
      <c r="M2506" t="s">
        <v>114</v>
      </c>
      <c r="N2506" s="2">
        <v>45901</v>
      </c>
    </row>
    <row r="2507" spans="1:14" x14ac:dyDescent="0.25">
      <c r="A2507" t="s">
        <v>474</v>
      </c>
      <c r="B2507" s="2">
        <v>45900</v>
      </c>
      <c r="C2507" t="s">
        <v>474</v>
      </c>
      <c r="D2507" t="s">
        <v>112</v>
      </c>
      <c r="E2507" t="s">
        <v>9</v>
      </c>
      <c r="F2507" s="3">
        <v>35915.32</v>
      </c>
      <c r="G2507" s="3">
        <v>35915.32</v>
      </c>
      <c r="H2507" t="s">
        <v>3</v>
      </c>
      <c r="I2507" t="s">
        <v>3</v>
      </c>
      <c r="J2507" t="s">
        <v>383</v>
      </c>
      <c r="K2507" t="s">
        <v>5</v>
      </c>
      <c r="L2507" t="s">
        <v>6</v>
      </c>
      <c r="M2507" t="s">
        <v>114</v>
      </c>
      <c r="N2507" s="2">
        <v>45901</v>
      </c>
    </row>
    <row r="2508" spans="1:14" x14ac:dyDescent="0.25">
      <c r="A2508" t="s">
        <v>474</v>
      </c>
      <c r="B2508" s="2">
        <v>45900</v>
      </c>
      <c r="C2508" t="s">
        <v>474</v>
      </c>
      <c r="D2508" t="s">
        <v>112</v>
      </c>
      <c r="E2508" t="s">
        <v>9</v>
      </c>
      <c r="F2508" s="3">
        <v>-95200</v>
      </c>
      <c r="G2508" s="3">
        <v>-95200</v>
      </c>
      <c r="H2508" t="s">
        <v>3</v>
      </c>
      <c r="I2508" t="s">
        <v>3</v>
      </c>
      <c r="J2508" t="s">
        <v>320</v>
      </c>
      <c r="K2508" t="s">
        <v>5</v>
      </c>
      <c r="L2508" t="s">
        <v>6</v>
      </c>
      <c r="M2508" t="s">
        <v>114</v>
      </c>
      <c r="N2508" s="2">
        <v>45901</v>
      </c>
    </row>
    <row r="2509" spans="1:14" x14ac:dyDescent="0.25">
      <c r="A2509" t="s">
        <v>474</v>
      </c>
      <c r="B2509" s="2">
        <v>45900</v>
      </c>
      <c r="C2509" t="s">
        <v>474</v>
      </c>
      <c r="D2509" t="s">
        <v>112</v>
      </c>
      <c r="E2509" t="s">
        <v>9</v>
      </c>
      <c r="F2509" s="3">
        <v>-5450</v>
      </c>
      <c r="G2509" s="3">
        <v>-5450</v>
      </c>
      <c r="H2509" t="s">
        <v>3</v>
      </c>
      <c r="I2509" t="s">
        <v>3</v>
      </c>
      <c r="J2509" t="s">
        <v>321</v>
      </c>
      <c r="K2509" t="s">
        <v>5</v>
      </c>
      <c r="L2509" t="s">
        <v>6</v>
      </c>
      <c r="M2509" t="s">
        <v>114</v>
      </c>
      <c r="N2509" s="2">
        <v>45901</v>
      </c>
    </row>
    <row r="2510" spans="1:14" x14ac:dyDescent="0.25">
      <c r="A2510" t="s">
        <v>474</v>
      </c>
      <c r="B2510" s="2">
        <v>45900</v>
      </c>
      <c r="C2510" t="s">
        <v>474</v>
      </c>
      <c r="D2510" t="s">
        <v>112</v>
      </c>
      <c r="E2510" t="s">
        <v>9</v>
      </c>
      <c r="F2510" s="3">
        <v>-32725.4</v>
      </c>
      <c r="G2510" s="3">
        <v>-32725.4</v>
      </c>
      <c r="H2510" t="s">
        <v>3</v>
      </c>
      <c r="I2510" t="s">
        <v>3</v>
      </c>
      <c r="J2510" t="s">
        <v>383</v>
      </c>
      <c r="K2510" t="s">
        <v>5</v>
      </c>
      <c r="L2510" t="s">
        <v>6</v>
      </c>
      <c r="M2510" t="s">
        <v>114</v>
      </c>
      <c r="N2510" s="2">
        <v>45901</v>
      </c>
    </row>
    <row r="2511" spans="1:14" x14ac:dyDescent="0.25">
      <c r="A2511" t="s">
        <v>474</v>
      </c>
      <c r="B2511" s="2">
        <v>45930</v>
      </c>
      <c r="C2511" t="s">
        <v>474</v>
      </c>
      <c r="D2511" t="s">
        <v>112</v>
      </c>
      <c r="E2511" t="s">
        <v>9</v>
      </c>
      <c r="F2511" s="3">
        <v>97200</v>
      </c>
      <c r="G2511" s="3">
        <v>97200</v>
      </c>
      <c r="H2511" t="s">
        <v>3</v>
      </c>
      <c r="I2511" t="s">
        <v>3</v>
      </c>
      <c r="J2511" t="s">
        <v>323</v>
      </c>
      <c r="K2511" t="s">
        <v>5</v>
      </c>
      <c r="L2511" t="s">
        <v>6</v>
      </c>
      <c r="M2511" t="s">
        <v>114</v>
      </c>
      <c r="N2511" s="2">
        <v>45930</v>
      </c>
    </row>
    <row r="2512" spans="1:14" x14ac:dyDescent="0.25">
      <c r="A2512" t="s">
        <v>474</v>
      </c>
      <c r="B2512" s="2">
        <v>45930</v>
      </c>
      <c r="C2512" t="s">
        <v>474</v>
      </c>
      <c r="D2512" t="s">
        <v>112</v>
      </c>
      <c r="E2512" t="s">
        <v>9</v>
      </c>
      <c r="F2512" s="3">
        <v>7150</v>
      </c>
      <c r="G2512" s="3">
        <v>7150</v>
      </c>
      <c r="H2512" t="s">
        <v>3</v>
      </c>
      <c r="I2512" t="s">
        <v>3</v>
      </c>
      <c r="J2512" t="s">
        <v>324</v>
      </c>
      <c r="K2512" t="s">
        <v>5</v>
      </c>
      <c r="L2512" t="s">
        <v>6</v>
      </c>
      <c r="M2512" t="s">
        <v>114</v>
      </c>
      <c r="N2512" s="2">
        <v>45930</v>
      </c>
    </row>
    <row r="2513" spans="1:14" x14ac:dyDescent="0.25">
      <c r="A2513" t="s">
        <v>474</v>
      </c>
      <c r="B2513" s="2">
        <v>45930</v>
      </c>
      <c r="C2513" t="s">
        <v>474</v>
      </c>
      <c r="D2513" t="s">
        <v>112</v>
      </c>
      <c r="E2513" t="s">
        <v>9</v>
      </c>
      <c r="F2513" s="3">
        <v>32822.78</v>
      </c>
      <c r="G2513" s="3">
        <v>32822.78</v>
      </c>
      <c r="H2513" t="s">
        <v>3</v>
      </c>
      <c r="I2513" t="s">
        <v>3</v>
      </c>
      <c r="J2513" t="s">
        <v>384</v>
      </c>
      <c r="K2513" t="s">
        <v>5</v>
      </c>
      <c r="L2513" t="s">
        <v>6</v>
      </c>
      <c r="M2513" t="s">
        <v>114</v>
      </c>
      <c r="N2513" s="2">
        <v>45930</v>
      </c>
    </row>
    <row r="2514" spans="1:14" x14ac:dyDescent="0.25">
      <c r="A2514" s="4" t="s">
        <v>272</v>
      </c>
      <c r="B2514" s="5"/>
      <c r="C2514" s="4" t="s">
        <v>9</v>
      </c>
      <c r="D2514" s="4" t="s">
        <v>9</v>
      </c>
      <c r="E2514" s="4" t="s">
        <v>9</v>
      </c>
      <c r="F2514" s="6">
        <v>0</v>
      </c>
      <c r="G2514" s="6">
        <v>0</v>
      </c>
      <c r="H2514" s="4" t="s">
        <v>9</v>
      </c>
      <c r="I2514" s="4" t="s">
        <v>3</v>
      </c>
      <c r="J2514" s="4" t="s">
        <v>9</v>
      </c>
      <c r="K2514" s="4" t="s">
        <v>9</v>
      </c>
      <c r="L2514" s="4" t="s">
        <v>9</v>
      </c>
      <c r="M2514" s="4" t="s">
        <v>9</v>
      </c>
      <c r="N2514" s="5"/>
    </row>
    <row r="2515" spans="1:14" x14ac:dyDescent="0.25">
      <c r="A2515" t="s">
        <v>474</v>
      </c>
      <c r="B2515" s="2">
        <v>45965</v>
      </c>
      <c r="C2515" t="s">
        <v>474</v>
      </c>
      <c r="D2515" t="s">
        <v>112</v>
      </c>
      <c r="E2515" t="s">
        <v>9</v>
      </c>
      <c r="F2515" s="3">
        <v>-1000</v>
      </c>
      <c r="G2515" s="3">
        <v>-1000</v>
      </c>
      <c r="H2515" t="s">
        <v>3</v>
      </c>
      <c r="I2515" t="s">
        <v>3</v>
      </c>
      <c r="J2515" t="s">
        <v>9</v>
      </c>
      <c r="K2515" t="s">
        <v>9</v>
      </c>
      <c r="L2515" t="s">
        <v>8</v>
      </c>
      <c r="M2515" t="s">
        <v>114</v>
      </c>
      <c r="N2515" s="2">
        <v>45961</v>
      </c>
    </row>
    <row r="2516" spans="1:14" x14ac:dyDescent="0.25">
      <c r="A2516" t="s">
        <v>474</v>
      </c>
      <c r="B2516" s="2">
        <v>45930</v>
      </c>
      <c r="C2516" t="s">
        <v>474</v>
      </c>
      <c r="D2516" t="s">
        <v>112</v>
      </c>
      <c r="E2516" t="s">
        <v>9</v>
      </c>
      <c r="F2516" s="3">
        <v>-97200</v>
      </c>
      <c r="G2516" s="3">
        <v>-97200</v>
      </c>
      <c r="H2516" t="s">
        <v>3</v>
      </c>
      <c r="I2516" t="s">
        <v>3</v>
      </c>
      <c r="J2516" t="s">
        <v>323</v>
      </c>
      <c r="K2516" t="s">
        <v>5</v>
      </c>
      <c r="L2516" t="s">
        <v>8</v>
      </c>
      <c r="M2516" t="s">
        <v>114</v>
      </c>
      <c r="N2516" s="2">
        <v>45931</v>
      </c>
    </row>
    <row r="2517" spans="1:14" x14ac:dyDescent="0.25">
      <c r="A2517" t="s">
        <v>474</v>
      </c>
      <c r="B2517" s="2">
        <v>45930</v>
      </c>
      <c r="C2517" t="s">
        <v>474</v>
      </c>
      <c r="D2517" t="s">
        <v>112</v>
      </c>
      <c r="E2517" t="s">
        <v>9</v>
      </c>
      <c r="F2517" s="3">
        <v>-7150</v>
      </c>
      <c r="G2517" s="3">
        <v>-7150</v>
      </c>
      <c r="H2517" t="s">
        <v>3</v>
      </c>
      <c r="I2517" t="s">
        <v>3</v>
      </c>
      <c r="J2517" t="s">
        <v>324</v>
      </c>
      <c r="K2517" t="s">
        <v>5</v>
      </c>
      <c r="L2517" t="s">
        <v>8</v>
      </c>
      <c r="M2517" t="s">
        <v>114</v>
      </c>
      <c r="N2517" s="2">
        <v>45931</v>
      </c>
    </row>
    <row r="2518" spans="1:14" x14ac:dyDescent="0.25">
      <c r="A2518" t="s">
        <v>474</v>
      </c>
      <c r="B2518" s="2">
        <v>45930</v>
      </c>
      <c r="C2518" t="s">
        <v>474</v>
      </c>
      <c r="D2518" t="s">
        <v>112</v>
      </c>
      <c r="E2518" t="s">
        <v>9</v>
      </c>
      <c r="F2518" s="3">
        <v>-32822.78</v>
      </c>
      <c r="G2518" s="3">
        <v>-32822.78</v>
      </c>
      <c r="H2518" t="s">
        <v>3</v>
      </c>
      <c r="I2518" t="s">
        <v>3</v>
      </c>
      <c r="J2518" t="s">
        <v>384</v>
      </c>
      <c r="K2518" t="s">
        <v>5</v>
      </c>
      <c r="L2518" t="s">
        <v>8</v>
      </c>
      <c r="M2518" t="s">
        <v>114</v>
      </c>
      <c r="N2518" s="2">
        <v>45931</v>
      </c>
    </row>
    <row r="2519" spans="1:14" x14ac:dyDescent="0.25">
      <c r="A2519" t="s">
        <v>474</v>
      </c>
      <c r="B2519" s="2">
        <v>45961</v>
      </c>
      <c r="C2519" t="s">
        <v>474</v>
      </c>
      <c r="D2519" t="s">
        <v>112</v>
      </c>
      <c r="E2519" t="s">
        <v>9</v>
      </c>
      <c r="F2519" s="3">
        <v>98200</v>
      </c>
      <c r="G2519" s="3">
        <v>98200</v>
      </c>
      <c r="H2519" t="s">
        <v>3</v>
      </c>
      <c r="I2519" t="s">
        <v>3</v>
      </c>
      <c r="J2519" t="s">
        <v>325</v>
      </c>
      <c r="K2519" t="s">
        <v>5</v>
      </c>
      <c r="L2519" t="s">
        <v>8</v>
      </c>
      <c r="M2519" t="s">
        <v>114</v>
      </c>
      <c r="N2519" s="2">
        <v>45961</v>
      </c>
    </row>
    <row r="2520" spans="1:14" x14ac:dyDescent="0.25">
      <c r="A2520" t="s">
        <v>474</v>
      </c>
      <c r="B2520" s="2">
        <v>45961</v>
      </c>
      <c r="C2520" t="s">
        <v>474</v>
      </c>
      <c r="D2520" t="s">
        <v>112</v>
      </c>
      <c r="E2520" t="s">
        <v>9</v>
      </c>
      <c r="F2520" s="3">
        <v>7150</v>
      </c>
      <c r="G2520" s="3">
        <v>7150</v>
      </c>
      <c r="H2520" t="s">
        <v>3</v>
      </c>
      <c r="I2520" t="s">
        <v>3</v>
      </c>
      <c r="J2520" t="s">
        <v>326</v>
      </c>
      <c r="K2520" t="s">
        <v>5</v>
      </c>
      <c r="L2520" t="s">
        <v>8</v>
      </c>
      <c r="M2520" t="s">
        <v>114</v>
      </c>
      <c r="N2520" s="2">
        <v>45961</v>
      </c>
    </row>
    <row r="2521" spans="1:14" x14ac:dyDescent="0.25">
      <c r="A2521" t="s">
        <v>474</v>
      </c>
      <c r="B2521" s="2">
        <v>45961</v>
      </c>
      <c r="C2521" t="s">
        <v>474</v>
      </c>
      <c r="D2521" t="s">
        <v>112</v>
      </c>
      <c r="E2521" t="s">
        <v>9</v>
      </c>
      <c r="F2521" s="3">
        <v>32822.78</v>
      </c>
      <c r="G2521" s="3">
        <v>32822.78</v>
      </c>
      <c r="H2521" t="s">
        <v>3</v>
      </c>
      <c r="I2521" t="s">
        <v>3</v>
      </c>
      <c r="J2521" t="s">
        <v>385</v>
      </c>
      <c r="K2521" t="s">
        <v>5</v>
      </c>
      <c r="L2521" t="s">
        <v>8</v>
      </c>
      <c r="M2521" t="s">
        <v>114</v>
      </c>
      <c r="N2521" s="2">
        <v>45961</v>
      </c>
    </row>
    <row r="2522" spans="1:14" x14ac:dyDescent="0.25">
      <c r="A2522" s="4" t="s">
        <v>278</v>
      </c>
      <c r="B2522" s="5"/>
      <c r="C2522" s="4" t="s">
        <v>9</v>
      </c>
      <c r="D2522" s="4" t="s">
        <v>9</v>
      </c>
      <c r="E2522" s="4" t="s">
        <v>9</v>
      </c>
      <c r="F2522" s="6">
        <v>0</v>
      </c>
      <c r="G2522" s="6">
        <v>0</v>
      </c>
      <c r="H2522" s="4" t="s">
        <v>9</v>
      </c>
      <c r="I2522" s="4" t="s">
        <v>3</v>
      </c>
      <c r="J2522" s="4" t="s">
        <v>9</v>
      </c>
      <c r="K2522" s="4" t="s">
        <v>9</v>
      </c>
      <c r="L2522" s="4" t="s">
        <v>9</v>
      </c>
      <c r="M2522" s="4" t="s">
        <v>9</v>
      </c>
      <c r="N2522" s="5"/>
    </row>
    <row r="2523" spans="1:14" x14ac:dyDescent="0.25">
      <c r="A2523" t="s">
        <v>474</v>
      </c>
      <c r="B2523" s="2">
        <v>45993</v>
      </c>
      <c r="C2523" t="s">
        <v>474</v>
      </c>
      <c r="D2523" t="s">
        <v>112</v>
      </c>
      <c r="E2523" t="s">
        <v>9</v>
      </c>
      <c r="F2523" s="3">
        <v>-3899.98</v>
      </c>
      <c r="G2523" s="3">
        <v>-3899.98</v>
      </c>
      <c r="H2523" t="s">
        <v>3</v>
      </c>
      <c r="I2523" t="s">
        <v>3</v>
      </c>
      <c r="J2523" t="s">
        <v>9</v>
      </c>
      <c r="K2523" t="s">
        <v>9</v>
      </c>
      <c r="L2523" t="s">
        <v>11</v>
      </c>
      <c r="M2523" t="s">
        <v>114</v>
      </c>
      <c r="N2523" s="2">
        <v>45991</v>
      </c>
    </row>
    <row r="2524" spans="1:14" x14ac:dyDescent="0.25">
      <c r="A2524" t="s">
        <v>474</v>
      </c>
      <c r="B2524" s="2">
        <v>45961</v>
      </c>
      <c r="C2524" t="s">
        <v>474</v>
      </c>
      <c r="D2524" t="s">
        <v>112</v>
      </c>
      <c r="E2524" t="s">
        <v>9</v>
      </c>
      <c r="F2524" s="3">
        <v>-98200</v>
      </c>
      <c r="G2524" s="3">
        <v>-98200</v>
      </c>
      <c r="H2524" t="s">
        <v>3</v>
      </c>
      <c r="I2524" t="s">
        <v>3</v>
      </c>
      <c r="J2524" t="s">
        <v>325</v>
      </c>
      <c r="K2524" t="s">
        <v>5</v>
      </c>
      <c r="L2524" t="s">
        <v>11</v>
      </c>
      <c r="M2524" t="s">
        <v>114</v>
      </c>
      <c r="N2524" s="2">
        <v>45962</v>
      </c>
    </row>
    <row r="2525" spans="1:14" x14ac:dyDescent="0.25">
      <c r="A2525" t="s">
        <v>474</v>
      </c>
      <c r="B2525" s="2">
        <v>45961</v>
      </c>
      <c r="C2525" t="s">
        <v>474</v>
      </c>
      <c r="D2525" t="s">
        <v>112</v>
      </c>
      <c r="E2525" t="s">
        <v>9</v>
      </c>
      <c r="F2525" s="3">
        <v>-7150</v>
      </c>
      <c r="G2525" s="3">
        <v>-7150</v>
      </c>
      <c r="H2525" t="s">
        <v>3</v>
      </c>
      <c r="I2525" t="s">
        <v>3</v>
      </c>
      <c r="J2525" t="s">
        <v>326</v>
      </c>
      <c r="K2525" t="s">
        <v>5</v>
      </c>
      <c r="L2525" t="s">
        <v>11</v>
      </c>
      <c r="M2525" t="s">
        <v>114</v>
      </c>
      <c r="N2525" s="2">
        <v>45962</v>
      </c>
    </row>
    <row r="2526" spans="1:14" x14ac:dyDescent="0.25">
      <c r="A2526" t="s">
        <v>474</v>
      </c>
      <c r="B2526" s="2">
        <v>45961</v>
      </c>
      <c r="C2526" t="s">
        <v>474</v>
      </c>
      <c r="D2526" t="s">
        <v>112</v>
      </c>
      <c r="E2526" t="s">
        <v>9</v>
      </c>
      <c r="F2526" s="3">
        <v>-32822.78</v>
      </c>
      <c r="G2526" s="3">
        <v>-32822.78</v>
      </c>
      <c r="H2526" t="s">
        <v>3</v>
      </c>
      <c r="I2526" t="s">
        <v>3</v>
      </c>
      <c r="J2526" t="s">
        <v>385</v>
      </c>
      <c r="K2526" t="s">
        <v>5</v>
      </c>
      <c r="L2526" t="s">
        <v>11</v>
      </c>
      <c r="M2526" t="s">
        <v>114</v>
      </c>
      <c r="N2526" s="2">
        <v>45962</v>
      </c>
    </row>
    <row r="2527" spans="1:14" x14ac:dyDescent="0.25">
      <c r="A2527" t="s">
        <v>474</v>
      </c>
      <c r="B2527" s="2">
        <v>45991</v>
      </c>
      <c r="C2527" t="s">
        <v>474</v>
      </c>
      <c r="D2527" t="s">
        <v>112</v>
      </c>
      <c r="E2527" t="s">
        <v>9</v>
      </c>
      <c r="F2527" s="3">
        <v>100200</v>
      </c>
      <c r="G2527" s="3">
        <v>100200</v>
      </c>
      <c r="H2527" t="s">
        <v>3</v>
      </c>
      <c r="I2527" t="s">
        <v>3</v>
      </c>
      <c r="J2527" t="s">
        <v>328</v>
      </c>
      <c r="K2527" t="s">
        <v>5</v>
      </c>
      <c r="L2527" t="s">
        <v>11</v>
      </c>
      <c r="M2527" t="s">
        <v>114</v>
      </c>
      <c r="N2527" s="2">
        <v>45991</v>
      </c>
    </row>
    <row r="2528" spans="1:14" x14ac:dyDescent="0.25">
      <c r="A2528" t="s">
        <v>474</v>
      </c>
      <c r="B2528" s="2">
        <v>45991</v>
      </c>
      <c r="C2528" t="s">
        <v>474</v>
      </c>
      <c r="D2528" t="s">
        <v>112</v>
      </c>
      <c r="E2528" t="s">
        <v>9</v>
      </c>
      <c r="F2528" s="3">
        <v>9050</v>
      </c>
      <c r="G2528" s="3">
        <v>9050</v>
      </c>
      <c r="H2528" t="s">
        <v>3</v>
      </c>
      <c r="I2528" t="s">
        <v>3</v>
      </c>
      <c r="J2528" t="s">
        <v>329</v>
      </c>
      <c r="K2528" t="s">
        <v>5</v>
      </c>
      <c r="L2528" t="s">
        <v>11</v>
      </c>
      <c r="M2528" t="s">
        <v>114</v>
      </c>
      <c r="N2528" s="2">
        <v>45991</v>
      </c>
    </row>
    <row r="2529" spans="1:14" x14ac:dyDescent="0.25">
      <c r="A2529" t="s">
        <v>474</v>
      </c>
      <c r="B2529" s="2">
        <v>45991</v>
      </c>
      <c r="C2529" t="s">
        <v>474</v>
      </c>
      <c r="D2529" t="s">
        <v>112</v>
      </c>
      <c r="E2529" t="s">
        <v>9</v>
      </c>
      <c r="F2529" s="3">
        <v>32822.76</v>
      </c>
      <c r="G2529" s="3">
        <v>32822.76</v>
      </c>
      <c r="H2529" t="s">
        <v>3</v>
      </c>
      <c r="I2529" t="s">
        <v>3</v>
      </c>
      <c r="J2529" t="s">
        <v>387</v>
      </c>
      <c r="K2529" t="s">
        <v>5</v>
      </c>
      <c r="L2529" t="s">
        <v>11</v>
      </c>
      <c r="M2529" t="s">
        <v>114</v>
      </c>
      <c r="N2529" s="2">
        <v>45991</v>
      </c>
    </row>
    <row r="2530" spans="1:14" x14ac:dyDescent="0.25">
      <c r="A2530" s="4" t="s">
        <v>226</v>
      </c>
      <c r="B2530" s="5"/>
      <c r="C2530" s="4" t="s">
        <v>9</v>
      </c>
      <c r="D2530" s="4" t="s">
        <v>9</v>
      </c>
      <c r="E2530" s="4" t="s">
        <v>9</v>
      </c>
      <c r="F2530" s="6">
        <v>0</v>
      </c>
      <c r="G2530" s="6">
        <v>0</v>
      </c>
      <c r="H2530" s="4" t="s">
        <v>9</v>
      </c>
      <c r="I2530" s="4" t="s">
        <v>3</v>
      </c>
      <c r="J2530" s="4" t="s">
        <v>9</v>
      </c>
      <c r="K2530" s="4" t="s">
        <v>9</v>
      </c>
      <c r="L2530" s="4" t="s">
        <v>9</v>
      </c>
      <c r="M2530" s="4" t="s">
        <v>9</v>
      </c>
      <c r="N2530" s="5"/>
    </row>
    <row r="2531" spans="1:14" x14ac:dyDescent="0.25">
      <c r="A2531" t="s">
        <v>474</v>
      </c>
      <c r="B2531" s="2">
        <v>46028</v>
      </c>
      <c r="C2531" t="s">
        <v>474</v>
      </c>
      <c r="D2531" t="s">
        <v>112</v>
      </c>
      <c r="E2531" t="s">
        <v>9</v>
      </c>
      <c r="F2531" s="3">
        <v>3399.98</v>
      </c>
      <c r="G2531" s="3">
        <v>3399.98</v>
      </c>
      <c r="H2531" t="s">
        <v>3</v>
      </c>
      <c r="I2531" t="s">
        <v>3</v>
      </c>
      <c r="J2531" t="s">
        <v>9</v>
      </c>
      <c r="K2531" t="s">
        <v>9</v>
      </c>
      <c r="L2531" t="s">
        <v>12</v>
      </c>
      <c r="M2531" t="s">
        <v>114</v>
      </c>
      <c r="N2531" s="2">
        <v>46022</v>
      </c>
    </row>
    <row r="2532" spans="1:14" x14ac:dyDescent="0.25">
      <c r="A2532" t="s">
        <v>474</v>
      </c>
      <c r="B2532" s="2">
        <v>45991</v>
      </c>
      <c r="C2532" t="s">
        <v>474</v>
      </c>
      <c r="D2532" t="s">
        <v>112</v>
      </c>
      <c r="E2532" t="s">
        <v>9</v>
      </c>
      <c r="F2532" s="3">
        <v>-100200</v>
      </c>
      <c r="G2532" s="3">
        <v>-100200</v>
      </c>
      <c r="H2532" t="s">
        <v>3</v>
      </c>
      <c r="I2532" t="s">
        <v>3</v>
      </c>
      <c r="J2532" t="s">
        <v>328</v>
      </c>
      <c r="K2532" t="s">
        <v>5</v>
      </c>
      <c r="L2532" t="s">
        <v>12</v>
      </c>
      <c r="M2532" t="s">
        <v>114</v>
      </c>
      <c r="N2532" s="2">
        <v>45992</v>
      </c>
    </row>
    <row r="2533" spans="1:14" x14ac:dyDescent="0.25">
      <c r="A2533" t="s">
        <v>474</v>
      </c>
      <c r="B2533" s="2">
        <v>45991</v>
      </c>
      <c r="C2533" t="s">
        <v>474</v>
      </c>
      <c r="D2533" t="s">
        <v>112</v>
      </c>
      <c r="E2533" t="s">
        <v>9</v>
      </c>
      <c r="F2533" s="3">
        <v>-9050</v>
      </c>
      <c r="G2533" s="3">
        <v>-9050</v>
      </c>
      <c r="H2533" t="s">
        <v>3</v>
      </c>
      <c r="I2533" t="s">
        <v>3</v>
      </c>
      <c r="J2533" t="s">
        <v>329</v>
      </c>
      <c r="K2533" t="s">
        <v>5</v>
      </c>
      <c r="L2533" t="s">
        <v>12</v>
      </c>
      <c r="M2533" t="s">
        <v>114</v>
      </c>
      <c r="N2533" s="2">
        <v>45992</v>
      </c>
    </row>
    <row r="2534" spans="1:14" x14ac:dyDescent="0.25">
      <c r="A2534" t="s">
        <v>474</v>
      </c>
      <c r="B2534" s="2">
        <v>45991</v>
      </c>
      <c r="C2534" t="s">
        <v>474</v>
      </c>
      <c r="D2534" t="s">
        <v>112</v>
      </c>
      <c r="E2534" t="s">
        <v>9</v>
      </c>
      <c r="F2534" s="3">
        <v>-32822.76</v>
      </c>
      <c r="G2534" s="3">
        <v>-32822.76</v>
      </c>
      <c r="H2534" t="s">
        <v>3</v>
      </c>
      <c r="I2534" t="s">
        <v>3</v>
      </c>
      <c r="J2534" t="s">
        <v>387</v>
      </c>
      <c r="K2534" t="s">
        <v>5</v>
      </c>
      <c r="L2534" t="s">
        <v>12</v>
      </c>
      <c r="M2534" t="s">
        <v>114</v>
      </c>
      <c r="N2534" s="2">
        <v>45992</v>
      </c>
    </row>
    <row r="2535" spans="1:14" x14ac:dyDescent="0.25">
      <c r="A2535" t="s">
        <v>474</v>
      </c>
      <c r="B2535" s="2">
        <v>46022</v>
      </c>
      <c r="C2535" t="s">
        <v>474</v>
      </c>
      <c r="D2535" t="s">
        <v>112</v>
      </c>
      <c r="E2535" t="s">
        <v>9</v>
      </c>
      <c r="F2535" s="3">
        <v>96000</v>
      </c>
      <c r="G2535" s="3">
        <v>96000</v>
      </c>
      <c r="H2535" t="s">
        <v>3</v>
      </c>
      <c r="I2535" t="s">
        <v>3</v>
      </c>
      <c r="J2535" t="s">
        <v>298</v>
      </c>
      <c r="K2535" t="s">
        <v>5</v>
      </c>
      <c r="L2535" t="s">
        <v>12</v>
      </c>
      <c r="M2535" t="s">
        <v>114</v>
      </c>
      <c r="N2535" s="2">
        <v>46022</v>
      </c>
    </row>
    <row r="2536" spans="1:14" x14ac:dyDescent="0.25">
      <c r="A2536" t="s">
        <v>474</v>
      </c>
      <c r="B2536" s="2">
        <v>46022</v>
      </c>
      <c r="C2536" t="s">
        <v>474</v>
      </c>
      <c r="D2536" t="s">
        <v>112</v>
      </c>
      <c r="E2536" t="s">
        <v>9</v>
      </c>
      <c r="F2536" s="3">
        <v>9850</v>
      </c>
      <c r="G2536" s="3">
        <v>9850</v>
      </c>
      <c r="H2536" t="s">
        <v>3</v>
      </c>
      <c r="I2536" t="s">
        <v>3</v>
      </c>
      <c r="J2536" t="s">
        <v>299</v>
      </c>
      <c r="K2536" t="s">
        <v>5</v>
      </c>
      <c r="L2536" t="s">
        <v>12</v>
      </c>
      <c r="M2536" t="s">
        <v>114</v>
      </c>
      <c r="N2536" s="2">
        <v>46022</v>
      </c>
    </row>
    <row r="2537" spans="1:14" x14ac:dyDescent="0.25">
      <c r="A2537" t="s">
        <v>474</v>
      </c>
      <c r="B2537" s="2">
        <v>46022</v>
      </c>
      <c r="C2537" t="s">
        <v>474</v>
      </c>
      <c r="D2537" t="s">
        <v>112</v>
      </c>
      <c r="E2537" t="s">
        <v>9</v>
      </c>
      <c r="F2537" s="3">
        <v>32822.78</v>
      </c>
      <c r="G2537" s="3">
        <v>32822.78</v>
      </c>
      <c r="H2537" t="s">
        <v>3</v>
      </c>
      <c r="I2537" t="s">
        <v>3</v>
      </c>
      <c r="J2537" t="s">
        <v>381</v>
      </c>
      <c r="K2537" t="s">
        <v>5</v>
      </c>
      <c r="L2537" t="s">
        <v>12</v>
      </c>
      <c r="M2537" t="s">
        <v>114</v>
      </c>
      <c r="N2537" s="2">
        <v>46022</v>
      </c>
    </row>
    <row r="2538" spans="1:14" x14ac:dyDescent="0.25">
      <c r="A2538" t="s">
        <v>474</v>
      </c>
      <c r="B2538" s="2">
        <v>46022</v>
      </c>
      <c r="C2538" t="s">
        <v>474</v>
      </c>
      <c r="D2538" t="s">
        <v>112</v>
      </c>
      <c r="E2538" t="s">
        <v>9</v>
      </c>
      <c r="F2538" s="3">
        <v>96000</v>
      </c>
      <c r="G2538" s="3">
        <v>96000</v>
      </c>
      <c r="H2538" t="s">
        <v>3</v>
      </c>
      <c r="I2538" t="s">
        <v>3</v>
      </c>
      <c r="J2538" t="s">
        <v>298</v>
      </c>
      <c r="K2538" t="s">
        <v>5</v>
      </c>
      <c r="L2538" t="s">
        <v>12</v>
      </c>
      <c r="M2538" t="s">
        <v>114</v>
      </c>
      <c r="N2538" s="2">
        <v>46022</v>
      </c>
    </row>
    <row r="2539" spans="1:14" x14ac:dyDescent="0.25">
      <c r="A2539" t="s">
        <v>474</v>
      </c>
      <c r="B2539" s="2">
        <v>46022</v>
      </c>
      <c r="C2539" t="s">
        <v>474</v>
      </c>
      <c r="D2539" t="s">
        <v>112</v>
      </c>
      <c r="E2539" t="s">
        <v>9</v>
      </c>
      <c r="F2539" s="3">
        <v>9850</v>
      </c>
      <c r="G2539" s="3">
        <v>9850</v>
      </c>
      <c r="H2539" t="s">
        <v>3</v>
      </c>
      <c r="I2539" t="s">
        <v>3</v>
      </c>
      <c r="J2539" t="s">
        <v>299</v>
      </c>
      <c r="K2539" t="s">
        <v>5</v>
      </c>
      <c r="L2539" t="s">
        <v>12</v>
      </c>
      <c r="M2539" t="s">
        <v>114</v>
      </c>
      <c r="N2539" s="2">
        <v>46022</v>
      </c>
    </row>
    <row r="2540" spans="1:14" x14ac:dyDescent="0.25">
      <c r="A2540" t="s">
        <v>474</v>
      </c>
      <c r="B2540" s="2">
        <v>46022</v>
      </c>
      <c r="C2540" t="s">
        <v>474</v>
      </c>
      <c r="D2540" t="s">
        <v>112</v>
      </c>
      <c r="E2540" t="s">
        <v>9</v>
      </c>
      <c r="F2540" s="3">
        <v>32822.78</v>
      </c>
      <c r="G2540" s="3">
        <v>32822.78</v>
      </c>
      <c r="H2540" t="s">
        <v>3</v>
      </c>
      <c r="I2540" t="s">
        <v>3</v>
      </c>
      <c r="J2540" t="s">
        <v>381</v>
      </c>
      <c r="K2540" t="s">
        <v>5</v>
      </c>
      <c r="L2540" t="s">
        <v>12</v>
      </c>
      <c r="M2540" t="s">
        <v>114</v>
      </c>
      <c r="N2540" s="2">
        <v>46022</v>
      </c>
    </row>
    <row r="2541" spans="1:14" x14ac:dyDescent="0.25">
      <c r="A2541" t="s">
        <v>474</v>
      </c>
      <c r="B2541" s="2">
        <v>46022</v>
      </c>
      <c r="C2541" t="s">
        <v>474</v>
      </c>
      <c r="D2541" t="s">
        <v>112</v>
      </c>
      <c r="E2541" t="s">
        <v>9</v>
      </c>
      <c r="F2541" s="3">
        <v>-96000</v>
      </c>
      <c r="G2541" s="3">
        <v>-96000</v>
      </c>
      <c r="H2541" t="s">
        <v>3</v>
      </c>
      <c r="I2541" t="s">
        <v>3</v>
      </c>
      <c r="J2541" t="s">
        <v>298</v>
      </c>
      <c r="K2541" t="s">
        <v>5</v>
      </c>
      <c r="L2541" t="s">
        <v>12</v>
      </c>
      <c r="M2541" t="s">
        <v>114</v>
      </c>
      <c r="N2541" s="2">
        <v>46022</v>
      </c>
    </row>
    <row r="2542" spans="1:14" x14ac:dyDescent="0.25">
      <c r="A2542" t="s">
        <v>474</v>
      </c>
      <c r="B2542" s="2">
        <v>46022</v>
      </c>
      <c r="C2542" t="s">
        <v>474</v>
      </c>
      <c r="D2542" t="s">
        <v>112</v>
      </c>
      <c r="E2542" t="s">
        <v>9</v>
      </c>
      <c r="F2542" s="3">
        <v>-9850</v>
      </c>
      <c r="G2542" s="3">
        <v>-9850</v>
      </c>
      <c r="H2542" t="s">
        <v>3</v>
      </c>
      <c r="I2542" t="s">
        <v>3</v>
      </c>
      <c r="J2542" t="s">
        <v>299</v>
      </c>
      <c r="K2542" t="s">
        <v>5</v>
      </c>
      <c r="L2542" t="s">
        <v>12</v>
      </c>
      <c r="M2542" t="s">
        <v>114</v>
      </c>
      <c r="N2542" s="2">
        <v>46022</v>
      </c>
    </row>
    <row r="2543" spans="1:14" x14ac:dyDescent="0.25">
      <c r="A2543" t="s">
        <v>474</v>
      </c>
      <c r="B2543" s="2">
        <v>46022</v>
      </c>
      <c r="C2543" t="s">
        <v>474</v>
      </c>
      <c r="D2543" t="s">
        <v>112</v>
      </c>
      <c r="E2543" t="s">
        <v>9</v>
      </c>
      <c r="F2543" s="3">
        <v>-32822.78</v>
      </c>
      <c r="G2543" s="3">
        <v>-32822.78</v>
      </c>
      <c r="H2543" t="s">
        <v>3</v>
      </c>
      <c r="I2543" t="s">
        <v>3</v>
      </c>
      <c r="J2543" t="s">
        <v>381</v>
      </c>
      <c r="K2543" t="s">
        <v>5</v>
      </c>
      <c r="L2543" t="s">
        <v>12</v>
      </c>
      <c r="M2543" t="s">
        <v>114</v>
      </c>
      <c r="N2543" s="2">
        <v>46022</v>
      </c>
    </row>
    <row r="2544" spans="1:14" x14ac:dyDescent="0.25">
      <c r="A2544" s="4" t="s">
        <v>228</v>
      </c>
      <c r="B2544" s="5"/>
      <c r="C2544" s="4" t="s">
        <v>9</v>
      </c>
      <c r="D2544" s="4" t="s">
        <v>9</v>
      </c>
      <c r="E2544" s="4" t="s">
        <v>9</v>
      </c>
      <c r="F2544" s="6">
        <v>0</v>
      </c>
      <c r="G2544" s="6">
        <v>0</v>
      </c>
      <c r="H2544" s="4" t="s">
        <v>9</v>
      </c>
      <c r="I2544" s="4" t="s">
        <v>3</v>
      </c>
      <c r="J2544" s="4" t="s">
        <v>9</v>
      </c>
      <c r="K2544" s="4" t="s">
        <v>9</v>
      </c>
      <c r="L2544" s="4" t="s">
        <v>9</v>
      </c>
      <c r="M2544" s="4" t="s">
        <v>9</v>
      </c>
      <c r="N2544" s="5"/>
    </row>
    <row r="2545" spans="1:14" x14ac:dyDescent="0.25">
      <c r="A2545" s="4" t="s">
        <v>474</v>
      </c>
      <c r="B2545" s="5"/>
      <c r="C2545" s="4" t="s">
        <v>9</v>
      </c>
      <c r="D2545" s="4" t="s">
        <v>9</v>
      </c>
      <c r="E2545" s="4" t="s">
        <v>9</v>
      </c>
      <c r="F2545" s="6">
        <v>0</v>
      </c>
      <c r="G2545" s="6">
        <v>0</v>
      </c>
      <c r="H2545" s="4" t="s">
        <v>9</v>
      </c>
      <c r="I2545" s="4" t="s">
        <v>3</v>
      </c>
      <c r="J2545" s="4" t="s">
        <v>9</v>
      </c>
      <c r="K2545" s="4" t="s">
        <v>9</v>
      </c>
      <c r="L2545" s="4" t="s">
        <v>9</v>
      </c>
      <c r="M2545" s="4" t="s">
        <v>9</v>
      </c>
      <c r="N2545" s="5"/>
    </row>
    <row r="2546" spans="1:14" x14ac:dyDescent="0.25">
      <c r="A2546" t="s">
        <v>476</v>
      </c>
      <c r="B2546" s="2">
        <v>46022</v>
      </c>
      <c r="C2546" t="s">
        <v>476</v>
      </c>
      <c r="D2546" t="s">
        <v>112</v>
      </c>
      <c r="E2546" t="s">
        <v>9</v>
      </c>
      <c r="F2546" s="3">
        <v>-106200</v>
      </c>
      <c r="G2546" s="3">
        <v>-106200</v>
      </c>
      <c r="H2546" t="s">
        <v>3</v>
      </c>
      <c r="I2546" t="s">
        <v>3</v>
      </c>
      <c r="J2546" t="s">
        <v>298</v>
      </c>
      <c r="K2546" t="s">
        <v>13</v>
      </c>
      <c r="L2546" t="s">
        <v>14</v>
      </c>
      <c r="M2546" t="s">
        <v>114</v>
      </c>
      <c r="N2546" s="2">
        <v>46023</v>
      </c>
    </row>
    <row r="2547" spans="1:14" x14ac:dyDescent="0.25">
      <c r="A2547" t="s">
        <v>476</v>
      </c>
      <c r="B2547" s="2">
        <v>46023</v>
      </c>
      <c r="C2547" t="s">
        <v>476</v>
      </c>
      <c r="D2547" t="s">
        <v>112</v>
      </c>
      <c r="E2547" t="s">
        <v>9</v>
      </c>
      <c r="F2547" s="3">
        <v>106200</v>
      </c>
      <c r="G2547" s="3">
        <v>106200</v>
      </c>
      <c r="H2547" t="s">
        <v>3</v>
      </c>
      <c r="I2547" t="s">
        <v>3</v>
      </c>
      <c r="J2547" t="s">
        <v>298</v>
      </c>
      <c r="K2547" t="s">
        <v>13</v>
      </c>
      <c r="L2547" t="s">
        <v>14</v>
      </c>
      <c r="M2547" t="s">
        <v>114</v>
      </c>
      <c r="N2547" s="2">
        <v>46023</v>
      </c>
    </row>
    <row r="2548" spans="1:14" x14ac:dyDescent="0.25">
      <c r="A2548" s="4" t="s">
        <v>234</v>
      </c>
      <c r="B2548" s="5"/>
      <c r="C2548" s="4" t="s">
        <v>9</v>
      </c>
      <c r="D2548" s="4" t="s">
        <v>9</v>
      </c>
      <c r="E2548" s="4" t="s">
        <v>9</v>
      </c>
      <c r="F2548" s="6">
        <v>0</v>
      </c>
      <c r="G2548" s="6">
        <v>0</v>
      </c>
      <c r="H2548" s="4" t="s">
        <v>9</v>
      </c>
      <c r="I2548" s="4" t="s">
        <v>3</v>
      </c>
      <c r="J2548" s="4" t="s">
        <v>9</v>
      </c>
      <c r="K2548" s="4" t="s">
        <v>9</v>
      </c>
      <c r="L2548" s="4" t="s">
        <v>9</v>
      </c>
      <c r="M2548" s="4" t="s">
        <v>9</v>
      </c>
      <c r="N2548" s="5"/>
    </row>
    <row r="2549" spans="1:14" x14ac:dyDescent="0.25">
      <c r="A2549" t="s">
        <v>476</v>
      </c>
      <c r="B2549" s="2">
        <v>45810</v>
      </c>
      <c r="C2549" t="s">
        <v>476</v>
      </c>
      <c r="D2549" t="s">
        <v>112</v>
      </c>
      <c r="E2549" t="s">
        <v>9</v>
      </c>
      <c r="F2549" s="3">
        <v>-32500</v>
      </c>
      <c r="G2549" s="3">
        <v>-32500</v>
      </c>
      <c r="H2549" t="s">
        <v>3</v>
      </c>
      <c r="I2549" t="s">
        <v>3</v>
      </c>
      <c r="J2549" t="s">
        <v>9</v>
      </c>
      <c r="K2549" t="s">
        <v>9</v>
      </c>
      <c r="L2549" t="s">
        <v>18</v>
      </c>
      <c r="M2549" t="s">
        <v>114</v>
      </c>
      <c r="N2549" s="2">
        <v>45808</v>
      </c>
    </row>
    <row r="2550" spans="1:14" x14ac:dyDescent="0.25">
      <c r="A2550" t="s">
        <v>476</v>
      </c>
      <c r="B2550" s="2">
        <v>45808</v>
      </c>
      <c r="C2550" t="s">
        <v>476</v>
      </c>
      <c r="D2550" t="s">
        <v>112</v>
      </c>
      <c r="E2550" t="s">
        <v>9</v>
      </c>
      <c r="F2550" s="3">
        <v>32500</v>
      </c>
      <c r="G2550" s="3">
        <v>32500</v>
      </c>
      <c r="H2550" t="s">
        <v>3</v>
      </c>
      <c r="I2550" t="s">
        <v>3</v>
      </c>
      <c r="J2550" t="s">
        <v>311</v>
      </c>
      <c r="K2550" t="s">
        <v>5</v>
      </c>
      <c r="L2550" t="s">
        <v>18</v>
      </c>
      <c r="M2550" t="s">
        <v>114</v>
      </c>
      <c r="N2550" s="2">
        <v>45808</v>
      </c>
    </row>
    <row r="2551" spans="1:14" x14ac:dyDescent="0.25">
      <c r="A2551" s="4" t="s">
        <v>223</v>
      </c>
      <c r="B2551" s="5"/>
      <c r="C2551" s="4" t="s">
        <v>9</v>
      </c>
      <c r="D2551" s="4" t="s">
        <v>9</v>
      </c>
      <c r="E2551" s="4" t="s">
        <v>9</v>
      </c>
      <c r="F2551" s="6">
        <v>0</v>
      </c>
      <c r="G2551" s="6">
        <v>0</v>
      </c>
      <c r="H2551" s="4" t="s">
        <v>9</v>
      </c>
      <c r="I2551" s="4" t="s">
        <v>3</v>
      </c>
      <c r="J2551" s="4" t="s">
        <v>9</v>
      </c>
      <c r="K2551" s="4" t="s">
        <v>9</v>
      </c>
      <c r="L2551" s="4" t="s">
        <v>9</v>
      </c>
      <c r="M2551" s="4" t="s">
        <v>9</v>
      </c>
      <c r="N2551" s="5"/>
    </row>
    <row r="2552" spans="1:14" x14ac:dyDescent="0.25">
      <c r="A2552" t="s">
        <v>476</v>
      </c>
      <c r="B2552" s="2">
        <v>45839</v>
      </c>
      <c r="C2552" t="s">
        <v>476</v>
      </c>
      <c r="D2552" t="s">
        <v>112</v>
      </c>
      <c r="E2552" t="s">
        <v>9</v>
      </c>
      <c r="F2552" s="3">
        <v>-18000</v>
      </c>
      <c r="G2552" s="3">
        <v>-18000</v>
      </c>
      <c r="H2552" t="s">
        <v>3</v>
      </c>
      <c r="I2552" t="s">
        <v>3</v>
      </c>
      <c r="J2552" t="s">
        <v>9</v>
      </c>
      <c r="K2552" t="s">
        <v>9</v>
      </c>
      <c r="L2552" t="s">
        <v>19</v>
      </c>
      <c r="M2552" t="s">
        <v>114</v>
      </c>
      <c r="N2552" s="2">
        <v>45838</v>
      </c>
    </row>
    <row r="2553" spans="1:14" x14ac:dyDescent="0.25">
      <c r="A2553" t="s">
        <v>476</v>
      </c>
      <c r="B2553" s="2">
        <v>45808</v>
      </c>
      <c r="C2553" t="s">
        <v>476</v>
      </c>
      <c r="D2553" t="s">
        <v>112</v>
      </c>
      <c r="E2553" t="s">
        <v>9</v>
      </c>
      <c r="F2553" s="3">
        <v>-32500</v>
      </c>
      <c r="G2553" s="3">
        <v>-32500</v>
      </c>
      <c r="H2553" t="s">
        <v>3</v>
      </c>
      <c r="I2553" t="s">
        <v>3</v>
      </c>
      <c r="J2553" t="s">
        <v>311</v>
      </c>
      <c r="K2553" t="s">
        <v>5</v>
      </c>
      <c r="L2553" t="s">
        <v>19</v>
      </c>
      <c r="M2553" t="s">
        <v>114</v>
      </c>
      <c r="N2553" s="2">
        <v>45809</v>
      </c>
    </row>
    <row r="2554" spans="1:14" x14ac:dyDescent="0.25">
      <c r="A2554" t="s">
        <v>476</v>
      </c>
      <c r="B2554" s="2">
        <v>45838</v>
      </c>
      <c r="C2554" t="s">
        <v>476</v>
      </c>
      <c r="D2554" t="s">
        <v>112</v>
      </c>
      <c r="E2554" t="s">
        <v>9</v>
      </c>
      <c r="F2554" s="3">
        <v>50500</v>
      </c>
      <c r="G2554" s="3">
        <v>50500</v>
      </c>
      <c r="H2554" t="s">
        <v>3</v>
      </c>
      <c r="I2554" t="s">
        <v>3</v>
      </c>
      <c r="J2554" t="s">
        <v>314</v>
      </c>
      <c r="K2554" t="s">
        <v>5</v>
      </c>
      <c r="L2554" t="s">
        <v>19</v>
      </c>
      <c r="M2554" t="s">
        <v>114</v>
      </c>
      <c r="N2554" s="2">
        <v>45838</v>
      </c>
    </row>
    <row r="2555" spans="1:14" x14ac:dyDescent="0.25">
      <c r="A2555" s="4" t="s">
        <v>224</v>
      </c>
      <c r="B2555" s="5"/>
      <c r="C2555" s="4" t="s">
        <v>9</v>
      </c>
      <c r="D2555" s="4" t="s">
        <v>9</v>
      </c>
      <c r="E2555" s="4" t="s">
        <v>9</v>
      </c>
      <c r="F2555" s="6">
        <v>0</v>
      </c>
      <c r="G2555" s="6">
        <v>0</v>
      </c>
      <c r="H2555" s="4" t="s">
        <v>9</v>
      </c>
      <c r="I2555" s="4" t="s">
        <v>3</v>
      </c>
      <c r="J2555" s="4" t="s">
        <v>9</v>
      </c>
      <c r="K2555" s="4" t="s">
        <v>9</v>
      </c>
      <c r="L2555" s="4" t="s">
        <v>9</v>
      </c>
      <c r="M2555" s="4" t="s">
        <v>9</v>
      </c>
      <c r="N2555" s="5"/>
    </row>
    <row r="2556" spans="1:14" x14ac:dyDescent="0.25">
      <c r="A2556" t="s">
        <v>476</v>
      </c>
      <c r="B2556" s="2">
        <v>45838</v>
      </c>
      <c r="C2556" t="s">
        <v>476</v>
      </c>
      <c r="D2556" t="s">
        <v>112</v>
      </c>
      <c r="E2556" t="s">
        <v>9</v>
      </c>
      <c r="F2556" s="3">
        <v>-50500</v>
      </c>
      <c r="G2556" s="3">
        <v>-50500</v>
      </c>
      <c r="H2556" t="s">
        <v>3</v>
      </c>
      <c r="I2556" t="s">
        <v>3</v>
      </c>
      <c r="J2556" t="s">
        <v>314</v>
      </c>
      <c r="K2556" t="s">
        <v>5</v>
      </c>
      <c r="L2556" t="s">
        <v>21</v>
      </c>
      <c r="M2556" t="s">
        <v>114</v>
      </c>
      <c r="N2556" s="2">
        <v>45839</v>
      </c>
    </row>
    <row r="2557" spans="1:14" x14ac:dyDescent="0.25">
      <c r="A2557" t="s">
        <v>476</v>
      </c>
      <c r="B2557" s="2">
        <v>45869</v>
      </c>
      <c r="C2557" t="s">
        <v>476</v>
      </c>
      <c r="D2557" t="s">
        <v>112</v>
      </c>
      <c r="E2557" t="s">
        <v>9</v>
      </c>
      <c r="F2557" s="3">
        <v>50500</v>
      </c>
      <c r="G2557" s="3">
        <v>50500</v>
      </c>
      <c r="H2557" t="s">
        <v>3</v>
      </c>
      <c r="I2557" t="s">
        <v>3</v>
      </c>
      <c r="J2557" t="s">
        <v>317</v>
      </c>
      <c r="K2557" t="s">
        <v>5</v>
      </c>
      <c r="L2557" t="s">
        <v>21</v>
      </c>
      <c r="M2557" t="s">
        <v>114</v>
      </c>
      <c r="N2557" s="2">
        <v>45869</v>
      </c>
    </row>
    <row r="2558" spans="1:14" x14ac:dyDescent="0.25">
      <c r="A2558" s="4" t="s">
        <v>262</v>
      </c>
      <c r="B2558" s="5"/>
      <c r="C2558" s="4" t="s">
        <v>9</v>
      </c>
      <c r="D2558" s="4" t="s">
        <v>9</v>
      </c>
      <c r="E2558" s="4" t="s">
        <v>9</v>
      </c>
      <c r="F2558" s="6">
        <v>0</v>
      </c>
      <c r="G2558" s="6">
        <v>0</v>
      </c>
      <c r="H2558" s="4" t="s">
        <v>9</v>
      </c>
      <c r="I2558" s="4" t="s">
        <v>3</v>
      </c>
      <c r="J2558" s="4" t="s">
        <v>9</v>
      </c>
      <c r="K2558" s="4" t="s">
        <v>9</v>
      </c>
      <c r="L2558" s="4" t="s">
        <v>9</v>
      </c>
      <c r="M2558" s="4" t="s">
        <v>9</v>
      </c>
      <c r="N2558" s="5"/>
    </row>
    <row r="2559" spans="1:14" x14ac:dyDescent="0.25">
      <c r="A2559" t="s">
        <v>476</v>
      </c>
      <c r="B2559" s="2">
        <v>45901</v>
      </c>
      <c r="C2559" t="s">
        <v>476</v>
      </c>
      <c r="D2559" t="s">
        <v>112</v>
      </c>
      <c r="E2559" t="s">
        <v>9</v>
      </c>
      <c r="F2559" s="3">
        <v>-10200</v>
      </c>
      <c r="G2559" s="3">
        <v>-10200</v>
      </c>
      <c r="H2559" t="s">
        <v>3</v>
      </c>
      <c r="I2559" t="s">
        <v>3</v>
      </c>
      <c r="J2559" t="s">
        <v>9</v>
      </c>
      <c r="K2559" t="s">
        <v>9</v>
      </c>
      <c r="L2559" t="s">
        <v>22</v>
      </c>
      <c r="M2559" t="s">
        <v>114</v>
      </c>
      <c r="N2559" s="2">
        <v>45900</v>
      </c>
    </row>
    <row r="2560" spans="1:14" x14ac:dyDescent="0.25">
      <c r="A2560" t="s">
        <v>476</v>
      </c>
      <c r="B2560" s="2">
        <v>45903</v>
      </c>
      <c r="C2560" t="s">
        <v>476</v>
      </c>
      <c r="D2560" t="s">
        <v>112</v>
      </c>
      <c r="E2560" t="s">
        <v>9</v>
      </c>
      <c r="F2560" s="3">
        <v>-11000</v>
      </c>
      <c r="G2560" s="3">
        <v>-11000</v>
      </c>
      <c r="H2560" t="s">
        <v>3</v>
      </c>
      <c r="I2560" t="s">
        <v>3</v>
      </c>
      <c r="J2560" t="s">
        <v>9</v>
      </c>
      <c r="K2560" t="s">
        <v>9</v>
      </c>
      <c r="L2560" t="s">
        <v>22</v>
      </c>
      <c r="M2560" t="s">
        <v>114</v>
      </c>
      <c r="N2560" s="2">
        <v>45900</v>
      </c>
    </row>
    <row r="2561" spans="1:14" x14ac:dyDescent="0.25">
      <c r="A2561" t="s">
        <v>476</v>
      </c>
      <c r="B2561" s="2">
        <v>45869</v>
      </c>
      <c r="C2561" t="s">
        <v>476</v>
      </c>
      <c r="D2561" t="s">
        <v>112</v>
      </c>
      <c r="E2561" t="s">
        <v>9</v>
      </c>
      <c r="F2561" s="3">
        <v>-50500</v>
      </c>
      <c r="G2561" s="3">
        <v>-50500</v>
      </c>
      <c r="H2561" t="s">
        <v>3</v>
      </c>
      <c r="I2561" t="s">
        <v>3</v>
      </c>
      <c r="J2561" t="s">
        <v>317</v>
      </c>
      <c r="K2561" t="s">
        <v>5</v>
      </c>
      <c r="L2561" t="s">
        <v>22</v>
      </c>
      <c r="M2561" t="s">
        <v>114</v>
      </c>
      <c r="N2561" s="2">
        <v>45870</v>
      </c>
    </row>
    <row r="2562" spans="1:14" x14ac:dyDescent="0.25">
      <c r="A2562" t="s">
        <v>476</v>
      </c>
      <c r="B2562" s="2">
        <v>45900</v>
      </c>
      <c r="C2562" t="s">
        <v>476</v>
      </c>
      <c r="D2562" t="s">
        <v>112</v>
      </c>
      <c r="E2562" t="s">
        <v>9</v>
      </c>
      <c r="F2562" s="3">
        <v>60700</v>
      </c>
      <c r="G2562" s="3">
        <v>60700</v>
      </c>
      <c r="H2562" t="s">
        <v>3</v>
      </c>
      <c r="I2562" t="s">
        <v>3</v>
      </c>
      <c r="J2562" t="s">
        <v>320</v>
      </c>
      <c r="K2562" t="s">
        <v>5</v>
      </c>
      <c r="L2562" t="s">
        <v>22</v>
      </c>
      <c r="M2562" t="s">
        <v>114</v>
      </c>
      <c r="N2562" s="2">
        <v>45900</v>
      </c>
    </row>
    <row r="2563" spans="1:14" x14ac:dyDescent="0.25">
      <c r="A2563" t="s">
        <v>476</v>
      </c>
      <c r="B2563" s="2">
        <v>45900</v>
      </c>
      <c r="C2563" t="s">
        <v>476</v>
      </c>
      <c r="D2563" t="s">
        <v>112</v>
      </c>
      <c r="E2563" t="s">
        <v>9</v>
      </c>
      <c r="F2563" s="3">
        <v>-60700</v>
      </c>
      <c r="G2563" s="3">
        <v>-60700</v>
      </c>
      <c r="H2563" t="s">
        <v>3</v>
      </c>
      <c r="I2563" t="s">
        <v>3</v>
      </c>
      <c r="J2563" t="s">
        <v>320</v>
      </c>
      <c r="K2563" t="s">
        <v>5</v>
      </c>
      <c r="L2563" t="s">
        <v>22</v>
      </c>
      <c r="M2563" t="s">
        <v>114</v>
      </c>
      <c r="N2563" s="2">
        <v>45900</v>
      </c>
    </row>
    <row r="2564" spans="1:14" x14ac:dyDescent="0.25">
      <c r="A2564" t="s">
        <v>476</v>
      </c>
      <c r="B2564" s="2">
        <v>45900</v>
      </c>
      <c r="C2564" t="s">
        <v>476</v>
      </c>
      <c r="D2564" t="s">
        <v>112</v>
      </c>
      <c r="E2564" t="s">
        <v>9</v>
      </c>
      <c r="F2564" s="3">
        <v>55900</v>
      </c>
      <c r="G2564" s="3">
        <v>55900</v>
      </c>
      <c r="H2564" t="s">
        <v>3</v>
      </c>
      <c r="I2564" t="s">
        <v>3</v>
      </c>
      <c r="J2564" t="s">
        <v>320</v>
      </c>
      <c r="K2564" t="s">
        <v>5</v>
      </c>
      <c r="L2564" t="s">
        <v>22</v>
      </c>
      <c r="M2564" t="s">
        <v>114</v>
      </c>
      <c r="N2564" s="2">
        <v>45900</v>
      </c>
    </row>
    <row r="2565" spans="1:14" x14ac:dyDescent="0.25">
      <c r="A2565" t="s">
        <v>476</v>
      </c>
      <c r="B2565" s="2">
        <v>45900</v>
      </c>
      <c r="C2565" t="s">
        <v>476</v>
      </c>
      <c r="D2565" t="s">
        <v>112</v>
      </c>
      <c r="E2565" t="s">
        <v>9</v>
      </c>
      <c r="F2565" s="3">
        <v>71700</v>
      </c>
      <c r="G2565" s="3">
        <v>71700</v>
      </c>
      <c r="H2565" t="s">
        <v>3</v>
      </c>
      <c r="I2565" t="s">
        <v>3</v>
      </c>
      <c r="J2565" t="s">
        <v>320</v>
      </c>
      <c r="K2565" t="s">
        <v>5</v>
      </c>
      <c r="L2565" t="s">
        <v>22</v>
      </c>
      <c r="M2565" t="s">
        <v>114</v>
      </c>
      <c r="N2565" s="2">
        <v>45900</v>
      </c>
    </row>
    <row r="2566" spans="1:14" x14ac:dyDescent="0.25">
      <c r="A2566" t="s">
        <v>476</v>
      </c>
      <c r="B2566" s="2">
        <v>45900</v>
      </c>
      <c r="C2566" t="s">
        <v>476</v>
      </c>
      <c r="D2566" t="s">
        <v>112</v>
      </c>
      <c r="E2566" t="s">
        <v>9</v>
      </c>
      <c r="F2566" s="3">
        <v>-55900</v>
      </c>
      <c r="G2566" s="3">
        <v>-55900</v>
      </c>
      <c r="H2566" t="s">
        <v>3</v>
      </c>
      <c r="I2566" t="s">
        <v>3</v>
      </c>
      <c r="J2566" t="s">
        <v>320</v>
      </c>
      <c r="K2566" t="s">
        <v>5</v>
      </c>
      <c r="L2566" t="s">
        <v>22</v>
      </c>
      <c r="M2566" t="s">
        <v>114</v>
      </c>
      <c r="N2566" s="2">
        <v>45900</v>
      </c>
    </row>
    <row r="2567" spans="1:14" x14ac:dyDescent="0.25">
      <c r="A2567" s="4" t="s">
        <v>267</v>
      </c>
      <c r="B2567" s="5"/>
      <c r="C2567" s="4" t="s">
        <v>9</v>
      </c>
      <c r="D2567" s="4" t="s">
        <v>9</v>
      </c>
      <c r="E2567" s="4" t="s">
        <v>9</v>
      </c>
      <c r="F2567" s="6">
        <v>0</v>
      </c>
      <c r="G2567" s="6">
        <v>0</v>
      </c>
      <c r="H2567" s="4" t="s">
        <v>9</v>
      </c>
      <c r="I2567" s="4" t="s">
        <v>3</v>
      </c>
      <c r="J2567" s="4" t="s">
        <v>9</v>
      </c>
      <c r="K2567" s="4" t="s">
        <v>9</v>
      </c>
      <c r="L2567" s="4" t="s">
        <v>9</v>
      </c>
      <c r="M2567" s="4" t="s">
        <v>9</v>
      </c>
      <c r="N2567" s="5"/>
    </row>
    <row r="2568" spans="1:14" x14ac:dyDescent="0.25">
      <c r="A2568" t="s">
        <v>476</v>
      </c>
      <c r="B2568" s="2">
        <v>45932</v>
      </c>
      <c r="C2568" t="s">
        <v>476</v>
      </c>
      <c r="D2568" t="s">
        <v>112</v>
      </c>
      <c r="E2568" t="s">
        <v>9</v>
      </c>
      <c r="F2568" s="3">
        <v>-13800</v>
      </c>
      <c r="G2568" s="3">
        <v>-13800</v>
      </c>
      <c r="H2568" t="s">
        <v>3</v>
      </c>
      <c r="I2568" t="s">
        <v>3</v>
      </c>
      <c r="J2568" t="s">
        <v>9</v>
      </c>
      <c r="K2568" t="s">
        <v>9</v>
      </c>
      <c r="L2568" t="s">
        <v>6</v>
      </c>
      <c r="M2568" t="s">
        <v>114</v>
      </c>
      <c r="N2568" s="2">
        <v>45930</v>
      </c>
    </row>
    <row r="2569" spans="1:14" x14ac:dyDescent="0.25">
      <c r="A2569" t="s">
        <v>476</v>
      </c>
      <c r="B2569" s="2">
        <v>45900</v>
      </c>
      <c r="C2569" t="s">
        <v>476</v>
      </c>
      <c r="D2569" t="s">
        <v>112</v>
      </c>
      <c r="E2569" t="s">
        <v>9</v>
      </c>
      <c r="F2569" s="3">
        <v>-60700</v>
      </c>
      <c r="G2569" s="3">
        <v>-60700</v>
      </c>
      <c r="H2569" t="s">
        <v>3</v>
      </c>
      <c r="I2569" t="s">
        <v>3</v>
      </c>
      <c r="J2569" t="s">
        <v>320</v>
      </c>
      <c r="K2569" t="s">
        <v>5</v>
      </c>
      <c r="L2569" t="s">
        <v>6</v>
      </c>
      <c r="M2569" t="s">
        <v>114</v>
      </c>
      <c r="N2569" s="2">
        <v>45901</v>
      </c>
    </row>
    <row r="2570" spans="1:14" x14ac:dyDescent="0.25">
      <c r="A2570" t="s">
        <v>476</v>
      </c>
      <c r="B2570" s="2">
        <v>45900</v>
      </c>
      <c r="C2570" t="s">
        <v>476</v>
      </c>
      <c r="D2570" t="s">
        <v>112</v>
      </c>
      <c r="E2570" t="s">
        <v>9</v>
      </c>
      <c r="F2570" s="3">
        <v>60700</v>
      </c>
      <c r="G2570" s="3">
        <v>60700</v>
      </c>
      <c r="H2570" t="s">
        <v>3</v>
      </c>
      <c r="I2570" t="s">
        <v>3</v>
      </c>
      <c r="J2570" t="s">
        <v>320</v>
      </c>
      <c r="K2570" t="s">
        <v>5</v>
      </c>
      <c r="L2570" t="s">
        <v>6</v>
      </c>
      <c r="M2570" t="s">
        <v>114</v>
      </c>
      <c r="N2570" s="2">
        <v>45901</v>
      </c>
    </row>
    <row r="2571" spans="1:14" x14ac:dyDescent="0.25">
      <c r="A2571" t="s">
        <v>476</v>
      </c>
      <c r="B2571" s="2">
        <v>45900</v>
      </c>
      <c r="C2571" t="s">
        <v>476</v>
      </c>
      <c r="D2571" t="s">
        <v>112</v>
      </c>
      <c r="E2571" t="s">
        <v>9</v>
      </c>
      <c r="F2571" s="3">
        <v>-55900</v>
      </c>
      <c r="G2571" s="3">
        <v>-55900</v>
      </c>
      <c r="H2571" t="s">
        <v>3</v>
      </c>
      <c r="I2571" t="s">
        <v>3</v>
      </c>
      <c r="J2571" t="s">
        <v>320</v>
      </c>
      <c r="K2571" t="s">
        <v>5</v>
      </c>
      <c r="L2571" t="s">
        <v>6</v>
      </c>
      <c r="M2571" t="s">
        <v>114</v>
      </c>
      <c r="N2571" s="2">
        <v>45901</v>
      </c>
    </row>
    <row r="2572" spans="1:14" x14ac:dyDescent="0.25">
      <c r="A2572" t="s">
        <v>476</v>
      </c>
      <c r="B2572" s="2">
        <v>45900</v>
      </c>
      <c r="C2572" t="s">
        <v>476</v>
      </c>
      <c r="D2572" t="s">
        <v>112</v>
      </c>
      <c r="E2572" t="s">
        <v>9</v>
      </c>
      <c r="F2572" s="3">
        <v>55900</v>
      </c>
      <c r="G2572" s="3">
        <v>55900</v>
      </c>
      <c r="H2572" t="s">
        <v>3</v>
      </c>
      <c r="I2572" t="s">
        <v>3</v>
      </c>
      <c r="J2572" t="s">
        <v>320</v>
      </c>
      <c r="K2572" t="s">
        <v>5</v>
      </c>
      <c r="L2572" t="s">
        <v>6</v>
      </c>
      <c r="M2572" t="s">
        <v>114</v>
      </c>
      <c r="N2572" s="2">
        <v>45901</v>
      </c>
    </row>
    <row r="2573" spans="1:14" x14ac:dyDescent="0.25">
      <c r="A2573" t="s">
        <v>476</v>
      </c>
      <c r="B2573" s="2">
        <v>45900</v>
      </c>
      <c r="C2573" t="s">
        <v>476</v>
      </c>
      <c r="D2573" t="s">
        <v>112</v>
      </c>
      <c r="E2573" t="s">
        <v>9</v>
      </c>
      <c r="F2573" s="3">
        <v>-71700</v>
      </c>
      <c r="G2573" s="3">
        <v>-71700</v>
      </c>
      <c r="H2573" t="s">
        <v>3</v>
      </c>
      <c r="I2573" t="s">
        <v>3</v>
      </c>
      <c r="J2573" t="s">
        <v>320</v>
      </c>
      <c r="K2573" t="s">
        <v>5</v>
      </c>
      <c r="L2573" t="s">
        <v>6</v>
      </c>
      <c r="M2573" t="s">
        <v>114</v>
      </c>
      <c r="N2573" s="2">
        <v>45901</v>
      </c>
    </row>
    <row r="2574" spans="1:14" x14ac:dyDescent="0.25">
      <c r="A2574" t="s">
        <v>476</v>
      </c>
      <c r="B2574" s="2">
        <v>45930</v>
      </c>
      <c r="C2574" t="s">
        <v>476</v>
      </c>
      <c r="D2574" t="s">
        <v>112</v>
      </c>
      <c r="E2574" t="s">
        <v>9</v>
      </c>
      <c r="F2574" s="3">
        <v>85500</v>
      </c>
      <c r="G2574" s="3">
        <v>85500</v>
      </c>
      <c r="H2574" t="s">
        <v>3</v>
      </c>
      <c r="I2574" t="s">
        <v>3</v>
      </c>
      <c r="J2574" t="s">
        <v>323</v>
      </c>
      <c r="K2574" t="s">
        <v>5</v>
      </c>
      <c r="L2574" t="s">
        <v>6</v>
      </c>
      <c r="M2574" t="s">
        <v>114</v>
      </c>
      <c r="N2574" s="2">
        <v>45930</v>
      </c>
    </row>
    <row r="2575" spans="1:14" x14ac:dyDescent="0.25">
      <c r="A2575" s="4" t="s">
        <v>272</v>
      </c>
      <c r="B2575" s="5"/>
      <c r="C2575" s="4" t="s">
        <v>9</v>
      </c>
      <c r="D2575" s="4" t="s">
        <v>9</v>
      </c>
      <c r="E2575" s="4" t="s">
        <v>9</v>
      </c>
      <c r="F2575" s="6">
        <v>0</v>
      </c>
      <c r="G2575" s="6">
        <v>0</v>
      </c>
      <c r="H2575" s="4" t="s">
        <v>9</v>
      </c>
      <c r="I2575" s="4" t="s">
        <v>3</v>
      </c>
      <c r="J2575" s="4" t="s">
        <v>9</v>
      </c>
      <c r="K2575" s="4" t="s">
        <v>9</v>
      </c>
      <c r="L2575" s="4" t="s">
        <v>9</v>
      </c>
      <c r="M2575" s="4" t="s">
        <v>9</v>
      </c>
      <c r="N2575" s="5"/>
    </row>
    <row r="2576" spans="1:14" x14ac:dyDescent="0.25">
      <c r="A2576" t="s">
        <v>476</v>
      </c>
      <c r="B2576" s="2">
        <v>45965</v>
      </c>
      <c r="C2576" t="s">
        <v>476</v>
      </c>
      <c r="D2576" t="s">
        <v>112</v>
      </c>
      <c r="E2576" t="s">
        <v>9</v>
      </c>
      <c r="F2576" s="3">
        <v>-10500</v>
      </c>
      <c r="G2576" s="3">
        <v>-10500</v>
      </c>
      <c r="H2576" t="s">
        <v>3</v>
      </c>
      <c r="I2576" t="s">
        <v>3</v>
      </c>
      <c r="J2576" t="s">
        <v>9</v>
      </c>
      <c r="K2576" t="s">
        <v>9</v>
      </c>
      <c r="L2576" t="s">
        <v>8</v>
      </c>
      <c r="M2576" t="s">
        <v>114</v>
      </c>
      <c r="N2576" s="2">
        <v>45961</v>
      </c>
    </row>
    <row r="2577" spans="1:14" x14ac:dyDescent="0.25">
      <c r="A2577" t="s">
        <v>476</v>
      </c>
      <c r="B2577" s="2">
        <v>45930</v>
      </c>
      <c r="C2577" t="s">
        <v>476</v>
      </c>
      <c r="D2577" t="s">
        <v>112</v>
      </c>
      <c r="E2577" t="s">
        <v>9</v>
      </c>
      <c r="F2577" s="3">
        <v>-85500</v>
      </c>
      <c r="G2577" s="3">
        <v>-85500</v>
      </c>
      <c r="H2577" t="s">
        <v>3</v>
      </c>
      <c r="I2577" t="s">
        <v>3</v>
      </c>
      <c r="J2577" t="s">
        <v>323</v>
      </c>
      <c r="K2577" t="s">
        <v>5</v>
      </c>
      <c r="L2577" t="s">
        <v>8</v>
      </c>
      <c r="M2577" t="s">
        <v>114</v>
      </c>
      <c r="N2577" s="2">
        <v>45931</v>
      </c>
    </row>
    <row r="2578" spans="1:14" x14ac:dyDescent="0.25">
      <c r="A2578" t="s">
        <v>476</v>
      </c>
      <c r="B2578" s="2">
        <v>45961</v>
      </c>
      <c r="C2578" t="s">
        <v>476</v>
      </c>
      <c r="D2578" t="s">
        <v>112</v>
      </c>
      <c r="E2578" t="s">
        <v>9</v>
      </c>
      <c r="F2578" s="3">
        <v>96000</v>
      </c>
      <c r="G2578" s="3">
        <v>96000</v>
      </c>
      <c r="H2578" t="s">
        <v>3</v>
      </c>
      <c r="I2578" t="s">
        <v>3</v>
      </c>
      <c r="J2578" t="s">
        <v>325</v>
      </c>
      <c r="K2578" t="s">
        <v>5</v>
      </c>
      <c r="L2578" t="s">
        <v>8</v>
      </c>
      <c r="M2578" t="s">
        <v>114</v>
      </c>
      <c r="N2578" s="2">
        <v>45961</v>
      </c>
    </row>
    <row r="2579" spans="1:14" x14ac:dyDescent="0.25">
      <c r="A2579" s="4" t="s">
        <v>278</v>
      </c>
      <c r="B2579" s="5"/>
      <c r="C2579" s="4" t="s">
        <v>9</v>
      </c>
      <c r="D2579" s="4" t="s">
        <v>9</v>
      </c>
      <c r="E2579" s="4" t="s">
        <v>9</v>
      </c>
      <c r="F2579" s="6">
        <v>0</v>
      </c>
      <c r="G2579" s="6">
        <v>0</v>
      </c>
      <c r="H2579" s="4" t="s">
        <v>9</v>
      </c>
      <c r="I2579" s="4" t="s">
        <v>3</v>
      </c>
      <c r="J2579" s="4" t="s">
        <v>9</v>
      </c>
      <c r="K2579" s="4" t="s">
        <v>9</v>
      </c>
      <c r="L2579" s="4" t="s">
        <v>9</v>
      </c>
      <c r="M2579" s="4" t="s">
        <v>9</v>
      </c>
      <c r="N2579" s="5"/>
    </row>
    <row r="2580" spans="1:14" x14ac:dyDescent="0.25">
      <c r="A2580" t="s">
        <v>476</v>
      </c>
      <c r="B2580" s="2">
        <v>45961</v>
      </c>
      <c r="C2580" t="s">
        <v>476</v>
      </c>
      <c r="D2580" t="s">
        <v>112</v>
      </c>
      <c r="E2580" t="s">
        <v>9</v>
      </c>
      <c r="F2580" s="3">
        <v>-96000</v>
      </c>
      <c r="G2580" s="3">
        <v>-96000</v>
      </c>
      <c r="H2580" t="s">
        <v>3</v>
      </c>
      <c r="I2580" t="s">
        <v>3</v>
      </c>
      <c r="J2580" t="s">
        <v>325</v>
      </c>
      <c r="K2580" t="s">
        <v>5</v>
      </c>
      <c r="L2580" t="s">
        <v>11</v>
      </c>
      <c r="M2580" t="s">
        <v>114</v>
      </c>
      <c r="N2580" s="2">
        <v>45962</v>
      </c>
    </row>
    <row r="2581" spans="1:14" x14ac:dyDescent="0.25">
      <c r="A2581" t="s">
        <v>476</v>
      </c>
      <c r="B2581" s="2">
        <v>45991</v>
      </c>
      <c r="C2581" t="s">
        <v>476</v>
      </c>
      <c r="D2581" t="s">
        <v>112</v>
      </c>
      <c r="E2581" t="s">
        <v>9</v>
      </c>
      <c r="F2581" s="3">
        <v>96000</v>
      </c>
      <c r="G2581" s="3">
        <v>96000</v>
      </c>
      <c r="H2581" t="s">
        <v>3</v>
      </c>
      <c r="I2581" t="s">
        <v>3</v>
      </c>
      <c r="J2581" t="s">
        <v>328</v>
      </c>
      <c r="K2581" t="s">
        <v>5</v>
      </c>
      <c r="L2581" t="s">
        <v>11</v>
      </c>
      <c r="M2581" t="s">
        <v>114</v>
      </c>
      <c r="N2581" s="2">
        <v>45991</v>
      </c>
    </row>
    <row r="2582" spans="1:14" x14ac:dyDescent="0.25">
      <c r="A2582" s="4" t="s">
        <v>226</v>
      </c>
      <c r="B2582" s="5"/>
      <c r="C2582" s="4" t="s">
        <v>9</v>
      </c>
      <c r="D2582" s="4" t="s">
        <v>9</v>
      </c>
      <c r="E2582" s="4" t="s">
        <v>9</v>
      </c>
      <c r="F2582" s="6">
        <v>0</v>
      </c>
      <c r="G2582" s="6">
        <v>0</v>
      </c>
      <c r="H2582" s="4" t="s">
        <v>9</v>
      </c>
      <c r="I2582" s="4" t="s">
        <v>3</v>
      </c>
      <c r="J2582" s="4" t="s">
        <v>9</v>
      </c>
      <c r="K2582" s="4" t="s">
        <v>9</v>
      </c>
      <c r="L2582" s="4" t="s">
        <v>9</v>
      </c>
      <c r="M2582" s="4" t="s">
        <v>9</v>
      </c>
      <c r="N2582" s="5"/>
    </row>
    <row r="2583" spans="1:14" x14ac:dyDescent="0.25">
      <c r="A2583" t="s">
        <v>476</v>
      </c>
      <c r="B2583" s="2">
        <v>46028</v>
      </c>
      <c r="C2583" t="s">
        <v>476</v>
      </c>
      <c r="D2583" t="s">
        <v>112</v>
      </c>
      <c r="E2583" t="s">
        <v>9</v>
      </c>
      <c r="F2583" s="3">
        <v>-10200</v>
      </c>
      <c r="G2583" s="3">
        <v>-10200</v>
      </c>
      <c r="H2583" t="s">
        <v>3</v>
      </c>
      <c r="I2583" t="s">
        <v>3</v>
      </c>
      <c r="J2583" t="s">
        <v>9</v>
      </c>
      <c r="K2583" t="s">
        <v>9</v>
      </c>
      <c r="L2583" t="s">
        <v>12</v>
      </c>
      <c r="M2583" t="s">
        <v>114</v>
      </c>
      <c r="N2583" s="2">
        <v>46022</v>
      </c>
    </row>
    <row r="2584" spans="1:14" x14ac:dyDescent="0.25">
      <c r="A2584" t="s">
        <v>476</v>
      </c>
      <c r="B2584" s="2">
        <v>45991</v>
      </c>
      <c r="C2584" t="s">
        <v>476</v>
      </c>
      <c r="D2584" t="s">
        <v>112</v>
      </c>
      <c r="E2584" t="s">
        <v>9</v>
      </c>
      <c r="F2584" s="3">
        <v>-96000</v>
      </c>
      <c r="G2584" s="3">
        <v>-96000</v>
      </c>
      <c r="H2584" t="s">
        <v>3</v>
      </c>
      <c r="I2584" t="s">
        <v>3</v>
      </c>
      <c r="J2584" t="s">
        <v>328</v>
      </c>
      <c r="K2584" t="s">
        <v>5</v>
      </c>
      <c r="L2584" t="s">
        <v>12</v>
      </c>
      <c r="M2584" t="s">
        <v>114</v>
      </c>
      <c r="N2584" s="2">
        <v>45992</v>
      </c>
    </row>
    <row r="2585" spans="1:14" x14ac:dyDescent="0.25">
      <c r="A2585" t="s">
        <v>476</v>
      </c>
      <c r="B2585" s="2">
        <v>46022</v>
      </c>
      <c r="C2585" t="s">
        <v>476</v>
      </c>
      <c r="D2585" t="s">
        <v>112</v>
      </c>
      <c r="E2585" t="s">
        <v>9</v>
      </c>
      <c r="F2585" s="3">
        <v>106200</v>
      </c>
      <c r="G2585" s="3">
        <v>106200</v>
      </c>
      <c r="H2585" t="s">
        <v>3</v>
      </c>
      <c r="I2585" t="s">
        <v>3</v>
      </c>
      <c r="J2585" t="s">
        <v>298</v>
      </c>
      <c r="K2585" t="s">
        <v>5</v>
      </c>
      <c r="L2585" t="s">
        <v>12</v>
      </c>
      <c r="M2585" t="s">
        <v>114</v>
      </c>
      <c r="N2585" s="2">
        <v>46022</v>
      </c>
    </row>
    <row r="2586" spans="1:14" x14ac:dyDescent="0.25">
      <c r="A2586" t="s">
        <v>476</v>
      </c>
      <c r="B2586" s="2">
        <v>46022</v>
      </c>
      <c r="C2586" t="s">
        <v>476</v>
      </c>
      <c r="D2586" t="s">
        <v>112</v>
      </c>
      <c r="E2586" t="s">
        <v>9</v>
      </c>
      <c r="F2586" s="3">
        <v>106200</v>
      </c>
      <c r="G2586" s="3">
        <v>106200</v>
      </c>
      <c r="H2586" t="s">
        <v>3</v>
      </c>
      <c r="I2586" t="s">
        <v>3</v>
      </c>
      <c r="J2586" t="s">
        <v>298</v>
      </c>
      <c r="K2586" t="s">
        <v>5</v>
      </c>
      <c r="L2586" t="s">
        <v>12</v>
      </c>
      <c r="M2586" t="s">
        <v>114</v>
      </c>
      <c r="N2586" s="2">
        <v>46022</v>
      </c>
    </row>
    <row r="2587" spans="1:14" x14ac:dyDescent="0.25">
      <c r="A2587" t="s">
        <v>476</v>
      </c>
      <c r="B2587" s="2">
        <v>46022</v>
      </c>
      <c r="C2587" t="s">
        <v>476</v>
      </c>
      <c r="D2587" t="s">
        <v>112</v>
      </c>
      <c r="E2587" t="s">
        <v>9</v>
      </c>
      <c r="F2587" s="3">
        <v>-106200</v>
      </c>
      <c r="G2587" s="3">
        <v>-106200</v>
      </c>
      <c r="H2587" t="s">
        <v>3</v>
      </c>
      <c r="I2587" t="s">
        <v>3</v>
      </c>
      <c r="J2587" t="s">
        <v>298</v>
      </c>
      <c r="K2587" t="s">
        <v>5</v>
      </c>
      <c r="L2587" t="s">
        <v>12</v>
      </c>
      <c r="M2587" t="s">
        <v>114</v>
      </c>
      <c r="N2587" s="2">
        <v>46022</v>
      </c>
    </row>
    <row r="2588" spans="1:14" x14ac:dyDescent="0.25">
      <c r="A2588" s="4" t="s">
        <v>228</v>
      </c>
      <c r="B2588" s="5"/>
      <c r="C2588" s="4" t="s">
        <v>9</v>
      </c>
      <c r="D2588" s="4" t="s">
        <v>9</v>
      </c>
      <c r="E2588" s="4" t="s">
        <v>9</v>
      </c>
      <c r="F2588" s="6">
        <v>0</v>
      </c>
      <c r="G2588" s="6">
        <v>0</v>
      </c>
      <c r="H2588" s="4" t="s">
        <v>9</v>
      </c>
      <c r="I2588" s="4" t="s">
        <v>3</v>
      </c>
      <c r="J2588" s="4" t="s">
        <v>9</v>
      </c>
      <c r="K2588" s="4" t="s">
        <v>9</v>
      </c>
      <c r="L2588" s="4" t="s">
        <v>9</v>
      </c>
      <c r="M2588" s="4" t="s">
        <v>9</v>
      </c>
      <c r="N2588" s="5"/>
    </row>
    <row r="2589" spans="1:14" x14ac:dyDescent="0.25">
      <c r="A2589" s="4" t="s">
        <v>476</v>
      </c>
      <c r="B2589" s="5"/>
      <c r="C2589" s="4" t="s">
        <v>9</v>
      </c>
      <c r="D2589" s="4" t="s">
        <v>9</v>
      </c>
      <c r="E2589" s="4" t="s">
        <v>9</v>
      </c>
      <c r="F2589" s="6">
        <v>0</v>
      </c>
      <c r="G2589" s="6">
        <v>0</v>
      </c>
      <c r="H2589" s="4" t="s">
        <v>9</v>
      </c>
      <c r="I2589" s="4" t="s">
        <v>3</v>
      </c>
      <c r="J2589" s="4" t="s">
        <v>9</v>
      </c>
      <c r="K2589" s="4" t="s">
        <v>9</v>
      </c>
      <c r="L2589" s="4" t="s">
        <v>9</v>
      </c>
      <c r="M2589" s="4" t="s">
        <v>9</v>
      </c>
      <c r="N2589" s="5"/>
    </row>
    <row r="2590" spans="1:14" x14ac:dyDescent="0.25">
      <c r="A2590" t="s">
        <v>477</v>
      </c>
      <c r="B2590" s="2">
        <v>46056</v>
      </c>
      <c r="C2590" t="s">
        <v>477</v>
      </c>
      <c r="D2590" t="s">
        <v>112</v>
      </c>
      <c r="E2590" t="s">
        <v>9</v>
      </c>
      <c r="F2590" s="3">
        <v>-1000</v>
      </c>
      <c r="G2590" s="3">
        <v>-1000</v>
      </c>
      <c r="H2590" t="s">
        <v>3</v>
      </c>
      <c r="I2590" t="s">
        <v>3</v>
      </c>
      <c r="J2590" t="s">
        <v>9</v>
      </c>
      <c r="K2590" t="s">
        <v>9</v>
      </c>
      <c r="L2590" t="s">
        <v>14</v>
      </c>
      <c r="M2590" t="s">
        <v>114</v>
      </c>
      <c r="N2590" s="2">
        <v>46053</v>
      </c>
    </row>
    <row r="2591" spans="1:14" x14ac:dyDescent="0.25">
      <c r="A2591" t="s">
        <v>477</v>
      </c>
      <c r="B2591" s="2">
        <v>46022</v>
      </c>
      <c r="C2591" t="s">
        <v>477</v>
      </c>
      <c r="D2591" t="s">
        <v>112</v>
      </c>
      <c r="E2591" t="s">
        <v>9</v>
      </c>
      <c r="F2591" s="3">
        <v>-3900</v>
      </c>
      <c r="G2591" s="3">
        <v>-3900</v>
      </c>
      <c r="H2591" t="s">
        <v>3</v>
      </c>
      <c r="I2591" t="s">
        <v>3</v>
      </c>
      <c r="J2591" t="s">
        <v>299</v>
      </c>
      <c r="K2591" t="s">
        <v>13</v>
      </c>
      <c r="L2591" t="s">
        <v>14</v>
      </c>
      <c r="M2591" t="s">
        <v>114</v>
      </c>
      <c r="N2591" s="2">
        <v>46023</v>
      </c>
    </row>
    <row r="2592" spans="1:14" x14ac:dyDescent="0.25">
      <c r="A2592" t="s">
        <v>477</v>
      </c>
      <c r="B2592" s="2">
        <v>46023</v>
      </c>
      <c r="C2592" t="s">
        <v>477</v>
      </c>
      <c r="D2592" t="s">
        <v>112</v>
      </c>
      <c r="E2592" t="s">
        <v>9</v>
      </c>
      <c r="F2592" s="3">
        <v>3900</v>
      </c>
      <c r="G2592" s="3">
        <v>3900</v>
      </c>
      <c r="H2592" t="s">
        <v>3</v>
      </c>
      <c r="I2592" t="s">
        <v>3</v>
      </c>
      <c r="J2592" t="s">
        <v>299</v>
      </c>
      <c r="K2592" t="s">
        <v>13</v>
      </c>
      <c r="L2592" t="s">
        <v>14</v>
      </c>
      <c r="M2592" t="s">
        <v>114</v>
      </c>
      <c r="N2592" s="2">
        <v>46023</v>
      </c>
    </row>
    <row r="2593" spans="1:14" x14ac:dyDescent="0.25">
      <c r="A2593" t="s">
        <v>477</v>
      </c>
      <c r="B2593" s="2">
        <v>46053</v>
      </c>
      <c r="C2593" t="s">
        <v>477</v>
      </c>
      <c r="D2593" t="s">
        <v>112</v>
      </c>
      <c r="E2593" t="s">
        <v>9</v>
      </c>
      <c r="F2593" s="3">
        <v>1000</v>
      </c>
      <c r="G2593" s="3">
        <v>1000</v>
      </c>
      <c r="H2593" t="s">
        <v>3</v>
      </c>
      <c r="I2593" t="s">
        <v>3</v>
      </c>
      <c r="J2593" t="s">
        <v>367</v>
      </c>
      <c r="K2593" t="s">
        <v>13</v>
      </c>
      <c r="L2593" t="s">
        <v>14</v>
      </c>
      <c r="M2593" t="s">
        <v>114</v>
      </c>
      <c r="N2593" s="2">
        <v>46053</v>
      </c>
    </row>
    <row r="2594" spans="1:14" x14ac:dyDescent="0.25">
      <c r="A2594" s="4" t="s">
        <v>234</v>
      </c>
      <c r="B2594" s="5"/>
      <c r="C2594" s="4" t="s">
        <v>9</v>
      </c>
      <c r="D2594" s="4" t="s">
        <v>9</v>
      </c>
      <c r="E2594" s="4" t="s">
        <v>9</v>
      </c>
      <c r="F2594" s="6">
        <v>0</v>
      </c>
      <c r="G2594" s="6">
        <v>0</v>
      </c>
      <c r="H2594" s="4" t="s">
        <v>9</v>
      </c>
      <c r="I2594" s="4" t="s">
        <v>3</v>
      </c>
      <c r="J2594" s="4" t="s">
        <v>9</v>
      </c>
      <c r="K2594" s="4" t="s">
        <v>9</v>
      </c>
      <c r="L2594" s="4" t="s">
        <v>9</v>
      </c>
      <c r="M2594" s="4" t="s">
        <v>9</v>
      </c>
      <c r="N2594" s="5"/>
    </row>
    <row r="2595" spans="1:14" x14ac:dyDescent="0.25">
      <c r="A2595" t="s">
        <v>477</v>
      </c>
      <c r="B2595" s="2">
        <v>46084</v>
      </c>
      <c r="C2595" t="s">
        <v>477</v>
      </c>
      <c r="D2595" t="s">
        <v>112</v>
      </c>
      <c r="E2595" t="s">
        <v>9</v>
      </c>
      <c r="F2595" s="3">
        <v>-2650</v>
      </c>
      <c r="G2595" s="3">
        <v>-2650</v>
      </c>
      <c r="H2595" t="s">
        <v>3</v>
      </c>
      <c r="I2595" t="s">
        <v>3</v>
      </c>
      <c r="J2595" t="s">
        <v>9</v>
      </c>
      <c r="K2595" t="s">
        <v>9</v>
      </c>
      <c r="L2595" t="s">
        <v>15</v>
      </c>
      <c r="M2595" t="s">
        <v>114</v>
      </c>
      <c r="N2595" s="2">
        <v>46081</v>
      </c>
    </row>
    <row r="2596" spans="1:14" x14ac:dyDescent="0.25">
      <c r="A2596" t="s">
        <v>477</v>
      </c>
      <c r="B2596" s="2">
        <v>46054</v>
      </c>
      <c r="C2596" t="s">
        <v>477</v>
      </c>
      <c r="D2596" t="s">
        <v>112</v>
      </c>
      <c r="E2596" t="s">
        <v>9</v>
      </c>
      <c r="F2596" s="3">
        <v>-1000</v>
      </c>
      <c r="G2596" s="3">
        <v>-1000</v>
      </c>
      <c r="H2596" t="s">
        <v>3</v>
      </c>
      <c r="I2596" t="s">
        <v>3</v>
      </c>
      <c r="J2596" t="s">
        <v>367</v>
      </c>
      <c r="K2596" t="s">
        <v>13</v>
      </c>
      <c r="L2596" t="s">
        <v>15</v>
      </c>
      <c r="M2596" t="s">
        <v>114</v>
      </c>
      <c r="N2596" s="2">
        <v>46054</v>
      </c>
    </row>
    <row r="2597" spans="1:14" x14ac:dyDescent="0.25">
      <c r="A2597" t="s">
        <v>477</v>
      </c>
      <c r="B2597" s="2">
        <v>46054</v>
      </c>
      <c r="C2597" t="s">
        <v>477</v>
      </c>
      <c r="D2597" t="s">
        <v>112</v>
      </c>
      <c r="E2597" t="s">
        <v>9</v>
      </c>
      <c r="F2597" s="3">
        <v>1000</v>
      </c>
      <c r="G2597" s="3">
        <v>1000</v>
      </c>
      <c r="H2597" t="s">
        <v>3</v>
      </c>
      <c r="I2597" t="s">
        <v>3</v>
      </c>
      <c r="J2597" t="s">
        <v>367</v>
      </c>
      <c r="K2597" t="s">
        <v>13</v>
      </c>
      <c r="L2597" t="s">
        <v>15</v>
      </c>
      <c r="M2597" t="s">
        <v>114</v>
      </c>
      <c r="N2597" s="2">
        <v>46055</v>
      </c>
    </row>
    <row r="2598" spans="1:14" x14ac:dyDescent="0.25">
      <c r="A2598" t="s">
        <v>477</v>
      </c>
      <c r="B2598" s="2">
        <v>46054</v>
      </c>
      <c r="C2598" t="s">
        <v>477</v>
      </c>
      <c r="D2598" t="s">
        <v>112</v>
      </c>
      <c r="E2598" t="s">
        <v>9</v>
      </c>
      <c r="F2598" s="3">
        <v>-1000</v>
      </c>
      <c r="G2598" s="3">
        <v>-1000</v>
      </c>
      <c r="H2598" t="s">
        <v>3</v>
      </c>
      <c r="I2598" t="s">
        <v>3</v>
      </c>
      <c r="J2598" t="s">
        <v>367</v>
      </c>
      <c r="K2598" t="s">
        <v>13</v>
      </c>
      <c r="L2598" t="s">
        <v>15</v>
      </c>
      <c r="M2598" t="s">
        <v>114</v>
      </c>
      <c r="N2598" s="2">
        <v>46054</v>
      </c>
    </row>
    <row r="2599" spans="1:14" x14ac:dyDescent="0.25">
      <c r="A2599" t="s">
        <v>477</v>
      </c>
      <c r="B2599" s="2">
        <v>46081</v>
      </c>
      <c r="C2599" t="s">
        <v>477</v>
      </c>
      <c r="D2599" t="s">
        <v>112</v>
      </c>
      <c r="E2599" t="s">
        <v>9</v>
      </c>
      <c r="F2599" s="3">
        <v>3650</v>
      </c>
      <c r="G2599" s="3">
        <v>3650</v>
      </c>
      <c r="H2599" t="s">
        <v>3</v>
      </c>
      <c r="I2599" t="s">
        <v>3</v>
      </c>
      <c r="J2599" t="s">
        <v>368</v>
      </c>
      <c r="K2599" t="s">
        <v>13</v>
      </c>
      <c r="L2599" t="s">
        <v>15</v>
      </c>
      <c r="M2599" t="s">
        <v>114</v>
      </c>
      <c r="N2599" s="2">
        <v>46081</v>
      </c>
    </row>
    <row r="2600" spans="1:14" x14ac:dyDescent="0.25">
      <c r="A2600" s="4" t="s">
        <v>239</v>
      </c>
      <c r="B2600" s="5"/>
      <c r="C2600" s="4" t="s">
        <v>9</v>
      </c>
      <c r="D2600" s="4" t="s">
        <v>9</v>
      </c>
      <c r="E2600" s="4" t="s">
        <v>9</v>
      </c>
      <c r="F2600" s="6">
        <v>0</v>
      </c>
      <c r="G2600" s="6">
        <v>0</v>
      </c>
      <c r="H2600" s="4" t="s">
        <v>9</v>
      </c>
      <c r="I2600" s="4" t="s">
        <v>3</v>
      </c>
      <c r="J2600" s="4" t="s">
        <v>9</v>
      </c>
      <c r="K2600" s="4" t="s">
        <v>9</v>
      </c>
      <c r="L2600" s="4" t="s">
        <v>9</v>
      </c>
      <c r="M2600" s="4" t="s">
        <v>9</v>
      </c>
      <c r="N2600" s="5"/>
    </row>
    <row r="2601" spans="1:14" x14ac:dyDescent="0.25">
      <c r="A2601" t="s">
        <v>477</v>
      </c>
      <c r="B2601" s="2">
        <v>46115</v>
      </c>
      <c r="C2601" t="s">
        <v>477</v>
      </c>
      <c r="D2601" t="s">
        <v>112</v>
      </c>
      <c r="E2601" t="s">
        <v>9</v>
      </c>
      <c r="F2601" s="3">
        <v>-3450</v>
      </c>
      <c r="G2601" s="3">
        <v>-3450</v>
      </c>
      <c r="H2601" t="s">
        <v>3</v>
      </c>
      <c r="I2601" t="s">
        <v>3</v>
      </c>
      <c r="J2601" t="s">
        <v>9</v>
      </c>
      <c r="K2601" t="s">
        <v>9</v>
      </c>
      <c r="L2601" t="s">
        <v>16</v>
      </c>
      <c r="M2601" t="s">
        <v>114</v>
      </c>
      <c r="N2601" s="2">
        <v>46112</v>
      </c>
    </row>
    <row r="2602" spans="1:14" x14ac:dyDescent="0.25">
      <c r="A2602" t="s">
        <v>477</v>
      </c>
      <c r="B2602" s="2">
        <v>46081</v>
      </c>
      <c r="C2602" t="s">
        <v>477</v>
      </c>
      <c r="D2602" t="s">
        <v>112</v>
      </c>
      <c r="E2602" t="s">
        <v>9</v>
      </c>
      <c r="F2602" s="3">
        <v>-3650</v>
      </c>
      <c r="G2602" s="3">
        <v>-3650</v>
      </c>
      <c r="H2602" t="s">
        <v>3</v>
      </c>
      <c r="I2602" t="s">
        <v>3</v>
      </c>
      <c r="J2602" t="s">
        <v>368</v>
      </c>
      <c r="K2602" t="s">
        <v>13</v>
      </c>
      <c r="L2602" t="s">
        <v>16</v>
      </c>
      <c r="M2602" t="s">
        <v>114</v>
      </c>
      <c r="N2602" s="2">
        <v>46082</v>
      </c>
    </row>
    <row r="2603" spans="1:14" x14ac:dyDescent="0.25">
      <c r="A2603" t="s">
        <v>477</v>
      </c>
      <c r="B2603" s="2">
        <v>46112</v>
      </c>
      <c r="C2603" t="s">
        <v>477</v>
      </c>
      <c r="D2603" t="s">
        <v>112</v>
      </c>
      <c r="E2603" t="s">
        <v>9</v>
      </c>
      <c r="F2603" s="3">
        <v>7100</v>
      </c>
      <c r="G2603" s="3">
        <v>7100</v>
      </c>
      <c r="H2603" t="s">
        <v>3</v>
      </c>
      <c r="I2603" t="s">
        <v>3</v>
      </c>
      <c r="J2603" t="s">
        <v>369</v>
      </c>
      <c r="K2603" t="s">
        <v>13</v>
      </c>
      <c r="L2603" t="s">
        <v>16</v>
      </c>
      <c r="M2603" t="s">
        <v>114</v>
      </c>
      <c r="N2603" s="2">
        <v>46112</v>
      </c>
    </row>
    <row r="2604" spans="1:14" x14ac:dyDescent="0.25">
      <c r="A2604" s="4" t="s">
        <v>244</v>
      </c>
      <c r="B2604" s="5"/>
      <c r="C2604" s="4" t="s">
        <v>9</v>
      </c>
      <c r="D2604" s="4" t="s">
        <v>9</v>
      </c>
      <c r="E2604" s="4" t="s">
        <v>9</v>
      </c>
      <c r="F2604" s="6">
        <v>0</v>
      </c>
      <c r="G2604" s="6">
        <v>0</v>
      </c>
      <c r="H2604" s="4" t="s">
        <v>9</v>
      </c>
      <c r="I2604" s="4" t="s">
        <v>3</v>
      </c>
      <c r="J2604" s="4" t="s">
        <v>9</v>
      </c>
      <c r="K2604" s="4" t="s">
        <v>9</v>
      </c>
      <c r="L2604" s="4" t="s">
        <v>9</v>
      </c>
      <c r="M2604" s="4" t="s">
        <v>9</v>
      </c>
      <c r="N2604" s="5"/>
    </row>
    <row r="2605" spans="1:14" x14ac:dyDescent="0.25">
      <c r="A2605" t="s">
        <v>477</v>
      </c>
      <c r="B2605" s="2">
        <v>45782</v>
      </c>
      <c r="C2605" t="s">
        <v>477</v>
      </c>
      <c r="D2605" t="s">
        <v>112</v>
      </c>
      <c r="E2605" t="s">
        <v>9</v>
      </c>
      <c r="F2605" s="3">
        <v>-2400</v>
      </c>
      <c r="G2605" s="3">
        <v>-2400</v>
      </c>
      <c r="H2605" t="s">
        <v>3</v>
      </c>
      <c r="I2605" t="s">
        <v>3</v>
      </c>
      <c r="J2605" t="s">
        <v>9</v>
      </c>
      <c r="K2605" t="s">
        <v>9</v>
      </c>
      <c r="L2605" t="s">
        <v>17</v>
      </c>
      <c r="M2605" t="s">
        <v>114</v>
      </c>
      <c r="N2605" s="2">
        <v>45777</v>
      </c>
    </row>
    <row r="2606" spans="1:14" x14ac:dyDescent="0.25">
      <c r="A2606" t="s">
        <v>477</v>
      </c>
      <c r="B2606" s="2">
        <v>46147</v>
      </c>
      <c r="C2606" t="s">
        <v>477</v>
      </c>
      <c r="D2606" t="s">
        <v>112</v>
      </c>
      <c r="E2606" t="s">
        <v>9</v>
      </c>
      <c r="F2606" s="3">
        <v>-2000</v>
      </c>
      <c r="G2606" s="3">
        <v>-2000</v>
      </c>
      <c r="H2606" t="s">
        <v>3</v>
      </c>
      <c r="I2606" t="s">
        <v>3</v>
      </c>
      <c r="J2606" t="s">
        <v>9</v>
      </c>
      <c r="K2606" t="s">
        <v>9</v>
      </c>
      <c r="L2606" t="s">
        <v>17</v>
      </c>
      <c r="M2606" t="s">
        <v>114</v>
      </c>
      <c r="N2606" s="2">
        <v>46142</v>
      </c>
    </row>
    <row r="2607" spans="1:14" x14ac:dyDescent="0.25">
      <c r="A2607" t="s">
        <v>477</v>
      </c>
      <c r="B2607" s="2">
        <v>45777</v>
      </c>
      <c r="C2607" t="s">
        <v>477</v>
      </c>
      <c r="D2607" t="s">
        <v>112</v>
      </c>
      <c r="E2607" t="s">
        <v>9</v>
      </c>
      <c r="F2607" s="3">
        <v>2400</v>
      </c>
      <c r="G2607" s="3">
        <v>2400</v>
      </c>
      <c r="H2607" t="s">
        <v>3</v>
      </c>
      <c r="I2607" t="s">
        <v>3</v>
      </c>
      <c r="J2607" t="s">
        <v>309</v>
      </c>
      <c r="K2607" t="s">
        <v>5</v>
      </c>
      <c r="L2607" t="s">
        <v>17</v>
      </c>
      <c r="M2607" t="s">
        <v>114</v>
      </c>
      <c r="N2607" s="2">
        <v>45777</v>
      </c>
    </row>
    <row r="2608" spans="1:14" x14ac:dyDescent="0.25">
      <c r="A2608" t="s">
        <v>477</v>
      </c>
      <c r="B2608" s="2">
        <v>46112</v>
      </c>
      <c r="C2608" t="s">
        <v>477</v>
      </c>
      <c r="D2608" t="s">
        <v>112</v>
      </c>
      <c r="E2608" t="s">
        <v>9</v>
      </c>
      <c r="F2608" s="3">
        <v>-7100</v>
      </c>
      <c r="G2608" s="3">
        <v>-7100</v>
      </c>
      <c r="H2608" t="s">
        <v>3</v>
      </c>
      <c r="I2608" t="s">
        <v>3</v>
      </c>
      <c r="J2608" t="s">
        <v>369</v>
      </c>
      <c r="K2608" t="s">
        <v>13</v>
      </c>
      <c r="L2608" t="s">
        <v>17</v>
      </c>
      <c r="M2608" t="s">
        <v>114</v>
      </c>
      <c r="N2608" s="2">
        <v>46113</v>
      </c>
    </row>
    <row r="2609" spans="1:14" x14ac:dyDescent="0.25">
      <c r="A2609" t="s">
        <v>477</v>
      </c>
      <c r="B2609" s="2">
        <v>46142</v>
      </c>
      <c r="C2609" t="s">
        <v>477</v>
      </c>
      <c r="D2609" t="s">
        <v>112</v>
      </c>
      <c r="E2609" t="s">
        <v>9</v>
      </c>
      <c r="F2609" s="3">
        <v>9100</v>
      </c>
      <c r="G2609" s="3">
        <v>9100</v>
      </c>
      <c r="H2609" t="s">
        <v>3</v>
      </c>
      <c r="I2609" t="s">
        <v>3</v>
      </c>
      <c r="J2609" t="s">
        <v>370</v>
      </c>
      <c r="K2609" t="s">
        <v>13</v>
      </c>
      <c r="L2609" t="s">
        <v>17</v>
      </c>
      <c r="M2609" t="s">
        <v>114</v>
      </c>
      <c r="N2609" s="2">
        <v>46142</v>
      </c>
    </row>
    <row r="2610" spans="1:14" x14ac:dyDescent="0.25">
      <c r="A2610" s="4" t="s">
        <v>249</v>
      </c>
      <c r="B2610" s="5"/>
      <c r="C2610" s="4" t="s">
        <v>9</v>
      </c>
      <c r="D2610" s="4" t="s">
        <v>9</v>
      </c>
      <c r="E2610" s="4" t="s">
        <v>9</v>
      </c>
      <c r="F2610" s="6">
        <v>0</v>
      </c>
      <c r="G2610" s="6">
        <v>0</v>
      </c>
      <c r="H2610" s="4" t="s">
        <v>9</v>
      </c>
      <c r="I2610" s="4" t="s">
        <v>3</v>
      </c>
      <c r="J2610" s="4" t="s">
        <v>9</v>
      </c>
      <c r="K2610" s="4" t="s">
        <v>9</v>
      </c>
      <c r="L2610" s="4" t="s">
        <v>9</v>
      </c>
      <c r="M2610" s="4" t="s">
        <v>9</v>
      </c>
      <c r="N2610" s="5"/>
    </row>
    <row r="2611" spans="1:14" x14ac:dyDescent="0.25">
      <c r="A2611" t="s">
        <v>477</v>
      </c>
      <c r="B2611" s="2">
        <v>45777</v>
      </c>
      <c r="C2611" t="s">
        <v>477</v>
      </c>
      <c r="D2611" t="s">
        <v>112</v>
      </c>
      <c r="E2611" t="s">
        <v>9</v>
      </c>
      <c r="F2611" s="3">
        <v>-2400</v>
      </c>
      <c r="G2611" s="3">
        <v>-2400</v>
      </c>
      <c r="H2611" t="s">
        <v>3</v>
      </c>
      <c r="I2611" t="s">
        <v>3</v>
      </c>
      <c r="J2611" t="s">
        <v>309</v>
      </c>
      <c r="K2611" t="s">
        <v>5</v>
      </c>
      <c r="L2611" t="s">
        <v>18</v>
      </c>
      <c r="M2611" t="s">
        <v>114</v>
      </c>
      <c r="N2611" s="2">
        <v>45778</v>
      </c>
    </row>
    <row r="2612" spans="1:14" x14ac:dyDescent="0.25">
      <c r="A2612" t="s">
        <v>477</v>
      </c>
      <c r="B2612" s="2">
        <v>45808</v>
      </c>
      <c r="C2612" t="s">
        <v>477</v>
      </c>
      <c r="D2612" t="s">
        <v>112</v>
      </c>
      <c r="E2612" t="s">
        <v>9</v>
      </c>
      <c r="F2612" s="3">
        <v>2400</v>
      </c>
      <c r="G2612" s="3">
        <v>2400</v>
      </c>
      <c r="H2612" t="s">
        <v>3</v>
      </c>
      <c r="I2612" t="s">
        <v>3</v>
      </c>
      <c r="J2612" t="s">
        <v>312</v>
      </c>
      <c r="K2612" t="s">
        <v>5</v>
      </c>
      <c r="L2612" t="s">
        <v>18</v>
      </c>
      <c r="M2612" t="s">
        <v>114</v>
      </c>
      <c r="N2612" s="2">
        <v>45808</v>
      </c>
    </row>
    <row r="2613" spans="1:14" x14ac:dyDescent="0.25">
      <c r="A2613" t="s">
        <v>477</v>
      </c>
      <c r="B2613" s="2">
        <v>46142</v>
      </c>
      <c r="C2613" t="s">
        <v>477</v>
      </c>
      <c r="D2613" t="s">
        <v>112</v>
      </c>
      <c r="E2613" t="s">
        <v>9</v>
      </c>
      <c r="F2613" s="3">
        <v>-9100</v>
      </c>
      <c r="G2613" s="3">
        <v>-9100</v>
      </c>
      <c r="H2613" t="s">
        <v>3</v>
      </c>
      <c r="I2613" t="s">
        <v>3</v>
      </c>
      <c r="J2613" t="s">
        <v>370</v>
      </c>
      <c r="K2613" t="s">
        <v>13</v>
      </c>
      <c r="L2613" t="s">
        <v>18</v>
      </c>
      <c r="M2613" t="s">
        <v>114</v>
      </c>
      <c r="N2613" s="2">
        <v>46143</v>
      </c>
    </row>
    <row r="2614" spans="1:14" x14ac:dyDescent="0.25">
      <c r="A2614" t="s">
        <v>477</v>
      </c>
      <c r="B2614" s="2">
        <v>46173</v>
      </c>
      <c r="C2614" t="s">
        <v>477</v>
      </c>
      <c r="D2614" t="s">
        <v>112</v>
      </c>
      <c r="E2614" t="s">
        <v>9</v>
      </c>
      <c r="F2614" s="3">
        <v>9100</v>
      </c>
      <c r="G2614" s="3">
        <v>9100</v>
      </c>
      <c r="H2614" t="s">
        <v>3</v>
      </c>
      <c r="I2614" t="s">
        <v>3</v>
      </c>
      <c r="J2614" t="s">
        <v>371</v>
      </c>
      <c r="K2614" t="s">
        <v>13</v>
      </c>
      <c r="L2614" t="s">
        <v>18</v>
      </c>
      <c r="M2614" t="s">
        <v>114</v>
      </c>
      <c r="N2614" s="2">
        <v>46173</v>
      </c>
    </row>
    <row r="2615" spans="1:14" x14ac:dyDescent="0.25">
      <c r="A2615" s="4" t="s">
        <v>223</v>
      </c>
      <c r="B2615" s="5"/>
      <c r="C2615" s="4" t="s">
        <v>9</v>
      </c>
      <c r="D2615" s="4" t="s">
        <v>9</v>
      </c>
      <c r="E2615" s="4" t="s">
        <v>9</v>
      </c>
      <c r="F2615" s="6">
        <v>0</v>
      </c>
      <c r="G2615" s="6">
        <v>0</v>
      </c>
      <c r="H2615" s="4" t="s">
        <v>9</v>
      </c>
      <c r="I2615" s="4" t="s">
        <v>3</v>
      </c>
      <c r="J2615" s="4" t="s">
        <v>9</v>
      </c>
      <c r="K2615" s="4" t="s">
        <v>9</v>
      </c>
      <c r="L2615" s="4" t="s">
        <v>9</v>
      </c>
      <c r="M2615" s="4" t="s">
        <v>9</v>
      </c>
      <c r="N2615" s="5"/>
    </row>
    <row r="2616" spans="1:14" x14ac:dyDescent="0.25">
      <c r="A2616" t="s">
        <v>477</v>
      </c>
      <c r="B2616" s="2">
        <v>45808</v>
      </c>
      <c r="C2616" t="s">
        <v>477</v>
      </c>
      <c r="D2616" t="s">
        <v>112</v>
      </c>
      <c r="E2616" t="s">
        <v>9</v>
      </c>
      <c r="F2616" s="3">
        <v>-2400</v>
      </c>
      <c r="G2616" s="3">
        <v>-2400</v>
      </c>
      <c r="H2616" t="s">
        <v>3</v>
      </c>
      <c r="I2616" t="s">
        <v>3</v>
      </c>
      <c r="J2616" t="s">
        <v>312</v>
      </c>
      <c r="K2616" t="s">
        <v>5</v>
      </c>
      <c r="L2616" t="s">
        <v>19</v>
      </c>
      <c r="M2616" t="s">
        <v>114</v>
      </c>
      <c r="N2616" s="2">
        <v>45809</v>
      </c>
    </row>
    <row r="2617" spans="1:14" x14ac:dyDescent="0.25">
      <c r="A2617" t="s">
        <v>477</v>
      </c>
      <c r="B2617" s="2">
        <v>45838</v>
      </c>
      <c r="C2617" t="s">
        <v>477</v>
      </c>
      <c r="D2617" t="s">
        <v>112</v>
      </c>
      <c r="E2617" t="s">
        <v>9</v>
      </c>
      <c r="F2617" s="3">
        <v>2400</v>
      </c>
      <c r="G2617" s="3">
        <v>2400</v>
      </c>
      <c r="H2617" t="s">
        <v>3</v>
      </c>
      <c r="I2617" t="s">
        <v>3</v>
      </c>
      <c r="J2617" t="s">
        <v>315</v>
      </c>
      <c r="K2617" t="s">
        <v>5</v>
      </c>
      <c r="L2617" t="s">
        <v>19</v>
      </c>
      <c r="M2617" t="s">
        <v>114</v>
      </c>
      <c r="N2617" s="2">
        <v>45838</v>
      </c>
    </row>
    <row r="2618" spans="1:14" x14ac:dyDescent="0.25">
      <c r="A2618" t="s">
        <v>477</v>
      </c>
      <c r="B2618" s="2">
        <v>46173</v>
      </c>
      <c r="C2618" t="s">
        <v>477</v>
      </c>
      <c r="D2618" t="s">
        <v>112</v>
      </c>
      <c r="E2618" t="s">
        <v>9</v>
      </c>
      <c r="F2618" s="3">
        <v>-9100</v>
      </c>
      <c r="G2618" s="3">
        <v>-9100</v>
      </c>
      <c r="H2618" t="s">
        <v>3</v>
      </c>
      <c r="I2618" t="s">
        <v>3</v>
      </c>
      <c r="J2618" t="s">
        <v>371</v>
      </c>
      <c r="K2618" t="s">
        <v>13</v>
      </c>
      <c r="L2618" t="s">
        <v>19</v>
      </c>
      <c r="M2618" t="s">
        <v>114</v>
      </c>
      <c r="N2618" s="2">
        <v>46174</v>
      </c>
    </row>
    <row r="2619" spans="1:14" x14ac:dyDescent="0.25">
      <c r="A2619" t="s">
        <v>477</v>
      </c>
      <c r="B2619" s="2">
        <v>46203</v>
      </c>
      <c r="C2619" t="s">
        <v>477</v>
      </c>
      <c r="D2619" t="s">
        <v>112</v>
      </c>
      <c r="E2619" t="s">
        <v>9</v>
      </c>
      <c r="F2619" s="3">
        <v>9100</v>
      </c>
      <c r="G2619" s="3">
        <v>9100</v>
      </c>
      <c r="H2619" t="s">
        <v>3</v>
      </c>
      <c r="I2619" t="s">
        <v>3</v>
      </c>
      <c r="J2619" t="s">
        <v>372</v>
      </c>
      <c r="K2619" t="s">
        <v>13</v>
      </c>
      <c r="L2619" t="s">
        <v>19</v>
      </c>
      <c r="M2619" t="s">
        <v>114</v>
      </c>
      <c r="N2619" s="2">
        <v>46203</v>
      </c>
    </row>
    <row r="2620" spans="1:14" x14ac:dyDescent="0.25">
      <c r="A2620" s="4" t="s">
        <v>224</v>
      </c>
      <c r="B2620" s="5"/>
      <c r="C2620" s="4" t="s">
        <v>9</v>
      </c>
      <c r="D2620" s="4" t="s">
        <v>9</v>
      </c>
      <c r="E2620" s="4" t="s">
        <v>9</v>
      </c>
      <c r="F2620" s="6">
        <v>0</v>
      </c>
      <c r="G2620" s="6">
        <v>0</v>
      </c>
      <c r="H2620" s="4" t="s">
        <v>9</v>
      </c>
      <c r="I2620" s="4" t="s">
        <v>3</v>
      </c>
      <c r="J2620" s="4" t="s">
        <v>9</v>
      </c>
      <c r="K2620" s="4" t="s">
        <v>9</v>
      </c>
      <c r="L2620" s="4" t="s">
        <v>9</v>
      </c>
      <c r="M2620" s="4" t="s">
        <v>9</v>
      </c>
      <c r="N2620" s="5"/>
    </row>
    <row r="2621" spans="1:14" x14ac:dyDescent="0.25">
      <c r="A2621" t="s">
        <v>477</v>
      </c>
      <c r="B2621" s="2">
        <v>46239</v>
      </c>
      <c r="C2621" t="s">
        <v>477</v>
      </c>
      <c r="D2621" t="s">
        <v>112</v>
      </c>
      <c r="E2621" t="s">
        <v>9</v>
      </c>
      <c r="F2621" s="3">
        <v>9100</v>
      </c>
      <c r="G2621" s="3">
        <v>9100</v>
      </c>
      <c r="H2621" t="s">
        <v>3</v>
      </c>
      <c r="I2621" t="s">
        <v>3</v>
      </c>
      <c r="J2621" t="s">
        <v>9</v>
      </c>
      <c r="K2621" t="s">
        <v>9</v>
      </c>
      <c r="L2621" t="s">
        <v>21</v>
      </c>
      <c r="M2621" t="s">
        <v>114</v>
      </c>
      <c r="N2621" s="2">
        <v>46234</v>
      </c>
    </row>
    <row r="2622" spans="1:14" x14ac:dyDescent="0.25">
      <c r="A2622" t="s">
        <v>477</v>
      </c>
      <c r="B2622" s="2">
        <v>46239</v>
      </c>
      <c r="C2622" t="s">
        <v>477</v>
      </c>
      <c r="D2622" t="s">
        <v>112</v>
      </c>
      <c r="E2622" t="s">
        <v>9</v>
      </c>
      <c r="F2622" s="3">
        <v>-9100</v>
      </c>
      <c r="G2622" s="3">
        <v>-9100</v>
      </c>
      <c r="H2622" t="s">
        <v>3</v>
      </c>
      <c r="I2622" t="s">
        <v>3</v>
      </c>
      <c r="J2622" t="s">
        <v>9</v>
      </c>
      <c r="K2622" t="s">
        <v>9</v>
      </c>
      <c r="L2622" t="s">
        <v>21</v>
      </c>
      <c r="M2622" t="s">
        <v>114</v>
      </c>
      <c r="N2622" s="2">
        <v>46234</v>
      </c>
    </row>
    <row r="2623" spans="1:14" x14ac:dyDescent="0.25">
      <c r="A2623" t="s">
        <v>477</v>
      </c>
      <c r="B2623" s="2">
        <v>45838</v>
      </c>
      <c r="C2623" t="s">
        <v>477</v>
      </c>
      <c r="D2623" t="s">
        <v>112</v>
      </c>
      <c r="E2623" t="s">
        <v>9</v>
      </c>
      <c r="F2623" s="3">
        <v>-2400</v>
      </c>
      <c r="G2623" s="3">
        <v>-2400</v>
      </c>
      <c r="H2623" t="s">
        <v>3</v>
      </c>
      <c r="I2623" t="s">
        <v>3</v>
      </c>
      <c r="J2623" t="s">
        <v>315</v>
      </c>
      <c r="K2623" t="s">
        <v>5</v>
      </c>
      <c r="L2623" t="s">
        <v>21</v>
      </c>
      <c r="M2623" t="s">
        <v>114</v>
      </c>
      <c r="N2623" s="2">
        <v>45839</v>
      </c>
    </row>
    <row r="2624" spans="1:14" x14ac:dyDescent="0.25">
      <c r="A2624" t="s">
        <v>477</v>
      </c>
      <c r="B2624" s="2">
        <v>45869</v>
      </c>
      <c r="C2624" t="s">
        <v>477</v>
      </c>
      <c r="D2624" t="s">
        <v>112</v>
      </c>
      <c r="E2624" t="s">
        <v>9</v>
      </c>
      <c r="F2624" s="3">
        <v>2400</v>
      </c>
      <c r="G2624" s="3">
        <v>2400</v>
      </c>
      <c r="H2624" t="s">
        <v>3</v>
      </c>
      <c r="I2624" t="s">
        <v>3</v>
      </c>
      <c r="J2624" t="s">
        <v>318</v>
      </c>
      <c r="K2624" t="s">
        <v>5</v>
      </c>
      <c r="L2624" t="s">
        <v>21</v>
      </c>
      <c r="M2624" t="s">
        <v>114</v>
      </c>
      <c r="N2624" s="2">
        <v>45869</v>
      </c>
    </row>
    <row r="2625" spans="1:14" x14ac:dyDescent="0.25">
      <c r="A2625" t="s">
        <v>477</v>
      </c>
      <c r="B2625" s="2">
        <v>46203</v>
      </c>
      <c r="C2625" t="s">
        <v>477</v>
      </c>
      <c r="D2625" t="s">
        <v>112</v>
      </c>
      <c r="E2625" t="s">
        <v>9</v>
      </c>
      <c r="F2625" s="3">
        <v>-9100</v>
      </c>
      <c r="G2625" s="3">
        <v>-9100</v>
      </c>
      <c r="H2625" t="s">
        <v>3</v>
      </c>
      <c r="I2625" t="s">
        <v>3</v>
      </c>
      <c r="J2625" t="s">
        <v>372</v>
      </c>
      <c r="K2625" t="s">
        <v>13</v>
      </c>
      <c r="L2625" t="s">
        <v>21</v>
      </c>
      <c r="M2625" t="s">
        <v>114</v>
      </c>
      <c r="N2625" s="2">
        <v>46204</v>
      </c>
    </row>
    <row r="2626" spans="1:14" x14ac:dyDescent="0.25">
      <c r="A2626" t="s">
        <v>477</v>
      </c>
      <c r="B2626" s="2">
        <v>46234</v>
      </c>
      <c r="C2626" t="s">
        <v>477</v>
      </c>
      <c r="D2626" t="s">
        <v>112</v>
      </c>
      <c r="E2626" t="s">
        <v>9</v>
      </c>
      <c r="F2626" s="3">
        <v>9100</v>
      </c>
      <c r="G2626" s="3">
        <v>9100</v>
      </c>
      <c r="H2626" t="s">
        <v>3</v>
      </c>
      <c r="I2626" t="s">
        <v>3</v>
      </c>
      <c r="J2626" t="s">
        <v>373</v>
      </c>
      <c r="K2626" t="s">
        <v>13</v>
      </c>
      <c r="L2626" t="s">
        <v>21</v>
      </c>
      <c r="M2626" t="s">
        <v>114</v>
      </c>
      <c r="N2626" s="2">
        <v>46234</v>
      </c>
    </row>
    <row r="2627" spans="1:14" x14ac:dyDescent="0.25">
      <c r="A2627" s="4" t="s">
        <v>262</v>
      </c>
      <c r="B2627" s="5"/>
      <c r="C2627" s="4" t="s">
        <v>9</v>
      </c>
      <c r="D2627" s="4" t="s">
        <v>9</v>
      </c>
      <c r="E2627" s="4" t="s">
        <v>9</v>
      </c>
      <c r="F2627" s="6">
        <v>0</v>
      </c>
      <c r="G2627" s="6">
        <v>0</v>
      </c>
      <c r="H2627" s="4" t="s">
        <v>9</v>
      </c>
      <c r="I2627" s="4" t="s">
        <v>3</v>
      </c>
      <c r="J2627" s="4" t="s">
        <v>9</v>
      </c>
      <c r="K2627" s="4" t="s">
        <v>9</v>
      </c>
      <c r="L2627" s="4" t="s">
        <v>9</v>
      </c>
      <c r="M2627" s="4" t="s">
        <v>9</v>
      </c>
      <c r="N2627" s="5"/>
    </row>
    <row r="2628" spans="1:14" x14ac:dyDescent="0.25">
      <c r="A2628" t="s">
        <v>477</v>
      </c>
      <c r="B2628" s="2">
        <v>45901</v>
      </c>
      <c r="C2628" t="s">
        <v>477</v>
      </c>
      <c r="D2628" t="s">
        <v>112</v>
      </c>
      <c r="E2628" t="s">
        <v>9</v>
      </c>
      <c r="F2628" s="3">
        <v>-1100</v>
      </c>
      <c r="G2628" s="3">
        <v>-1100</v>
      </c>
      <c r="H2628" t="s">
        <v>3</v>
      </c>
      <c r="I2628" t="s">
        <v>3</v>
      </c>
      <c r="J2628" t="s">
        <v>9</v>
      </c>
      <c r="K2628" t="s">
        <v>9</v>
      </c>
      <c r="L2628" t="s">
        <v>22</v>
      </c>
      <c r="M2628" t="s">
        <v>114</v>
      </c>
      <c r="N2628" s="2">
        <v>45900</v>
      </c>
    </row>
    <row r="2629" spans="1:14" x14ac:dyDescent="0.25">
      <c r="A2629" t="s">
        <v>477</v>
      </c>
      <c r="B2629" s="2">
        <v>45903</v>
      </c>
      <c r="C2629" t="s">
        <v>477</v>
      </c>
      <c r="D2629" t="s">
        <v>112</v>
      </c>
      <c r="E2629" t="s">
        <v>9</v>
      </c>
      <c r="F2629" s="3">
        <v>-400</v>
      </c>
      <c r="G2629" s="3">
        <v>-400</v>
      </c>
      <c r="H2629" t="s">
        <v>3</v>
      </c>
      <c r="I2629" t="s">
        <v>3</v>
      </c>
      <c r="J2629" t="s">
        <v>9</v>
      </c>
      <c r="K2629" t="s">
        <v>9</v>
      </c>
      <c r="L2629" t="s">
        <v>22</v>
      </c>
      <c r="M2629" t="s">
        <v>114</v>
      </c>
      <c r="N2629" s="2">
        <v>45900</v>
      </c>
    </row>
    <row r="2630" spans="1:14" x14ac:dyDescent="0.25">
      <c r="A2630" t="s">
        <v>477</v>
      </c>
      <c r="B2630" s="2">
        <v>45869</v>
      </c>
      <c r="C2630" t="s">
        <v>477</v>
      </c>
      <c r="D2630" t="s">
        <v>112</v>
      </c>
      <c r="E2630" t="s">
        <v>9</v>
      </c>
      <c r="F2630" s="3">
        <v>-2400</v>
      </c>
      <c r="G2630" s="3">
        <v>-2400</v>
      </c>
      <c r="H2630" t="s">
        <v>3</v>
      </c>
      <c r="I2630" t="s">
        <v>3</v>
      </c>
      <c r="J2630" t="s">
        <v>318</v>
      </c>
      <c r="K2630" t="s">
        <v>5</v>
      </c>
      <c r="L2630" t="s">
        <v>22</v>
      </c>
      <c r="M2630" t="s">
        <v>114</v>
      </c>
      <c r="N2630" s="2">
        <v>45870</v>
      </c>
    </row>
    <row r="2631" spans="1:14" x14ac:dyDescent="0.25">
      <c r="A2631" t="s">
        <v>477</v>
      </c>
      <c r="B2631" s="2">
        <v>45900</v>
      </c>
      <c r="C2631" t="s">
        <v>477</v>
      </c>
      <c r="D2631" t="s">
        <v>112</v>
      </c>
      <c r="E2631" t="s">
        <v>9</v>
      </c>
      <c r="F2631" s="3">
        <v>3500</v>
      </c>
      <c r="G2631" s="3">
        <v>3500</v>
      </c>
      <c r="H2631" t="s">
        <v>3</v>
      </c>
      <c r="I2631" t="s">
        <v>3</v>
      </c>
      <c r="J2631" t="s">
        <v>321</v>
      </c>
      <c r="K2631" t="s">
        <v>5</v>
      </c>
      <c r="L2631" t="s">
        <v>22</v>
      </c>
      <c r="M2631" t="s">
        <v>114</v>
      </c>
      <c r="N2631" s="2">
        <v>45900</v>
      </c>
    </row>
    <row r="2632" spans="1:14" x14ac:dyDescent="0.25">
      <c r="A2632" t="s">
        <v>477</v>
      </c>
      <c r="B2632" s="2">
        <v>45900</v>
      </c>
      <c r="C2632" t="s">
        <v>477</v>
      </c>
      <c r="D2632" t="s">
        <v>112</v>
      </c>
      <c r="E2632" t="s">
        <v>9</v>
      </c>
      <c r="F2632" s="3">
        <v>-3500</v>
      </c>
      <c r="G2632" s="3">
        <v>-3500</v>
      </c>
      <c r="H2632" t="s">
        <v>3</v>
      </c>
      <c r="I2632" t="s">
        <v>3</v>
      </c>
      <c r="J2632" t="s">
        <v>321</v>
      </c>
      <c r="K2632" t="s">
        <v>5</v>
      </c>
      <c r="L2632" t="s">
        <v>22</v>
      </c>
      <c r="M2632" t="s">
        <v>114</v>
      </c>
      <c r="N2632" s="2">
        <v>45900</v>
      </c>
    </row>
    <row r="2633" spans="1:14" x14ac:dyDescent="0.25">
      <c r="A2633" t="s">
        <v>477</v>
      </c>
      <c r="B2633" s="2">
        <v>45900</v>
      </c>
      <c r="C2633" t="s">
        <v>477</v>
      </c>
      <c r="D2633" t="s">
        <v>112</v>
      </c>
      <c r="E2633" t="s">
        <v>9</v>
      </c>
      <c r="F2633" s="3">
        <v>2800</v>
      </c>
      <c r="G2633" s="3">
        <v>2800</v>
      </c>
      <c r="H2633" t="s">
        <v>3</v>
      </c>
      <c r="I2633" t="s">
        <v>3</v>
      </c>
      <c r="J2633" t="s">
        <v>321</v>
      </c>
      <c r="K2633" t="s">
        <v>5</v>
      </c>
      <c r="L2633" t="s">
        <v>22</v>
      </c>
      <c r="M2633" t="s">
        <v>114</v>
      </c>
      <c r="N2633" s="2">
        <v>45900</v>
      </c>
    </row>
    <row r="2634" spans="1:14" x14ac:dyDescent="0.25">
      <c r="A2634" t="s">
        <v>477</v>
      </c>
      <c r="B2634" s="2">
        <v>45900</v>
      </c>
      <c r="C2634" t="s">
        <v>477</v>
      </c>
      <c r="D2634" t="s">
        <v>112</v>
      </c>
      <c r="E2634" t="s">
        <v>9</v>
      </c>
      <c r="F2634" s="3">
        <v>3900</v>
      </c>
      <c r="G2634" s="3">
        <v>3900</v>
      </c>
      <c r="H2634" t="s">
        <v>3</v>
      </c>
      <c r="I2634" t="s">
        <v>3</v>
      </c>
      <c r="J2634" t="s">
        <v>321</v>
      </c>
      <c r="K2634" t="s">
        <v>5</v>
      </c>
      <c r="L2634" t="s">
        <v>22</v>
      </c>
      <c r="M2634" t="s">
        <v>114</v>
      </c>
      <c r="N2634" s="2">
        <v>45900</v>
      </c>
    </row>
    <row r="2635" spans="1:14" x14ac:dyDescent="0.25">
      <c r="A2635" t="s">
        <v>477</v>
      </c>
      <c r="B2635" s="2">
        <v>45900</v>
      </c>
      <c r="C2635" t="s">
        <v>477</v>
      </c>
      <c r="D2635" t="s">
        <v>112</v>
      </c>
      <c r="E2635" t="s">
        <v>9</v>
      </c>
      <c r="F2635" s="3">
        <v>-2800</v>
      </c>
      <c r="G2635" s="3">
        <v>-2800</v>
      </c>
      <c r="H2635" t="s">
        <v>3</v>
      </c>
      <c r="I2635" t="s">
        <v>3</v>
      </c>
      <c r="J2635" t="s">
        <v>321</v>
      </c>
      <c r="K2635" t="s">
        <v>5</v>
      </c>
      <c r="L2635" t="s">
        <v>22</v>
      </c>
      <c r="M2635" t="s">
        <v>114</v>
      </c>
      <c r="N2635" s="2">
        <v>45900</v>
      </c>
    </row>
    <row r="2636" spans="1:14" x14ac:dyDescent="0.25">
      <c r="A2636" t="s">
        <v>477</v>
      </c>
      <c r="B2636" s="2">
        <v>46234</v>
      </c>
      <c r="C2636" t="s">
        <v>477</v>
      </c>
      <c r="D2636" t="s">
        <v>112</v>
      </c>
      <c r="E2636" t="s">
        <v>9</v>
      </c>
      <c r="F2636" s="3">
        <v>-9100</v>
      </c>
      <c r="G2636" s="3">
        <v>-9100</v>
      </c>
      <c r="H2636" t="s">
        <v>3</v>
      </c>
      <c r="I2636" t="s">
        <v>3</v>
      </c>
      <c r="J2636" t="s">
        <v>373</v>
      </c>
      <c r="K2636" t="s">
        <v>13</v>
      </c>
      <c r="L2636" t="s">
        <v>22</v>
      </c>
      <c r="M2636" t="s">
        <v>114</v>
      </c>
      <c r="N2636" s="2">
        <v>46235</v>
      </c>
    </row>
    <row r="2637" spans="1:14" x14ac:dyDescent="0.25">
      <c r="A2637" t="s">
        <v>477</v>
      </c>
      <c r="B2637" s="2">
        <v>46265</v>
      </c>
      <c r="C2637" t="s">
        <v>477</v>
      </c>
      <c r="D2637" t="s">
        <v>112</v>
      </c>
      <c r="E2637" t="s">
        <v>9</v>
      </c>
      <c r="F2637" s="3">
        <v>9100</v>
      </c>
      <c r="G2637" s="3">
        <v>9100</v>
      </c>
      <c r="H2637" t="s">
        <v>3</v>
      </c>
      <c r="I2637" t="s">
        <v>3</v>
      </c>
      <c r="J2637" t="s">
        <v>430</v>
      </c>
      <c r="K2637" t="s">
        <v>13</v>
      </c>
      <c r="L2637" t="s">
        <v>22</v>
      </c>
      <c r="M2637" t="s">
        <v>114</v>
      </c>
      <c r="N2637" s="2">
        <v>46265</v>
      </c>
    </row>
    <row r="2638" spans="1:14" x14ac:dyDescent="0.25">
      <c r="A2638" s="4" t="s">
        <v>267</v>
      </c>
      <c r="B2638" s="5"/>
      <c r="C2638" s="4" t="s">
        <v>9</v>
      </c>
      <c r="D2638" s="4" t="s">
        <v>9</v>
      </c>
      <c r="E2638" s="4" t="s">
        <v>9</v>
      </c>
      <c r="F2638" s="6">
        <v>0</v>
      </c>
      <c r="G2638" s="6">
        <v>0</v>
      </c>
      <c r="H2638" s="4" t="s">
        <v>9</v>
      </c>
      <c r="I2638" s="4" t="s">
        <v>3</v>
      </c>
      <c r="J2638" s="4" t="s">
        <v>9</v>
      </c>
      <c r="K2638" s="4" t="s">
        <v>9</v>
      </c>
      <c r="L2638" s="4" t="s">
        <v>9</v>
      </c>
      <c r="M2638" s="4" t="s">
        <v>9</v>
      </c>
      <c r="N2638" s="5"/>
    </row>
    <row r="2639" spans="1:14" x14ac:dyDescent="0.25">
      <c r="A2639" t="s">
        <v>477</v>
      </c>
      <c r="B2639" s="2">
        <v>45900</v>
      </c>
      <c r="C2639" t="s">
        <v>477</v>
      </c>
      <c r="D2639" t="s">
        <v>112</v>
      </c>
      <c r="E2639" t="s">
        <v>9</v>
      </c>
      <c r="F2639" s="3">
        <v>-3500</v>
      </c>
      <c r="G2639" s="3">
        <v>-3500</v>
      </c>
      <c r="H2639" t="s">
        <v>3</v>
      </c>
      <c r="I2639" t="s">
        <v>3</v>
      </c>
      <c r="J2639" t="s">
        <v>321</v>
      </c>
      <c r="K2639" t="s">
        <v>5</v>
      </c>
      <c r="L2639" t="s">
        <v>6</v>
      </c>
      <c r="M2639" t="s">
        <v>114</v>
      </c>
      <c r="N2639" s="2">
        <v>45901</v>
      </c>
    </row>
    <row r="2640" spans="1:14" x14ac:dyDescent="0.25">
      <c r="A2640" t="s">
        <v>477</v>
      </c>
      <c r="B2640" s="2">
        <v>45900</v>
      </c>
      <c r="C2640" t="s">
        <v>477</v>
      </c>
      <c r="D2640" t="s">
        <v>112</v>
      </c>
      <c r="E2640" t="s">
        <v>9</v>
      </c>
      <c r="F2640" s="3">
        <v>3500</v>
      </c>
      <c r="G2640" s="3">
        <v>3500</v>
      </c>
      <c r="H2640" t="s">
        <v>3</v>
      </c>
      <c r="I2640" t="s">
        <v>3</v>
      </c>
      <c r="J2640" t="s">
        <v>321</v>
      </c>
      <c r="K2640" t="s">
        <v>5</v>
      </c>
      <c r="L2640" t="s">
        <v>6</v>
      </c>
      <c r="M2640" t="s">
        <v>114</v>
      </c>
      <c r="N2640" s="2">
        <v>45901</v>
      </c>
    </row>
    <row r="2641" spans="1:14" x14ac:dyDescent="0.25">
      <c r="A2641" t="s">
        <v>477</v>
      </c>
      <c r="B2641" s="2">
        <v>45900</v>
      </c>
      <c r="C2641" t="s">
        <v>477</v>
      </c>
      <c r="D2641" t="s">
        <v>112</v>
      </c>
      <c r="E2641" t="s">
        <v>9</v>
      </c>
      <c r="F2641" s="3">
        <v>-2800</v>
      </c>
      <c r="G2641" s="3">
        <v>-2800</v>
      </c>
      <c r="H2641" t="s">
        <v>3</v>
      </c>
      <c r="I2641" t="s">
        <v>3</v>
      </c>
      <c r="J2641" t="s">
        <v>321</v>
      </c>
      <c r="K2641" t="s">
        <v>5</v>
      </c>
      <c r="L2641" t="s">
        <v>6</v>
      </c>
      <c r="M2641" t="s">
        <v>114</v>
      </c>
      <c r="N2641" s="2">
        <v>45901</v>
      </c>
    </row>
    <row r="2642" spans="1:14" x14ac:dyDescent="0.25">
      <c r="A2642" t="s">
        <v>477</v>
      </c>
      <c r="B2642" s="2">
        <v>45900</v>
      </c>
      <c r="C2642" t="s">
        <v>477</v>
      </c>
      <c r="D2642" t="s">
        <v>112</v>
      </c>
      <c r="E2642" t="s">
        <v>9</v>
      </c>
      <c r="F2642" s="3">
        <v>2800</v>
      </c>
      <c r="G2642" s="3">
        <v>2800</v>
      </c>
      <c r="H2642" t="s">
        <v>3</v>
      </c>
      <c r="I2642" t="s">
        <v>3</v>
      </c>
      <c r="J2642" t="s">
        <v>321</v>
      </c>
      <c r="K2642" t="s">
        <v>5</v>
      </c>
      <c r="L2642" t="s">
        <v>6</v>
      </c>
      <c r="M2642" t="s">
        <v>114</v>
      </c>
      <c r="N2642" s="2">
        <v>45901</v>
      </c>
    </row>
    <row r="2643" spans="1:14" x14ac:dyDescent="0.25">
      <c r="A2643" t="s">
        <v>477</v>
      </c>
      <c r="B2643" s="2">
        <v>45900</v>
      </c>
      <c r="C2643" t="s">
        <v>477</v>
      </c>
      <c r="D2643" t="s">
        <v>112</v>
      </c>
      <c r="E2643" t="s">
        <v>9</v>
      </c>
      <c r="F2643" s="3">
        <v>-3900</v>
      </c>
      <c r="G2643" s="3">
        <v>-3900</v>
      </c>
      <c r="H2643" t="s">
        <v>3</v>
      </c>
      <c r="I2643" t="s">
        <v>3</v>
      </c>
      <c r="J2643" t="s">
        <v>321</v>
      </c>
      <c r="K2643" t="s">
        <v>5</v>
      </c>
      <c r="L2643" t="s">
        <v>6</v>
      </c>
      <c r="M2643" t="s">
        <v>114</v>
      </c>
      <c r="N2643" s="2">
        <v>45901</v>
      </c>
    </row>
    <row r="2644" spans="1:14" x14ac:dyDescent="0.25">
      <c r="A2644" t="s">
        <v>477</v>
      </c>
      <c r="B2644" s="2">
        <v>45930</v>
      </c>
      <c r="C2644" t="s">
        <v>477</v>
      </c>
      <c r="D2644" t="s">
        <v>112</v>
      </c>
      <c r="E2644" t="s">
        <v>9</v>
      </c>
      <c r="F2644" s="3">
        <v>3900</v>
      </c>
      <c r="G2644" s="3">
        <v>3900</v>
      </c>
      <c r="H2644" t="s">
        <v>3</v>
      </c>
      <c r="I2644" t="s">
        <v>3</v>
      </c>
      <c r="J2644" t="s">
        <v>324</v>
      </c>
      <c r="K2644" t="s">
        <v>5</v>
      </c>
      <c r="L2644" t="s">
        <v>6</v>
      </c>
      <c r="M2644" t="s">
        <v>114</v>
      </c>
      <c r="N2644" s="2">
        <v>45930</v>
      </c>
    </row>
    <row r="2645" spans="1:14" x14ac:dyDescent="0.25">
      <c r="A2645" s="4" t="s">
        <v>272</v>
      </c>
      <c r="B2645" s="5"/>
      <c r="C2645" s="4" t="s">
        <v>9</v>
      </c>
      <c r="D2645" s="4" t="s">
        <v>9</v>
      </c>
      <c r="E2645" s="4" t="s">
        <v>9</v>
      </c>
      <c r="F2645" s="6">
        <v>0</v>
      </c>
      <c r="G2645" s="6">
        <v>0</v>
      </c>
      <c r="H2645" s="4" t="s">
        <v>9</v>
      </c>
      <c r="I2645" s="4" t="s">
        <v>3</v>
      </c>
      <c r="J2645" s="4" t="s">
        <v>9</v>
      </c>
      <c r="K2645" s="4" t="s">
        <v>9</v>
      </c>
      <c r="L2645" s="4" t="s">
        <v>9</v>
      </c>
      <c r="M2645" s="4" t="s">
        <v>9</v>
      </c>
      <c r="N2645" s="5"/>
    </row>
    <row r="2646" spans="1:14" x14ac:dyDescent="0.25">
      <c r="A2646" t="s">
        <v>477</v>
      </c>
      <c r="B2646" s="2">
        <v>45930</v>
      </c>
      <c r="C2646" t="s">
        <v>477</v>
      </c>
      <c r="D2646" t="s">
        <v>112</v>
      </c>
      <c r="E2646" t="s">
        <v>9</v>
      </c>
      <c r="F2646" s="3">
        <v>-3900</v>
      </c>
      <c r="G2646" s="3">
        <v>-3900</v>
      </c>
      <c r="H2646" t="s">
        <v>3</v>
      </c>
      <c r="I2646" t="s">
        <v>3</v>
      </c>
      <c r="J2646" t="s">
        <v>324</v>
      </c>
      <c r="K2646" t="s">
        <v>5</v>
      </c>
      <c r="L2646" t="s">
        <v>8</v>
      </c>
      <c r="M2646" t="s">
        <v>114</v>
      </c>
      <c r="N2646" s="2">
        <v>45931</v>
      </c>
    </row>
    <row r="2647" spans="1:14" x14ac:dyDescent="0.25">
      <c r="A2647" t="s">
        <v>477</v>
      </c>
      <c r="B2647" s="2">
        <v>45961</v>
      </c>
      <c r="C2647" t="s">
        <v>477</v>
      </c>
      <c r="D2647" t="s">
        <v>112</v>
      </c>
      <c r="E2647" t="s">
        <v>9</v>
      </c>
      <c r="F2647" s="3">
        <v>3900</v>
      </c>
      <c r="G2647" s="3">
        <v>3900</v>
      </c>
      <c r="H2647" t="s">
        <v>3</v>
      </c>
      <c r="I2647" t="s">
        <v>3</v>
      </c>
      <c r="J2647" t="s">
        <v>326</v>
      </c>
      <c r="K2647" t="s">
        <v>5</v>
      </c>
      <c r="L2647" t="s">
        <v>8</v>
      </c>
      <c r="M2647" t="s">
        <v>114</v>
      </c>
      <c r="N2647" s="2">
        <v>45961</v>
      </c>
    </row>
    <row r="2648" spans="1:14" x14ac:dyDescent="0.25">
      <c r="A2648" s="4" t="s">
        <v>278</v>
      </c>
      <c r="B2648" s="5"/>
      <c r="C2648" s="4" t="s">
        <v>9</v>
      </c>
      <c r="D2648" s="4" t="s">
        <v>9</v>
      </c>
      <c r="E2648" s="4" t="s">
        <v>9</v>
      </c>
      <c r="F2648" s="6">
        <v>0</v>
      </c>
      <c r="G2648" s="6">
        <v>0</v>
      </c>
      <c r="H2648" s="4" t="s">
        <v>9</v>
      </c>
      <c r="I2648" s="4" t="s">
        <v>3</v>
      </c>
      <c r="J2648" s="4" t="s">
        <v>9</v>
      </c>
      <c r="K2648" s="4" t="s">
        <v>9</v>
      </c>
      <c r="L2648" s="4" t="s">
        <v>9</v>
      </c>
      <c r="M2648" s="4" t="s">
        <v>9</v>
      </c>
      <c r="N2648" s="5"/>
    </row>
    <row r="2649" spans="1:14" x14ac:dyDescent="0.25">
      <c r="A2649" t="s">
        <v>477</v>
      </c>
      <c r="B2649" s="2">
        <v>45961</v>
      </c>
      <c r="C2649" t="s">
        <v>477</v>
      </c>
      <c r="D2649" t="s">
        <v>112</v>
      </c>
      <c r="E2649" t="s">
        <v>9</v>
      </c>
      <c r="F2649" s="3">
        <v>-3900</v>
      </c>
      <c r="G2649" s="3">
        <v>-3900</v>
      </c>
      <c r="H2649" t="s">
        <v>3</v>
      </c>
      <c r="I2649" t="s">
        <v>3</v>
      </c>
      <c r="J2649" t="s">
        <v>326</v>
      </c>
      <c r="K2649" t="s">
        <v>5</v>
      </c>
      <c r="L2649" t="s">
        <v>11</v>
      </c>
      <c r="M2649" t="s">
        <v>114</v>
      </c>
      <c r="N2649" s="2">
        <v>45962</v>
      </c>
    </row>
    <row r="2650" spans="1:14" x14ac:dyDescent="0.25">
      <c r="A2650" t="s">
        <v>477</v>
      </c>
      <c r="B2650" s="2">
        <v>45991</v>
      </c>
      <c r="C2650" t="s">
        <v>477</v>
      </c>
      <c r="D2650" t="s">
        <v>112</v>
      </c>
      <c r="E2650" t="s">
        <v>9</v>
      </c>
      <c r="F2650" s="3">
        <v>3900</v>
      </c>
      <c r="G2650" s="3">
        <v>3900</v>
      </c>
      <c r="H2650" t="s">
        <v>3</v>
      </c>
      <c r="I2650" t="s">
        <v>3</v>
      </c>
      <c r="J2650" t="s">
        <v>329</v>
      </c>
      <c r="K2650" t="s">
        <v>5</v>
      </c>
      <c r="L2650" t="s">
        <v>11</v>
      </c>
      <c r="M2650" t="s">
        <v>114</v>
      </c>
      <c r="N2650" s="2">
        <v>45991</v>
      </c>
    </row>
    <row r="2651" spans="1:14" x14ac:dyDescent="0.25">
      <c r="A2651" s="4" t="s">
        <v>226</v>
      </c>
      <c r="B2651" s="5"/>
      <c r="C2651" s="4" t="s">
        <v>9</v>
      </c>
      <c r="D2651" s="4" t="s">
        <v>9</v>
      </c>
      <c r="E2651" s="4" t="s">
        <v>9</v>
      </c>
      <c r="F2651" s="6">
        <v>0</v>
      </c>
      <c r="G2651" s="6">
        <v>0</v>
      </c>
      <c r="H2651" s="4" t="s">
        <v>9</v>
      </c>
      <c r="I2651" s="4" t="s">
        <v>3</v>
      </c>
      <c r="J2651" s="4" t="s">
        <v>9</v>
      </c>
      <c r="K2651" s="4" t="s">
        <v>9</v>
      </c>
      <c r="L2651" s="4" t="s">
        <v>9</v>
      </c>
      <c r="M2651" s="4" t="s">
        <v>9</v>
      </c>
      <c r="N2651" s="5"/>
    </row>
    <row r="2652" spans="1:14" x14ac:dyDescent="0.25">
      <c r="A2652" t="s">
        <v>477</v>
      </c>
      <c r="B2652" s="2">
        <v>45991</v>
      </c>
      <c r="C2652" t="s">
        <v>477</v>
      </c>
      <c r="D2652" t="s">
        <v>112</v>
      </c>
      <c r="E2652" t="s">
        <v>9</v>
      </c>
      <c r="F2652" s="3">
        <v>-3900</v>
      </c>
      <c r="G2652" s="3">
        <v>-3900</v>
      </c>
      <c r="H2652" t="s">
        <v>3</v>
      </c>
      <c r="I2652" t="s">
        <v>3</v>
      </c>
      <c r="J2652" t="s">
        <v>329</v>
      </c>
      <c r="K2652" t="s">
        <v>5</v>
      </c>
      <c r="L2652" t="s">
        <v>12</v>
      </c>
      <c r="M2652" t="s">
        <v>114</v>
      </c>
      <c r="N2652" s="2">
        <v>45992</v>
      </c>
    </row>
    <row r="2653" spans="1:14" x14ac:dyDescent="0.25">
      <c r="A2653" t="s">
        <v>477</v>
      </c>
      <c r="B2653" s="2">
        <v>46022</v>
      </c>
      <c r="C2653" t="s">
        <v>477</v>
      </c>
      <c r="D2653" t="s">
        <v>112</v>
      </c>
      <c r="E2653" t="s">
        <v>9</v>
      </c>
      <c r="F2653" s="3">
        <v>3900</v>
      </c>
      <c r="G2653" s="3">
        <v>3900</v>
      </c>
      <c r="H2653" t="s">
        <v>3</v>
      </c>
      <c r="I2653" t="s">
        <v>3</v>
      </c>
      <c r="J2653" t="s">
        <v>299</v>
      </c>
      <c r="K2653" t="s">
        <v>5</v>
      </c>
      <c r="L2653" t="s">
        <v>12</v>
      </c>
      <c r="M2653" t="s">
        <v>114</v>
      </c>
      <c r="N2653" s="2">
        <v>46022</v>
      </c>
    </row>
    <row r="2654" spans="1:14" x14ac:dyDescent="0.25">
      <c r="A2654" t="s">
        <v>477</v>
      </c>
      <c r="B2654" s="2">
        <v>46022</v>
      </c>
      <c r="C2654" t="s">
        <v>477</v>
      </c>
      <c r="D2654" t="s">
        <v>112</v>
      </c>
      <c r="E2654" t="s">
        <v>9</v>
      </c>
      <c r="F2654" s="3">
        <v>3900</v>
      </c>
      <c r="G2654" s="3">
        <v>3900</v>
      </c>
      <c r="H2654" t="s">
        <v>3</v>
      </c>
      <c r="I2654" t="s">
        <v>3</v>
      </c>
      <c r="J2654" t="s">
        <v>299</v>
      </c>
      <c r="K2654" t="s">
        <v>5</v>
      </c>
      <c r="L2654" t="s">
        <v>12</v>
      </c>
      <c r="M2654" t="s">
        <v>114</v>
      </c>
      <c r="N2654" s="2">
        <v>46022</v>
      </c>
    </row>
    <row r="2655" spans="1:14" x14ac:dyDescent="0.25">
      <c r="A2655" t="s">
        <v>477</v>
      </c>
      <c r="B2655" s="2">
        <v>46022</v>
      </c>
      <c r="C2655" t="s">
        <v>477</v>
      </c>
      <c r="D2655" t="s">
        <v>112</v>
      </c>
      <c r="E2655" t="s">
        <v>9</v>
      </c>
      <c r="F2655" s="3">
        <v>-3900</v>
      </c>
      <c r="G2655" s="3">
        <v>-3900</v>
      </c>
      <c r="H2655" t="s">
        <v>3</v>
      </c>
      <c r="I2655" t="s">
        <v>3</v>
      </c>
      <c r="J2655" t="s">
        <v>299</v>
      </c>
      <c r="K2655" t="s">
        <v>5</v>
      </c>
      <c r="L2655" t="s">
        <v>12</v>
      </c>
      <c r="M2655" t="s">
        <v>114</v>
      </c>
      <c r="N2655" s="2">
        <v>46022</v>
      </c>
    </row>
    <row r="2656" spans="1:14" x14ac:dyDescent="0.25">
      <c r="A2656" s="4" t="s">
        <v>228</v>
      </c>
      <c r="B2656" s="5"/>
      <c r="C2656" s="4" t="s">
        <v>9</v>
      </c>
      <c r="D2656" s="4" t="s">
        <v>9</v>
      </c>
      <c r="E2656" s="4" t="s">
        <v>9</v>
      </c>
      <c r="F2656" s="6">
        <v>0</v>
      </c>
      <c r="G2656" s="6">
        <v>0</v>
      </c>
      <c r="H2656" s="4" t="s">
        <v>9</v>
      </c>
      <c r="I2656" s="4" t="s">
        <v>3</v>
      </c>
      <c r="J2656" s="4" t="s">
        <v>9</v>
      </c>
      <c r="K2656" s="4" t="s">
        <v>9</v>
      </c>
      <c r="L2656" s="4" t="s">
        <v>9</v>
      </c>
      <c r="M2656" s="4" t="s">
        <v>9</v>
      </c>
      <c r="N2656" s="5"/>
    </row>
    <row r="2657" spans="1:14" x14ac:dyDescent="0.25">
      <c r="A2657" s="4" t="s">
        <v>477</v>
      </c>
      <c r="B2657" s="5"/>
      <c r="C2657" s="4" t="s">
        <v>9</v>
      </c>
      <c r="D2657" s="4" t="s">
        <v>9</v>
      </c>
      <c r="E2657" s="4" t="s">
        <v>9</v>
      </c>
      <c r="F2657" s="6">
        <v>0</v>
      </c>
      <c r="G2657" s="6">
        <v>0</v>
      </c>
      <c r="H2657" s="4" t="s">
        <v>9</v>
      </c>
      <c r="I2657" s="4" t="s">
        <v>3</v>
      </c>
      <c r="J2657" s="4" t="s">
        <v>9</v>
      </c>
      <c r="K2657" s="4" t="s">
        <v>9</v>
      </c>
      <c r="L2657" s="4" t="s">
        <v>9</v>
      </c>
      <c r="M2657" s="4" t="s">
        <v>9</v>
      </c>
      <c r="N2657" s="5"/>
    </row>
    <row r="2658" spans="1:14" x14ac:dyDescent="0.25">
      <c r="A2658" t="s">
        <v>478</v>
      </c>
      <c r="B2658" s="2">
        <v>46022</v>
      </c>
      <c r="C2658" t="s">
        <v>478</v>
      </c>
      <c r="D2658" t="s">
        <v>112</v>
      </c>
      <c r="E2658" t="s">
        <v>9</v>
      </c>
      <c r="F2658" s="3">
        <v>-315</v>
      </c>
      <c r="G2658" s="3">
        <v>-315</v>
      </c>
      <c r="H2658" t="s">
        <v>3</v>
      </c>
      <c r="I2658" t="s">
        <v>3</v>
      </c>
      <c r="J2658" t="s">
        <v>381</v>
      </c>
      <c r="K2658" t="s">
        <v>13</v>
      </c>
      <c r="L2658" t="s">
        <v>14</v>
      </c>
      <c r="M2658" t="s">
        <v>114</v>
      </c>
      <c r="N2658" s="2">
        <v>46023</v>
      </c>
    </row>
    <row r="2659" spans="1:14" x14ac:dyDescent="0.25">
      <c r="A2659" t="s">
        <v>478</v>
      </c>
      <c r="B2659" s="2">
        <v>46023</v>
      </c>
      <c r="C2659" t="s">
        <v>478</v>
      </c>
      <c r="D2659" t="s">
        <v>112</v>
      </c>
      <c r="E2659" t="s">
        <v>9</v>
      </c>
      <c r="F2659" s="3">
        <v>315</v>
      </c>
      <c r="G2659" s="3">
        <v>315</v>
      </c>
      <c r="H2659" t="s">
        <v>3</v>
      </c>
      <c r="I2659" t="s">
        <v>3</v>
      </c>
      <c r="J2659" t="s">
        <v>381</v>
      </c>
      <c r="K2659" t="s">
        <v>13</v>
      </c>
      <c r="L2659" t="s">
        <v>14</v>
      </c>
      <c r="M2659" t="s">
        <v>114</v>
      </c>
      <c r="N2659" s="2">
        <v>46023</v>
      </c>
    </row>
    <row r="2660" spans="1:14" x14ac:dyDescent="0.25">
      <c r="A2660" s="4" t="s">
        <v>234</v>
      </c>
      <c r="B2660" s="5"/>
      <c r="C2660" s="4" t="s">
        <v>9</v>
      </c>
      <c r="D2660" s="4" t="s">
        <v>9</v>
      </c>
      <c r="E2660" s="4" t="s">
        <v>9</v>
      </c>
      <c r="F2660" s="6">
        <v>0</v>
      </c>
      <c r="G2660" s="6">
        <v>0</v>
      </c>
      <c r="H2660" s="4" t="s">
        <v>9</v>
      </c>
      <c r="I2660" s="4" t="s">
        <v>3</v>
      </c>
      <c r="J2660" s="4" t="s">
        <v>9</v>
      </c>
      <c r="K2660" s="4" t="s">
        <v>9</v>
      </c>
      <c r="L2660" s="4" t="s">
        <v>9</v>
      </c>
      <c r="M2660" s="4" t="s">
        <v>9</v>
      </c>
      <c r="N2660" s="5"/>
    </row>
    <row r="2661" spans="1:14" x14ac:dyDescent="0.25">
      <c r="A2661" t="s">
        <v>478</v>
      </c>
      <c r="B2661" s="2">
        <v>45782</v>
      </c>
      <c r="C2661" t="s">
        <v>478</v>
      </c>
      <c r="D2661" t="s">
        <v>112</v>
      </c>
      <c r="E2661" t="s">
        <v>9</v>
      </c>
      <c r="F2661" s="3">
        <v>-225</v>
      </c>
      <c r="G2661" s="3">
        <v>-225</v>
      </c>
      <c r="H2661" t="s">
        <v>3</v>
      </c>
      <c r="I2661" t="s">
        <v>3</v>
      </c>
      <c r="J2661" t="s">
        <v>9</v>
      </c>
      <c r="K2661" t="s">
        <v>9</v>
      </c>
      <c r="L2661" t="s">
        <v>17</v>
      </c>
      <c r="M2661" t="s">
        <v>114</v>
      </c>
      <c r="N2661" s="2">
        <v>45777</v>
      </c>
    </row>
    <row r="2662" spans="1:14" x14ac:dyDescent="0.25">
      <c r="A2662" t="s">
        <v>478</v>
      </c>
      <c r="B2662" s="2">
        <v>45777</v>
      </c>
      <c r="C2662" t="s">
        <v>478</v>
      </c>
      <c r="D2662" t="s">
        <v>112</v>
      </c>
      <c r="E2662" t="s">
        <v>9</v>
      </c>
      <c r="F2662" s="3">
        <v>225</v>
      </c>
      <c r="G2662" s="3">
        <v>225</v>
      </c>
      <c r="H2662" t="s">
        <v>3</v>
      </c>
      <c r="I2662" t="s">
        <v>3</v>
      </c>
      <c r="J2662" t="s">
        <v>396</v>
      </c>
      <c r="K2662" t="s">
        <v>5</v>
      </c>
      <c r="L2662" t="s">
        <v>17</v>
      </c>
      <c r="M2662" t="s">
        <v>114</v>
      </c>
      <c r="N2662" s="2">
        <v>45777</v>
      </c>
    </row>
    <row r="2663" spans="1:14" x14ac:dyDescent="0.25">
      <c r="A2663" s="4" t="s">
        <v>249</v>
      </c>
      <c r="B2663" s="5"/>
      <c r="C2663" s="4" t="s">
        <v>9</v>
      </c>
      <c r="D2663" s="4" t="s">
        <v>9</v>
      </c>
      <c r="E2663" s="4" t="s">
        <v>9</v>
      </c>
      <c r="F2663" s="6">
        <v>0</v>
      </c>
      <c r="G2663" s="6">
        <v>0</v>
      </c>
      <c r="H2663" s="4" t="s">
        <v>9</v>
      </c>
      <c r="I2663" s="4" t="s">
        <v>3</v>
      </c>
      <c r="J2663" s="4" t="s">
        <v>9</v>
      </c>
      <c r="K2663" s="4" t="s">
        <v>9</v>
      </c>
      <c r="L2663" s="4" t="s">
        <v>9</v>
      </c>
      <c r="M2663" s="4" t="s">
        <v>9</v>
      </c>
      <c r="N2663" s="5"/>
    </row>
    <row r="2664" spans="1:14" x14ac:dyDescent="0.25">
      <c r="A2664" t="s">
        <v>478</v>
      </c>
      <c r="B2664" s="2">
        <v>45810</v>
      </c>
      <c r="C2664" t="s">
        <v>478</v>
      </c>
      <c r="D2664" t="s">
        <v>112</v>
      </c>
      <c r="E2664" t="s">
        <v>9</v>
      </c>
      <c r="F2664" s="3">
        <v>-90</v>
      </c>
      <c r="G2664" s="3">
        <v>-90</v>
      </c>
      <c r="H2664" t="s">
        <v>3</v>
      </c>
      <c r="I2664" t="s">
        <v>3</v>
      </c>
      <c r="J2664" t="s">
        <v>9</v>
      </c>
      <c r="K2664" t="s">
        <v>9</v>
      </c>
      <c r="L2664" t="s">
        <v>18</v>
      </c>
      <c r="M2664" t="s">
        <v>114</v>
      </c>
      <c r="N2664" s="2">
        <v>45808</v>
      </c>
    </row>
    <row r="2665" spans="1:14" x14ac:dyDescent="0.25">
      <c r="A2665" t="s">
        <v>478</v>
      </c>
      <c r="B2665" s="2">
        <v>45777</v>
      </c>
      <c r="C2665" t="s">
        <v>478</v>
      </c>
      <c r="D2665" t="s">
        <v>112</v>
      </c>
      <c r="E2665" t="s">
        <v>9</v>
      </c>
      <c r="F2665" s="3">
        <v>-225</v>
      </c>
      <c r="G2665" s="3">
        <v>-225</v>
      </c>
      <c r="H2665" t="s">
        <v>3</v>
      </c>
      <c r="I2665" t="s">
        <v>3</v>
      </c>
      <c r="J2665" t="s">
        <v>396</v>
      </c>
      <c r="K2665" t="s">
        <v>5</v>
      </c>
      <c r="L2665" t="s">
        <v>18</v>
      </c>
      <c r="M2665" t="s">
        <v>114</v>
      </c>
      <c r="N2665" s="2">
        <v>45778</v>
      </c>
    </row>
    <row r="2666" spans="1:14" x14ac:dyDescent="0.25">
      <c r="A2666" t="s">
        <v>478</v>
      </c>
      <c r="B2666" s="2">
        <v>45808</v>
      </c>
      <c r="C2666" t="s">
        <v>478</v>
      </c>
      <c r="D2666" t="s">
        <v>112</v>
      </c>
      <c r="E2666" t="s">
        <v>9</v>
      </c>
      <c r="F2666" s="3">
        <v>315</v>
      </c>
      <c r="G2666" s="3">
        <v>315</v>
      </c>
      <c r="H2666" t="s">
        <v>3</v>
      </c>
      <c r="I2666" t="s">
        <v>3</v>
      </c>
      <c r="J2666" t="s">
        <v>397</v>
      </c>
      <c r="K2666" t="s">
        <v>5</v>
      </c>
      <c r="L2666" t="s">
        <v>18</v>
      </c>
      <c r="M2666" t="s">
        <v>114</v>
      </c>
      <c r="N2666" s="2">
        <v>45808</v>
      </c>
    </row>
    <row r="2667" spans="1:14" x14ac:dyDescent="0.25">
      <c r="A2667" s="4" t="s">
        <v>223</v>
      </c>
      <c r="B2667" s="5"/>
      <c r="C2667" s="4" t="s">
        <v>9</v>
      </c>
      <c r="D2667" s="4" t="s">
        <v>9</v>
      </c>
      <c r="E2667" s="4" t="s">
        <v>9</v>
      </c>
      <c r="F2667" s="6">
        <v>0</v>
      </c>
      <c r="G2667" s="6">
        <v>0</v>
      </c>
      <c r="H2667" s="4" t="s">
        <v>9</v>
      </c>
      <c r="I2667" s="4" t="s">
        <v>3</v>
      </c>
      <c r="J2667" s="4" t="s">
        <v>9</v>
      </c>
      <c r="K2667" s="4" t="s">
        <v>9</v>
      </c>
      <c r="L2667" s="4" t="s">
        <v>9</v>
      </c>
      <c r="M2667" s="4" t="s">
        <v>9</v>
      </c>
      <c r="N2667" s="5"/>
    </row>
    <row r="2668" spans="1:14" x14ac:dyDescent="0.25">
      <c r="A2668" t="s">
        <v>478</v>
      </c>
      <c r="B2668" s="2">
        <v>45808</v>
      </c>
      <c r="C2668" t="s">
        <v>478</v>
      </c>
      <c r="D2668" t="s">
        <v>112</v>
      </c>
      <c r="E2668" t="s">
        <v>9</v>
      </c>
      <c r="F2668" s="3">
        <v>-315</v>
      </c>
      <c r="G2668" s="3">
        <v>-315</v>
      </c>
      <c r="H2668" t="s">
        <v>3</v>
      </c>
      <c r="I2668" t="s">
        <v>3</v>
      </c>
      <c r="J2668" t="s">
        <v>397</v>
      </c>
      <c r="K2668" t="s">
        <v>5</v>
      </c>
      <c r="L2668" t="s">
        <v>19</v>
      </c>
      <c r="M2668" t="s">
        <v>114</v>
      </c>
      <c r="N2668" s="2">
        <v>45809</v>
      </c>
    </row>
    <row r="2669" spans="1:14" x14ac:dyDescent="0.25">
      <c r="A2669" t="s">
        <v>478</v>
      </c>
      <c r="B2669" s="2">
        <v>45838</v>
      </c>
      <c r="C2669" t="s">
        <v>478</v>
      </c>
      <c r="D2669" t="s">
        <v>112</v>
      </c>
      <c r="E2669" t="s">
        <v>9</v>
      </c>
      <c r="F2669" s="3">
        <v>315</v>
      </c>
      <c r="G2669" s="3">
        <v>315</v>
      </c>
      <c r="H2669" t="s">
        <v>3</v>
      </c>
      <c r="I2669" t="s">
        <v>3</v>
      </c>
      <c r="J2669" t="s">
        <v>398</v>
      </c>
      <c r="K2669" t="s">
        <v>5</v>
      </c>
      <c r="L2669" t="s">
        <v>19</v>
      </c>
      <c r="M2669" t="s">
        <v>114</v>
      </c>
      <c r="N2669" s="2">
        <v>45838</v>
      </c>
    </row>
    <row r="2670" spans="1:14" x14ac:dyDescent="0.25">
      <c r="A2670" s="4" t="s">
        <v>224</v>
      </c>
      <c r="B2670" s="5"/>
      <c r="C2670" s="4" t="s">
        <v>9</v>
      </c>
      <c r="D2670" s="4" t="s">
        <v>9</v>
      </c>
      <c r="E2670" s="4" t="s">
        <v>9</v>
      </c>
      <c r="F2670" s="6">
        <v>0</v>
      </c>
      <c r="G2670" s="6">
        <v>0</v>
      </c>
      <c r="H2670" s="4" t="s">
        <v>9</v>
      </c>
      <c r="I2670" s="4" t="s">
        <v>3</v>
      </c>
      <c r="J2670" s="4" t="s">
        <v>9</v>
      </c>
      <c r="K2670" s="4" t="s">
        <v>9</v>
      </c>
      <c r="L2670" s="4" t="s">
        <v>9</v>
      </c>
      <c r="M2670" s="4" t="s">
        <v>9</v>
      </c>
      <c r="N2670" s="5"/>
    </row>
    <row r="2671" spans="1:14" x14ac:dyDescent="0.25">
      <c r="A2671" t="s">
        <v>478</v>
      </c>
      <c r="B2671" s="2">
        <v>45838</v>
      </c>
      <c r="C2671" t="s">
        <v>478</v>
      </c>
      <c r="D2671" t="s">
        <v>112</v>
      </c>
      <c r="E2671" t="s">
        <v>9</v>
      </c>
      <c r="F2671" s="3">
        <v>-315</v>
      </c>
      <c r="G2671" s="3">
        <v>-315</v>
      </c>
      <c r="H2671" t="s">
        <v>3</v>
      </c>
      <c r="I2671" t="s">
        <v>3</v>
      </c>
      <c r="J2671" t="s">
        <v>398</v>
      </c>
      <c r="K2671" t="s">
        <v>5</v>
      </c>
      <c r="L2671" t="s">
        <v>21</v>
      </c>
      <c r="M2671" t="s">
        <v>114</v>
      </c>
      <c r="N2671" s="2">
        <v>45839</v>
      </c>
    </row>
    <row r="2672" spans="1:14" x14ac:dyDescent="0.25">
      <c r="A2672" t="s">
        <v>478</v>
      </c>
      <c r="B2672" s="2">
        <v>45869</v>
      </c>
      <c r="C2672" t="s">
        <v>478</v>
      </c>
      <c r="D2672" t="s">
        <v>112</v>
      </c>
      <c r="E2672" t="s">
        <v>9</v>
      </c>
      <c r="F2672" s="3">
        <v>315</v>
      </c>
      <c r="G2672" s="3">
        <v>315</v>
      </c>
      <c r="H2672" t="s">
        <v>3</v>
      </c>
      <c r="I2672" t="s">
        <v>3</v>
      </c>
      <c r="J2672" t="s">
        <v>382</v>
      </c>
      <c r="K2672" t="s">
        <v>5</v>
      </c>
      <c r="L2672" t="s">
        <v>21</v>
      </c>
      <c r="M2672" t="s">
        <v>114</v>
      </c>
      <c r="N2672" s="2">
        <v>45869</v>
      </c>
    </row>
    <row r="2673" spans="1:14" x14ac:dyDescent="0.25">
      <c r="A2673" s="4" t="s">
        <v>262</v>
      </c>
      <c r="B2673" s="5"/>
      <c r="C2673" s="4" t="s">
        <v>9</v>
      </c>
      <c r="D2673" s="4" t="s">
        <v>9</v>
      </c>
      <c r="E2673" s="4" t="s">
        <v>9</v>
      </c>
      <c r="F2673" s="6">
        <v>0</v>
      </c>
      <c r="G2673" s="6">
        <v>0</v>
      </c>
      <c r="H2673" s="4" t="s">
        <v>9</v>
      </c>
      <c r="I2673" s="4" t="s">
        <v>3</v>
      </c>
      <c r="J2673" s="4" t="s">
        <v>9</v>
      </c>
      <c r="K2673" s="4" t="s">
        <v>9</v>
      </c>
      <c r="L2673" s="4" t="s">
        <v>9</v>
      </c>
      <c r="M2673" s="4" t="s">
        <v>9</v>
      </c>
      <c r="N2673" s="5"/>
    </row>
    <row r="2674" spans="1:14" x14ac:dyDescent="0.25">
      <c r="A2674" t="s">
        <v>478</v>
      </c>
      <c r="B2674" s="2">
        <v>45869</v>
      </c>
      <c r="C2674" t="s">
        <v>478</v>
      </c>
      <c r="D2674" t="s">
        <v>112</v>
      </c>
      <c r="E2674" t="s">
        <v>9</v>
      </c>
      <c r="F2674" s="3">
        <v>-315</v>
      </c>
      <c r="G2674" s="3">
        <v>-315</v>
      </c>
      <c r="H2674" t="s">
        <v>3</v>
      </c>
      <c r="I2674" t="s">
        <v>3</v>
      </c>
      <c r="J2674" t="s">
        <v>382</v>
      </c>
      <c r="K2674" t="s">
        <v>5</v>
      </c>
      <c r="L2674" t="s">
        <v>22</v>
      </c>
      <c r="M2674" t="s">
        <v>114</v>
      </c>
      <c r="N2674" s="2">
        <v>45870</v>
      </c>
    </row>
    <row r="2675" spans="1:14" x14ac:dyDescent="0.25">
      <c r="A2675" t="s">
        <v>478</v>
      </c>
      <c r="B2675" s="2">
        <v>45900</v>
      </c>
      <c r="C2675" t="s">
        <v>478</v>
      </c>
      <c r="D2675" t="s">
        <v>112</v>
      </c>
      <c r="E2675" t="s">
        <v>9</v>
      </c>
      <c r="F2675" s="3">
        <v>315</v>
      </c>
      <c r="G2675" s="3">
        <v>315</v>
      </c>
      <c r="H2675" t="s">
        <v>3</v>
      </c>
      <c r="I2675" t="s">
        <v>3</v>
      </c>
      <c r="J2675" t="s">
        <v>383</v>
      </c>
      <c r="K2675" t="s">
        <v>5</v>
      </c>
      <c r="L2675" t="s">
        <v>22</v>
      </c>
      <c r="M2675" t="s">
        <v>114</v>
      </c>
      <c r="N2675" s="2">
        <v>45900</v>
      </c>
    </row>
    <row r="2676" spans="1:14" x14ac:dyDescent="0.25">
      <c r="A2676" t="s">
        <v>478</v>
      </c>
      <c r="B2676" s="2">
        <v>45900</v>
      </c>
      <c r="C2676" t="s">
        <v>478</v>
      </c>
      <c r="D2676" t="s">
        <v>112</v>
      </c>
      <c r="E2676" t="s">
        <v>9</v>
      </c>
      <c r="F2676" s="3">
        <v>-315</v>
      </c>
      <c r="G2676" s="3">
        <v>-315</v>
      </c>
      <c r="H2676" t="s">
        <v>3</v>
      </c>
      <c r="I2676" t="s">
        <v>3</v>
      </c>
      <c r="J2676" t="s">
        <v>383</v>
      </c>
      <c r="K2676" t="s">
        <v>5</v>
      </c>
      <c r="L2676" t="s">
        <v>22</v>
      </c>
      <c r="M2676" t="s">
        <v>114</v>
      </c>
      <c r="N2676" s="2">
        <v>45900</v>
      </c>
    </row>
    <row r="2677" spans="1:14" x14ac:dyDescent="0.25">
      <c r="A2677" t="s">
        <v>478</v>
      </c>
      <c r="B2677" s="2">
        <v>45900</v>
      </c>
      <c r="C2677" t="s">
        <v>478</v>
      </c>
      <c r="D2677" t="s">
        <v>112</v>
      </c>
      <c r="E2677" t="s">
        <v>9</v>
      </c>
      <c r="F2677" s="3">
        <v>315</v>
      </c>
      <c r="G2677" s="3">
        <v>315</v>
      </c>
      <c r="H2677" t="s">
        <v>3</v>
      </c>
      <c r="I2677" t="s">
        <v>3</v>
      </c>
      <c r="J2677" t="s">
        <v>383</v>
      </c>
      <c r="K2677" t="s">
        <v>5</v>
      </c>
      <c r="L2677" t="s">
        <v>22</v>
      </c>
      <c r="M2677" t="s">
        <v>114</v>
      </c>
      <c r="N2677" s="2">
        <v>45900</v>
      </c>
    </row>
    <row r="2678" spans="1:14" x14ac:dyDescent="0.25">
      <c r="A2678" t="s">
        <v>478</v>
      </c>
      <c r="B2678" s="2">
        <v>45900</v>
      </c>
      <c r="C2678" t="s">
        <v>478</v>
      </c>
      <c r="D2678" t="s">
        <v>112</v>
      </c>
      <c r="E2678" t="s">
        <v>9</v>
      </c>
      <c r="F2678" s="3">
        <v>315</v>
      </c>
      <c r="G2678" s="3">
        <v>315</v>
      </c>
      <c r="H2678" t="s">
        <v>3</v>
      </c>
      <c r="I2678" t="s">
        <v>3</v>
      </c>
      <c r="J2678" t="s">
        <v>383</v>
      </c>
      <c r="K2678" t="s">
        <v>5</v>
      </c>
      <c r="L2678" t="s">
        <v>22</v>
      </c>
      <c r="M2678" t="s">
        <v>114</v>
      </c>
      <c r="N2678" s="2">
        <v>45900</v>
      </c>
    </row>
    <row r="2679" spans="1:14" x14ac:dyDescent="0.25">
      <c r="A2679" t="s">
        <v>478</v>
      </c>
      <c r="B2679" s="2">
        <v>45900</v>
      </c>
      <c r="C2679" t="s">
        <v>478</v>
      </c>
      <c r="D2679" t="s">
        <v>112</v>
      </c>
      <c r="E2679" t="s">
        <v>9</v>
      </c>
      <c r="F2679" s="3">
        <v>-315</v>
      </c>
      <c r="G2679" s="3">
        <v>-315</v>
      </c>
      <c r="H2679" t="s">
        <v>3</v>
      </c>
      <c r="I2679" t="s">
        <v>3</v>
      </c>
      <c r="J2679" t="s">
        <v>383</v>
      </c>
      <c r="K2679" t="s">
        <v>5</v>
      </c>
      <c r="L2679" t="s">
        <v>22</v>
      </c>
      <c r="M2679" t="s">
        <v>114</v>
      </c>
      <c r="N2679" s="2">
        <v>45900</v>
      </c>
    </row>
    <row r="2680" spans="1:14" x14ac:dyDescent="0.25">
      <c r="A2680" s="4" t="s">
        <v>267</v>
      </c>
      <c r="B2680" s="5"/>
      <c r="C2680" s="4" t="s">
        <v>9</v>
      </c>
      <c r="D2680" s="4" t="s">
        <v>9</v>
      </c>
      <c r="E2680" s="4" t="s">
        <v>9</v>
      </c>
      <c r="F2680" s="6">
        <v>0</v>
      </c>
      <c r="G2680" s="6">
        <v>0</v>
      </c>
      <c r="H2680" s="4" t="s">
        <v>9</v>
      </c>
      <c r="I2680" s="4" t="s">
        <v>3</v>
      </c>
      <c r="J2680" s="4" t="s">
        <v>9</v>
      </c>
      <c r="K2680" s="4" t="s">
        <v>9</v>
      </c>
      <c r="L2680" s="4" t="s">
        <v>9</v>
      </c>
      <c r="M2680" s="4" t="s">
        <v>9</v>
      </c>
      <c r="N2680" s="5"/>
    </row>
    <row r="2681" spans="1:14" x14ac:dyDescent="0.25">
      <c r="A2681" t="s">
        <v>478</v>
      </c>
      <c r="B2681" s="2">
        <v>45900</v>
      </c>
      <c r="C2681" t="s">
        <v>478</v>
      </c>
      <c r="D2681" t="s">
        <v>112</v>
      </c>
      <c r="E2681" t="s">
        <v>9</v>
      </c>
      <c r="F2681" s="3">
        <v>-315</v>
      </c>
      <c r="G2681" s="3">
        <v>-315</v>
      </c>
      <c r="H2681" t="s">
        <v>3</v>
      </c>
      <c r="I2681" t="s">
        <v>3</v>
      </c>
      <c r="J2681" t="s">
        <v>383</v>
      </c>
      <c r="K2681" t="s">
        <v>5</v>
      </c>
      <c r="L2681" t="s">
        <v>6</v>
      </c>
      <c r="M2681" t="s">
        <v>114</v>
      </c>
      <c r="N2681" s="2">
        <v>45901</v>
      </c>
    </row>
    <row r="2682" spans="1:14" x14ac:dyDescent="0.25">
      <c r="A2682" t="s">
        <v>478</v>
      </c>
      <c r="B2682" s="2">
        <v>45900</v>
      </c>
      <c r="C2682" t="s">
        <v>478</v>
      </c>
      <c r="D2682" t="s">
        <v>112</v>
      </c>
      <c r="E2682" t="s">
        <v>9</v>
      </c>
      <c r="F2682" s="3">
        <v>315</v>
      </c>
      <c r="G2682" s="3">
        <v>315</v>
      </c>
      <c r="H2682" t="s">
        <v>3</v>
      </c>
      <c r="I2682" t="s">
        <v>3</v>
      </c>
      <c r="J2682" t="s">
        <v>383</v>
      </c>
      <c r="K2682" t="s">
        <v>5</v>
      </c>
      <c r="L2682" t="s">
        <v>6</v>
      </c>
      <c r="M2682" t="s">
        <v>114</v>
      </c>
      <c r="N2682" s="2">
        <v>45901</v>
      </c>
    </row>
    <row r="2683" spans="1:14" x14ac:dyDescent="0.25">
      <c r="A2683" t="s">
        <v>478</v>
      </c>
      <c r="B2683" s="2">
        <v>45900</v>
      </c>
      <c r="C2683" t="s">
        <v>478</v>
      </c>
      <c r="D2683" t="s">
        <v>112</v>
      </c>
      <c r="E2683" t="s">
        <v>9</v>
      </c>
      <c r="F2683" s="3">
        <v>-315</v>
      </c>
      <c r="G2683" s="3">
        <v>-315</v>
      </c>
      <c r="H2683" t="s">
        <v>3</v>
      </c>
      <c r="I2683" t="s">
        <v>3</v>
      </c>
      <c r="J2683" t="s">
        <v>383</v>
      </c>
      <c r="K2683" t="s">
        <v>5</v>
      </c>
      <c r="L2683" t="s">
        <v>6</v>
      </c>
      <c r="M2683" t="s">
        <v>114</v>
      </c>
      <c r="N2683" s="2">
        <v>45901</v>
      </c>
    </row>
    <row r="2684" spans="1:14" x14ac:dyDescent="0.25">
      <c r="A2684" t="s">
        <v>478</v>
      </c>
      <c r="B2684" s="2">
        <v>45900</v>
      </c>
      <c r="C2684" t="s">
        <v>478</v>
      </c>
      <c r="D2684" t="s">
        <v>112</v>
      </c>
      <c r="E2684" t="s">
        <v>9</v>
      </c>
      <c r="F2684" s="3">
        <v>315</v>
      </c>
      <c r="G2684" s="3">
        <v>315</v>
      </c>
      <c r="H2684" t="s">
        <v>3</v>
      </c>
      <c r="I2684" t="s">
        <v>3</v>
      </c>
      <c r="J2684" t="s">
        <v>383</v>
      </c>
      <c r="K2684" t="s">
        <v>5</v>
      </c>
      <c r="L2684" t="s">
        <v>6</v>
      </c>
      <c r="M2684" t="s">
        <v>114</v>
      </c>
      <c r="N2684" s="2">
        <v>45901</v>
      </c>
    </row>
    <row r="2685" spans="1:14" x14ac:dyDescent="0.25">
      <c r="A2685" t="s">
        <v>478</v>
      </c>
      <c r="B2685" s="2">
        <v>45900</v>
      </c>
      <c r="C2685" t="s">
        <v>478</v>
      </c>
      <c r="D2685" t="s">
        <v>112</v>
      </c>
      <c r="E2685" t="s">
        <v>9</v>
      </c>
      <c r="F2685" s="3">
        <v>-315</v>
      </c>
      <c r="G2685" s="3">
        <v>-315</v>
      </c>
      <c r="H2685" t="s">
        <v>3</v>
      </c>
      <c r="I2685" t="s">
        <v>3</v>
      </c>
      <c r="J2685" t="s">
        <v>383</v>
      </c>
      <c r="K2685" t="s">
        <v>5</v>
      </c>
      <c r="L2685" t="s">
        <v>6</v>
      </c>
      <c r="M2685" t="s">
        <v>114</v>
      </c>
      <c r="N2685" s="2">
        <v>45901</v>
      </c>
    </row>
    <row r="2686" spans="1:14" x14ac:dyDescent="0.25">
      <c r="A2686" t="s">
        <v>478</v>
      </c>
      <c r="B2686" s="2">
        <v>45930</v>
      </c>
      <c r="C2686" t="s">
        <v>478</v>
      </c>
      <c r="D2686" t="s">
        <v>112</v>
      </c>
      <c r="E2686" t="s">
        <v>9</v>
      </c>
      <c r="F2686" s="3">
        <v>315</v>
      </c>
      <c r="G2686" s="3">
        <v>315</v>
      </c>
      <c r="H2686" t="s">
        <v>3</v>
      </c>
      <c r="I2686" t="s">
        <v>3</v>
      </c>
      <c r="J2686" t="s">
        <v>384</v>
      </c>
      <c r="K2686" t="s">
        <v>5</v>
      </c>
      <c r="L2686" t="s">
        <v>6</v>
      </c>
      <c r="M2686" t="s">
        <v>114</v>
      </c>
      <c r="N2686" s="2">
        <v>45930</v>
      </c>
    </row>
    <row r="2687" spans="1:14" x14ac:dyDescent="0.25">
      <c r="A2687" s="4" t="s">
        <v>272</v>
      </c>
      <c r="B2687" s="5"/>
      <c r="C2687" s="4" t="s">
        <v>9</v>
      </c>
      <c r="D2687" s="4" t="s">
        <v>9</v>
      </c>
      <c r="E2687" s="4" t="s">
        <v>9</v>
      </c>
      <c r="F2687" s="6">
        <v>0</v>
      </c>
      <c r="G2687" s="6">
        <v>0</v>
      </c>
      <c r="H2687" s="4" t="s">
        <v>9</v>
      </c>
      <c r="I2687" s="4" t="s">
        <v>3</v>
      </c>
      <c r="J2687" s="4" t="s">
        <v>9</v>
      </c>
      <c r="K2687" s="4" t="s">
        <v>9</v>
      </c>
      <c r="L2687" s="4" t="s">
        <v>9</v>
      </c>
      <c r="M2687" s="4" t="s">
        <v>9</v>
      </c>
      <c r="N2687" s="5"/>
    </row>
    <row r="2688" spans="1:14" x14ac:dyDescent="0.25">
      <c r="A2688" t="s">
        <v>478</v>
      </c>
      <c r="B2688" s="2">
        <v>45930</v>
      </c>
      <c r="C2688" t="s">
        <v>478</v>
      </c>
      <c r="D2688" t="s">
        <v>112</v>
      </c>
      <c r="E2688" t="s">
        <v>9</v>
      </c>
      <c r="F2688" s="3">
        <v>-315</v>
      </c>
      <c r="G2688" s="3">
        <v>-315</v>
      </c>
      <c r="H2688" t="s">
        <v>3</v>
      </c>
      <c r="I2688" t="s">
        <v>3</v>
      </c>
      <c r="J2688" t="s">
        <v>384</v>
      </c>
      <c r="K2688" t="s">
        <v>5</v>
      </c>
      <c r="L2688" t="s">
        <v>8</v>
      </c>
      <c r="M2688" t="s">
        <v>114</v>
      </c>
      <c r="N2688" s="2">
        <v>45931</v>
      </c>
    </row>
    <row r="2689" spans="1:14" x14ac:dyDescent="0.25">
      <c r="A2689" t="s">
        <v>478</v>
      </c>
      <c r="B2689" s="2">
        <v>45961</v>
      </c>
      <c r="C2689" t="s">
        <v>478</v>
      </c>
      <c r="D2689" t="s">
        <v>112</v>
      </c>
      <c r="E2689" t="s">
        <v>9</v>
      </c>
      <c r="F2689" s="3">
        <v>315</v>
      </c>
      <c r="G2689" s="3">
        <v>315</v>
      </c>
      <c r="H2689" t="s">
        <v>3</v>
      </c>
      <c r="I2689" t="s">
        <v>3</v>
      </c>
      <c r="J2689" t="s">
        <v>385</v>
      </c>
      <c r="K2689" t="s">
        <v>5</v>
      </c>
      <c r="L2689" t="s">
        <v>8</v>
      </c>
      <c r="M2689" t="s">
        <v>114</v>
      </c>
      <c r="N2689" s="2">
        <v>45961</v>
      </c>
    </row>
    <row r="2690" spans="1:14" x14ac:dyDescent="0.25">
      <c r="A2690" s="4" t="s">
        <v>278</v>
      </c>
      <c r="B2690" s="5"/>
      <c r="C2690" s="4" t="s">
        <v>9</v>
      </c>
      <c r="D2690" s="4" t="s">
        <v>9</v>
      </c>
      <c r="E2690" s="4" t="s">
        <v>9</v>
      </c>
      <c r="F2690" s="6">
        <v>0</v>
      </c>
      <c r="G2690" s="6">
        <v>0</v>
      </c>
      <c r="H2690" s="4" t="s">
        <v>9</v>
      </c>
      <c r="I2690" s="4" t="s">
        <v>3</v>
      </c>
      <c r="J2690" s="4" t="s">
        <v>9</v>
      </c>
      <c r="K2690" s="4" t="s">
        <v>9</v>
      </c>
      <c r="L2690" s="4" t="s">
        <v>9</v>
      </c>
      <c r="M2690" s="4" t="s">
        <v>9</v>
      </c>
      <c r="N2690" s="5"/>
    </row>
    <row r="2691" spans="1:14" x14ac:dyDescent="0.25">
      <c r="A2691" t="s">
        <v>478</v>
      </c>
      <c r="B2691" s="2">
        <v>45961</v>
      </c>
      <c r="C2691" t="s">
        <v>478</v>
      </c>
      <c r="D2691" t="s">
        <v>112</v>
      </c>
      <c r="E2691" t="s">
        <v>9</v>
      </c>
      <c r="F2691" s="3">
        <v>-315</v>
      </c>
      <c r="G2691" s="3">
        <v>-315</v>
      </c>
      <c r="H2691" t="s">
        <v>3</v>
      </c>
      <c r="I2691" t="s">
        <v>3</v>
      </c>
      <c r="J2691" t="s">
        <v>385</v>
      </c>
      <c r="K2691" t="s">
        <v>5</v>
      </c>
      <c r="L2691" t="s">
        <v>11</v>
      </c>
      <c r="M2691" t="s">
        <v>114</v>
      </c>
      <c r="N2691" s="2">
        <v>45962</v>
      </c>
    </row>
    <row r="2692" spans="1:14" x14ac:dyDescent="0.25">
      <c r="A2692" t="s">
        <v>478</v>
      </c>
      <c r="B2692" s="2">
        <v>45991</v>
      </c>
      <c r="C2692" t="s">
        <v>478</v>
      </c>
      <c r="D2692" t="s">
        <v>112</v>
      </c>
      <c r="E2692" t="s">
        <v>9</v>
      </c>
      <c r="F2692" s="3">
        <v>315</v>
      </c>
      <c r="G2692" s="3">
        <v>315</v>
      </c>
      <c r="H2692" t="s">
        <v>3</v>
      </c>
      <c r="I2692" t="s">
        <v>3</v>
      </c>
      <c r="J2692" t="s">
        <v>387</v>
      </c>
      <c r="K2692" t="s">
        <v>5</v>
      </c>
      <c r="L2692" t="s">
        <v>11</v>
      </c>
      <c r="M2692" t="s">
        <v>114</v>
      </c>
      <c r="N2692" s="2">
        <v>45991</v>
      </c>
    </row>
    <row r="2693" spans="1:14" x14ac:dyDescent="0.25">
      <c r="A2693" s="4" t="s">
        <v>226</v>
      </c>
      <c r="B2693" s="5"/>
      <c r="C2693" s="4" t="s">
        <v>9</v>
      </c>
      <c r="D2693" s="4" t="s">
        <v>9</v>
      </c>
      <c r="E2693" s="4" t="s">
        <v>9</v>
      </c>
      <c r="F2693" s="6">
        <v>0</v>
      </c>
      <c r="G2693" s="6">
        <v>0</v>
      </c>
      <c r="H2693" s="4" t="s">
        <v>9</v>
      </c>
      <c r="I2693" s="4" t="s">
        <v>3</v>
      </c>
      <c r="J2693" s="4" t="s">
        <v>9</v>
      </c>
      <c r="K2693" s="4" t="s">
        <v>9</v>
      </c>
      <c r="L2693" s="4" t="s">
        <v>9</v>
      </c>
      <c r="M2693" s="4" t="s">
        <v>9</v>
      </c>
      <c r="N2693" s="5"/>
    </row>
    <row r="2694" spans="1:14" x14ac:dyDescent="0.25">
      <c r="A2694" t="s">
        <v>478</v>
      </c>
      <c r="B2694" s="2">
        <v>45991</v>
      </c>
      <c r="C2694" t="s">
        <v>478</v>
      </c>
      <c r="D2694" t="s">
        <v>112</v>
      </c>
      <c r="E2694" t="s">
        <v>9</v>
      </c>
      <c r="F2694" s="3">
        <v>-315</v>
      </c>
      <c r="G2694" s="3">
        <v>-315</v>
      </c>
      <c r="H2694" t="s">
        <v>3</v>
      </c>
      <c r="I2694" t="s">
        <v>3</v>
      </c>
      <c r="J2694" t="s">
        <v>387</v>
      </c>
      <c r="K2694" t="s">
        <v>5</v>
      </c>
      <c r="L2694" t="s">
        <v>12</v>
      </c>
      <c r="M2694" t="s">
        <v>114</v>
      </c>
      <c r="N2694" s="2">
        <v>45992</v>
      </c>
    </row>
    <row r="2695" spans="1:14" x14ac:dyDescent="0.25">
      <c r="A2695" t="s">
        <v>478</v>
      </c>
      <c r="B2695" s="2">
        <v>46022</v>
      </c>
      <c r="C2695" t="s">
        <v>478</v>
      </c>
      <c r="D2695" t="s">
        <v>112</v>
      </c>
      <c r="E2695" t="s">
        <v>9</v>
      </c>
      <c r="F2695" s="3">
        <v>315</v>
      </c>
      <c r="G2695" s="3">
        <v>315</v>
      </c>
      <c r="H2695" t="s">
        <v>3</v>
      </c>
      <c r="I2695" t="s">
        <v>3</v>
      </c>
      <c r="J2695" t="s">
        <v>381</v>
      </c>
      <c r="K2695" t="s">
        <v>5</v>
      </c>
      <c r="L2695" t="s">
        <v>12</v>
      </c>
      <c r="M2695" t="s">
        <v>114</v>
      </c>
      <c r="N2695" s="2">
        <v>46022</v>
      </c>
    </row>
    <row r="2696" spans="1:14" x14ac:dyDescent="0.25">
      <c r="A2696" t="s">
        <v>478</v>
      </c>
      <c r="B2696" s="2">
        <v>46022</v>
      </c>
      <c r="C2696" t="s">
        <v>478</v>
      </c>
      <c r="D2696" t="s">
        <v>112</v>
      </c>
      <c r="E2696" t="s">
        <v>9</v>
      </c>
      <c r="F2696" s="3">
        <v>315</v>
      </c>
      <c r="G2696" s="3">
        <v>315</v>
      </c>
      <c r="H2696" t="s">
        <v>3</v>
      </c>
      <c r="I2696" t="s">
        <v>3</v>
      </c>
      <c r="J2696" t="s">
        <v>381</v>
      </c>
      <c r="K2696" t="s">
        <v>5</v>
      </c>
      <c r="L2696" t="s">
        <v>12</v>
      </c>
      <c r="M2696" t="s">
        <v>114</v>
      </c>
      <c r="N2696" s="2">
        <v>46022</v>
      </c>
    </row>
    <row r="2697" spans="1:14" x14ac:dyDescent="0.25">
      <c r="A2697" t="s">
        <v>478</v>
      </c>
      <c r="B2697" s="2">
        <v>46022</v>
      </c>
      <c r="C2697" t="s">
        <v>478</v>
      </c>
      <c r="D2697" t="s">
        <v>112</v>
      </c>
      <c r="E2697" t="s">
        <v>9</v>
      </c>
      <c r="F2697" s="3">
        <v>-315</v>
      </c>
      <c r="G2697" s="3">
        <v>-315</v>
      </c>
      <c r="H2697" t="s">
        <v>3</v>
      </c>
      <c r="I2697" t="s">
        <v>3</v>
      </c>
      <c r="J2697" t="s">
        <v>381</v>
      </c>
      <c r="K2697" t="s">
        <v>5</v>
      </c>
      <c r="L2697" t="s">
        <v>12</v>
      </c>
      <c r="M2697" t="s">
        <v>114</v>
      </c>
      <c r="N2697" s="2">
        <v>46022</v>
      </c>
    </row>
    <row r="2698" spans="1:14" x14ac:dyDescent="0.25">
      <c r="A2698" s="4" t="s">
        <v>228</v>
      </c>
      <c r="B2698" s="5"/>
      <c r="C2698" s="4" t="s">
        <v>9</v>
      </c>
      <c r="D2698" s="4" t="s">
        <v>9</v>
      </c>
      <c r="E2698" s="4" t="s">
        <v>9</v>
      </c>
      <c r="F2698" s="6">
        <v>0</v>
      </c>
      <c r="G2698" s="6">
        <v>0</v>
      </c>
      <c r="H2698" s="4" t="s">
        <v>9</v>
      </c>
      <c r="I2698" s="4" t="s">
        <v>3</v>
      </c>
      <c r="J2698" s="4" t="s">
        <v>9</v>
      </c>
      <c r="K2698" s="4" t="s">
        <v>9</v>
      </c>
      <c r="L2698" s="4" t="s">
        <v>9</v>
      </c>
      <c r="M2698" s="4" t="s">
        <v>9</v>
      </c>
      <c r="N2698" s="5"/>
    </row>
    <row r="2699" spans="1:14" x14ac:dyDescent="0.25">
      <c r="A2699" s="4" t="s">
        <v>478</v>
      </c>
      <c r="B2699" s="5"/>
      <c r="C2699" s="4" t="s">
        <v>9</v>
      </c>
      <c r="D2699" s="4" t="s">
        <v>9</v>
      </c>
      <c r="E2699" s="4" t="s">
        <v>9</v>
      </c>
      <c r="F2699" s="6">
        <v>0</v>
      </c>
      <c r="G2699" s="6">
        <v>0</v>
      </c>
      <c r="H2699" s="4" t="s">
        <v>9</v>
      </c>
      <c r="I2699" s="4" t="s">
        <v>3</v>
      </c>
      <c r="J2699" s="4" t="s">
        <v>9</v>
      </c>
      <c r="K2699" s="4" t="s">
        <v>9</v>
      </c>
      <c r="L2699" s="4" t="s">
        <v>9</v>
      </c>
      <c r="M2699" s="4" t="s">
        <v>9</v>
      </c>
      <c r="N2699" s="5"/>
    </row>
    <row r="2700" spans="1:14" x14ac:dyDescent="0.25">
      <c r="A2700" t="s">
        <v>479</v>
      </c>
      <c r="B2700" s="2">
        <v>46056</v>
      </c>
      <c r="C2700" t="s">
        <v>479</v>
      </c>
      <c r="D2700" t="s">
        <v>112</v>
      </c>
      <c r="E2700" t="s">
        <v>9</v>
      </c>
      <c r="F2700" s="3">
        <v>-490</v>
      </c>
      <c r="G2700" s="3">
        <v>-490</v>
      </c>
      <c r="H2700" t="s">
        <v>3</v>
      </c>
      <c r="I2700" t="s">
        <v>3</v>
      </c>
      <c r="J2700" t="s">
        <v>9</v>
      </c>
      <c r="K2700" t="s">
        <v>9</v>
      </c>
      <c r="L2700" t="s">
        <v>14</v>
      </c>
      <c r="M2700" t="s">
        <v>114</v>
      </c>
      <c r="N2700" s="2">
        <v>46053</v>
      </c>
    </row>
    <row r="2701" spans="1:14" x14ac:dyDescent="0.25">
      <c r="A2701" t="s">
        <v>479</v>
      </c>
      <c r="B2701" s="2">
        <v>46022</v>
      </c>
      <c r="C2701" t="s">
        <v>479</v>
      </c>
      <c r="D2701" t="s">
        <v>112</v>
      </c>
      <c r="E2701" t="s">
        <v>9</v>
      </c>
      <c r="F2701" s="3">
        <v>-82350</v>
      </c>
      <c r="G2701" s="3">
        <v>-82350</v>
      </c>
      <c r="H2701" t="s">
        <v>3</v>
      </c>
      <c r="I2701" t="s">
        <v>3</v>
      </c>
      <c r="J2701" t="s">
        <v>298</v>
      </c>
      <c r="K2701" t="s">
        <v>13</v>
      </c>
      <c r="L2701" t="s">
        <v>14</v>
      </c>
      <c r="M2701" t="s">
        <v>114</v>
      </c>
      <c r="N2701" s="2">
        <v>46023</v>
      </c>
    </row>
    <row r="2702" spans="1:14" x14ac:dyDescent="0.25">
      <c r="A2702" t="s">
        <v>479</v>
      </c>
      <c r="B2702" s="2">
        <v>46022</v>
      </c>
      <c r="C2702" t="s">
        <v>479</v>
      </c>
      <c r="D2702" t="s">
        <v>112</v>
      </c>
      <c r="E2702" t="s">
        <v>9</v>
      </c>
      <c r="F2702" s="3">
        <v>-171827.05</v>
      </c>
      <c r="G2702" s="3">
        <v>-171827.05</v>
      </c>
      <c r="H2702" t="s">
        <v>3</v>
      </c>
      <c r="I2702" t="s">
        <v>3</v>
      </c>
      <c r="J2702" t="s">
        <v>381</v>
      </c>
      <c r="K2702" t="s">
        <v>13</v>
      </c>
      <c r="L2702" t="s">
        <v>14</v>
      </c>
      <c r="M2702" t="s">
        <v>114</v>
      </c>
      <c r="N2702" s="2">
        <v>46023</v>
      </c>
    </row>
    <row r="2703" spans="1:14" x14ac:dyDescent="0.25">
      <c r="A2703" t="s">
        <v>479</v>
      </c>
      <c r="B2703" s="2">
        <v>46023</v>
      </c>
      <c r="C2703" t="s">
        <v>479</v>
      </c>
      <c r="D2703" t="s">
        <v>112</v>
      </c>
      <c r="E2703" t="s">
        <v>9</v>
      </c>
      <c r="F2703" s="3">
        <v>82350</v>
      </c>
      <c r="G2703" s="3">
        <v>82350</v>
      </c>
      <c r="H2703" t="s">
        <v>3</v>
      </c>
      <c r="I2703" t="s">
        <v>3</v>
      </c>
      <c r="J2703" t="s">
        <v>298</v>
      </c>
      <c r="K2703" t="s">
        <v>13</v>
      </c>
      <c r="L2703" t="s">
        <v>14</v>
      </c>
      <c r="M2703" t="s">
        <v>114</v>
      </c>
      <c r="N2703" s="2">
        <v>46023</v>
      </c>
    </row>
    <row r="2704" spans="1:14" x14ac:dyDescent="0.25">
      <c r="A2704" t="s">
        <v>479</v>
      </c>
      <c r="B2704" s="2">
        <v>46023</v>
      </c>
      <c r="C2704" t="s">
        <v>479</v>
      </c>
      <c r="D2704" t="s">
        <v>112</v>
      </c>
      <c r="E2704" t="s">
        <v>9</v>
      </c>
      <c r="F2704" s="3">
        <v>171827.05</v>
      </c>
      <c r="G2704" s="3">
        <v>171827.05</v>
      </c>
      <c r="H2704" t="s">
        <v>3</v>
      </c>
      <c r="I2704" t="s">
        <v>3</v>
      </c>
      <c r="J2704" t="s">
        <v>381</v>
      </c>
      <c r="K2704" t="s">
        <v>13</v>
      </c>
      <c r="L2704" t="s">
        <v>14</v>
      </c>
      <c r="M2704" t="s">
        <v>114</v>
      </c>
      <c r="N2704" s="2">
        <v>46023</v>
      </c>
    </row>
    <row r="2705" spans="1:14" x14ac:dyDescent="0.25">
      <c r="A2705" t="s">
        <v>479</v>
      </c>
      <c r="B2705" s="2">
        <v>46053</v>
      </c>
      <c r="C2705" t="s">
        <v>479</v>
      </c>
      <c r="D2705" t="s">
        <v>112</v>
      </c>
      <c r="E2705" t="s">
        <v>9</v>
      </c>
      <c r="F2705" s="3">
        <v>400</v>
      </c>
      <c r="G2705" s="3">
        <v>400</v>
      </c>
      <c r="H2705" t="s">
        <v>3</v>
      </c>
      <c r="I2705" t="s">
        <v>3</v>
      </c>
      <c r="J2705" t="s">
        <v>300</v>
      </c>
      <c r="K2705" t="s">
        <v>13</v>
      </c>
      <c r="L2705" t="s">
        <v>14</v>
      </c>
      <c r="M2705" t="s">
        <v>114</v>
      </c>
      <c r="N2705" s="2">
        <v>46053</v>
      </c>
    </row>
    <row r="2706" spans="1:14" x14ac:dyDescent="0.25">
      <c r="A2706" t="s">
        <v>479</v>
      </c>
      <c r="B2706" s="2">
        <v>46053</v>
      </c>
      <c r="C2706" t="s">
        <v>479</v>
      </c>
      <c r="D2706" t="s">
        <v>112</v>
      </c>
      <c r="E2706" t="s">
        <v>9</v>
      </c>
      <c r="F2706" s="3">
        <v>90</v>
      </c>
      <c r="G2706" s="3">
        <v>90</v>
      </c>
      <c r="H2706" t="s">
        <v>3</v>
      </c>
      <c r="I2706" t="s">
        <v>3</v>
      </c>
      <c r="J2706" t="s">
        <v>391</v>
      </c>
      <c r="K2706" t="s">
        <v>13</v>
      </c>
      <c r="L2706" t="s">
        <v>14</v>
      </c>
      <c r="M2706" t="s">
        <v>114</v>
      </c>
      <c r="N2706" s="2">
        <v>46053</v>
      </c>
    </row>
    <row r="2707" spans="1:14" x14ac:dyDescent="0.25">
      <c r="A2707" s="4" t="s">
        <v>234</v>
      </c>
      <c r="B2707" s="5"/>
      <c r="C2707" s="4" t="s">
        <v>9</v>
      </c>
      <c r="D2707" s="4" t="s">
        <v>9</v>
      </c>
      <c r="E2707" s="4" t="s">
        <v>9</v>
      </c>
      <c r="F2707" s="6">
        <v>0</v>
      </c>
      <c r="G2707" s="6">
        <v>0</v>
      </c>
      <c r="H2707" s="4" t="s">
        <v>9</v>
      </c>
      <c r="I2707" s="4" t="s">
        <v>3</v>
      </c>
      <c r="J2707" s="4" t="s">
        <v>9</v>
      </c>
      <c r="K2707" s="4" t="s">
        <v>9</v>
      </c>
      <c r="L2707" s="4" t="s">
        <v>9</v>
      </c>
      <c r="M2707" s="4" t="s">
        <v>9</v>
      </c>
      <c r="N2707" s="5"/>
    </row>
    <row r="2708" spans="1:14" x14ac:dyDescent="0.25">
      <c r="A2708" t="s">
        <v>479</v>
      </c>
      <c r="B2708" s="2">
        <v>46084</v>
      </c>
      <c r="C2708" t="s">
        <v>479</v>
      </c>
      <c r="D2708" t="s">
        <v>112</v>
      </c>
      <c r="E2708" t="s">
        <v>9</v>
      </c>
      <c r="F2708" s="3">
        <v>-350</v>
      </c>
      <c r="G2708" s="3">
        <v>-350</v>
      </c>
      <c r="H2708" t="s">
        <v>3</v>
      </c>
      <c r="I2708" t="s">
        <v>3</v>
      </c>
      <c r="J2708" t="s">
        <v>9</v>
      </c>
      <c r="K2708" t="s">
        <v>9</v>
      </c>
      <c r="L2708" t="s">
        <v>15</v>
      </c>
      <c r="M2708" t="s">
        <v>114</v>
      </c>
      <c r="N2708" s="2">
        <v>46081</v>
      </c>
    </row>
    <row r="2709" spans="1:14" x14ac:dyDescent="0.25">
      <c r="A2709" t="s">
        <v>479</v>
      </c>
      <c r="B2709" s="2">
        <v>46054</v>
      </c>
      <c r="C2709" t="s">
        <v>479</v>
      </c>
      <c r="D2709" t="s">
        <v>112</v>
      </c>
      <c r="E2709" t="s">
        <v>9</v>
      </c>
      <c r="F2709" s="3">
        <v>-400</v>
      </c>
      <c r="G2709" s="3">
        <v>-400</v>
      </c>
      <c r="H2709" t="s">
        <v>3</v>
      </c>
      <c r="I2709" t="s">
        <v>3</v>
      </c>
      <c r="J2709" t="s">
        <v>300</v>
      </c>
      <c r="K2709" t="s">
        <v>13</v>
      </c>
      <c r="L2709" t="s">
        <v>15</v>
      </c>
      <c r="M2709" t="s">
        <v>114</v>
      </c>
      <c r="N2709" s="2">
        <v>46054</v>
      </c>
    </row>
    <row r="2710" spans="1:14" x14ac:dyDescent="0.25">
      <c r="A2710" t="s">
        <v>479</v>
      </c>
      <c r="B2710" s="2">
        <v>46054</v>
      </c>
      <c r="C2710" t="s">
        <v>479</v>
      </c>
      <c r="D2710" t="s">
        <v>112</v>
      </c>
      <c r="E2710" t="s">
        <v>9</v>
      </c>
      <c r="F2710" s="3">
        <v>-90</v>
      </c>
      <c r="G2710" s="3">
        <v>-90</v>
      </c>
      <c r="H2710" t="s">
        <v>3</v>
      </c>
      <c r="I2710" t="s">
        <v>3</v>
      </c>
      <c r="J2710" t="s">
        <v>391</v>
      </c>
      <c r="K2710" t="s">
        <v>13</v>
      </c>
      <c r="L2710" t="s">
        <v>15</v>
      </c>
      <c r="M2710" t="s">
        <v>114</v>
      </c>
      <c r="N2710" s="2">
        <v>46054</v>
      </c>
    </row>
    <row r="2711" spans="1:14" x14ac:dyDescent="0.25">
      <c r="A2711" t="s">
        <v>479</v>
      </c>
      <c r="B2711" s="2">
        <v>46054</v>
      </c>
      <c r="C2711" t="s">
        <v>479</v>
      </c>
      <c r="D2711" t="s">
        <v>112</v>
      </c>
      <c r="E2711" t="s">
        <v>9</v>
      </c>
      <c r="F2711" s="3">
        <v>400</v>
      </c>
      <c r="G2711" s="3">
        <v>400</v>
      </c>
      <c r="H2711" t="s">
        <v>3</v>
      </c>
      <c r="I2711" t="s">
        <v>3</v>
      </c>
      <c r="J2711" t="s">
        <v>300</v>
      </c>
      <c r="K2711" t="s">
        <v>13</v>
      </c>
      <c r="L2711" t="s">
        <v>15</v>
      </c>
      <c r="M2711" t="s">
        <v>114</v>
      </c>
      <c r="N2711" s="2">
        <v>46055</v>
      </c>
    </row>
    <row r="2712" spans="1:14" x14ac:dyDescent="0.25">
      <c r="A2712" t="s">
        <v>479</v>
      </c>
      <c r="B2712" s="2">
        <v>46054</v>
      </c>
      <c r="C2712" t="s">
        <v>479</v>
      </c>
      <c r="D2712" t="s">
        <v>112</v>
      </c>
      <c r="E2712" t="s">
        <v>9</v>
      </c>
      <c r="F2712" s="3">
        <v>90</v>
      </c>
      <c r="G2712" s="3">
        <v>90</v>
      </c>
      <c r="H2712" t="s">
        <v>3</v>
      </c>
      <c r="I2712" t="s">
        <v>3</v>
      </c>
      <c r="J2712" t="s">
        <v>391</v>
      </c>
      <c r="K2712" t="s">
        <v>13</v>
      </c>
      <c r="L2712" t="s">
        <v>15</v>
      </c>
      <c r="M2712" t="s">
        <v>114</v>
      </c>
      <c r="N2712" s="2">
        <v>46055</v>
      </c>
    </row>
    <row r="2713" spans="1:14" x14ac:dyDescent="0.25">
      <c r="A2713" t="s">
        <v>479</v>
      </c>
      <c r="B2713" s="2">
        <v>46054</v>
      </c>
      <c r="C2713" t="s">
        <v>479</v>
      </c>
      <c r="D2713" t="s">
        <v>112</v>
      </c>
      <c r="E2713" t="s">
        <v>9</v>
      </c>
      <c r="F2713" s="3">
        <v>-400</v>
      </c>
      <c r="G2713" s="3">
        <v>-400</v>
      </c>
      <c r="H2713" t="s">
        <v>3</v>
      </c>
      <c r="I2713" t="s">
        <v>3</v>
      </c>
      <c r="J2713" t="s">
        <v>300</v>
      </c>
      <c r="K2713" t="s">
        <v>13</v>
      </c>
      <c r="L2713" t="s">
        <v>15</v>
      </c>
      <c r="M2713" t="s">
        <v>114</v>
      </c>
      <c r="N2713" s="2">
        <v>46054</v>
      </c>
    </row>
    <row r="2714" spans="1:14" x14ac:dyDescent="0.25">
      <c r="A2714" t="s">
        <v>479</v>
      </c>
      <c r="B2714" s="2">
        <v>46054</v>
      </c>
      <c r="C2714" t="s">
        <v>479</v>
      </c>
      <c r="D2714" t="s">
        <v>112</v>
      </c>
      <c r="E2714" t="s">
        <v>9</v>
      </c>
      <c r="F2714" s="3">
        <v>-90</v>
      </c>
      <c r="G2714" s="3">
        <v>-90</v>
      </c>
      <c r="H2714" t="s">
        <v>3</v>
      </c>
      <c r="I2714" t="s">
        <v>3</v>
      </c>
      <c r="J2714" t="s">
        <v>391</v>
      </c>
      <c r="K2714" t="s">
        <v>13</v>
      </c>
      <c r="L2714" t="s">
        <v>15</v>
      </c>
      <c r="M2714" t="s">
        <v>114</v>
      </c>
      <c r="N2714" s="2">
        <v>46054</v>
      </c>
    </row>
    <row r="2715" spans="1:14" x14ac:dyDescent="0.25">
      <c r="A2715" t="s">
        <v>479</v>
      </c>
      <c r="B2715" s="2">
        <v>46081</v>
      </c>
      <c r="C2715" t="s">
        <v>479</v>
      </c>
      <c r="D2715" t="s">
        <v>112</v>
      </c>
      <c r="E2715" t="s">
        <v>9</v>
      </c>
      <c r="F2715" s="3">
        <v>400</v>
      </c>
      <c r="G2715" s="3">
        <v>400</v>
      </c>
      <c r="H2715" t="s">
        <v>3</v>
      </c>
      <c r="I2715" t="s">
        <v>3</v>
      </c>
      <c r="J2715" t="s">
        <v>304</v>
      </c>
      <c r="K2715" t="s">
        <v>13</v>
      </c>
      <c r="L2715" t="s">
        <v>15</v>
      </c>
      <c r="M2715" t="s">
        <v>114</v>
      </c>
      <c r="N2715" s="2">
        <v>46081</v>
      </c>
    </row>
    <row r="2716" spans="1:14" x14ac:dyDescent="0.25">
      <c r="A2716" t="s">
        <v>479</v>
      </c>
      <c r="B2716" s="2">
        <v>46081</v>
      </c>
      <c r="C2716" t="s">
        <v>479</v>
      </c>
      <c r="D2716" t="s">
        <v>112</v>
      </c>
      <c r="E2716" t="s">
        <v>9</v>
      </c>
      <c r="F2716" s="3">
        <v>440</v>
      </c>
      <c r="G2716" s="3">
        <v>440</v>
      </c>
      <c r="H2716" t="s">
        <v>3</v>
      </c>
      <c r="I2716" t="s">
        <v>3</v>
      </c>
      <c r="J2716" t="s">
        <v>393</v>
      </c>
      <c r="K2716" t="s">
        <v>13</v>
      </c>
      <c r="L2716" t="s">
        <v>15</v>
      </c>
      <c r="M2716" t="s">
        <v>114</v>
      </c>
      <c r="N2716" s="2">
        <v>46081</v>
      </c>
    </row>
    <row r="2717" spans="1:14" x14ac:dyDescent="0.25">
      <c r="A2717" s="4" t="s">
        <v>239</v>
      </c>
      <c r="B2717" s="5"/>
      <c r="C2717" s="4" t="s">
        <v>9</v>
      </c>
      <c r="D2717" s="4" t="s">
        <v>9</v>
      </c>
      <c r="E2717" s="4" t="s">
        <v>9</v>
      </c>
      <c r="F2717" s="6">
        <v>0</v>
      </c>
      <c r="G2717" s="6">
        <v>0</v>
      </c>
      <c r="H2717" s="4" t="s">
        <v>9</v>
      </c>
      <c r="I2717" s="4" t="s">
        <v>3</v>
      </c>
      <c r="J2717" s="4" t="s">
        <v>9</v>
      </c>
      <c r="K2717" s="4" t="s">
        <v>9</v>
      </c>
      <c r="L2717" s="4" t="s">
        <v>9</v>
      </c>
      <c r="M2717" s="4" t="s">
        <v>9</v>
      </c>
      <c r="N2717" s="5"/>
    </row>
    <row r="2718" spans="1:14" x14ac:dyDescent="0.25">
      <c r="A2718" t="s">
        <v>479</v>
      </c>
      <c r="B2718" s="2">
        <v>45749</v>
      </c>
      <c r="C2718" t="s">
        <v>479</v>
      </c>
      <c r="D2718" t="s">
        <v>112</v>
      </c>
      <c r="E2718" t="s">
        <v>9</v>
      </c>
      <c r="F2718" s="3">
        <v>-17105</v>
      </c>
      <c r="G2718" s="3">
        <v>-17105</v>
      </c>
      <c r="H2718" t="s">
        <v>3</v>
      </c>
      <c r="I2718" t="s">
        <v>3</v>
      </c>
      <c r="J2718" t="s">
        <v>9</v>
      </c>
      <c r="K2718" t="s">
        <v>9</v>
      </c>
      <c r="L2718" t="s">
        <v>16</v>
      </c>
      <c r="M2718" t="s">
        <v>114</v>
      </c>
      <c r="N2718" s="2">
        <v>45747</v>
      </c>
    </row>
    <row r="2719" spans="1:14" x14ac:dyDescent="0.25">
      <c r="A2719" t="s">
        <v>479</v>
      </c>
      <c r="B2719" s="2">
        <v>45747</v>
      </c>
      <c r="C2719" t="s">
        <v>479</v>
      </c>
      <c r="D2719" t="s">
        <v>112</v>
      </c>
      <c r="E2719" t="s">
        <v>9</v>
      </c>
      <c r="F2719" s="3">
        <v>8600</v>
      </c>
      <c r="G2719" s="3">
        <v>8600</v>
      </c>
      <c r="H2719" t="s">
        <v>3</v>
      </c>
      <c r="I2719" t="s">
        <v>3</v>
      </c>
      <c r="J2719" t="s">
        <v>305</v>
      </c>
      <c r="K2719" t="s">
        <v>5</v>
      </c>
      <c r="L2719" t="s">
        <v>16</v>
      </c>
      <c r="M2719" t="s">
        <v>114</v>
      </c>
      <c r="N2719" s="2">
        <v>45747</v>
      </c>
    </row>
    <row r="2720" spans="1:14" x14ac:dyDescent="0.25">
      <c r="A2720" t="s">
        <v>479</v>
      </c>
      <c r="B2720" s="2">
        <v>45747</v>
      </c>
      <c r="C2720" t="s">
        <v>479</v>
      </c>
      <c r="D2720" t="s">
        <v>112</v>
      </c>
      <c r="E2720" t="s">
        <v>9</v>
      </c>
      <c r="F2720" s="3">
        <v>8505</v>
      </c>
      <c r="G2720" s="3">
        <v>8505</v>
      </c>
      <c r="H2720" t="s">
        <v>3</v>
      </c>
      <c r="I2720" t="s">
        <v>3</v>
      </c>
      <c r="J2720" t="s">
        <v>394</v>
      </c>
      <c r="K2720" t="s">
        <v>5</v>
      </c>
      <c r="L2720" t="s">
        <v>16</v>
      </c>
      <c r="M2720" t="s">
        <v>114</v>
      </c>
      <c r="N2720" s="2">
        <v>45747</v>
      </c>
    </row>
    <row r="2721" spans="1:14" x14ac:dyDescent="0.25">
      <c r="A2721" s="4" t="s">
        <v>244</v>
      </c>
      <c r="B2721" s="5"/>
      <c r="C2721" s="4" t="s">
        <v>9</v>
      </c>
      <c r="D2721" s="4" t="s">
        <v>9</v>
      </c>
      <c r="E2721" s="4" t="s">
        <v>9</v>
      </c>
      <c r="F2721" s="6">
        <v>0</v>
      </c>
      <c r="G2721" s="6">
        <v>0</v>
      </c>
      <c r="H2721" s="4" t="s">
        <v>9</v>
      </c>
      <c r="I2721" s="4" t="s">
        <v>3</v>
      </c>
      <c r="J2721" s="4" t="s">
        <v>9</v>
      </c>
      <c r="K2721" s="4" t="s">
        <v>9</v>
      </c>
      <c r="L2721" s="4" t="s">
        <v>9</v>
      </c>
      <c r="M2721" s="4" t="s">
        <v>9</v>
      </c>
      <c r="N2721" s="5"/>
    </row>
    <row r="2722" spans="1:14" x14ac:dyDescent="0.25">
      <c r="A2722" t="s">
        <v>479</v>
      </c>
      <c r="B2722" s="2">
        <v>45782</v>
      </c>
      <c r="C2722" t="s">
        <v>479</v>
      </c>
      <c r="D2722" t="s">
        <v>112</v>
      </c>
      <c r="E2722" t="s">
        <v>9</v>
      </c>
      <c r="F2722" s="3">
        <v>-86521.8</v>
      </c>
      <c r="G2722" s="3">
        <v>-86521.8</v>
      </c>
      <c r="H2722" t="s">
        <v>3</v>
      </c>
      <c r="I2722" t="s">
        <v>3</v>
      </c>
      <c r="J2722" t="s">
        <v>9</v>
      </c>
      <c r="K2722" t="s">
        <v>9</v>
      </c>
      <c r="L2722" t="s">
        <v>17</v>
      </c>
      <c r="M2722" t="s">
        <v>114</v>
      </c>
      <c r="N2722" s="2">
        <v>45777</v>
      </c>
    </row>
    <row r="2723" spans="1:14" x14ac:dyDescent="0.25">
      <c r="A2723" t="s">
        <v>479</v>
      </c>
      <c r="B2723" s="2">
        <v>45782</v>
      </c>
      <c r="C2723" t="s">
        <v>479</v>
      </c>
      <c r="D2723" t="s">
        <v>301</v>
      </c>
      <c r="E2723" t="s">
        <v>9</v>
      </c>
      <c r="F2723" s="3">
        <v>103627</v>
      </c>
      <c r="G2723" s="3">
        <v>103627</v>
      </c>
      <c r="H2723" t="s">
        <v>3</v>
      </c>
      <c r="I2723" t="s">
        <v>3</v>
      </c>
      <c r="J2723" t="s">
        <v>9</v>
      </c>
      <c r="K2723" t="s">
        <v>9</v>
      </c>
      <c r="L2723" t="s">
        <v>17</v>
      </c>
      <c r="M2723" t="s">
        <v>302</v>
      </c>
      <c r="N2723" s="2">
        <v>45777</v>
      </c>
    </row>
    <row r="2724" spans="1:14" x14ac:dyDescent="0.25">
      <c r="A2724" t="s">
        <v>479</v>
      </c>
      <c r="B2724" s="2">
        <v>45747</v>
      </c>
      <c r="C2724" t="s">
        <v>479</v>
      </c>
      <c r="D2724" t="s">
        <v>112</v>
      </c>
      <c r="E2724" t="s">
        <v>9</v>
      </c>
      <c r="F2724" s="3">
        <v>-8600</v>
      </c>
      <c r="G2724" s="3">
        <v>-8600</v>
      </c>
      <c r="H2724" t="s">
        <v>3</v>
      </c>
      <c r="I2724" t="s">
        <v>3</v>
      </c>
      <c r="J2724" t="s">
        <v>305</v>
      </c>
      <c r="K2724" t="s">
        <v>5</v>
      </c>
      <c r="L2724" t="s">
        <v>17</v>
      </c>
      <c r="M2724" t="s">
        <v>114</v>
      </c>
      <c r="N2724" s="2">
        <v>45748</v>
      </c>
    </row>
    <row r="2725" spans="1:14" x14ac:dyDescent="0.25">
      <c r="A2725" t="s">
        <v>479</v>
      </c>
      <c r="B2725" s="2">
        <v>45747</v>
      </c>
      <c r="C2725" t="s">
        <v>479</v>
      </c>
      <c r="D2725" t="s">
        <v>112</v>
      </c>
      <c r="E2725" t="s">
        <v>9</v>
      </c>
      <c r="F2725" s="3">
        <v>-8505</v>
      </c>
      <c r="G2725" s="3">
        <v>-8505</v>
      </c>
      <c r="H2725" t="s">
        <v>3</v>
      </c>
      <c r="I2725" t="s">
        <v>3</v>
      </c>
      <c r="J2725" t="s">
        <v>394</v>
      </c>
      <c r="K2725" t="s">
        <v>5</v>
      </c>
      <c r="L2725" t="s">
        <v>17</v>
      </c>
      <c r="M2725" t="s">
        <v>114</v>
      </c>
      <c r="N2725" s="2">
        <v>45748</v>
      </c>
    </row>
    <row r="2726" spans="1:14" x14ac:dyDescent="0.25">
      <c r="A2726" t="s">
        <v>479</v>
      </c>
      <c r="B2726" s="2">
        <v>45777</v>
      </c>
      <c r="C2726" t="s">
        <v>479</v>
      </c>
      <c r="D2726" t="s">
        <v>112</v>
      </c>
      <c r="E2726" t="s">
        <v>9</v>
      </c>
      <c r="F2726" s="3">
        <v>37500</v>
      </c>
      <c r="G2726" s="3">
        <v>37500</v>
      </c>
      <c r="H2726" t="s">
        <v>3</v>
      </c>
      <c r="I2726" t="s">
        <v>3</v>
      </c>
      <c r="J2726" t="s">
        <v>308</v>
      </c>
      <c r="K2726" t="s">
        <v>5</v>
      </c>
      <c r="L2726" t="s">
        <v>17</v>
      </c>
      <c r="M2726" t="s">
        <v>114</v>
      </c>
      <c r="N2726" s="2">
        <v>45777</v>
      </c>
    </row>
    <row r="2727" spans="1:14" x14ac:dyDescent="0.25">
      <c r="A2727" t="s">
        <v>479</v>
      </c>
      <c r="B2727" s="2">
        <v>45777</v>
      </c>
      <c r="C2727" t="s">
        <v>479</v>
      </c>
      <c r="D2727" t="s">
        <v>112</v>
      </c>
      <c r="E2727" t="s">
        <v>9</v>
      </c>
      <c r="F2727" s="3">
        <v>66126.8</v>
      </c>
      <c r="G2727" s="3">
        <v>66126.8</v>
      </c>
      <c r="H2727" t="s">
        <v>3</v>
      </c>
      <c r="I2727" t="s">
        <v>3</v>
      </c>
      <c r="J2727" t="s">
        <v>396</v>
      </c>
      <c r="K2727" t="s">
        <v>5</v>
      </c>
      <c r="L2727" t="s">
        <v>17</v>
      </c>
      <c r="M2727" t="s">
        <v>114</v>
      </c>
      <c r="N2727" s="2">
        <v>45777</v>
      </c>
    </row>
    <row r="2728" spans="1:14" x14ac:dyDescent="0.25">
      <c r="A2728" t="s">
        <v>479</v>
      </c>
      <c r="B2728" s="2">
        <v>45777</v>
      </c>
      <c r="C2728" t="s">
        <v>479</v>
      </c>
      <c r="D2728" t="s">
        <v>301</v>
      </c>
      <c r="E2728" t="s">
        <v>9</v>
      </c>
      <c r="F2728" s="3">
        <v>-103627</v>
      </c>
      <c r="G2728" s="3">
        <v>-103627</v>
      </c>
      <c r="H2728" t="s">
        <v>3</v>
      </c>
      <c r="I2728" t="s">
        <v>3</v>
      </c>
      <c r="J2728" t="s">
        <v>10</v>
      </c>
      <c r="K2728" t="s">
        <v>5</v>
      </c>
      <c r="L2728" t="s">
        <v>17</v>
      </c>
      <c r="M2728" t="s">
        <v>302</v>
      </c>
      <c r="N2728" s="2">
        <v>45777</v>
      </c>
    </row>
    <row r="2729" spans="1:14" x14ac:dyDescent="0.25">
      <c r="A2729" s="4" t="s">
        <v>249</v>
      </c>
      <c r="B2729" s="5"/>
      <c r="C2729" s="4" t="s">
        <v>9</v>
      </c>
      <c r="D2729" s="4" t="s">
        <v>9</v>
      </c>
      <c r="E2729" s="4" t="s">
        <v>9</v>
      </c>
      <c r="F2729" s="6">
        <v>0</v>
      </c>
      <c r="G2729" s="6">
        <v>0</v>
      </c>
      <c r="H2729" s="4" t="s">
        <v>9</v>
      </c>
      <c r="I2729" s="4" t="s">
        <v>3</v>
      </c>
      <c r="J2729" s="4" t="s">
        <v>9</v>
      </c>
      <c r="K2729" s="4" t="s">
        <v>9</v>
      </c>
      <c r="L2729" s="4" t="s">
        <v>9</v>
      </c>
      <c r="M2729" s="4" t="s">
        <v>9</v>
      </c>
      <c r="N2729" s="5"/>
    </row>
    <row r="2730" spans="1:14" x14ac:dyDescent="0.25">
      <c r="A2730" t="s">
        <v>479</v>
      </c>
      <c r="B2730" s="2">
        <v>45810</v>
      </c>
      <c r="C2730" t="s">
        <v>479</v>
      </c>
      <c r="D2730" t="s">
        <v>112</v>
      </c>
      <c r="E2730" t="s">
        <v>9</v>
      </c>
      <c r="F2730" s="3">
        <v>-15710.5</v>
      </c>
      <c r="G2730" s="3">
        <v>-15710.5</v>
      </c>
      <c r="H2730" t="s">
        <v>3</v>
      </c>
      <c r="I2730" t="s">
        <v>3</v>
      </c>
      <c r="J2730" t="s">
        <v>9</v>
      </c>
      <c r="K2730" t="s">
        <v>9</v>
      </c>
      <c r="L2730" t="s">
        <v>18</v>
      </c>
      <c r="M2730" t="s">
        <v>114</v>
      </c>
      <c r="N2730" s="2">
        <v>45808</v>
      </c>
    </row>
    <row r="2731" spans="1:14" x14ac:dyDescent="0.25">
      <c r="A2731" t="s">
        <v>479</v>
      </c>
      <c r="B2731" s="2">
        <v>45810</v>
      </c>
      <c r="C2731" t="s">
        <v>479</v>
      </c>
      <c r="D2731" t="s">
        <v>301</v>
      </c>
      <c r="E2731" t="s">
        <v>9</v>
      </c>
      <c r="F2731" s="3">
        <v>15710.3</v>
      </c>
      <c r="G2731" s="3">
        <v>15710.3</v>
      </c>
      <c r="H2731" t="s">
        <v>3</v>
      </c>
      <c r="I2731" t="s">
        <v>3</v>
      </c>
      <c r="J2731" t="s">
        <v>9</v>
      </c>
      <c r="K2731" t="s">
        <v>9</v>
      </c>
      <c r="L2731" t="s">
        <v>18</v>
      </c>
      <c r="M2731" t="s">
        <v>302</v>
      </c>
      <c r="N2731" s="2">
        <v>45808</v>
      </c>
    </row>
    <row r="2732" spans="1:14" x14ac:dyDescent="0.25">
      <c r="A2732" t="s">
        <v>479</v>
      </c>
      <c r="B2732" s="2">
        <v>45777</v>
      </c>
      <c r="C2732" t="s">
        <v>479</v>
      </c>
      <c r="D2732" t="s">
        <v>112</v>
      </c>
      <c r="E2732" t="s">
        <v>9</v>
      </c>
      <c r="F2732" s="3">
        <v>-37500</v>
      </c>
      <c r="G2732" s="3">
        <v>-37500</v>
      </c>
      <c r="H2732" t="s">
        <v>3</v>
      </c>
      <c r="I2732" t="s">
        <v>3</v>
      </c>
      <c r="J2732" t="s">
        <v>308</v>
      </c>
      <c r="K2732" t="s">
        <v>5</v>
      </c>
      <c r="L2732" t="s">
        <v>18</v>
      </c>
      <c r="M2732" t="s">
        <v>114</v>
      </c>
      <c r="N2732" s="2">
        <v>45778</v>
      </c>
    </row>
    <row r="2733" spans="1:14" x14ac:dyDescent="0.25">
      <c r="A2733" t="s">
        <v>479</v>
      </c>
      <c r="B2733" s="2">
        <v>45777</v>
      </c>
      <c r="C2733" t="s">
        <v>479</v>
      </c>
      <c r="D2733" t="s">
        <v>112</v>
      </c>
      <c r="E2733" t="s">
        <v>9</v>
      </c>
      <c r="F2733" s="3">
        <v>-66126.8</v>
      </c>
      <c r="G2733" s="3">
        <v>-66126.8</v>
      </c>
      <c r="H2733" t="s">
        <v>3</v>
      </c>
      <c r="I2733" t="s">
        <v>3</v>
      </c>
      <c r="J2733" t="s">
        <v>396</v>
      </c>
      <c r="K2733" t="s">
        <v>5</v>
      </c>
      <c r="L2733" t="s">
        <v>18</v>
      </c>
      <c r="M2733" t="s">
        <v>114</v>
      </c>
      <c r="N2733" s="2">
        <v>45778</v>
      </c>
    </row>
    <row r="2734" spans="1:14" x14ac:dyDescent="0.25">
      <c r="A2734" t="s">
        <v>479</v>
      </c>
      <c r="B2734" s="2">
        <v>45808</v>
      </c>
      <c r="C2734" t="s">
        <v>479</v>
      </c>
      <c r="D2734" t="s">
        <v>112</v>
      </c>
      <c r="E2734" t="s">
        <v>9</v>
      </c>
      <c r="F2734" s="3">
        <v>41100</v>
      </c>
      <c r="G2734" s="3">
        <v>41100</v>
      </c>
      <c r="H2734" t="s">
        <v>3</v>
      </c>
      <c r="I2734" t="s">
        <v>3</v>
      </c>
      <c r="J2734" t="s">
        <v>311</v>
      </c>
      <c r="K2734" t="s">
        <v>5</v>
      </c>
      <c r="L2734" t="s">
        <v>18</v>
      </c>
      <c r="M2734" t="s">
        <v>114</v>
      </c>
      <c r="N2734" s="2">
        <v>45808</v>
      </c>
    </row>
    <row r="2735" spans="1:14" x14ac:dyDescent="0.25">
      <c r="A2735" t="s">
        <v>479</v>
      </c>
      <c r="B2735" s="2">
        <v>45808</v>
      </c>
      <c r="C2735" t="s">
        <v>479</v>
      </c>
      <c r="D2735" t="s">
        <v>112</v>
      </c>
      <c r="E2735" t="s">
        <v>9</v>
      </c>
      <c r="F2735" s="3">
        <v>78237.3</v>
      </c>
      <c r="G2735" s="3">
        <v>78237.3</v>
      </c>
      <c r="H2735" t="s">
        <v>3</v>
      </c>
      <c r="I2735" t="s">
        <v>3</v>
      </c>
      <c r="J2735" t="s">
        <v>397</v>
      </c>
      <c r="K2735" t="s">
        <v>5</v>
      </c>
      <c r="L2735" t="s">
        <v>18</v>
      </c>
      <c r="M2735" t="s">
        <v>114</v>
      </c>
      <c r="N2735" s="2">
        <v>45808</v>
      </c>
    </row>
    <row r="2736" spans="1:14" x14ac:dyDescent="0.25">
      <c r="A2736" t="s">
        <v>479</v>
      </c>
      <c r="B2736" s="2">
        <v>45808</v>
      </c>
      <c r="C2736" t="s">
        <v>479</v>
      </c>
      <c r="D2736" t="s">
        <v>301</v>
      </c>
      <c r="E2736" t="s">
        <v>9</v>
      </c>
      <c r="F2736" s="3">
        <v>-15710.3</v>
      </c>
      <c r="G2736" s="3">
        <v>-15710.3</v>
      </c>
      <c r="H2736" t="s">
        <v>3</v>
      </c>
      <c r="I2736" t="s">
        <v>3</v>
      </c>
      <c r="J2736" t="s">
        <v>10</v>
      </c>
      <c r="K2736" t="s">
        <v>5</v>
      </c>
      <c r="L2736" t="s">
        <v>18</v>
      </c>
      <c r="M2736" t="s">
        <v>302</v>
      </c>
      <c r="N2736" s="2">
        <v>45808</v>
      </c>
    </row>
    <row r="2737" spans="1:14" x14ac:dyDescent="0.25">
      <c r="A2737" s="4" t="s">
        <v>223</v>
      </c>
      <c r="B2737" s="5"/>
      <c r="C2737" s="4" t="s">
        <v>9</v>
      </c>
      <c r="D2737" s="4" t="s">
        <v>9</v>
      </c>
      <c r="E2737" s="4" t="s">
        <v>9</v>
      </c>
      <c r="F2737" s="6">
        <v>0</v>
      </c>
      <c r="G2737" s="6">
        <v>0</v>
      </c>
      <c r="H2737" s="4" t="s">
        <v>9</v>
      </c>
      <c r="I2737" s="4" t="s">
        <v>3</v>
      </c>
      <c r="J2737" s="4" t="s">
        <v>9</v>
      </c>
      <c r="K2737" s="4" t="s">
        <v>9</v>
      </c>
      <c r="L2737" s="4" t="s">
        <v>9</v>
      </c>
      <c r="M2737" s="4" t="s">
        <v>9</v>
      </c>
      <c r="N2737" s="5"/>
    </row>
    <row r="2738" spans="1:14" x14ac:dyDescent="0.25">
      <c r="A2738" t="s">
        <v>479</v>
      </c>
      <c r="B2738" s="2">
        <v>45839</v>
      </c>
      <c r="C2738" t="s">
        <v>479</v>
      </c>
      <c r="D2738" t="s">
        <v>112</v>
      </c>
      <c r="E2738" t="s">
        <v>9</v>
      </c>
      <c r="F2738" s="3">
        <v>-24664.25</v>
      </c>
      <c r="G2738" s="3">
        <v>-24664.25</v>
      </c>
      <c r="H2738" t="s">
        <v>3</v>
      </c>
      <c r="I2738" t="s">
        <v>3</v>
      </c>
      <c r="J2738" t="s">
        <v>9</v>
      </c>
      <c r="K2738" t="s">
        <v>9</v>
      </c>
      <c r="L2738" t="s">
        <v>19</v>
      </c>
      <c r="M2738" t="s">
        <v>114</v>
      </c>
      <c r="N2738" s="2">
        <v>45838</v>
      </c>
    </row>
    <row r="2739" spans="1:14" x14ac:dyDescent="0.25">
      <c r="A2739" t="s">
        <v>479</v>
      </c>
      <c r="B2739" s="2">
        <v>45839</v>
      </c>
      <c r="C2739" t="s">
        <v>479</v>
      </c>
      <c r="D2739" t="s">
        <v>301</v>
      </c>
      <c r="E2739" t="s">
        <v>9</v>
      </c>
      <c r="F2739" s="3">
        <v>24664.55</v>
      </c>
      <c r="G2739" s="3">
        <v>24664.55</v>
      </c>
      <c r="H2739" t="s">
        <v>3</v>
      </c>
      <c r="I2739" t="s">
        <v>3</v>
      </c>
      <c r="J2739" t="s">
        <v>9</v>
      </c>
      <c r="K2739" t="s">
        <v>9</v>
      </c>
      <c r="L2739" t="s">
        <v>19</v>
      </c>
      <c r="M2739" t="s">
        <v>302</v>
      </c>
      <c r="N2739" s="2">
        <v>45838</v>
      </c>
    </row>
    <row r="2740" spans="1:14" x14ac:dyDescent="0.25">
      <c r="A2740" t="s">
        <v>479</v>
      </c>
      <c r="B2740" s="2">
        <v>45808</v>
      </c>
      <c r="C2740" t="s">
        <v>479</v>
      </c>
      <c r="D2740" t="s">
        <v>112</v>
      </c>
      <c r="E2740" t="s">
        <v>9</v>
      </c>
      <c r="F2740" s="3">
        <v>-41100</v>
      </c>
      <c r="G2740" s="3">
        <v>-41100</v>
      </c>
      <c r="H2740" t="s">
        <v>3</v>
      </c>
      <c r="I2740" t="s">
        <v>3</v>
      </c>
      <c r="J2740" t="s">
        <v>311</v>
      </c>
      <c r="K2740" t="s">
        <v>5</v>
      </c>
      <c r="L2740" t="s">
        <v>19</v>
      </c>
      <c r="M2740" t="s">
        <v>114</v>
      </c>
      <c r="N2740" s="2">
        <v>45809</v>
      </c>
    </row>
    <row r="2741" spans="1:14" x14ac:dyDescent="0.25">
      <c r="A2741" t="s">
        <v>479</v>
      </c>
      <c r="B2741" s="2">
        <v>45808</v>
      </c>
      <c r="C2741" t="s">
        <v>479</v>
      </c>
      <c r="D2741" t="s">
        <v>112</v>
      </c>
      <c r="E2741" t="s">
        <v>9</v>
      </c>
      <c r="F2741" s="3">
        <v>-78237.3</v>
      </c>
      <c r="G2741" s="3">
        <v>-78237.3</v>
      </c>
      <c r="H2741" t="s">
        <v>3</v>
      </c>
      <c r="I2741" t="s">
        <v>3</v>
      </c>
      <c r="J2741" t="s">
        <v>397</v>
      </c>
      <c r="K2741" t="s">
        <v>5</v>
      </c>
      <c r="L2741" t="s">
        <v>19</v>
      </c>
      <c r="M2741" t="s">
        <v>114</v>
      </c>
      <c r="N2741" s="2">
        <v>45809</v>
      </c>
    </row>
    <row r="2742" spans="1:14" x14ac:dyDescent="0.25">
      <c r="A2742" t="s">
        <v>479</v>
      </c>
      <c r="B2742" s="2">
        <v>45838</v>
      </c>
      <c r="C2742" t="s">
        <v>479</v>
      </c>
      <c r="D2742" t="s">
        <v>112</v>
      </c>
      <c r="E2742" t="s">
        <v>9</v>
      </c>
      <c r="F2742" s="3">
        <v>46800</v>
      </c>
      <c r="G2742" s="3">
        <v>46800</v>
      </c>
      <c r="H2742" t="s">
        <v>3</v>
      </c>
      <c r="I2742" t="s">
        <v>3</v>
      </c>
      <c r="J2742" t="s">
        <v>314</v>
      </c>
      <c r="K2742" t="s">
        <v>5</v>
      </c>
      <c r="L2742" t="s">
        <v>19</v>
      </c>
      <c r="M2742" t="s">
        <v>114</v>
      </c>
      <c r="N2742" s="2">
        <v>45838</v>
      </c>
    </row>
    <row r="2743" spans="1:14" x14ac:dyDescent="0.25">
      <c r="A2743" t="s">
        <v>479</v>
      </c>
      <c r="B2743" s="2">
        <v>45838</v>
      </c>
      <c r="C2743" t="s">
        <v>479</v>
      </c>
      <c r="D2743" t="s">
        <v>112</v>
      </c>
      <c r="E2743" t="s">
        <v>9</v>
      </c>
      <c r="F2743" s="3">
        <v>97201.55</v>
      </c>
      <c r="G2743" s="3">
        <v>97201.55</v>
      </c>
      <c r="H2743" t="s">
        <v>3</v>
      </c>
      <c r="I2743" t="s">
        <v>3</v>
      </c>
      <c r="J2743" t="s">
        <v>398</v>
      </c>
      <c r="K2743" t="s">
        <v>5</v>
      </c>
      <c r="L2743" t="s">
        <v>19</v>
      </c>
      <c r="M2743" t="s">
        <v>114</v>
      </c>
      <c r="N2743" s="2">
        <v>45838</v>
      </c>
    </row>
    <row r="2744" spans="1:14" x14ac:dyDescent="0.25">
      <c r="A2744" t="s">
        <v>479</v>
      </c>
      <c r="B2744" s="2">
        <v>45838</v>
      </c>
      <c r="C2744" t="s">
        <v>479</v>
      </c>
      <c r="D2744" t="s">
        <v>301</v>
      </c>
      <c r="E2744" t="s">
        <v>9</v>
      </c>
      <c r="F2744" s="3">
        <v>-24664.55</v>
      </c>
      <c r="G2744" s="3">
        <v>-24664.55</v>
      </c>
      <c r="H2744" t="s">
        <v>3</v>
      </c>
      <c r="I2744" t="s">
        <v>3</v>
      </c>
      <c r="J2744" t="s">
        <v>10</v>
      </c>
      <c r="K2744" t="s">
        <v>5</v>
      </c>
      <c r="L2744" t="s">
        <v>19</v>
      </c>
      <c r="M2744" t="s">
        <v>302</v>
      </c>
      <c r="N2744" s="2">
        <v>45838</v>
      </c>
    </row>
    <row r="2745" spans="1:14" x14ac:dyDescent="0.25">
      <c r="A2745" s="4" t="s">
        <v>224</v>
      </c>
      <c r="B2745" s="5"/>
      <c r="C2745" s="4" t="s">
        <v>9</v>
      </c>
      <c r="D2745" s="4" t="s">
        <v>9</v>
      </c>
      <c r="E2745" s="4" t="s">
        <v>9</v>
      </c>
      <c r="F2745" s="6">
        <v>0</v>
      </c>
      <c r="G2745" s="6">
        <v>0</v>
      </c>
      <c r="H2745" s="4" t="s">
        <v>9</v>
      </c>
      <c r="I2745" s="4" t="s">
        <v>3</v>
      </c>
      <c r="J2745" s="4" t="s">
        <v>9</v>
      </c>
      <c r="K2745" s="4" t="s">
        <v>9</v>
      </c>
      <c r="L2745" s="4" t="s">
        <v>9</v>
      </c>
      <c r="M2745" s="4" t="s">
        <v>9</v>
      </c>
      <c r="N2745" s="5"/>
    </row>
    <row r="2746" spans="1:14" x14ac:dyDescent="0.25">
      <c r="A2746" t="s">
        <v>479</v>
      </c>
      <c r="B2746" s="2">
        <v>45870</v>
      </c>
      <c r="C2746" t="s">
        <v>479</v>
      </c>
      <c r="D2746" t="s">
        <v>112</v>
      </c>
      <c r="E2746" t="s">
        <v>9</v>
      </c>
      <c r="F2746" s="3">
        <v>-17277.5</v>
      </c>
      <c r="G2746" s="3">
        <v>-17277.5</v>
      </c>
      <c r="H2746" t="s">
        <v>3</v>
      </c>
      <c r="I2746" t="s">
        <v>3</v>
      </c>
      <c r="J2746" t="s">
        <v>9</v>
      </c>
      <c r="K2746" t="s">
        <v>9</v>
      </c>
      <c r="L2746" t="s">
        <v>21</v>
      </c>
      <c r="M2746" t="s">
        <v>114</v>
      </c>
      <c r="N2746" s="2">
        <v>45869</v>
      </c>
    </row>
    <row r="2747" spans="1:14" x14ac:dyDescent="0.25">
      <c r="A2747" t="s">
        <v>479</v>
      </c>
      <c r="B2747" s="2">
        <v>45870</v>
      </c>
      <c r="C2747" t="s">
        <v>479</v>
      </c>
      <c r="D2747" t="s">
        <v>301</v>
      </c>
      <c r="E2747" t="s">
        <v>9</v>
      </c>
      <c r="F2747" s="3">
        <v>17277.05</v>
      </c>
      <c r="G2747" s="3">
        <v>17277.05</v>
      </c>
      <c r="H2747" t="s">
        <v>3</v>
      </c>
      <c r="I2747" t="s">
        <v>3</v>
      </c>
      <c r="J2747" t="s">
        <v>9</v>
      </c>
      <c r="K2747" t="s">
        <v>9</v>
      </c>
      <c r="L2747" t="s">
        <v>21</v>
      </c>
      <c r="M2747" t="s">
        <v>302</v>
      </c>
      <c r="N2747" s="2">
        <v>45869</v>
      </c>
    </row>
    <row r="2748" spans="1:14" x14ac:dyDescent="0.25">
      <c r="A2748" t="s">
        <v>479</v>
      </c>
      <c r="B2748" s="2">
        <v>45838</v>
      </c>
      <c r="C2748" t="s">
        <v>479</v>
      </c>
      <c r="D2748" t="s">
        <v>112</v>
      </c>
      <c r="E2748" t="s">
        <v>9</v>
      </c>
      <c r="F2748" s="3">
        <v>-46800</v>
      </c>
      <c r="G2748" s="3">
        <v>-46800</v>
      </c>
      <c r="H2748" t="s">
        <v>3</v>
      </c>
      <c r="I2748" t="s">
        <v>3</v>
      </c>
      <c r="J2748" t="s">
        <v>314</v>
      </c>
      <c r="K2748" t="s">
        <v>5</v>
      </c>
      <c r="L2748" t="s">
        <v>21</v>
      </c>
      <c r="M2748" t="s">
        <v>114</v>
      </c>
      <c r="N2748" s="2">
        <v>45839</v>
      </c>
    </row>
    <row r="2749" spans="1:14" x14ac:dyDescent="0.25">
      <c r="A2749" t="s">
        <v>479</v>
      </c>
      <c r="B2749" s="2">
        <v>45838</v>
      </c>
      <c r="C2749" t="s">
        <v>479</v>
      </c>
      <c r="D2749" t="s">
        <v>112</v>
      </c>
      <c r="E2749" t="s">
        <v>9</v>
      </c>
      <c r="F2749" s="3">
        <v>-97201.55</v>
      </c>
      <c r="G2749" s="3">
        <v>-97201.55</v>
      </c>
      <c r="H2749" t="s">
        <v>3</v>
      </c>
      <c r="I2749" t="s">
        <v>3</v>
      </c>
      <c r="J2749" t="s">
        <v>398</v>
      </c>
      <c r="K2749" t="s">
        <v>5</v>
      </c>
      <c r="L2749" t="s">
        <v>21</v>
      </c>
      <c r="M2749" t="s">
        <v>114</v>
      </c>
      <c r="N2749" s="2">
        <v>45839</v>
      </c>
    </row>
    <row r="2750" spans="1:14" x14ac:dyDescent="0.25">
      <c r="A2750" t="s">
        <v>479</v>
      </c>
      <c r="B2750" s="2">
        <v>45869</v>
      </c>
      <c r="C2750" t="s">
        <v>479</v>
      </c>
      <c r="D2750" t="s">
        <v>112</v>
      </c>
      <c r="E2750" t="s">
        <v>9</v>
      </c>
      <c r="F2750" s="3">
        <v>48600</v>
      </c>
      <c r="G2750" s="3">
        <v>48600</v>
      </c>
      <c r="H2750" t="s">
        <v>3</v>
      </c>
      <c r="I2750" t="s">
        <v>3</v>
      </c>
      <c r="J2750" t="s">
        <v>317</v>
      </c>
      <c r="K2750" t="s">
        <v>5</v>
      </c>
      <c r="L2750" t="s">
        <v>21</v>
      </c>
      <c r="M2750" t="s">
        <v>114</v>
      </c>
      <c r="N2750" s="2">
        <v>45869</v>
      </c>
    </row>
    <row r="2751" spans="1:14" x14ac:dyDescent="0.25">
      <c r="A2751" t="s">
        <v>479</v>
      </c>
      <c r="B2751" s="2">
        <v>45869</v>
      </c>
      <c r="C2751" t="s">
        <v>479</v>
      </c>
      <c r="D2751" t="s">
        <v>112</v>
      </c>
      <c r="E2751" t="s">
        <v>9</v>
      </c>
      <c r="F2751" s="3">
        <v>112679.05</v>
      </c>
      <c r="G2751" s="3">
        <v>112679.05</v>
      </c>
      <c r="H2751" t="s">
        <v>3</v>
      </c>
      <c r="I2751" t="s">
        <v>3</v>
      </c>
      <c r="J2751" t="s">
        <v>382</v>
      </c>
      <c r="K2751" t="s">
        <v>5</v>
      </c>
      <c r="L2751" t="s">
        <v>21</v>
      </c>
      <c r="M2751" t="s">
        <v>114</v>
      </c>
      <c r="N2751" s="2">
        <v>45869</v>
      </c>
    </row>
    <row r="2752" spans="1:14" x14ac:dyDescent="0.25">
      <c r="A2752" t="s">
        <v>479</v>
      </c>
      <c r="B2752" s="2">
        <v>45869</v>
      </c>
      <c r="C2752" t="s">
        <v>479</v>
      </c>
      <c r="D2752" t="s">
        <v>301</v>
      </c>
      <c r="E2752" t="s">
        <v>9</v>
      </c>
      <c r="F2752" s="3">
        <v>-17277.05</v>
      </c>
      <c r="G2752" s="3">
        <v>-17277.05</v>
      </c>
      <c r="H2752" t="s">
        <v>3</v>
      </c>
      <c r="I2752" t="s">
        <v>3</v>
      </c>
      <c r="J2752" t="s">
        <v>10</v>
      </c>
      <c r="K2752" t="s">
        <v>5</v>
      </c>
      <c r="L2752" t="s">
        <v>21</v>
      </c>
      <c r="M2752" t="s">
        <v>302</v>
      </c>
      <c r="N2752" s="2">
        <v>45869</v>
      </c>
    </row>
    <row r="2753" spans="1:14" x14ac:dyDescent="0.25">
      <c r="A2753" s="4" t="s">
        <v>262</v>
      </c>
      <c r="B2753" s="5"/>
      <c r="C2753" s="4" t="s">
        <v>9</v>
      </c>
      <c r="D2753" s="4" t="s">
        <v>9</v>
      </c>
      <c r="E2753" s="4" t="s">
        <v>9</v>
      </c>
      <c r="F2753" s="6">
        <v>0</v>
      </c>
      <c r="G2753" s="6">
        <v>0</v>
      </c>
      <c r="H2753" s="4" t="s">
        <v>9</v>
      </c>
      <c r="I2753" s="4" t="s">
        <v>3</v>
      </c>
      <c r="J2753" s="4" t="s">
        <v>9</v>
      </c>
      <c r="K2753" s="4" t="s">
        <v>9</v>
      </c>
      <c r="L2753" s="4" t="s">
        <v>9</v>
      </c>
      <c r="M2753" s="4" t="s">
        <v>9</v>
      </c>
      <c r="N2753" s="5"/>
    </row>
    <row r="2754" spans="1:14" x14ac:dyDescent="0.25">
      <c r="A2754" t="s">
        <v>479</v>
      </c>
      <c r="B2754" s="2">
        <v>45901</v>
      </c>
      <c r="C2754" t="s">
        <v>479</v>
      </c>
      <c r="D2754" t="s">
        <v>112</v>
      </c>
      <c r="E2754" t="s">
        <v>9</v>
      </c>
      <c r="F2754" s="3">
        <v>-14354.5</v>
      </c>
      <c r="G2754" s="3">
        <v>-14354.5</v>
      </c>
      <c r="H2754" t="s">
        <v>3</v>
      </c>
      <c r="I2754" t="s">
        <v>3</v>
      </c>
      <c r="J2754" t="s">
        <v>9</v>
      </c>
      <c r="K2754" t="s">
        <v>9</v>
      </c>
      <c r="L2754" t="s">
        <v>22</v>
      </c>
      <c r="M2754" t="s">
        <v>114</v>
      </c>
      <c r="N2754" s="2">
        <v>45900</v>
      </c>
    </row>
    <row r="2755" spans="1:14" x14ac:dyDescent="0.25">
      <c r="A2755" t="s">
        <v>479</v>
      </c>
      <c r="B2755" s="2">
        <v>45901</v>
      </c>
      <c r="C2755" t="s">
        <v>479</v>
      </c>
      <c r="D2755" t="s">
        <v>301</v>
      </c>
      <c r="E2755" t="s">
        <v>9</v>
      </c>
      <c r="F2755" s="3">
        <v>14355</v>
      </c>
      <c r="G2755" s="3">
        <v>14355</v>
      </c>
      <c r="H2755" t="s">
        <v>3</v>
      </c>
      <c r="I2755" t="s">
        <v>3</v>
      </c>
      <c r="J2755" t="s">
        <v>9</v>
      </c>
      <c r="K2755" t="s">
        <v>9</v>
      </c>
      <c r="L2755" t="s">
        <v>22</v>
      </c>
      <c r="M2755" t="s">
        <v>302</v>
      </c>
      <c r="N2755" s="2">
        <v>45900</v>
      </c>
    </row>
    <row r="2756" spans="1:14" x14ac:dyDescent="0.25">
      <c r="A2756" t="s">
        <v>479</v>
      </c>
      <c r="B2756" s="2">
        <v>45903</v>
      </c>
      <c r="C2756" t="s">
        <v>479</v>
      </c>
      <c r="D2756" t="s">
        <v>112</v>
      </c>
      <c r="E2756" t="s">
        <v>9</v>
      </c>
      <c r="F2756" s="3">
        <v>-2476</v>
      </c>
      <c r="G2756" s="3">
        <v>-2476</v>
      </c>
      <c r="H2756" t="s">
        <v>3</v>
      </c>
      <c r="I2756" t="s">
        <v>3</v>
      </c>
      <c r="J2756" t="s">
        <v>9</v>
      </c>
      <c r="K2756" t="s">
        <v>9</v>
      </c>
      <c r="L2756" t="s">
        <v>22</v>
      </c>
      <c r="M2756" t="s">
        <v>114</v>
      </c>
      <c r="N2756" s="2">
        <v>45900</v>
      </c>
    </row>
    <row r="2757" spans="1:14" x14ac:dyDescent="0.25">
      <c r="A2757" t="s">
        <v>479</v>
      </c>
      <c r="B2757" s="2">
        <v>45869</v>
      </c>
      <c r="C2757" t="s">
        <v>479</v>
      </c>
      <c r="D2757" t="s">
        <v>112</v>
      </c>
      <c r="E2757" t="s">
        <v>9</v>
      </c>
      <c r="F2757" s="3">
        <v>-48600</v>
      </c>
      <c r="G2757" s="3">
        <v>-48600</v>
      </c>
      <c r="H2757" t="s">
        <v>3</v>
      </c>
      <c r="I2757" t="s">
        <v>3</v>
      </c>
      <c r="J2757" t="s">
        <v>317</v>
      </c>
      <c r="K2757" t="s">
        <v>5</v>
      </c>
      <c r="L2757" t="s">
        <v>22</v>
      </c>
      <c r="M2757" t="s">
        <v>114</v>
      </c>
      <c r="N2757" s="2">
        <v>45870</v>
      </c>
    </row>
    <row r="2758" spans="1:14" x14ac:dyDescent="0.25">
      <c r="A2758" t="s">
        <v>479</v>
      </c>
      <c r="B2758" s="2">
        <v>45869</v>
      </c>
      <c r="C2758" t="s">
        <v>479</v>
      </c>
      <c r="D2758" t="s">
        <v>112</v>
      </c>
      <c r="E2758" t="s">
        <v>9</v>
      </c>
      <c r="F2758" s="3">
        <v>-112679.05</v>
      </c>
      <c r="G2758" s="3">
        <v>-112679.05</v>
      </c>
      <c r="H2758" t="s">
        <v>3</v>
      </c>
      <c r="I2758" t="s">
        <v>3</v>
      </c>
      <c r="J2758" t="s">
        <v>382</v>
      </c>
      <c r="K2758" t="s">
        <v>5</v>
      </c>
      <c r="L2758" t="s">
        <v>22</v>
      </c>
      <c r="M2758" t="s">
        <v>114</v>
      </c>
      <c r="N2758" s="2">
        <v>45870</v>
      </c>
    </row>
    <row r="2759" spans="1:14" x14ac:dyDescent="0.25">
      <c r="A2759" t="s">
        <v>479</v>
      </c>
      <c r="B2759" s="2">
        <v>45900</v>
      </c>
      <c r="C2759" t="s">
        <v>479</v>
      </c>
      <c r="D2759" t="s">
        <v>112</v>
      </c>
      <c r="E2759" t="s">
        <v>9</v>
      </c>
      <c r="F2759" s="3">
        <v>52600</v>
      </c>
      <c r="G2759" s="3">
        <v>52600</v>
      </c>
      <c r="H2759" t="s">
        <v>3</v>
      </c>
      <c r="I2759" t="s">
        <v>3</v>
      </c>
      <c r="J2759" t="s">
        <v>320</v>
      </c>
      <c r="K2759" t="s">
        <v>5</v>
      </c>
      <c r="L2759" t="s">
        <v>22</v>
      </c>
      <c r="M2759" t="s">
        <v>114</v>
      </c>
      <c r="N2759" s="2">
        <v>45900</v>
      </c>
    </row>
    <row r="2760" spans="1:14" x14ac:dyDescent="0.25">
      <c r="A2760" t="s">
        <v>479</v>
      </c>
      <c r="B2760" s="2">
        <v>45900</v>
      </c>
      <c r="C2760" t="s">
        <v>479</v>
      </c>
      <c r="D2760" t="s">
        <v>112</v>
      </c>
      <c r="E2760" t="s">
        <v>9</v>
      </c>
      <c r="F2760" s="3">
        <v>123033.55</v>
      </c>
      <c r="G2760" s="3">
        <v>123033.55</v>
      </c>
      <c r="H2760" t="s">
        <v>3</v>
      </c>
      <c r="I2760" t="s">
        <v>3</v>
      </c>
      <c r="J2760" t="s">
        <v>383</v>
      </c>
      <c r="K2760" t="s">
        <v>5</v>
      </c>
      <c r="L2760" t="s">
        <v>22</v>
      </c>
      <c r="M2760" t="s">
        <v>114</v>
      </c>
      <c r="N2760" s="2">
        <v>45900</v>
      </c>
    </row>
    <row r="2761" spans="1:14" x14ac:dyDescent="0.25">
      <c r="A2761" t="s">
        <v>479</v>
      </c>
      <c r="B2761" s="2">
        <v>45900</v>
      </c>
      <c r="C2761" t="s">
        <v>479</v>
      </c>
      <c r="D2761" t="s">
        <v>301</v>
      </c>
      <c r="E2761" t="s">
        <v>9</v>
      </c>
      <c r="F2761" s="3">
        <v>-14355</v>
      </c>
      <c r="G2761" s="3">
        <v>-14355</v>
      </c>
      <c r="H2761" t="s">
        <v>3</v>
      </c>
      <c r="I2761" t="s">
        <v>3</v>
      </c>
      <c r="J2761" t="s">
        <v>10</v>
      </c>
      <c r="K2761" t="s">
        <v>5</v>
      </c>
      <c r="L2761" t="s">
        <v>22</v>
      </c>
      <c r="M2761" t="s">
        <v>302</v>
      </c>
      <c r="N2761" s="2">
        <v>45900</v>
      </c>
    </row>
    <row r="2762" spans="1:14" x14ac:dyDescent="0.25">
      <c r="A2762" t="s">
        <v>479</v>
      </c>
      <c r="B2762" s="2">
        <v>45900</v>
      </c>
      <c r="C2762" t="s">
        <v>479</v>
      </c>
      <c r="D2762" t="s">
        <v>112</v>
      </c>
      <c r="E2762" t="s">
        <v>9</v>
      </c>
      <c r="F2762" s="3">
        <v>-52600</v>
      </c>
      <c r="G2762" s="3">
        <v>-52600</v>
      </c>
      <c r="H2762" t="s">
        <v>3</v>
      </c>
      <c r="I2762" t="s">
        <v>3</v>
      </c>
      <c r="J2762" t="s">
        <v>320</v>
      </c>
      <c r="K2762" t="s">
        <v>5</v>
      </c>
      <c r="L2762" t="s">
        <v>22</v>
      </c>
      <c r="M2762" t="s">
        <v>114</v>
      </c>
      <c r="N2762" s="2">
        <v>45900</v>
      </c>
    </row>
    <row r="2763" spans="1:14" x14ac:dyDescent="0.25">
      <c r="A2763" t="s">
        <v>479</v>
      </c>
      <c r="B2763" s="2">
        <v>45900</v>
      </c>
      <c r="C2763" t="s">
        <v>479</v>
      </c>
      <c r="D2763" t="s">
        <v>112</v>
      </c>
      <c r="E2763" t="s">
        <v>9</v>
      </c>
      <c r="F2763" s="3">
        <v>-123033.55</v>
      </c>
      <c r="G2763" s="3">
        <v>-123033.55</v>
      </c>
      <c r="H2763" t="s">
        <v>3</v>
      </c>
      <c r="I2763" t="s">
        <v>3</v>
      </c>
      <c r="J2763" t="s">
        <v>383</v>
      </c>
      <c r="K2763" t="s">
        <v>5</v>
      </c>
      <c r="L2763" t="s">
        <v>22</v>
      </c>
      <c r="M2763" t="s">
        <v>114</v>
      </c>
      <c r="N2763" s="2">
        <v>45900</v>
      </c>
    </row>
    <row r="2764" spans="1:14" x14ac:dyDescent="0.25">
      <c r="A2764" t="s">
        <v>479</v>
      </c>
      <c r="B2764" s="2">
        <v>45900</v>
      </c>
      <c r="C2764" t="s">
        <v>479</v>
      </c>
      <c r="D2764" t="s">
        <v>112</v>
      </c>
      <c r="E2764" t="s">
        <v>9</v>
      </c>
      <c r="F2764" s="3">
        <v>50800</v>
      </c>
      <c r="G2764" s="3">
        <v>50800</v>
      </c>
      <c r="H2764" t="s">
        <v>3</v>
      </c>
      <c r="I2764" t="s">
        <v>3</v>
      </c>
      <c r="J2764" t="s">
        <v>320</v>
      </c>
      <c r="K2764" t="s">
        <v>5</v>
      </c>
      <c r="L2764" t="s">
        <v>22</v>
      </c>
      <c r="M2764" t="s">
        <v>114</v>
      </c>
      <c r="N2764" s="2">
        <v>45900</v>
      </c>
    </row>
    <row r="2765" spans="1:14" x14ac:dyDescent="0.25">
      <c r="A2765" t="s">
        <v>479</v>
      </c>
      <c r="B2765" s="2">
        <v>45900</v>
      </c>
      <c r="C2765" t="s">
        <v>479</v>
      </c>
      <c r="D2765" t="s">
        <v>112</v>
      </c>
      <c r="E2765" t="s">
        <v>9</v>
      </c>
      <c r="F2765" s="3">
        <v>123789.55</v>
      </c>
      <c r="G2765" s="3">
        <v>123789.55</v>
      </c>
      <c r="H2765" t="s">
        <v>3</v>
      </c>
      <c r="I2765" t="s">
        <v>3</v>
      </c>
      <c r="J2765" t="s">
        <v>383</v>
      </c>
      <c r="K2765" t="s">
        <v>5</v>
      </c>
      <c r="L2765" t="s">
        <v>22</v>
      </c>
      <c r="M2765" t="s">
        <v>114</v>
      </c>
      <c r="N2765" s="2">
        <v>45900</v>
      </c>
    </row>
    <row r="2766" spans="1:14" x14ac:dyDescent="0.25">
      <c r="A2766" t="s">
        <v>479</v>
      </c>
      <c r="B2766" s="2">
        <v>45900</v>
      </c>
      <c r="C2766" t="s">
        <v>479</v>
      </c>
      <c r="D2766" t="s">
        <v>112</v>
      </c>
      <c r="E2766" t="s">
        <v>9</v>
      </c>
      <c r="F2766" s="3">
        <v>52600</v>
      </c>
      <c r="G2766" s="3">
        <v>52600</v>
      </c>
      <c r="H2766" t="s">
        <v>3</v>
      </c>
      <c r="I2766" t="s">
        <v>3</v>
      </c>
      <c r="J2766" t="s">
        <v>320</v>
      </c>
      <c r="K2766" t="s">
        <v>5</v>
      </c>
      <c r="L2766" t="s">
        <v>22</v>
      </c>
      <c r="M2766" t="s">
        <v>114</v>
      </c>
      <c r="N2766" s="2">
        <v>45900</v>
      </c>
    </row>
    <row r="2767" spans="1:14" x14ac:dyDescent="0.25">
      <c r="A2767" t="s">
        <v>479</v>
      </c>
      <c r="B2767" s="2">
        <v>45900</v>
      </c>
      <c r="C2767" t="s">
        <v>479</v>
      </c>
      <c r="D2767" t="s">
        <v>112</v>
      </c>
      <c r="E2767" t="s">
        <v>9</v>
      </c>
      <c r="F2767" s="3">
        <v>125509.55</v>
      </c>
      <c r="G2767" s="3">
        <v>125509.55</v>
      </c>
      <c r="H2767" t="s">
        <v>3</v>
      </c>
      <c r="I2767" t="s">
        <v>3</v>
      </c>
      <c r="J2767" t="s">
        <v>383</v>
      </c>
      <c r="K2767" t="s">
        <v>5</v>
      </c>
      <c r="L2767" t="s">
        <v>22</v>
      </c>
      <c r="M2767" t="s">
        <v>114</v>
      </c>
      <c r="N2767" s="2">
        <v>45900</v>
      </c>
    </row>
    <row r="2768" spans="1:14" x14ac:dyDescent="0.25">
      <c r="A2768" t="s">
        <v>479</v>
      </c>
      <c r="B2768" s="2">
        <v>45900</v>
      </c>
      <c r="C2768" t="s">
        <v>479</v>
      </c>
      <c r="D2768" t="s">
        <v>112</v>
      </c>
      <c r="E2768" t="s">
        <v>9</v>
      </c>
      <c r="F2768" s="3">
        <v>-50800</v>
      </c>
      <c r="G2768" s="3">
        <v>-50800</v>
      </c>
      <c r="H2768" t="s">
        <v>3</v>
      </c>
      <c r="I2768" t="s">
        <v>3</v>
      </c>
      <c r="J2768" t="s">
        <v>320</v>
      </c>
      <c r="K2768" t="s">
        <v>5</v>
      </c>
      <c r="L2768" t="s">
        <v>22</v>
      </c>
      <c r="M2768" t="s">
        <v>114</v>
      </c>
      <c r="N2768" s="2">
        <v>45900</v>
      </c>
    </row>
    <row r="2769" spans="1:14" x14ac:dyDescent="0.25">
      <c r="A2769" t="s">
        <v>479</v>
      </c>
      <c r="B2769" s="2">
        <v>45900</v>
      </c>
      <c r="C2769" t="s">
        <v>479</v>
      </c>
      <c r="D2769" t="s">
        <v>112</v>
      </c>
      <c r="E2769" t="s">
        <v>9</v>
      </c>
      <c r="F2769" s="3">
        <v>-123789.55</v>
      </c>
      <c r="G2769" s="3">
        <v>-123789.55</v>
      </c>
      <c r="H2769" t="s">
        <v>3</v>
      </c>
      <c r="I2769" t="s">
        <v>3</v>
      </c>
      <c r="J2769" t="s">
        <v>383</v>
      </c>
      <c r="K2769" t="s">
        <v>5</v>
      </c>
      <c r="L2769" t="s">
        <v>22</v>
      </c>
      <c r="M2769" t="s">
        <v>114</v>
      </c>
      <c r="N2769" s="2">
        <v>45900</v>
      </c>
    </row>
    <row r="2770" spans="1:14" x14ac:dyDescent="0.25">
      <c r="A2770" s="4" t="s">
        <v>267</v>
      </c>
      <c r="B2770" s="5"/>
      <c r="C2770" s="4" t="s">
        <v>9</v>
      </c>
      <c r="D2770" s="4" t="s">
        <v>9</v>
      </c>
      <c r="E2770" s="4" t="s">
        <v>9</v>
      </c>
      <c r="F2770" s="6">
        <v>0</v>
      </c>
      <c r="G2770" s="6">
        <v>0</v>
      </c>
      <c r="H2770" s="4" t="s">
        <v>9</v>
      </c>
      <c r="I2770" s="4" t="s">
        <v>3</v>
      </c>
      <c r="J2770" s="4" t="s">
        <v>9</v>
      </c>
      <c r="K2770" s="4" t="s">
        <v>9</v>
      </c>
      <c r="L2770" s="4" t="s">
        <v>9</v>
      </c>
      <c r="M2770" s="4" t="s">
        <v>9</v>
      </c>
      <c r="N2770" s="5"/>
    </row>
    <row r="2771" spans="1:14" x14ac:dyDescent="0.25">
      <c r="A2771" t="s">
        <v>479</v>
      </c>
      <c r="B2771" s="2">
        <v>45932</v>
      </c>
      <c r="C2771" t="s">
        <v>479</v>
      </c>
      <c r="D2771" t="s">
        <v>112</v>
      </c>
      <c r="E2771" t="s">
        <v>9</v>
      </c>
      <c r="F2771" s="3">
        <v>-14803</v>
      </c>
      <c r="G2771" s="3">
        <v>-14803</v>
      </c>
      <c r="H2771" t="s">
        <v>3</v>
      </c>
      <c r="I2771" t="s">
        <v>3</v>
      </c>
      <c r="J2771" t="s">
        <v>9</v>
      </c>
      <c r="K2771" t="s">
        <v>9</v>
      </c>
      <c r="L2771" t="s">
        <v>6</v>
      </c>
      <c r="M2771" t="s">
        <v>114</v>
      </c>
      <c r="N2771" s="2">
        <v>45930</v>
      </c>
    </row>
    <row r="2772" spans="1:14" x14ac:dyDescent="0.25">
      <c r="A2772" t="s">
        <v>479</v>
      </c>
      <c r="B2772" s="2">
        <v>45932</v>
      </c>
      <c r="C2772" t="s">
        <v>479</v>
      </c>
      <c r="D2772" t="s">
        <v>301</v>
      </c>
      <c r="E2772" t="s">
        <v>9</v>
      </c>
      <c r="F2772" s="3">
        <v>17278.5</v>
      </c>
      <c r="G2772" s="3">
        <v>17278.5</v>
      </c>
      <c r="H2772" t="s">
        <v>3</v>
      </c>
      <c r="I2772" t="s">
        <v>3</v>
      </c>
      <c r="J2772" t="s">
        <v>9</v>
      </c>
      <c r="K2772" t="s">
        <v>9</v>
      </c>
      <c r="L2772" t="s">
        <v>6</v>
      </c>
      <c r="M2772" t="s">
        <v>302</v>
      </c>
      <c r="N2772" s="2">
        <v>45930</v>
      </c>
    </row>
    <row r="2773" spans="1:14" x14ac:dyDescent="0.25">
      <c r="A2773" t="s">
        <v>479</v>
      </c>
      <c r="B2773" s="2">
        <v>45900</v>
      </c>
      <c r="C2773" t="s">
        <v>479</v>
      </c>
      <c r="D2773" t="s">
        <v>112</v>
      </c>
      <c r="E2773" t="s">
        <v>9</v>
      </c>
      <c r="F2773" s="3">
        <v>-52600</v>
      </c>
      <c r="G2773" s="3">
        <v>-52600</v>
      </c>
      <c r="H2773" t="s">
        <v>3</v>
      </c>
      <c r="I2773" t="s">
        <v>3</v>
      </c>
      <c r="J2773" t="s">
        <v>320</v>
      </c>
      <c r="K2773" t="s">
        <v>5</v>
      </c>
      <c r="L2773" t="s">
        <v>6</v>
      </c>
      <c r="M2773" t="s">
        <v>114</v>
      </c>
      <c r="N2773" s="2">
        <v>45901</v>
      </c>
    </row>
    <row r="2774" spans="1:14" x14ac:dyDescent="0.25">
      <c r="A2774" t="s">
        <v>479</v>
      </c>
      <c r="B2774" s="2">
        <v>45900</v>
      </c>
      <c r="C2774" t="s">
        <v>479</v>
      </c>
      <c r="D2774" t="s">
        <v>112</v>
      </c>
      <c r="E2774" t="s">
        <v>9</v>
      </c>
      <c r="F2774" s="3">
        <v>-123033.55</v>
      </c>
      <c r="G2774" s="3">
        <v>-123033.55</v>
      </c>
      <c r="H2774" t="s">
        <v>3</v>
      </c>
      <c r="I2774" t="s">
        <v>3</v>
      </c>
      <c r="J2774" t="s">
        <v>383</v>
      </c>
      <c r="K2774" t="s">
        <v>5</v>
      </c>
      <c r="L2774" t="s">
        <v>6</v>
      </c>
      <c r="M2774" t="s">
        <v>114</v>
      </c>
      <c r="N2774" s="2">
        <v>45901</v>
      </c>
    </row>
    <row r="2775" spans="1:14" x14ac:dyDescent="0.25">
      <c r="A2775" t="s">
        <v>479</v>
      </c>
      <c r="B2775" s="2">
        <v>45900</v>
      </c>
      <c r="C2775" t="s">
        <v>479</v>
      </c>
      <c r="D2775" t="s">
        <v>112</v>
      </c>
      <c r="E2775" t="s">
        <v>9</v>
      </c>
      <c r="F2775" s="3">
        <v>52600</v>
      </c>
      <c r="G2775" s="3">
        <v>52600</v>
      </c>
      <c r="H2775" t="s">
        <v>3</v>
      </c>
      <c r="I2775" t="s">
        <v>3</v>
      </c>
      <c r="J2775" t="s">
        <v>320</v>
      </c>
      <c r="K2775" t="s">
        <v>5</v>
      </c>
      <c r="L2775" t="s">
        <v>6</v>
      </c>
      <c r="M2775" t="s">
        <v>114</v>
      </c>
      <c r="N2775" s="2">
        <v>45901</v>
      </c>
    </row>
    <row r="2776" spans="1:14" x14ac:dyDescent="0.25">
      <c r="A2776" t="s">
        <v>479</v>
      </c>
      <c r="B2776" s="2">
        <v>45900</v>
      </c>
      <c r="C2776" t="s">
        <v>479</v>
      </c>
      <c r="D2776" t="s">
        <v>112</v>
      </c>
      <c r="E2776" t="s">
        <v>9</v>
      </c>
      <c r="F2776" s="3">
        <v>123033.55</v>
      </c>
      <c r="G2776" s="3">
        <v>123033.55</v>
      </c>
      <c r="H2776" t="s">
        <v>3</v>
      </c>
      <c r="I2776" t="s">
        <v>3</v>
      </c>
      <c r="J2776" t="s">
        <v>383</v>
      </c>
      <c r="K2776" t="s">
        <v>5</v>
      </c>
      <c r="L2776" t="s">
        <v>6</v>
      </c>
      <c r="M2776" t="s">
        <v>114</v>
      </c>
      <c r="N2776" s="2">
        <v>45901</v>
      </c>
    </row>
    <row r="2777" spans="1:14" x14ac:dyDescent="0.25">
      <c r="A2777" t="s">
        <v>479</v>
      </c>
      <c r="B2777" s="2">
        <v>45900</v>
      </c>
      <c r="C2777" t="s">
        <v>479</v>
      </c>
      <c r="D2777" t="s">
        <v>112</v>
      </c>
      <c r="E2777" t="s">
        <v>9</v>
      </c>
      <c r="F2777" s="3">
        <v>-50800</v>
      </c>
      <c r="G2777" s="3">
        <v>-50800</v>
      </c>
      <c r="H2777" t="s">
        <v>3</v>
      </c>
      <c r="I2777" t="s">
        <v>3</v>
      </c>
      <c r="J2777" t="s">
        <v>320</v>
      </c>
      <c r="K2777" t="s">
        <v>5</v>
      </c>
      <c r="L2777" t="s">
        <v>6</v>
      </c>
      <c r="M2777" t="s">
        <v>114</v>
      </c>
      <c r="N2777" s="2">
        <v>45901</v>
      </c>
    </row>
    <row r="2778" spans="1:14" x14ac:dyDescent="0.25">
      <c r="A2778" t="s">
        <v>479</v>
      </c>
      <c r="B2778" s="2">
        <v>45900</v>
      </c>
      <c r="C2778" t="s">
        <v>479</v>
      </c>
      <c r="D2778" t="s">
        <v>112</v>
      </c>
      <c r="E2778" t="s">
        <v>9</v>
      </c>
      <c r="F2778" s="3">
        <v>-123789.55</v>
      </c>
      <c r="G2778" s="3">
        <v>-123789.55</v>
      </c>
      <c r="H2778" t="s">
        <v>3</v>
      </c>
      <c r="I2778" t="s">
        <v>3</v>
      </c>
      <c r="J2778" t="s">
        <v>383</v>
      </c>
      <c r="K2778" t="s">
        <v>5</v>
      </c>
      <c r="L2778" t="s">
        <v>6</v>
      </c>
      <c r="M2778" t="s">
        <v>114</v>
      </c>
      <c r="N2778" s="2">
        <v>45901</v>
      </c>
    </row>
    <row r="2779" spans="1:14" x14ac:dyDescent="0.25">
      <c r="A2779" t="s">
        <v>479</v>
      </c>
      <c r="B2779" s="2">
        <v>45900</v>
      </c>
      <c r="C2779" t="s">
        <v>479</v>
      </c>
      <c r="D2779" t="s">
        <v>112</v>
      </c>
      <c r="E2779" t="s">
        <v>9</v>
      </c>
      <c r="F2779" s="3">
        <v>50800</v>
      </c>
      <c r="G2779" s="3">
        <v>50800</v>
      </c>
      <c r="H2779" t="s">
        <v>3</v>
      </c>
      <c r="I2779" t="s">
        <v>3</v>
      </c>
      <c r="J2779" t="s">
        <v>320</v>
      </c>
      <c r="K2779" t="s">
        <v>5</v>
      </c>
      <c r="L2779" t="s">
        <v>6</v>
      </c>
      <c r="M2779" t="s">
        <v>114</v>
      </c>
      <c r="N2779" s="2">
        <v>45901</v>
      </c>
    </row>
    <row r="2780" spans="1:14" x14ac:dyDescent="0.25">
      <c r="A2780" t="s">
        <v>479</v>
      </c>
      <c r="B2780" s="2">
        <v>45900</v>
      </c>
      <c r="C2780" t="s">
        <v>479</v>
      </c>
      <c r="D2780" t="s">
        <v>112</v>
      </c>
      <c r="E2780" t="s">
        <v>9</v>
      </c>
      <c r="F2780" s="3">
        <v>123789.55</v>
      </c>
      <c r="G2780" s="3">
        <v>123789.55</v>
      </c>
      <c r="H2780" t="s">
        <v>3</v>
      </c>
      <c r="I2780" t="s">
        <v>3</v>
      </c>
      <c r="J2780" t="s">
        <v>383</v>
      </c>
      <c r="K2780" t="s">
        <v>5</v>
      </c>
      <c r="L2780" t="s">
        <v>6</v>
      </c>
      <c r="M2780" t="s">
        <v>114</v>
      </c>
      <c r="N2780" s="2">
        <v>45901</v>
      </c>
    </row>
    <row r="2781" spans="1:14" x14ac:dyDescent="0.25">
      <c r="A2781" t="s">
        <v>479</v>
      </c>
      <c r="B2781" s="2">
        <v>45900</v>
      </c>
      <c r="C2781" t="s">
        <v>479</v>
      </c>
      <c r="D2781" t="s">
        <v>112</v>
      </c>
      <c r="E2781" t="s">
        <v>9</v>
      </c>
      <c r="F2781" s="3">
        <v>-52600</v>
      </c>
      <c r="G2781" s="3">
        <v>-52600</v>
      </c>
      <c r="H2781" t="s">
        <v>3</v>
      </c>
      <c r="I2781" t="s">
        <v>3</v>
      </c>
      <c r="J2781" t="s">
        <v>320</v>
      </c>
      <c r="K2781" t="s">
        <v>5</v>
      </c>
      <c r="L2781" t="s">
        <v>6</v>
      </c>
      <c r="M2781" t="s">
        <v>114</v>
      </c>
      <c r="N2781" s="2">
        <v>45901</v>
      </c>
    </row>
    <row r="2782" spans="1:14" x14ac:dyDescent="0.25">
      <c r="A2782" t="s">
        <v>479</v>
      </c>
      <c r="B2782" s="2">
        <v>45900</v>
      </c>
      <c r="C2782" t="s">
        <v>479</v>
      </c>
      <c r="D2782" t="s">
        <v>112</v>
      </c>
      <c r="E2782" t="s">
        <v>9</v>
      </c>
      <c r="F2782" s="3">
        <v>-125509.55</v>
      </c>
      <c r="G2782" s="3">
        <v>-125509.55</v>
      </c>
      <c r="H2782" t="s">
        <v>3</v>
      </c>
      <c r="I2782" t="s">
        <v>3</v>
      </c>
      <c r="J2782" t="s">
        <v>383</v>
      </c>
      <c r="K2782" t="s">
        <v>5</v>
      </c>
      <c r="L2782" t="s">
        <v>6</v>
      </c>
      <c r="M2782" t="s">
        <v>114</v>
      </c>
      <c r="N2782" s="2">
        <v>45901</v>
      </c>
    </row>
    <row r="2783" spans="1:14" x14ac:dyDescent="0.25">
      <c r="A2783" t="s">
        <v>479</v>
      </c>
      <c r="B2783" s="2">
        <v>45930</v>
      </c>
      <c r="C2783" t="s">
        <v>479</v>
      </c>
      <c r="D2783" t="s">
        <v>112</v>
      </c>
      <c r="E2783" t="s">
        <v>9</v>
      </c>
      <c r="F2783" s="3">
        <v>54900</v>
      </c>
      <c r="G2783" s="3">
        <v>54900</v>
      </c>
      <c r="H2783" t="s">
        <v>3</v>
      </c>
      <c r="I2783" t="s">
        <v>3</v>
      </c>
      <c r="J2783" t="s">
        <v>323</v>
      </c>
      <c r="K2783" t="s">
        <v>5</v>
      </c>
      <c r="L2783" t="s">
        <v>6</v>
      </c>
      <c r="M2783" t="s">
        <v>114</v>
      </c>
      <c r="N2783" s="2">
        <v>45930</v>
      </c>
    </row>
    <row r="2784" spans="1:14" x14ac:dyDescent="0.25">
      <c r="A2784" t="s">
        <v>479</v>
      </c>
      <c r="B2784" s="2">
        <v>45930</v>
      </c>
      <c r="C2784" t="s">
        <v>479</v>
      </c>
      <c r="D2784" t="s">
        <v>112</v>
      </c>
      <c r="E2784" t="s">
        <v>9</v>
      </c>
      <c r="F2784" s="3">
        <v>138012.54999999999</v>
      </c>
      <c r="G2784" s="3">
        <v>138012.54999999999</v>
      </c>
      <c r="H2784" t="s">
        <v>3</v>
      </c>
      <c r="I2784" t="s">
        <v>3</v>
      </c>
      <c r="J2784" t="s">
        <v>384</v>
      </c>
      <c r="K2784" t="s">
        <v>5</v>
      </c>
      <c r="L2784" t="s">
        <v>6</v>
      </c>
      <c r="M2784" t="s">
        <v>114</v>
      </c>
      <c r="N2784" s="2">
        <v>45930</v>
      </c>
    </row>
    <row r="2785" spans="1:14" x14ac:dyDescent="0.25">
      <c r="A2785" t="s">
        <v>479</v>
      </c>
      <c r="B2785" s="2">
        <v>45930</v>
      </c>
      <c r="C2785" t="s">
        <v>479</v>
      </c>
      <c r="D2785" t="s">
        <v>301</v>
      </c>
      <c r="E2785" t="s">
        <v>9</v>
      </c>
      <c r="F2785" s="3">
        <v>-17278.5</v>
      </c>
      <c r="G2785" s="3">
        <v>-17278.5</v>
      </c>
      <c r="H2785" t="s">
        <v>3</v>
      </c>
      <c r="I2785" t="s">
        <v>3</v>
      </c>
      <c r="J2785" t="s">
        <v>10</v>
      </c>
      <c r="K2785" t="s">
        <v>5</v>
      </c>
      <c r="L2785" t="s">
        <v>6</v>
      </c>
      <c r="M2785" t="s">
        <v>302</v>
      </c>
      <c r="N2785" s="2">
        <v>45930</v>
      </c>
    </row>
    <row r="2786" spans="1:14" x14ac:dyDescent="0.25">
      <c r="A2786" s="4" t="s">
        <v>272</v>
      </c>
      <c r="B2786" s="5"/>
      <c r="C2786" s="4" t="s">
        <v>9</v>
      </c>
      <c r="D2786" s="4" t="s">
        <v>9</v>
      </c>
      <c r="E2786" s="4" t="s">
        <v>9</v>
      </c>
      <c r="F2786" s="6">
        <v>0</v>
      </c>
      <c r="G2786" s="6">
        <v>0</v>
      </c>
      <c r="H2786" s="4" t="s">
        <v>9</v>
      </c>
      <c r="I2786" s="4" t="s">
        <v>3</v>
      </c>
      <c r="J2786" s="4" t="s">
        <v>9</v>
      </c>
      <c r="K2786" s="4" t="s">
        <v>9</v>
      </c>
      <c r="L2786" s="4" t="s">
        <v>9</v>
      </c>
      <c r="M2786" s="4" t="s">
        <v>9</v>
      </c>
      <c r="N2786" s="5"/>
    </row>
    <row r="2787" spans="1:14" x14ac:dyDescent="0.25">
      <c r="A2787" t="s">
        <v>479</v>
      </c>
      <c r="B2787" s="2">
        <v>45965</v>
      </c>
      <c r="C2787" t="s">
        <v>479</v>
      </c>
      <c r="D2787" t="s">
        <v>112</v>
      </c>
      <c r="E2787" t="s">
        <v>9</v>
      </c>
      <c r="F2787" s="3">
        <v>-8737</v>
      </c>
      <c r="G2787" s="3">
        <v>-8737</v>
      </c>
      <c r="H2787" t="s">
        <v>3</v>
      </c>
      <c r="I2787" t="s">
        <v>3</v>
      </c>
      <c r="J2787" t="s">
        <v>9</v>
      </c>
      <c r="K2787" t="s">
        <v>9</v>
      </c>
      <c r="L2787" t="s">
        <v>8</v>
      </c>
      <c r="M2787" t="s">
        <v>114</v>
      </c>
      <c r="N2787" s="2">
        <v>45961</v>
      </c>
    </row>
    <row r="2788" spans="1:14" x14ac:dyDescent="0.25">
      <c r="A2788" t="s">
        <v>479</v>
      </c>
      <c r="B2788" s="2">
        <v>45965</v>
      </c>
      <c r="C2788" t="s">
        <v>479</v>
      </c>
      <c r="D2788" t="s">
        <v>301</v>
      </c>
      <c r="E2788" t="s">
        <v>9</v>
      </c>
      <c r="F2788" s="3">
        <v>8736.5</v>
      </c>
      <c r="G2788" s="3">
        <v>8736.5</v>
      </c>
      <c r="H2788" t="s">
        <v>3</v>
      </c>
      <c r="I2788" t="s">
        <v>3</v>
      </c>
      <c r="J2788" t="s">
        <v>9</v>
      </c>
      <c r="K2788" t="s">
        <v>9</v>
      </c>
      <c r="L2788" t="s">
        <v>8</v>
      </c>
      <c r="M2788" t="s">
        <v>302</v>
      </c>
      <c r="N2788" s="2">
        <v>45961</v>
      </c>
    </row>
    <row r="2789" spans="1:14" x14ac:dyDescent="0.25">
      <c r="A2789" t="s">
        <v>479</v>
      </c>
      <c r="B2789" s="2">
        <v>45930</v>
      </c>
      <c r="C2789" t="s">
        <v>479</v>
      </c>
      <c r="D2789" t="s">
        <v>112</v>
      </c>
      <c r="E2789" t="s">
        <v>9</v>
      </c>
      <c r="F2789" s="3">
        <v>-54900</v>
      </c>
      <c r="G2789" s="3">
        <v>-54900</v>
      </c>
      <c r="H2789" t="s">
        <v>3</v>
      </c>
      <c r="I2789" t="s">
        <v>3</v>
      </c>
      <c r="J2789" t="s">
        <v>323</v>
      </c>
      <c r="K2789" t="s">
        <v>5</v>
      </c>
      <c r="L2789" t="s">
        <v>8</v>
      </c>
      <c r="M2789" t="s">
        <v>114</v>
      </c>
      <c r="N2789" s="2">
        <v>45931</v>
      </c>
    </row>
    <row r="2790" spans="1:14" x14ac:dyDescent="0.25">
      <c r="A2790" t="s">
        <v>479</v>
      </c>
      <c r="B2790" s="2">
        <v>45930</v>
      </c>
      <c r="C2790" t="s">
        <v>479</v>
      </c>
      <c r="D2790" t="s">
        <v>112</v>
      </c>
      <c r="E2790" t="s">
        <v>9</v>
      </c>
      <c r="F2790" s="3">
        <v>-138012.54999999999</v>
      </c>
      <c r="G2790" s="3">
        <v>-138012.54999999999</v>
      </c>
      <c r="H2790" t="s">
        <v>3</v>
      </c>
      <c r="I2790" t="s">
        <v>3</v>
      </c>
      <c r="J2790" t="s">
        <v>384</v>
      </c>
      <c r="K2790" t="s">
        <v>5</v>
      </c>
      <c r="L2790" t="s">
        <v>8</v>
      </c>
      <c r="M2790" t="s">
        <v>114</v>
      </c>
      <c r="N2790" s="2">
        <v>45931</v>
      </c>
    </row>
    <row r="2791" spans="1:14" x14ac:dyDescent="0.25">
      <c r="A2791" t="s">
        <v>479</v>
      </c>
      <c r="B2791" s="2">
        <v>45961</v>
      </c>
      <c r="C2791" t="s">
        <v>479</v>
      </c>
      <c r="D2791" t="s">
        <v>112</v>
      </c>
      <c r="E2791" t="s">
        <v>9</v>
      </c>
      <c r="F2791" s="3">
        <v>54900</v>
      </c>
      <c r="G2791" s="3">
        <v>54900</v>
      </c>
      <c r="H2791" t="s">
        <v>3</v>
      </c>
      <c r="I2791" t="s">
        <v>3</v>
      </c>
      <c r="J2791" t="s">
        <v>325</v>
      </c>
      <c r="K2791" t="s">
        <v>5</v>
      </c>
      <c r="L2791" t="s">
        <v>8</v>
      </c>
      <c r="M2791" t="s">
        <v>114</v>
      </c>
      <c r="N2791" s="2">
        <v>45961</v>
      </c>
    </row>
    <row r="2792" spans="1:14" x14ac:dyDescent="0.25">
      <c r="A2792" t="s">
        <v>479</v>
      </c>
      <c r="B2792" s="2">
        <v>45961</v>
      </c>
      <c r="C2792" t="s">
        <v>479</v>
      </c>
      <c r="D2792" t="s">
        <v>112</v>
      </c>
      <c r="E2792" t="s">
        <v>9</v>
      </c>
      <c r="F2792" s="3">
        <v>146749.54999999999</v>
      </c>
      <c r="G2792" s="3">
        <v>146749.54999999999</v>
      </c>
      <c r="H2792" t="s">
        <v>3</v>
      </c>
      <c r="I2792" t="s">
        <v>3</v>
      </c>
      <c r="J2792" t="s">
        <v>385</v>
      </c>
      <c r="K2792" t="s">
        <v>5</v>
      </c>
      <c r="L2792" t="s">
        <v>8</v>
      </c>
      <c r="M2792" t="s">
        <v>114</v>
      </c>
      <c r="N2792" s="2">
        <v>45961</v>
      </c>
    </row>
    <row r="2793" spans="1:14" x14ac:dyDescent="0.25">
      <c r="A2793" t="s">
        <v>479</v>
      </c>
      <c r="B2793" s="2">
        <v>45961</v>
      </c>
      <c r="C2793" t="s">
        <v>479</v>
      </c>
      <c r="D2793" t="s">
        <v>301</v>
      </c>
      <c r="E2793" t="s">
        <v>9</v>
      </c>
      <c r="F2793" s="3">
        <v>-8736.5</v>
      </c>
      <c r="G2793" s="3">
        <v>-8736.5</v>
      </c>
      <c r="H2793" t="s">
        <v>3</v>
      </c>
      <c r="I2793" t="s">
        <v>3</v>
      </c>
      <c r="J2793" t="s">
        <v>10</v>
      </c>
      <c r="K2793" t="s">
        <v>5</v>
      </c>
      <c r="L2793" t="s">
        <v>8</v>
      </c>
      <c r="M2793" t="s">
        <v>302</v>
      </c>
      <c r="N2793" s="2">
        <v>45961</v>
      </c>
    </row>
    <row r="2794" spans="1:14" x14ac:dyDescent="0.25">
      <c r="A2794" s="4" t="s">
        <v>278</v>
      </c>
      <c r="B2794" s="5"/>
      <c r="C2794" s="4" t="s">
        <v>9</v>
      </c>
      <c r="D2794" s="4" t="s">
        <v>9</v>
      </c>
      <c r="E2794" s="4" t="s">
        <v>9</v>
      </c>
      <c r="F2794" s="6">
        <v>0</v>
      </c>
      <c r="G2794" s="6">
        <v>0</v>
      </c>
      <c r="H2794" s="4" t="s">
        <v>9</v>
      </c>
      <c r="I2794" s="4" t="s">
        <v>3</v>
      </c>
      <c r="J2794" s="4" t="s">
        <v>9</v>
      </c>
      <c r="K2794" s="4" t="s">
        <v>9</v>
      </c>
      <c r="L2794" s="4" t="s">
        <v>9</v>
      </c>
      <c r="M2794" s="4" t="s">
        <v>9</v>
      </c>
      <c r="N2794" s="5"/>
    </row>
    <row r="2795" spans="1:14" x14ac:dyDescent="0.25">
      <c r="A2795" t="s">
        <v>479</v>
      </c>
      <c r="B2795" s="2">
        <v>45993</v>
      </c>
      <c r="C2795" t="s">
        <v>479</v>
      </c>
      <c r="D2795" t="s">
        <v>112</v>
      </c>
      <c r="E2795" t="s">
        <v>9</v>
      </c>
      <c r="F2795" s="3">
        <v>-13168.5</v>
      </c>
      <c r="G2795" s="3">
        <v>-13168.5</v>
      </c>
      <c r="H2795" t="s">
        <v>3</v>
      </c>
      <c r="I2795" t="s">
        <v>3</v>
      </c>
      <c r="J2795" t="s">
        <v>9</v>
      </c>
      <c r="K2795" t="s">
        <v>9</v>
      </c>
      <c r="L2795" t="s">
        <v>11</v>
      </c>
      <c r="M2795" t="s">
        <v>114</v>
      </c>
      <c r="N2795" s="2">
        <v>45991</v>
      </c>
    </row>
    <row r="2796" spans="1:14" x14ac:dyDescent="0.25">
      <c r="A2796" t="s">
        <v>479</v>
      </c>
      <c r="B2796" s="2">
        <v>45993</v>
      </c>
      <c r="C2796" t="s">
        <v>479</v>
      </c>
      <c r="D2796" t="s">
        <v>301</v>
      </c>
      <c r="E2796" t="s">
        <v>9</v>
      </c>
      <c r="F2796" s="3">
        <v>13168</v>
      </c>
      <c r="G2796" s="3">
        <v>13168</v>
      </c>
      <c r="H2796" t="s">
        <v>3</v>
      </c>
      <c r="I2796" t="s">
        <v>3</v>
      </c>
      <c r="J2796" t="s">
        <v>9</v>
      </c>
      <c r="K2796" t="s">
        <v>9</v>
      </c>
      <c r="L2796" t="s">
        <v>11</v>
      </c>
      <c r="M2796" t="s">
        <v>302</v>
      </c>
      <c r="N2796" s="2">
        <v>45991</v>
      </c>
    </row>
    <row r="2797" spans="1:14" x14ac:dyDescent="0.25">
      <c r="A2797" t="s">
        <v>479</v>
      </c>
      <c r="B2797" s="2">
        <v>45961</v>
      </c>
      <c r="C2797" t="s">
        <v>479</v>
      </c>
      <c r="D2797" t="s">
        <v>112</v>
      </c>
      <c r="E2797" t="s">
        <v>9</v>
      </c>
      <c r="F2797" s="3">
        <v>-54900</v>
      </c>
      <c r="G2797" s="3">
        <v>-54900</v>
      </c>
      <c r="H2797" t="s">
        <v>3</v>
      </c>
      <c r="I2797" t="s">
        <v>3</v>
      </c>
      <c r="J2797" t="s">
        <v>325</v>
      </c>
      <c r="K2797" t="s">
        <v>5</v>
      </c>
      <c r="L2797" t="s">
        <v>11</v>
      </c>
      <c r="M2797" t="s">
        <v>114</v>
      </c>
      <c r="N2797" s="2">
        <v>45962</v>
      </c>
    </row>
    <row r="2798" spans="1:14" x14ac:dyDescent="0.25">
      <c r="A2798" t="s">
        <v>479</v>
      </c>
      <c r="B2798" s="2">
        <v>45961</v>
      </c>
      <c r="C2798" t="s">
        <v>479</v>
      </c>
      <c r="D2798" t="s">
        <v>112</v>
      </c>
      <c r="E2798" t="s">
        <v>9</v>
      </c>
      <c r="F2798" s="3">
        <v>-146749.54999999999</v>
      </c>
      <c r="G2798" s="3">
        <v>-146749.54999999999</v>
      </c>
      <c r="H2798" t="s">
        <v>3</v>
      </c>
      <c r="I2798" t="s">
        <v>3</v>
      </c>
      <c r="J2798" t="s">
        <v>385</v>
      </c>
      <c r="K2798" t="s">
        <v>5</v>
      </c>
      <c r="L2798" t="s">
        <v>11</v>
      </c>
      <c r="M2798" t="s">
        <v>114</v>
      </c>
      <c r="N2798" s="2">
        <v>45962</v>
      </c>
    </row>
    <row r="2799" spans="1:14" x14ac:dyDescent="0.25">
      <c r="A2799" t="s">
        <v>479</v>
      </c>
      <c r="B2799" s="2">
        <v>45991</v>
      </c>
      <c r="C2799" t="s">
        <v>479</v>
      </c>
      <c r="D2799" t="s">
        <v>112</v>
      </c>
      <c r="E2799" t="s">
        <v>9</v>
      </c>
      <c r="F2799" s="3">
        <v>57500</v>
      </c>
      <c r="G2799" s="3">
        <v>57500</v>
      </c>
      <c r="H2799" t="s">
        <v>3</v>
      </c>
      <c r="I2799" t="s">
        <v>3</v>
      </c>
      <c r="J2799" t="s">
        <v>328</v>
      </c>
      <c r="K2799" t="s">
        <v>5</v>
      </c>
      <c r="L2799" t="s">
        <v>11</v>
      </c>
      <c r="M2799" t="s">
        <v>114</v>
      </c>
      <c r="N2799" s="2">
        <v>45991</v>
      </c>
    </row>
    <row r="2800" spans="1:14" x14ac:dyDescent="0.25">
      <c r="A2800" t="s">
        <v>479</v>
      </c>
      <c r="B2800" s="2">
        <v>45991</v>
      </c>
      <c r="C2800" t="s">
        <v>479</v>
      </c>
      <c r="D2800" t="s">
        <v>112</v>
      </c>
      <c r="E2800" t="s">
        <v>9</v>
      </c>
      <c r="F2800" s="3">
        <v>157318.04999999999</v>
      </c>
      <c r="G2800" s="3">
        <v>157318.04999999999</v>
      </c>
      <c r="H2800" t="s">
        <v>3</v>
      </c>
      <c r="I2800" t="s">
        <v>3</v>
      </c>
      <c r="J2800" t="s">
        <v>387</v>
      </c>
      <c r="K2800" t="s">
        <v>5</v>
      </c>
      <c r="L2800" t="s">
        <v>11</v>
      </c>
      <c r="M2800" t="s">
        <v>114</v>
      </c>
      <c r="N2800" s="2">
        <v>45991</v>
      </c>
    </row>
    <row r="2801" spans="1:14" x14ac:dyDescent="0.25">
      <c r="A2801" t="s">
        <v>479</v>
      </c>
      <c r="B2801" s="2">
        <v>45991</v>
      </c>
      <c r="C2801" t="s">
        <v>479</v>
      </c>
      <c r="D2801" t="s">
        <v>301</v>
      </c>
      <c r="E2801" t="s">
        <v>9</v>
      </c>
      <c r="F2801" s="3">
        <v>-13168</v>
      </c>
      <c r="G2801" s="3">
        <v>-13168</v>
      </c>
      <c r="H2801" t="s">
        <v>3</v>
      </c>
      <c r="I2801" t="s">
        <v>3</v>
      </c>
      <c r="J2801" t="s">
        <v>10</v>
      </c>
      <c r="K2801" t="s">
        <v>5</v>
      </c>
      <c r="L2801" t="s">
        <v>11</v>
      </c>
      <c r="M2801" t="s">
        <v>302</v>
      </c>
      <c r="N2801" s="2">
        <v>45991</v>
      </c>
    </row>
    <row r="2802" spans="1:14" x14ac:dyDescent="0.25">
      <c r="A2802" s="4" t="s">
        <v>226</v>
      </c>
      <c r="B2802" s="5"/>
      <c r="C2802" s="4" t="s">
        <v>9</v>
      </c>
      <c r="D2802" s="4" t="s">
        <v>9</v>
      </c>
      <c r="E2802" s="4" t="s">
        <v>9</v>
      </c>
      <c r="F2802" s="6">
        <v>0</v>
      </c>
      <c r="G2802" s="6">
        <v>0</v>
      </c>
      <c r="H2802" s="4" t="s">
        <v>9</v>
      </c>
      <c r="I2802" s="4" t="s">
        <v>3</v>
      </c>
      <c r="J2802" s="4" t="s">
        <v>9</v>
      </c>
      <c r="K2802" s="4" t="s">
        <v>9</v>
      </c>
      <c r="L2802" s="4" t="s">
        <v>9</v>
      </c>
      <c r="M2802" s="4" t="s">
        <v>9</v>
      </c>
      <c r="N2802" s="5"/>
    </row>
    <row r="2803" spans="1:14" x14ac:dyDescent="0.25">
      <c r="A2803" t="s">
        <v>479</v>
      </c>
      <c r="B2803" s="2">
        <v>46028</v>
      </c>
      <c r="C2803" t="s">
        <v>479</v>
      </c>
      <c r="D2803" t="s">
        <v>112</v>
      </c>
      <c r="E2803" t="s">
        <v>9</v>
      </c>
      <c r="F2803" s="3">
        <v>-39359</v>
      </c>
      <c r="G2803" s="3">
        <v>-39359</v>
      </c>
      <c r="H2803" t="s">
        <v>3</v>
      </c>
      <c r="I2803" t="s">
        <v>3</v>
      </c>
      <c r="J2803" t="s">
        <v>9</v>
      </c>
      <c r="K2803" t="s">
        <v>9</v>
      </c>
      <c r="L2803" t="s">
        <v>12</v>
      </c>
      <c r="M2803" t="s">
        <v>114</v>
      </c>
      <c r="N2803" s="2">
        <v>46022</v>
      </c>
    </row>
    <row r="2804" spans="1:14" x14ac:dyDescent="0.25">
      <c r="A2804" t="s">
        <v>479</v>
      </c>
      <c r="B2804" s="2">
        <v>46028</v>
      </c>
      <c r="C2804" t="s">
        <v>479</v>
      </c>
      <c r="D2804" t="s">
        <v>301</v>
      </c>
      <c r="E2804" t="s">
        <v>9</v>
      </c>
      <c r="F2804" s="3">
        <v>39359</v>
      </c>
      <c r="G2804" s="3">
        <v>39359</v>
      </c>
      <c r="H2804" t="s">
        <v>3</v>
      </c>
      <c r="I2804" t="s">
        <v>3</v>
      </c>
      <c r="J2804" t="s">
        <v>9</v>
      </c>
      <c r="K2804" t="s">
        <v>9</v>
      </c>
      <c r="L2804" t="s">
        <v>12</v>
      </c>
      <c r="M2804" t="s">
        <v>302</v>
      </c>
      <c r="N2804" s="2">
        <v>46022</v>
      </c>
    </row>
    <row r="2805" spans="1:14" x14ac:dyDescent="0.25">
      <c r="A2805" t="s">
        <v>479</v>
      </c>
      <c r="B2805" s="2">
        <v>45991</v>
      </c>
      <c r="C2805" t="s">
        <v>479</v>
      </c>
      <c r="D2805" t="s">
        <v>112</v>
      </c>
      <c r="E2805" t="s">
        <v>9</v>
      </c>
      <c r="F2805" s="3">
        <v>-57500</v>
      </c>
      <c r="G2805" s="3">
        <v>-57500</v>
      </c>
      <c r="H2805" t="s">
        <v>3</v>
      </c>
      <c r="I2805" t="s">
        <v>3</v>
      </c>
      <c r="J2805" t="s">
        <v>328</v>
      </c>
      <c r="K2805" t="s">
        <v>5</v>
      </c>
      <c r="L2805" t="s">
        <v>12</v>
      </c>
      <c r="M2805" t="s">
        <v>114</v>
      </c>
      <c r="N2805" s="2">
        <v>45992</v>
      </c>
    </row>
    <row r="2806" spans="1:14" x14ac:dyDescent="0.25">
      <c r="A2806" t="s">
        <v>479</v>
      </c>
      <c r="B2806" s="2">
        <v>45991</v>
      </c>
      <c r="C2806" t="s">
        <v>479</v>
      </c>
      <c r="D2806" t="s">
        <v>112</v>
      </c>
      <c r="E2806" t="s">
        <v>9</v>
      </c>
      <c r="F2806" s="3">
        <v>-157318.04999999999</v>
      </c>
      <c r="G2806" s="3">
        <v>-157318.04999999999</v>
      </c>
      <c r="H2806" t="s">
        <v>3</v>
      </c>
      <c r="I2806" t="s">
        <v>3</v>
      </c>
      <c r="J2806" t="s">
        <v>387</v>
      </c>
      <c r="K2806" t="s">
        <v>5</v>
      </c>
      <c r="L2806" t="s">
        <v>12</v>
      </c>
      <c r="M2806" t="s">
        <v>114</v>
      </c>
      <c r="N2806" s="2">
        <v>45992</v>
      </c>
    </row>
    <row r="2807" spans="1:14" x14ac:dyDescent="0.25">
      <c r="A2807" t="s">
        <v>479</v>
      </c>
      <c r="B2807" s="2">
        <v>46022</v>
      </c>
      <c r="C2807" t="s">
        <v>479</v>
      </c>
      <c r="D2807" t="s">
        <v>112</v>
      </c>
      <c r="E2807" t="s">
        <v>9</v>
      </c>
      <c r="F2807" s="3">
        <v>82350</v>
      </c>
      <c r="G2807" s="3">
        <v>82350</v>
      </c>
      <c r="H2807" t="s">
        <v>3</v>
      </c>
      <c r="I2807" t="s">
        <v>3</v>
      </c>
      <c r="J2807" t="s">
        <v>298</v>
      </c>
      <c r="K2807" t="s">
        <v>5</v>
      </c>
      <c r="L2807" t="s">
        <v>12</v>
      </c>
      <c r="M2807" t="s">
        <v>114</v>
      </c>
      <c r="N2807" s="2">
        <v>46022</v>
      </c>
    </row>
    <row r="2808" spans="1:14" x14ac:dyDescent="0.25">
      <c r="A2808" t="s">
        <v>479</v>
      </c>
      <c r="B2808" s="2">
        <v>46022</v>
      </c>
      <c r="C2808" t="s">
        <v>479</v>
      </c>
      <c r="D2808" t="s">
        <v>112</v>
      </c>
      <c r="E2808" t="s">
        <v>9</v>
      </c>
      <c r="F2808" s="3">
        <v>171827.05</v>
      </c>
      <c r="G2808" s="3">
        <v>171827.05</v>
      </c>
      <c r="H2808" t="s">
        <v>3</v>
      </c>
      <c r="I2808" t="s">
        <v>3</v>
      </c>
      <c r="J2808" t="s">
        <v>381</v>
      </c>
      <c r="K2808" t="s">
        <v>5</v>
      </c>
      <c r="L2808" t="s">
        <v>12</v>
      </c>
      <c r="M2808" t="s">
        <v>114</v>
      </c>
      <c r="N2808" s="2">
        <v>46022</v>
      </c>
    </row>
    <row r="2809" spans="1:14" x14ac:dyDescent="0.25">
      <c r="A2809" t="s">
        <v>479</v>
      </c>
      <c r="B2809" s="2">
        <v>46022</v>
      </c>
      <c r="C2809" t="s">
        <v>479</v>
      </c>
      <c r="D2809" t="s">
        <v>301</v>
      </c>
      <c r="E2809" t="s">
        <v>9</v>
      </c>
      <c r="F2809" s="3">
        <v>-39359</v>
      </c>
      <c r="G2809" s="3">
        <v>-39359</v>
      </c>
      <c r="H2809" t="s">
        <v>3</v>
      </c>
      <c r="I2809" t="s">
        <v>3</v>
      </c>
      <c r="J2809" t="s">
        <v>10</v>
      </c>
      <c r="K2809" t="s">
        <v>5</v>
      </c>
      <c r="L2809" t="s">
        <v>12</v>
      </c>
      <c r="M2809" t="s">
        <v>302</v>
      </c>
      <c r="N2809" s="2">
        <v>46022</v>
      </c>
    </row>
    <row r="2810" spans="1:14" x14ac:dyDescent="0.25">
      <c r="A2810" t="s">
        <v>479</v>
      </c>
      <c r="B2810" s="2">
        <v>46022</v>
      </c>
      <c r="C2810" t="s">
        <v>479</v>
      </c>
      <c r="D2810" t="s">
        <v>112</v>
      </c>
      <c r="E2810" t="s">
        <v>9</v>
      </c>
      <c r="F2810" s="3">
        <v>82350</v>
      </c>
      <c r="G2810" s="3">
        <v>82350</v>
      </c>
      <c r="H2810" t="s">
        <v>3</v>
      </c>
      <c r="I2810" t="s">
        <v>3</v>
      </c>
      <c r="J2810" t="s">
        <v>298</v>
      </c>
      <c r="K2810" t="s">
        <v>5</v>
      </c>
      <c r="L2810" t="s">
        <v>12</v>
      </c>
      <c r="M2810" t="s">
        <v>114</v>
      </c>
      <c r="N2810" s="2">
        <v>46022</v>
      </c>
    </row>
    <row r="2811" spans="1:14" x14ac:dyDescent="0.25">
      <c r="A2811" t="s">
        <v>479</v>
      </c>
      <c r="B2811" s="2">
        <v>46022</v>
      </c>
      <c r="C2811" t="s">
        <v>479</v>
      </c>
      <c r="D2811" t="s">
        <v>112</v>
      </c>
      <c r="E2811" t="s">
        <v>9</v>
      </c>
      <c r="F2811" s="3">
        <v>171827.05</v>
      </c>
      <c r="G2811" s="3">
        <v>171827.05</v>
      </c>
      <c r="H2811" t="s">
        <v>3</v>
      </c>
      <c r="I2811" t="s">
        <v>3</v>
      </c>
      <c r="J2811" t="s">
        <v>381</v>
      </c>
      <c r="K2811" t="s">
        <v>5</v>
      </c>
      <c r="L2811" t="s">
        <v>12</v>
      </c>
      <c r="M2811" t="s">
        <v>114</v>
      </c>
      <c r="N2811" s="2">
        <v>46022</v>
      </c>
    </row>
    <row r="2812" spans="1:14" x14ac:dyDescent="0.25">
      <c r="A2812" t="s">
        <v>479</v>
      </c>
      <c r="B2812" s="2">
        <v>46022</v>
      </c>
      <c r="C2812" t="s">
        <v>479</v>
      </c>
      <c r="D2812" t="s">
        <v>112</v>
      </c>
      <c r="E2812" t="s">
        <v>9</v>
      </c>
      <c r="F2812" s="3">
        <v>-82350</v>
      </c>
      <c r="G2812" s="3">
        <v>-82350</v>
      </c>
      <c r="H2812" t="s">
        <v>3</v>
      </c>
      <c r="I2812" t="s">
        <v>3</v>
      </c>
      <c r="J2812" t="s">
        <v>298</v>
      </c>
      <c r="K2812" t="s">
        <v>5</v>
      </c>
      <c r="L2812" t="s">
        <v>12</v>
      </c>
      <c r="M2812" t="s">
        <v>114</v>
      </c>
      <c r="N2812" s="2">
        <v>46022</v>
      </c>
    </row>
    <row r="2813" spans="1:14" x14ac:dyDescent="0.25">
      <c r="A2813" t="s">
        <v>479</v>
      </c>
      <c r="B2813" s="2">
        <v>46022</v>
      </c>
      <c r="C2813" t="s">
        <v>479</v>
      </c>
      <c r="D2813" t="s">
        <v>112</v>
      </c>
      <c r="E2813" t="s">
        <v>9</v>
      </c>
      <c r="F2813" s="3">
        <v>-171827.05</v>
      </c>
      <c r="G2813" s="3">
        <v>-171827.05</v>
      </c>
      <c r="H2813" t="s">
        <v>3</v>
      </c>
      <c r="I2813" t="s">
        <v>3</v>
      </c>
      <c r="J2813" t="s">
        <v>381</v>
      </c>
      <c r="K2813" t="s">
        <v>5</v>
      </c>
      <c r="L2813" t="s">
        <v>12</v>
      </c>
      <c r="M2813" t="s">
        <v>114</v>
      </c>
      <c r="N2813" s="2">
        <v>46022</v>
      </c>
    </row>
    <row r="2814" spans="1:14" x14ac:dyDescent="0.25">
      <c r="A2814" s="4" t="s">
        <v>228</v>
      </c>
      <c r="B2814" s="5"/>
      <c r="C2814" s="4" t="s">
        <v>9</v>
      </c>
      <c r="D2814" s="4" t="s">
        <v>9</v>
      </c>
      <c r="E2814" s="4" t="s">
        <v>9</v>
      </c>
      <c r="F2814" s="6">
        <v>0</v>
      </c>
      <c r="G2814" s="6">
        <v>0</v>
      </c>
      <c r="H2814" s="4" t="s">
        <v>9</v>
      </c>
      <c r="I2814" s="4" t="s">
        <v>3</v>
      </c>
      <c r="J2814" s="4" t="s">
        <v>9</v>
      </c>
      <c r="K2814" s="4" t="s">
        <v>9</v>
      </c>
      <c r="L2814" s="4" t="s">
        <v>9</v>
      </c>
      <c r="M2814" s="4" t="s">
        <v>9</v>
      </c>
      <c r="N2814" s="5"/>
    </row>
    <row r="2815" spans="1:14" x14ac:dyDescent="0.25">
      <c r="A2815" s="4" t="s">
        <v>479</v>
      </c>
      <c r="B2815" s="5"/>
      <c r="C2815" s="4" t="s">
        <v>9</v>
      </c>
      <c r="D2815" s="4" t="s">
        <v>9</v>
      </c>
      <c r="E2815" s="4" t="s">
        <v>9</v>
      </c>
      <c r="F2815" s="6">
        <v>0</v>
      </c>
      <c r="G2815" s="6">
        <v>0</v>
      </c>
      <c r="H2815" s="4" t="s">
        <v>9</v>
      </c>
      <c r="I2815" s="4" t="s">
        <v>3</v>
      </c>
      <c r="J2815" s="4" t="s">
        <v>9</v>
      </c>
      <c r="K2815" s="4" t="s">
        <v>9</v>
      </c>
      <c r="L2815" s="4" t="s">
        <v>9</v>
      </c>
      <c r="M2815" s="4" t="s">
        <v>9</v>
      </c>
      <c r="N2815" s="5"/>
    </row>
    <row r="2816" spans="1:14" x14ac:dyDescent="0.25">
      <c r="A2816" t="s">
        <v>480</v>
      </c>
      <c r="B2816" s="2">
        <v>46084</v>
      </c>
      <c r="C2816" t="s">
        <v>480</v>
      </c>
      <c r="D2816" t="s">
        <v>33</v>
      </c>
      <c r="E2816" t="s">
        <v>9</v>
      </c>
      <c r="F2816" s="3">
        <v>13267</v>
      </c>
      <c r="G2816" s="3">
        <v>13267</v>
      </c>
      <c r="H2816" t="s">
        <v>3</v>
      </c>
      <c r="I2816" t="s">
        <v>3</v>
      </c>
      <c r="J2816" t="s">
        <v>9</v>
      </c>
      <c r="K2816" t="s">
        <v>9</v>
      </c>
      <c r="L2816" t="s">
        <v>15</v>
      </c>
      <c r="M2816" t="s">
        <v>35</v>
      </c>
      <c r="N2816" s="2">
        <v>46081</v>
      </c>
    </row>
    <row r="2817" spans="1:14" x14ac:dyDescent="0.25">
      <c r="A2817" t="s">
        <v>480</v>
      </c>
      <c r="B2817" s="2">
        <v>46063</v>
      </c>
      <c r="C2817" t="s">
        <v>480</v>
      </c>
      <c r="D2817" t="s">
        <v>33</v>
      </c>
      <c r="E2817" t="s">
        <v>9</v>
      </c>
      <c r="F2817" s="3">
        <v>-13267</v>
      </c>
      <c r="G2817" s="3">
        <v>-13267</v>
      </c>
      <c r="H2817" t="s">
        <v>3</v>
      </c>
      <c r="I2817" t="s">
        <v>3</v>
      </c>
      <c r="J2817" t="s">
        <v>9</v>
      </c>
      <c r="K2817" t="s">
        <v>13</v>
      </c>
      <c r="L2817" t="s">
        <v>15</v>
      </c>
      <c r="M2817" t="s">
        <v>35</v>
      </c>
      <c r="N2817" s="2">
        <v>46063</v>
      </c>
    </row>
    <row r="2818" spans="1:14" x14ac:dyDescent="0.25">
      <c r="A2818" s="4" t="s">
        <v>239</v>
      </c>
      <c r="B2818" s="5"/>
      <c r="C2818" s="4" t="s">
        <v>9</v>
      </c>
      <c r="D2818" s="4" t="s">
        <v>9</v>
      </c>
      <c r="E2818" s="4" t="s">
        <v>9</v>
      </c>
      <c r="F2818" s="6">
        <v>0</v>
      </c>
      <c r="G2818" s="6">
        <v>0</v>
      </c>
      <c r="H2818" s="4" t="s">
        <v>9</v>
      </c>
      <c r="I2818" s="4" t="s">
        <v>3</v>
      </c>
      <c r="J2818" s="4" t="s">
        <v>9</v>
      </c>
      <c r="K2818" s="4" t="s">
        <v>9</v>
      </c>
      <c r="L2818" s="4" t="s">
        <v>9</v>
      </c>
      <c r="M2818" s="4" t="s">
        <v>9</v>
      </c>
      <c r="N2818" s="5"/>
    </row>
    <row r="2819" spans="1:14" x14ac:dyDescent="0.25">
      <c r="A2819" t="s">
        <v>480</v>
      </c>
      <c r="B2819" s="2">
        <v>46115</v>
      </c>
      <c r="C2819" t="s">
        <v>480</v>
      </c>
      <c r="D2819" t="s">
        <v>33</v>
      </c>
      <c r="E2819" t="s">
        <v>9</v>
      </c>
      <c r="F2819" s="3">
        <v>31049</v>
      </c>
      <c r="G2819" s="3">
        <v>31049</v>
      </c>
      <c r="H2819" t="s">
        <v>3</v>
      </c>
      <c r="I2819" t="s">
        <v>3</v>
      </c>
      <c r="J2819" t="s">
        <v>9</v>
      </c>
      <c r="K2819" t="s">
        <v>9</v>
      </c>
      <c r="L2819" t="s">
        <v>16</v>
      </c>
      <c r="M2819" t="s">
        <v>35</v>
      </c>
      <c r="N2819" s="2">
        <v>46112</v>
      </c>
    </row>
    <row r="2820" spans="1:14" x14ac:dyDescent="0.25">
      <c r="A2820" t="s">
        <v>480</v>
      </c>
      <c r="B2820" s="2">
        <v>46101</v>
      </c>
      <c r="C2820" t="s">
        <v>480</v>
      </c>
      <c r="D2820" t="s">
        <v>33</v>
      </c>
      <c r="E2820" t="s">
        <v>9</v>
      </c>
      <c r="F2820" s="3">
        <v>-735</v>
      </c>
      <c r="G2820" s="3">
        <v>-735</v>
      </c>
      <c r="H2820" t="s">
        <v>3</v>
      </c>
      <c r="I2820" t="s">
        <v>3</v>
      </c>
      <c r="J2820" t="s">
        <v>9</v>
      </c>
      <c r="K2820" t="s">
        <v>13</v>
      </c>
      <c r="L2820" t="s">
        <v>16</v>
      </c>
      <c r="M2820" t="s">
        <v>35</v>
      </c>
      <c r="N2820" s="2">
        <v>46101</v>
      </c>
    </row>
    <row r="2821" spans="1:14" x14ac:dyDescent="0.25">
      <c r="A2821" t="s">
        <v>480</v>
      </c>
      <c r="B2821" s="2">
        <v>46101</v>
      </c>
      <c r="C2821" t="s">
        <v>480</v>
      </c>
      <c r="D2821" t="s">
        <v>33</v>
      </c>
      <c r="E2821" t="s">
        <v>9</v>
      </c>
      <c r="F2821" s="3">
        <v>735</v>
      </c>
      <c r="G2821" s="3">
        <v>735</v>
      </c>
      <c r="H2821" t="s">
        <v>3</v>
      </c>
      <c r="I2821" t="s">
        <v>3</v>
      </c>
      <c r="J2821" t="s">
        <v>9</v>
      </c>
      <c r="K2821" t="s">
        <v>13</v>
      </c>
      <c r="L2821" t="s">
        <v>16</v>
      </c>
      <c r="M2821" t="s">
        <v>35</v>
      </c>
      <c r="N2821" s="2">
        <v>46101</v>
      </c>
    </row>
    <row r="2822" spans="1:14" x14ac:dyDescent="0.25">
      <c r="A2822" t="s">
        <v>480</v>
      </c>
      <c r="B2822" s="2">
        <v>46101</v>
      </c>
      <c r="C2822" t="s">
        <v>480</v>
      </c>
      <c r="D2822" t="s">
        <v>33</v>
      </c>
      <c r="E2822" t="s">
        <v>9</v>
      </c>
      <c r="F2822" s="3">
        <v>-31049</v>
      </c>
      <c r="G2822" s="3">
        <v>-31049</v>
      </c>
      <c r="H2822" t="s">
        <v>3</v>
      </c>
      <c r="I2822" t="s">
        <v>3</v>
      </c>
      <c r="J2822" t="s">
        <v>9</v>
      </c>
      <c r="K2822" t="s">
        <v>13</v>
      </c>
      <c r="L2822" t="s">
        <v>16</v>
      </c>
      <c r="M2822" t="s">
        <v>35</v>
      </c>
      <c r="N2822" s="2">
        <v>46101</v>
      </c>
    </row>
    <row r="2823" spans="1:14" x14ac:dyDescent="0.25">
      <c r="A2823" s="4" t="s">
        <v>244</v>
      </c>
      <c r="B2823" s="5"/>
      <c r="C2823" s="4" t="s">
        <v>9</v>
      </c>
      <c r="D2823" s="4" t="s">
        <v>9</v>
      </c>
      <c r="E2823" s="4" t="s">
        <v>9</v>
      </c>
      <c r="F2823" s="6">
        <v>0</v>
      </c>
      <c r="G2823" s="6">
        <v>0</v>
      </c>
      <c r="H2823" s="4" t="s">
        <v>9</v>
      </c>
      <c r="I2823" s="4" t="s">
        <v>3</v>
      </c>
      <c r="J2823" s="4" t="s">
        <v>9</v>
      </c>
      <c r="K2823" s="4" t="s">
        <v>9</v>
      </c>
      <c r="L2823" s="4" t="s">
        <v>9</v>
      </c>
      <c r="M2823" s="4" t="s">
        <v>9</v>
      </c>
      <c r="N2823" s="5"/>
    </row>
    <row r="2824" spans="1:14" x14ac:dyDescent="0.25">
      <c r="A2824" t="s">
        <v>480</v>
      </c>
      <c r="B2824" s="2">
        <v>45782</v>
      </c>
      <c r="C2824" t="s">
        <v>480</v>
      </c>
      <c r="D2824" t="s">
        <v>33</v>
      </c>
      <c r="E2824" t="s">
        <v>9</v>
      </c>
      <c r="F2824" s="3">
        <v>2062.1999999999998</v>
      </c>
      <c r="G2824" s="3">
        <v>2062.1999999999998</v>
      </c>
      <c r="H2824" t="s">
        <v>3</v>
      </c>
      <c r="I2824" t="s">
        <v>3</v>
      </c>
      <c r="J2824" t="s">
        <v>9</v>
      </c>
      <c r="K2824" t="s">
        <v>9</v>
      </c>
      <c r="L2824" t="s">
        <v>17</v>
      </c>
      <c r="M2824" t="s">
        <v>35</v>
      </c>
      <c r="N2824" s="2">
        <v>45777</v>
      </c>
    </row>
    <row r="2825" spans="1:14" x14ac:dyDescent="0.25">
      <c r="A2825" t="s">
        <v>480</v>
      </c>
      <c r="B2825" s="2">
        <v>46147</v>
      </c>
      <c r="C2825" t="s">
        <v>480</v>
      </c>
      <c r="D2825" t="s">
        <v>33</v>
      </c>
      <c r="E2825" t="s">
        <v>9</v>
      </c>
      <c r="F2825" s="3">
        <v>43975</v>
      </c>
      <c r="G2825" s="3">
        <v>43975</v>
      </c>
      <c r="H2825" t="s">
        <v>3</v>
      </c>
      <c r="I2825" t="s">
        <v>3</v>
      </c>
      <c r="J2825" t="s">
        <v>9</v>
      </c>
      <c r="K2825" t="s">
        <v>9</v>
      </c>
      <c r="L2825" t="s">
        <v>17</v>
      </c>
      <c r="M2825" t="s">
        <v>35</v>
      </c>
      <c r="N2825" s="2">
        <v>46142</v>
      </c>
    </row>
    <row r="2826" spans="1:14" x14ac:dyDescent="0.25">
      <c r="A2826" t="s">
        <v>480</v>
      </c>
      <c r="B2826" s="2">
        <v>45763</v>
      </c>
      <c r="C2826" t="s">
        <v>480</v>
      </c>
      <c r="D2826" t="s">
        <v>33</v>
      </c>
      <c r="E2826" t="s">
        <v>9</v>
      </c>
      <c r="F2826" s="3">
        <v>-2062.1999999999998</v>
      </c>
      <c r="G2826" s="3">
        <v>-2062.1999999999998</v>
      </c>
      <c r="H2826" t="s">
        <v>3</v>
      </c>
      <c r="I2826" t="s">
        <v>3</v>
      </c>
      <c r="J2826" t="s">
        <v>9</v>
      </c>
      <c r="K2826" t="s">
        <v>5</v>
      </c>
      <c r="L2826" t="s">
        <v>17</v>
      </c>
      <c r="M2826" t="s">
        <v>35</v>
      </c>
      <c r="N2826" s="2">
        <v>45763</v>
      </c>
    </row>
    <row r="2827" spans="1:14" x14ac:dyDescent="0.25">
      <c r="A2827" t="s">
        <v>480</v>
      </c>
      <c r="B2827" s="2">
        <v>46127</v>
      </c>
      <c r="C2827" t="s">
        <v>480</v>
      </c>
      <c r="D2827" t="s">
        <v>33</v>
      </c>
      <c r="E2827" t="s">
        <v>9</v>
      </c>
      <c r="F2827" s="3">
        <v>-43975</v>
      </c>
      <c r="G2827" s="3">
        <v>-43975</v>
      </c>
      <c r="H2827" t="s">
        <v>3</v>
      </c>
      <c r="I2827" t="s">
        <v>3</v>
      </c>
      <c r="J2827" t="s">
        <v>9</v>
      </c>
      <c r="K2827" t="s">
        <v>13</v>
      </c>
      <c r="L2827" t="s">
        <v>17</v>
      </c>
      <c r="M2827" t="s">
        <v>35</v>
      </c>
      <c r="N2827" s="2">
        <v>46127</v>
      </c>
    </row>
    <row r="2828" spans="1:14" x14ac:dyDescent="0.25">
      <c r="A2828" s="4" t="s">
        <v>249</v>
      </c>
      <c r="B2828" s="5"/>
      <c r="C2828" s="4" t="s">
        <v>9</v>
      </c>
      <c r="D2828" s="4" t="s">
        <v>9</v>
      </c>
      <c r="E2828" s="4" t="s">
        <v>9</v>
      </c>
      <c r="F2828" s="6">
        <v>0</v>
      </c>
      <c r="G2828" s="6">
        <v>0</v>
      </c>
      <c r="H2828" s="4" t="s">
        <v>9</v>
      </c>
      <c r="I2828" s="4" t="s">
        <v>3</v>
      </c>
      <c r="J2828" s="4" t="s">
        <v>9</v>
      </c>
      <c r="K2828" s="4" t="s">
        <v>9</v>
      </c>
      <c r="L2828" s="4" t="s">
        <v>9</v>
      </c>
      <c r="M2828" s="4" t="s">
        <v>9</v>
      </c>
      <c r="N2828" s="5"/>
    </row>
    <row r="2829" spans="1:14" x14ac:dyDescent="0.25">
      <c r="A2829" t="s">
        <v>480</v>
      </c>
      <c r="B2829" s="2">
        <v>45810</v>
      </c>
      <c r="C2829" t="s">
        <v>480</v>
      </c>
      <c r="D2829" t="s">
        <v>33</v>
      </c>
      <c r="E2829" t="s">
        <v>9</v>
      </c>
      <c r="F2829" s="3">
        <v>12285</v>
      </c>
      <c r="G2829" s="3">
        <v>12285</v>
      </c>
      <c r="H2829" t="s">
        <v>3</v>
      </c>
      <c r="I2829" t="s">
        <v>3</v>
      </c>
      <c r="J2829" t="s">
        <v>9</v>
      </c>
      <c r="K2829" t="s">
        <v>9</v>
      </c>
      <c r="L2829" t="s">
        <v>18</v>
      </c>
      <c r="M2829" t="s">
        <v>35</v>
      </c>
      <c r="N2829" s="2">
        <v>45808</v>
      </c>
    </row>
    <row r="2830" spans="1:14" x14ac:dyDescent="0.25">
      <c r="A2830" t="s">
        <v>480</v>
      </c>
      <c r="B2830" s="2">
        <v>46175</v>
      </c>
      <c r="C2830" t="s">
        <v>480</v>
      </c>
      <c r="D2830" t="s">
        <v>33</v>
      </c>
      <c r="E2830" t="s">
        <v>9</v>
      </c>
      <c r="F2830" s="3">
        <v>18138</v>
      </c>
      <c r="G2830" s="3">
        <v>18138</v>
      </c>
      <c r="H2830" t="s">
        <v>3</v>
      </c>
      <c r="I2830" t="s">
        <v>3</v>
      </c>
      <c r="J2830" t="s">
        <v>9</v>
      </c>
      <c r="K2830" t="s">
        <v>9</v>
      </c>
      <c r="L2830" t="s">
        <v>18</v>
      </c>
      <c r="M2830" t="s">
        <v>35</v>
      </c>
      <c r="N2830" s="2">
        <v>46173</v>
      </c>
    </row>
    <row r="2831" spans="1:14" x14ac:dyDescent="0.25">
      <c r="A2831" t="s">
        <v>480</v>
      </c>
      <c r="B2831" s="2">
        <v>45799</v>
      </c>
      <c r="C2831" t="s">
        <v>480</v>
      </c>
      <c r="D2831" t="s">
        <v>33</v>
      </c>
      <c r="E2831" t="s">
        <v>9</v>
      </c>
      <c r="F2831" s="3">
        <v>-12285</v>
      </c>
      <c r="G2831" s="3">
        <v>-12285</v>
      </c>
      <c r="H2831" t="s">
        <v>3</v>
      </c>
      <c r="I2831" t="s">
        <v>3</v>
      </c>
      <c r="J2831" t="s">
        <v>9</v>
      </c>
      <c r="K2831" t="s">
        <v>5</v>
      </c>
      <c r="L2831" t="s">
        <v>18</v>
      </c>
      <c r="M2831" t="s">
        <v>35</v>
      </c>
      <c r="N2831" s="2">
        <v>45799</v>
      </c>
    </row>
    <row r="2832" spans="1:14" x14ac:dyDescent="0.25">
      <c r="A2832" t="s">
        <v>480</v>
      </c>
      <c r="B2832" s="2">
        <v>46155</v>
      </c>
      <c r="C2832" t="s">
        <v>480</v>
      </c>
      <c r="D2832" t="s">
        <v>33</v>
      </c>
      <c r="E2832" t="s">
        <v>9</v>
      </c>
      <c r="F2832" s="3">
        <v>-18138</v>
      </c>
      <c r="G2832" s="3">
        <v>-18138</v>
      </c>
      <c r="H2832" t="s">
        <v>3</v>
      </c>
      <c r="I2832" t="s">
        <v>3</v>
      </c>
      <c r="J2832" t="s">
        <v>9</v>
      </c>
      <c r="K2832" t="s">
        <v>13</v>
      </c>
      <c r="L2832" t="s">
        <v>18</v>
      </c>
      <c r="M2832" t="s">
        <v>35</v>
      </c>
      <c r="N2832" s="2">
        <v>46155</v>
      </c>
    </row>
    <row r="2833" spans="1:14" x14ac:dyDescent="0.25">
      <c r="A2833" s="4" t="s">
        <v>223</v>
      </c>
      <c r="B2833" s="5"/>
      <c r="C2833" s="4" t="s">
        <v>9</v>
      </c>
      <c r="D2833" s="4" t="s">
        <v>9</v>
      </c>
      <c r="E2833" s="4" t="s">
        <v>9</v>
      </c>
      <c r="F2833" s="6">
        <v>0</v>
      </c>
      <c r="G2833" s="6">
        <v>0</v>
      </c>
      <c r="H2833" s="4" t="s">
        <v>9</v>
      </c>
      <c r="I2833" s="4" t="s">
        <v>3</v>
      </c>
      <c r="J2833" s="4" t="s">
        <v>9</v>
      </c>
      <c r="K2833" s="4" t="s">
        <v>9</v>
      </c>
      <c r="L2833" s="4" t="s">
        <v>9</v>
      </c>
      <c r="M2833" s="4" t="s">
        <v>9</v>
      </c>
      <c r="N2833" s="5"/>
    </row>
    <row r="2834" spans="1:14" x14ac:dyDescent="0.25">
      <c r="A2834" t="s">
        <v>480</v>
      </c>
      <c r="B2834" s="2">
        <v>45839</v>
      </c>
      <c r="C2834" t="s">
        <v>480</v>
      </c>
      <c r="D2834" t="s">
        <v>33</v>
      </c>
      <c r="E2834" t="s">
        <v>9</v>
      </c>
      <c r="F2834" s="3">
        <v>14805</v>
      </c>
      <c r="G2834" s="3">
        <v>14805</v>
      </c>
      <c r="H2834" t="s">
        <v>3</v>
      </c>
      <c r="I2834" t="s">
        <v>3</v>
      </c>
      <c r="J2834" t="s">
        <v>9</v>
      </c>
      <c r="K2834" t="s">
        <v>9</v>
      </c>
      <c r="L2834" t="s">
        <v>19</v>
      </c>
      <c r="M2834" t="s">
        <v>35</v>
      </c>
      <c r="N2834" s="2">
        <v>45838</v>
      </c>
    </row>
    <row r="2835" spans="1:14" x14ac:dyDescent="0.25">
      <c r="A2835" t="s">
        <v>480</v>
      </c>
      <c r="B2835" s="2">
        <v>45825</v>
      </c>
      <c r="C2835" t="s">
        <v>480</v>
      </c>
      <c r="D2835" t="s">
        <v>33</v>
      </c>
      <c r="E2835" t="s">
        <v>9</v>
      </c>
      <c r="F2835" s="3">
        <v>-14805</v>
      </c>
      <c r="G2835" s="3">
        <v>-14805</v>
      </c>
      <c r="H2835" t="s">
        <v>3</v>
      </c>
      <c r="I2835" t="s">
        <v>3</v>
      </c>
      <c r="J2835" t="s">
        <v>9</v>
      </c>
      <c r="K2835" t="s">
        <v>5</v>
      </c>
      <c r="L2835" t="s">
        <v>19</v>
      </c>
      <c r="M2835" t="s">
        <v>35</v>
      </c>
      <c r="N2835" s="2">
        <v>45825</v>
      </c>
    </row>
    <row r="2836" spans="1:14" x14ac:dyDescent="0.25">
      <c r="A2836" s="4" t="s">
        <v>224</v>
      </c>
      <c r="B2836" s="5"/>
      <c r="C2836" s="4" t="s">
        <v>9</v>
      </c>
      <c r="D2836" s="4" t="s">
        <v>9</v>
      </c>
      <c r="E2836" s="4" t="s">
        <v>9</v>
      </c>
      <c r="F2836" s="6">
        <v>0</v>
      </c>
      <c r="G2836" s="6">
        <v>0</v>
      </c>
      <c r="H2836" s="4" t="s">
        <v>9</v>
      </c>
      <c r="I2836" s="4" t="s">
        <v>3</v>
      </c>
      <c r="J2836" s="4" t="s">
        <v>9</v>
      </c>
      <c r="K2836" s="4" t="s">
        <v>9</v>
      </c>
      <c r="L2836" s="4" t="s">
        <v>9</v>
      </c>
      <c r="M2836" s="4" t="s">
        <v>9</v>
      </c>
      <c r="N2836" s="5"/>
    </row>
    <row r="2837" spans="1:14" x14ac:dyDescent="0.25">
      <c r="A2837" t="s">
        <v>480</v>
      </c>
      <c r="B2837" s="2">
        <v>45870</v>
      </c>
      <c r="C2837" t="s">
        <v>480</v>
      </c>
      <c r="D2837" t="s">
        <v>33</v>
      </c>
      <c r="E2837" t="s">
        <v>9</v>
      </c>
      <c r="F2837" s="3">
        <v>17535</v>
      </c>
      <c r="G2837" s="3">
        <v>17535</v>
      </c>
      <c r="H2837" t="s">
        <v>3</v>
      </c>
      <c r="I2837" t="s">
        <v>3</v>
      </c>
      <c r="J2837" t="s">
        <v>9</v>
      </c>
      <c r="K2837" t="s">
        <v>9</v>
      </c>
      <c r="L2837" t="s">
        <v>21</v>
      </c>
      <c r="M2837" t="s">
        <v>35</v>
      </c>
      <c r="N2837" s="2">
        <v>45869</v>
      </c>
    </row>
    <row r="2838" spans="1:14" x14ac:dyDescent="0.25">
      <c r="A2838" t="s">
        <v>480</v>
      </c>
      <c r="B2838" s="2">
        <v>45849</v>
      </c>
      <c r="C2838" t="s">
        <v>480</v>
      </c>
      <c r="D2838" t="s">
        <v>33</v>
      </c>
      <c r="E2838" t="s">
        <v>9</v>
      </c>
      <c r="F2838" s="3">
        <v>-17535</v>
      </c>
      <c r="G2838" s="3">
        <v>-17535</v>
      </c>
      <c r="H2838" t="s">
        <v>3</v>
      </c>
      <c r="I2838" t="s">
        <v>3</v>
      </c>
      <c r="J2838" t="s">
        <v>9</v>
      </c>
      <c r="K2838" t="s">
        <v>5</v>
      </c>
      <c r="L2838" t="s">
        <v>21</v>
      </c>
      <c r="M2838" t="s">
        <v>35</v>
      </c>
      <c r="N2838" s="2">
        <v>45849</v>
      </c>
    </row>
    <row r="2839" spans="1:14" x14ac:dyDescent="0.25">
      <c r="A2839" s="4" t="s">
        <v>262</v>
      </c>
      <c r="B2839" s="5"/>
      <c r="C2839" s="4" t="s">
        <v>9</v>
      </c>
      <c r="D2839" s="4" t="s">
        <v>9</v>
      </c>
      <c r="E2839" s="4" t="s">
        <v>9</v>
      </c>
      <c r="F2839" s="6">
        <v>0</v>
      </c>
      <c r="G2839" s="6">
        <v>0</v>
      </c>
      <c r="H2839" s="4" t="s">
        <v>9</v>
      </c>
      <c r="I2839" s="4" t="s">
        <v>3</v>
      </c>
      <c r="J2839" s="4" t="s">
        <v>9</v>
      </c>
      <c r="K2839" s="4" t="s">
        <v>9</v>
      </c>
      <c r="L2839" s="4" t="s">
        <v>9</v>
      </c>
      <c r="M2839" s="4" t="s">
        <v>9</v>
      </c>
      <c r="N2839" s="5"/>
    </row>
    <row r="2840" spans="1:14" x14ac:dyDescent="0.25">
      <c r="A2840" t="s">
        <v>480</v>
      </c>
      <c r="B2840" s="2">
        <v>46028</v>
      </c>
      <c r="C2840" t="s">
        <v>480</v>
      </c>
      <c r="D2840" t="s">
        <v>33</v>
      </c>
      <c r="E2840" t="s">
        <v>9</v>
      </c>
      <c r="F2840" s="3">
        <v>224945</v>
      </c>
      <c r="G2840" s="3">
        <v>224945</v>
      </c>
      <c r="H2840" t="s">
        <v>3</v>
      </c>
      <c r="I2840" t="s">
        <v>3</v>
      </c>
      <c r="J2840" t="s">
        <v>9</v>
      </c>
      <c r="K2840" t="s">
        <v>9</v>
      </c>
      <c r="L2840" t="s">
        <v>12</v>
      </c>
      <c r="M2840" t="s">
        <v>35</v>
      </c>
      <c r="N2840" s="2">
        <v>46022</v>
      </c>
    </row>
    <row r="2841" spans="1:14" x14ac:dyDescent="0.25">
      <c r="A2841" t="s">
        <v>480</v>
      </c>
      <c r="B2841" s="2">
        <v>46007</v>
      </c>
      <c r="C2841" t="s">
        <v>480</v>
      </c>
      <c r="D2841" t="s">
        <v>33</v>
      </c>
      <c r="E2841" t="s">
        <v>9</v>
      </c>
      <c r="F2841" s="3">
        <v>-224945</v>
      </c>
      <c r="G2841" s="3">
        <v>-224945</v>
      </c>
      <c r="H2841" t="s">
        <v>3</v>
      </c>
      <c r="I2841" t="s">
        <v>3</v>
      </c>
      <c r="J2841" t="s">
        <v>9</v>
      </c>
      <c r="K2841" t="s">
        <v>5</v>
      </c>
      <c r="L2841" t="s">
        <v>12</v>
      </c>
      <c r="M2841" t="s">
        <v>35</v>
      </c>
      <c r="N2841" s="2">
        <v>46007</v>
      </c>
    </row>
    <row r="2842" spans="1:14" x14ac:dyDescent="0.25">
      <c r="A2842" s="4" t="s">
        <v>228</v>
      </c>
      <c r="B2842" s="5"/>
      <c r="C2842" s="4" t="s">
        <v>9</v>
      </c>
      <c r="D2842" s="4" t="s">
        <v>9</v>
      </c>
      <c r="E2842" s="4" t="s">
        <v>9</v>
      </c>
      <c r="F2842" s="6">
        <v>0</v>
      </c>
      <c r="G2842" s="6">
        <v>0</v>
      </c>
      <c r="H2842" s="4" t="s">
        <v>9</v>
      </c>
      <c r="I2842" s="4" t="s">
        <v>3</v>
      </c>
      <c r="J2842" s="4" t="s">
        <v>9</v>
      </c>
      <c r="K2842" s="4" t="s">
        <v>9</v>
      </c>
      <c r="L2842" s="4" t="s">
        <v>9</v>
      </c>
      <c r="M2842" s="4" t="s">
        <v>9</v>
      </c>
      <c r="N2842" s="5"/>
    </row>
    <row r="2843" spans="1:14" x14ac:dyDescent="0.25">
      <c r="A2843" s="4" t="s">
        <v>480</v>
      </c>
      <c r="B2843" s="5"/>
      <c r="C2843" s="4" t="s">
        <v>9</v>
      </c>
      <c r="D2843" s="4" t="s">
        <v>9</v>
      </c>
      <c r="E2843" s="4" t="s">
        <v>9</v>
      </c>
      <c r="F2843" s="6">
        <v>0</v>
      </c>
      <c r="G2843" s="6">
        <v>0</v>
      </c>
      <c r="H2843" s="4" t="s">
        <v>9</v>
      </c>
      <c r="I2843" s="4" t="s">
        <v>3</v>
      </c>
      <c r="J2843" s="4" t="s">
        <v>9</v>
      </c>
      <c r="K2843" s="4" t="s">
        <v>9</v>
      </c>
      <c r="L2843" s="4" t="s">
        <v>9</v>
      </c>
      <c r="M2843" s="4" t="s">
        <v>9</v>
      </c>
      <c r="N2843" s="5"/>
    </row>
    <row r="2844" spans="1:14" x14ac:dyDescent="0.25">
      <c r="A2844" t="s">
        <v>481</v>
      </c>
      <c r="B2844" s="2">
        <v>46056</v>
      </c>
      <c r="C2844" t="s">
        <v>481</v>
      </c>
      <c r="D2844" t="s">
        <v>112</v>
      </c>
      <c r="E2844" t="s">
        <v>9</v>
      </c>
      <c r="F2844" s="3">
        <v>-12635</v>
      </c>
      <c r="G2844" s="3">
        <v>-12635</v>
      </c>
      <c r="H2844" t="s">
        <v>3</v>
      </c>
      <c r="I2844" t="s">
        <v>3</v>
      </c>
      <c r="J2844" t="s">
        <v>9</v>
      </c>
      <c r="K2844" t="s">
        <v>9</v>
      </c>
      <c r="L2844" t="s">
        <v>14</v>
      </c>
      <c r="M2844" t="s">
        <v>114</v>
      </c>
      <c r="N2844" s="2">
        <v>46053</v>
      </c>
    </row>
    <row r="2845" spans="1:14" x14ac:dyDescent="0.25">
      <c r="A2845" t="s">
        <v>481</v>
      </c>
      <c r="B2845" s="2">
        <v>46056</v>
      </c>
      <c r="C2845" t="s">
        <v>481</v>
      </c>
      <c r="D2845" t="s">
        <v>99</v>
      </c>
      <c r="E2845" t="s">
        <v>9</v>
      </c>
      <c r="F2845" s="3">
        <v>-1575</v>
      </c>
      <c r="G2845" s="3">
        <v>-1575</v>
      </c>
      <c r="H2845" t="s">
        <v>3</v>
      </c>
      <c r="I2845" t="s">
        <v>3</v>
      </c>
      <c r="J2845" t="s">
        <v>9</v>
      </c>
      <c r="K2845" t="s">
        <v>9</v>
      </c>
      <c r="L2845" t="s">
        <v>14</v>
      </c>
      <c r="M2845" t="s">
        <v>102</v>
      </c>
      <c r="N2845" s="2">
        <v>46053</v>
      </c>
    </row>
    <row r="2846" spans="1:14" x14ac:dyDescent="0.25">
      <c r="A2846" t="s">
        <v>481</v>
      </c>
      <c r="B2846" s="2">
        <v>46022</v>
      </c>
      <c r="C2846" t="s">
        <v>481</v>
      </c>
      <c r="D2846" t="s">
        <v>112</v>
      </c>
      <c r="E2846" t="s">
        <v>9</v>
      </c>
      <c r="F2846" s="3">
        <v>-100550</v>
      </c>
      <c r="G2846" s="3">
        <v>-100550</v>
      </c>
      <c r="H2846" t="s">
        <v>3</v>
      </c>
      <c r="I2846" t="s">
        <v>3</v>
      </c>
      <c r="J2846" t="s">
        <v>298</v>
      </c>
      <c r="K2846" t="s">
        <v>13</v>
      </c>
      <c r="L2846" t="s">
        <v>14</v>
      </c>
      <c r="M2846" t="s">
        <v>114</v>
      </c>
      <c r="N2846" s="2">
        <v>46023</v>
      </c>
    </row>
    <row r="2847" spans="1:14" x14ac:dyDescent="0.25">
      <c r="A2847" t="s">
        <v>481</v>
      </c>
      <c r="B2847" s="2">
        <v>46022</v>
      </c>
      <c r="C2847" t="s">
        <v>481</v>
      </c>
      <c r="D2847" t="s">
        <v>112</v>
      </c>
      <c r="E2847" t="s">
        <v>9</v>
      </c>
      <c r="F2847" s="3">
        <v>-65020</v>
      </c>
      <c r="G2847" s="3">
        <v>-65020</v>
      </c>
      <c r="H2847" t="s">
        <v>3</v>
      </c>
      <c r="I2847" t="s">
        <v>3</v>
      </c>
      <c r="J2847" t="s">
        <v>381</v>
      </c>
      <c r="K2847" t="s">
        <v>13</v>
      </c>
      <c r="L2847" t="s">
        <v>14</v>
      </c>
      <c r="M2847" t="s">
        <v>114</v>
      </c>
      <c r="N2847" s="2">
        <v>46023</v>
      </c>
    </row>
    <row r="2848" spans="1:14" x14ac:dyDescent="0.25">
      <c r="A2848" t="s">
        <v>481</v>
      </c>
      <c r="B2848" s="2">
        <v>46023</v>
      </c>
      <c r="C2848" t="s">
        <v>481</v>
      </c>
      <c r="D2848" t="s">
        <v>112</v>
      </c>
      <c r="E2848" t="s">
        <v>9</v>
      </c>
      <c r="F2848" s="3">
        <v>100550</v>
      </c>
      <c r="G2848" s="3">
        <v>100550</v>
      </c>
      <c r="H2848" t="s">
        <v>3</v>
      </c>
      <c r="I2848" t="s">
        <v>3</v>
      </c>
      <c r="J2848" t="s">
        <v>298</v>
      </c>
      <c r="K2848" t="s">
        <v>13</v>
      </c>
      <c r="L2848" t="s">
        <v>14</v>
      </c>
      <c r="M2848" t="s">
        <v>114</v>
      </c>
      <c r="N2848" s="2">
        <v>46023</v>
      </c>
    </row>
    <row r="2849" spans="1:14" x14ac:dyDescent="0.25">
      <c r="A2849" t="s">
        <v>481</v>
      </c>
      <c r="B2849" s="2">
        <v>46023</v>
      </c>
      <c r="C2849" t="s">
        <v>481</v>
      </c>
      <c r="D2849" t="s">
        <v>112</v>
      </c>
      <c r="E2849" t="s">
        <v>9</v>
      </c>
      <c r="F2849" s="3">
        <v>65020</v>
      </c>
      <c r="G2849" s="3">
        <v>65020</v>
      </c>
      <c r="H2849" t="s">
        <v>3</v>
      </c>
      <c r="I2849" t="s">
        <v>3</v>
      </c>
      <c r="J2849" t="s">
        <v>381</v>
      </c>
      <c r="K2849" t="s">
        <v>13</v>
      </c>
      <c r="L2849" t="s">
        <v>14</v>
      </c>
      <c r="M2849" t="s">
        <v>114</v>
      </c>
      <c r="N2849" s="2">
        <v>46023</v>
      </c>
    </row>
    <row r="2850" spans="1:14" x14ac:dyDescent="0.25">
      <c r="A2850" t="s">
        <v>481</v>
      </c>
      <c r="B2850" s="2">
        <v>46053</v>
      </c>
      <c r="C2850" t="s">
        <v>481</v>
      </c>
      <c r="D2850" t="s">
        <v>112</v>
      </c>
      <c r="E2850" t="s">
        <v>9</v>
      </c>
      <c r="F2850" s="3">
        <v>8200</v>
      </c>
      <c r="G2850" s="3">
        <v>8200</v>
      </c>
      <c r="H2850" t="s">
        <v>3</v>
      </c>
      <c r="I2850" t="s">
        <v>3</v>
      </c>
      <c r="J2850" t="s">
        <v>300</v>
      </c>
      <c r="K2850" t="s">
        <v>13</v>
      </c>
      <c r="L2850" t="s">
        <v>14</v>
      </c>
      <c r="M2850" t="s">
        <v>114</v>
      </c>
      <c r="N2850" s="2">
        <v>46053</v>
      </c>
    </row>
    <row r="2851" spans="1:14" x14ac:dyDescent="0.25">
      <c r="A2851" t="s">
        <v>481</v>
      </c>
      <c r="B2851" s="2">
        <v>46053</v>
      </c>
      <c r="C2851" t="s">
        <v>481</v>
      </c>
      <c r="D2851" t="s">
        <v>112</v>
      </c>
      <c r="E2851" t="s">
        <v>9</v>
      </c>
      <c r="F2851" s="3">
        <v>4435</v>
      </c>
      <c r="G2851" s="3">
        <v>4435</v>
      </c>
      <c r="H2851" t="s">
        <v>3</v>
      </c>
      <c r="I2851" t="s">
        <v>3</v>
      </c>
      <c r="J2851" t="s">
        <v>391</v>
      </c>
      <c r="K2851" t="s">
        <v>13</v>
      </c>
      <c r="L2851" t="s">
        <v>14</v>
      </c>
      <c r="M2851" t="s">
        <v>114</v>
      </c>
      <c r="N2851" s="2">
        <v>46053</v>
      </c>
    </row>
    <row r="2852" spans="1:14" x14ac:dyDescent="0.25">
      <c r="A2852" t="s">
        <v>481</v>
      </c>
      <c r="B2852" s="2">
        <v>46053</v>
      </c>
      <c r="C2852" t="s">
        <v>481</v>
      </c>
      <c r="D2852" t="s">
        <v>99</v>
      </c>
      <c r="E2852" t="s">
        <v>9</v>
      </c>
      <c r="F2852" s="3">
        <v>1575</v>
      </c>
      <c r="G2852" s="3">
        <v>1575</v>
      </c>
      <c r="H2852" t="s">
        <v>3</v>
      </c>
      <c r="I2852" t="s">
        <v>3</v>
      </c>
      <c r="J2852" t="s">
        <v>435</v>
      </c>
      <c r="K2852" t="s">
        <v>13</v>
      </c>
      <c r="L2852" t="s">
        <v>14</v>
      </c>
      <c r="M2852" t="s">
        <v>102</v>
      </c>
      <c r="N2852" s="2">
        <v>46053</v>
      </c>
    </row>
    <row r="2853" spans="1:14" x14ac:dyDescent="0.25">
      <c r="A2853" s="4" t="s">
        <v>234</v>
      </c>
      <c r="B2853" s="5"/>
      <c r="C2853" s="4" t="s">
        <v>9</v>
      </c>
      <c r="D2853" s="4" t="s">
        <v>9</v>
      </c>
      <c r="E2853" s="4" t="s">
        <v>9</v>
      </c>
      <c r="F2853" s="6">
        <v>0</v>
      </c>
      <c r="G2853" s="6">
        <v>0</v>
      </c>
      <c r="H2853" s="4" t="s">
        <v>9</v>
      </c>
      <c r="I2853" s="4" t="s">
        <v>3</v>
      </c>
      <c r="J2853" s="4" t="s">
        <v>9</v>
      </c>
      <c r="K2853" s="4" t="s">
        <v>9</v>
      </c>
      <c r="L2853" s="4" t="s">
        <v>9</v>
      </c>
      <c r="M2853" s="4" t="s">
        <v>9</v>
      </c>
      <c r="N2853" s="5"/>
    </row>
    <row r="2854" spans="1:14" x14ac:dyDescent="0.25">
      <c r="A2854" t="s">
        <v>481</v>
      </c>
      <c r="B2854" s="2">
        <v>46084</v>
      </c>
      <c r="C2854" t="s">
        <v>481</v>
      </c>
      <c r="D2854" t="s">
        <v>112</v>
      </c>
      <c r="E2854" t="s">
        <v>9</v>
      </c>
      <c r="F2854" s="3">
        <v>-29570</v>
      </c>
      <c r="G2854" s="3">
        <v>-29570</v>
      </c>
      <c r="H2854" t="s">
        <v>3</v>
      </c>
      <c r="I2854" t="s">
        <v>3</v>
      </c>
      <c r="J2854" t="s">
        <v>9</v>
      </c>
      <c r="K2854" t="s">
        <v>9</v>
      </c>
      <c r="L2854" t="s">
        <v>15</v>
      </c>
      <c r="M2854" t="s">
        <v>114</v>
      </c>
      <c r="N2854" s="2">
        <v>46081</v>
      </c>
    </row>
    <row r="2855" spans="1:14" x14ac:dyDescent="0.25">
      <c r="A2855" t="s">
        <v>481</v>
      </c>
      <c r="B2855" s="2">
        <v>46054</v>
      </c>
      <c r="C2855" t="s">
        <v>481</v>
      </c>
      <c r="D2855" t="s">
        <v>112</v>
      </c>
      <c r="E2855" t="s">
        <v>9</v>
      </c>
      <c r="F2855" s="3">
        <v>-8200</v>
      </c>
      <c r="G2855" s="3">
        <v>-8200</v>
      </c>
      <c r="H2855" t="s">
        <v>3</v>
      </c>
      <c r="I2855" t="s">
        <v>3</v>
      </c>
      <c r="J2855" t="s">
        <v>300</v>
      </c>
      <c r="K2855" t="s">
        <v>13</v>
      </c>
      <c r="L2855" t="s">
        <v>15</v>
      </c>
      <c r="M2855" t="s">
        <v>114</v>
      </c>
      <c r="N2855" s="2">
        <v>46054</v>
      </c>
    </row>
    <row r="2856" spans="1:14" x14ac:dyDescent="0.25">
      <c r="A2856" t="s">
        <v>481</v>
      </c>
      <c r="B2856" s="2">
        <v>46054</v>
      </c>
      <c r="C2856" t="s">
        <v>481</v>
      </c>
      <c r="D2856" t="s">
        <v>112</v>
      </c>
      <c r="E2856" t="s">
        <v>9</v>
      </c>
      <c r="F2856" s="3">
        <v>-4435</v>
      </c>
      <c r="G2856" s="3">
        <v>-4435</v>
      </c>
      <c r="H2856" t="s">
        <v>3</v>
      </c>
      <c r="I2856" t="s">
        <v>3</v>
      </c>
      <c r="J2856" t="s">
        <v>391</v>
      </c>
      <c r="K2856" t="s">
        <v>13</v>
      </c>
      <c r="L2856" t="s">
        <v>15</v>
      </c>
      <c r="M2856" t="s">
        <v>114</v>
      </c>
      <c r="N2856" s="2">
        <v>46054</v>
      </c>
    </row>
    <row r="2857" spans="1:14" x14ac:dyDescent="0.25">
      <c r="A2857" t="s">
        <v>481</v>
      </c>
      <c r="B2857" s="2">
        <v>46054</v>
      </c>
      <c r="C2857" t="s">
        <v>481</v>
      </c>
      <c r="D2857" t="s">
        <v>112</v>
      </c>
      <c r="E2857" t="s">
        <v>9</v>
      </c>
      <c r="F2857" s="3">
        <v>8200</v>
      </c>
      <c r="G2857" s="3">
        <v>8200</v>
      </c>
      <c r="H2857" t="s">
        <v>3</v>
      </c>
      <c r="I2857" t="s">
        <v>3</v>
      </c>
      <c r="J2857" t="s">
        <v>300</v>
      </c>
      <c r="K2857" t="s">
        <v>13</v>
      </c>
      <c r="L2857" t="s">
        <v>15</v>
      </c>
      <c r="M2857" t="s">
        <v>114</v>
      </c>
      <c r="N2857" s="2">
        <v>46055</v>
      </c>
    </row>
    <row r="2858" spans="1:14" x14ac:dyDescent="0.25">
      <c r="A2858" t="s">
        <v>481</v>
      </c>
      <c r="B2858" s="2">
        <v>46054</v>
      </c>
      <c r="C2858" t="s">
        <v>481</v>
      </c>
      <c r="D2858" t="s">
        <v>112</v>
      </c>
      <c r="E2858" t="s">
        <v>9</v>
      </c>
      <c r="F2858" s="3">
        <v>4435</v>
      </c>
      <c r="G2858" s="3">
        <v>4435</v>
      </c>
      <c r="H2858" t="s">
        <v>3</v>
      </c>
      <c r="I2858" t="s">
        <v>3</v>
      </c>
      <c r="J2858" t="s">
        <v>391</v>
      </c>
      <c r="K2858" t="s">
        <v>13</v>
      </c>
      <c r="L2858" t="s">
        <v>15</v>
      </c>
      <c r="M2858" t="s">
        <v>114</v>
      </c>
      <c r="N2858" s="2">
        <v>46055</v>
      </c>
    </row>
    <row r="2859" spans="1:14" x14ac:dyDescent="0.25">
      <c r="A2859" t="s">
        <v>481</v>
      </c>
      <c r="B2859" s="2">
        <v>46054</v>
      </c>
      <c r="C2859" t="s">
        <v>481</v>
      </c>
      <c r="D2859" t="s">
        <v>112</v>
      </c>
      <c r="E2859" t="s">
        <v>9</v>
      </c>
      <c r="F2859" s="3">
        <v>-8200</v>
      </c>
      <c r="G2859" s="3">
        <v>-8200</v>
      </c>
      <c r="H2859" t="s">
        <v>3</v>
      </c>
      <c r="I2859" t="s">
        <v>3</v>
      </c>
      <c r="J2859" t="s">
        <v>300</v>
      </c>
      <c r="K2859" t="s">
        <v>13</v>
      </c>
      <c r="L2859" t="s">
        <v>15</v>
      </c>
      <c r="M2859" t="s">
        <v>114</v>
      </c>
      <c r="N2859" s="2">
        <v>46054</v>
      </c>
    </row>
    <row r="2860" spans="1:14" x14ac:dyDescent="0.25">
      <c r="A2860" t="s">
        <v>481</v>
      </c>
      <c r="B2860" s="2">
        <v>46054</v>
      </c>
      <c r="C2860" t="s">
        <v>481</v>
      </c>
      <c r="D2860" t="s">
        <v>112</v>
      </c>
      <c r="E2860" t="s">
        <v>9</v>
      </c>
      <c r="F2860" s="3">
        <v>-4435</v>
      </c>
      <c r="G2860" s="3">
        <v>-4435</v>
      </c>
      <c r="H2860" t="s">
        <v>3</v>
      </c>
      <c r="I2860" t="s">
        <v>3</v>
      </c>
      <c r="J2860" t="s">
        <v>391</v>
      </c>
      <c r="K2860" t="s">
        <v>13</v>
      </c>
      <c r="L2860" t="s">
        <v>15</v>
      </c>
      <c r="M2860" t="s">
        <v>114</v>
      </c>
      <c r="N2860" s="2">
        <v>46054</v>
      </c>
    </row>
    <row r="2861" spans="1:14" x14ac:dyDescent="0.25">
      <c r="A2861" t="s">
        <v>481</v>
      </c>
      <c r="B2861" s="2">
        <v>46081</v>
      </c>
      <c r="C2861" t="s">
        <v>481</v>
      </c>
      <c r="D2861" t="s">
        <v>112</v>
      </c>
      <c r="E2861" t="s">
        <v>9</v>
      </c>
      <c r="F2861" s="3">
        <v>23400</v>
      </c>
      <c r="G2861" s="3">
        <v>23400</v>
      </c>
      <c r="H2861" t="s">
        <v>3</v>
      </c>
      <c r="I2861" t="s">
        <v>3</v>
      </c>
      <c r="J2861" t="s">
        <v>304</v>
      </c>
      <c r="K2861" t="s">
        <v>13</v>
      </c>
      <c r="L2861" t="s">
        <v>15</v>
      </c>
      <c r="M2861" t="s">
        <v>114</v>
      </c>
      <c r="N2861" s="2">
        <v>46081</v>
      </c>
    </row>
    <row r="2862" spans="1:14" x14ac:dyDescent="0.25">
      <c r="A2862" t="s">
        <v>481</v>
      </c>
      <c r="B2862" s="2">
        <v>46081</v>
      </c>
      <c r="C2862" t="s">
        <v>481</v>
      </c>
      <c r="D2862" t="s">
        <v>112</v>
      </c>
      <c r="E2862" t="s">
        <v>9</v>
      </c>
      <c r="F2862" s="3">
        <v>18805</v>
      </c>
      <c r="G2862" s="3">
        <v>18805</v>
      </c>
      <c r="H2862" t="s">
        <v>3</v>
      </c>
      <c r="I2862" t="s">
        <v>3</v>
      </c>
      <c r="J2862" t="s">
        <v>393</v>
      </c>
      <c r="K2862" t="s">
        <v>13</v>
      </c>
      <c r="L2862" t="s">
        <v>15</v>
      </c>
      <c r="M2862" t="s">
        <v>114</v>
      </c>
      <c r="N2862" s="2">
        <v>46081</v>
      </c>
    </row>
    <row r="2863" spans="1:14" x14ac:dyDescent="0.25">
      <c r="A2863" s="4" t="s">
        <v>239</v>
      </c>
      <c r="B2863" s="5"/>
      <c r="C2863" s="4" t="s">
        <v>9</v>
      </c>
      <c r="D2863" s="4" t="s">
        <v>9</v>
      </c>
      <c r="E2863" s="4" t="s">
        <v>9</v>
      </c>
      <c r="F2863" s="6">
        <v>0</v>
      </c>
      <c r="G2863" s="6">
        <v>0</v>
      </c>
      <c r="H2863" s="4" t="s">
        <v>9</v>
      </c>
      <c r="I2863" s="4" t="s">
        <v>3</v>
      </c>
      <c r="J2863" s="4" t="s">
        <v>9</v>
      </c>
      <c r="K2863" s="4" t="s">
        <v>9</v>
      </c>
      <c r="L2863" s="4" t="s">
        <v>9</v>
      </c>
      <c r="M2863" s="4" t="s">
        <v>9</v>
      </c>
      <c r="N2863" s="5"/>
    </row>
    <row r="2864" spans="1:14" x14ac:dyDescent="0.25">
      <c r="A2864" t="s">
        <v>481</v>
      </c>
      <c r="B2864" s="2">
        <v>45749</v>
      </c>
      <c r="C2864" t="s">
        <v>481</v>
      </c>
      <c r="D2864" t="s">
        <v>112</v>
      </c>
      <c r="E2864" t="s">
        <v>9</v>
      </c>
      <c r="F2864" s="3">
        <v>-800</v>
      </c>
      <c r="G2864" s="3">
        <v>-800</v>
      </c>
      <c r="H2864" t="s">
        <v>3</v>
      </c>
      <c r="I2864" t="s">
        <v>3</v>
      </c>
      <c r="J2864" t="s">
        <v>9</v>
      </c>
      <c r="K2864" t="s">
        <v>9</v>
      </c>
      <c r="L2864" t="s">
        <v>16</v>
      </c>
      <c r="M2864" t="s">
        <v>114</v>
      </c>
      <c r="N2864" s="2">
        <v>45747</v>
      </c>
    </row>
    <row r="2865" spans="1:14" x14ac:dyDescent="0.25">
      <c r="A2865" t="s">
        <v>481</v>
      </c>
      <c r="B2865" s="2">
        <v>45749</v>
      </c>
      <c r="C2865" t="s">
        <v>481</v>
      </c>
      <c r="D2865" t="s">
        <v>424</v>
      </c>
      <c r="E2865" t="s">
        <v>9</v>
      </c>
      <c r="F2865" s="3">
        <v>-1164</v>
      </c>
      <c r="G2865" s="3">
        <v>-1164</v>
      </c>
      <c r="H2865" t="s">
        <v>3</v>
      </c>
      <c r="I2865" t="s">
        <v>3</v>
      </c>
      <c r="J2865" t="s">
        <v>9</v>
      </c>
      <c r="K2865" t="s">
        <v>9</v>
      </c>
      <c r="L2865" t="s">
        <v>16</v>
      </c>
      <c r="M2865" t="s">
        <v>425</v>
      </c>
      <c r="N2865" s="2">
        <v>45747</v>
      </c>
    </row>
    <row r="2866" spans="1:14" x14ac:dyDescent="0.25">
      <c r="A2866" t="s">
        <v>481</v>
      </c>
      <c r="B2866" s="2">
        <v>46115</v>
      </c>
      <c r="C2866" t="s">
        <v>481</v>
      </c>
      <c r="D2866" t="s">
        <v>112</v>
      </c>
      <c r="E2866" t="s">
        <v>9</v>
      </c>
      <c r="F2866" s="3">
        <v>-41880.5</v>
      </c>
      <c r="G2866" s="3">
        <v>-41880.5</v>
      </c>
      <c r="H2866" t="s">
        <v>3</v>
      </c>
      <c r="I2866" t="s">
        <v>3</v>
      </c>
      <c r="J2866" t="s">
        <v>9</v>
      </c>
      <c r="K2866" t="s">
        <v>9</v>
      </c>
      <c r="L2866" t="s">
        <v>16</v>
      </c>
      <c r="M2866" t="s">
        <v>114</v>
      </c>
      <c r="N2866" s="2">
        <v>46112</v>
      </c>
    </row>
    <row r="2867" spans="1:14" x14ac:dyDescent="0.25">
      <c r="A2867" t="s">
        <v>481</v>
      </c>
      <c r="B2867" s="2">
        <v>45747</v>
      </c>
      <c r="C2867" t="s">
        <v>481</v>
      </c>
      <c r="D2867" t="s">
        <v>424</v>
      </c>
      <c r="E2867" t="s">
        <v>9</v>
      </c>
      <c r="F2867" s="3">
        <v>1164</v>
      </c>
      <c r="G2867" s="3">
        <v>1164</v>
      </c>
      <c r="H2867" t="s">
        <v>3</v>
      </c>
      <c r="I2867" t="s">
        <v>3</v>
      </c>
      <c r="J2867" t="s">
        <v>482</v>
      </c>
      <c r="K2867" t="s">
        <v>5</v>
      </c>
      <c r="L2867" t="s">
        <v>16</v>
      </c>
      <c r="M2867" t="s">
        <v>425</v>
      </c>
      <c r="N2867" s="2">
        <v>45747</v>
      </c>
    </row>
    <row r="2868" spans="1:14" x14ac:dyDescent="0.25">
      <c r="A2868" t="s">
        <v>481</v>
      </c>
      <c r="B2868" s="2">
        <v>45747</v>
      </c>
      <c r="C2868" t="s">
        <v>481</v>
      </c>
      <c r="D2868" t="s">
        <v>112</v>
      </c>
      <c r="E2868" t="s">
        <v>9</v>
      </c>
      <c r="F2868" s="3">
        <v>800</v>
      </c>
      <c r="G2868" s="3">
        <v>800</v>
      </c>
      <c r="H2868" t="s">
        <v>3</v>
      </c>
      <c r="I2868" t="s">
        <v>3</v>
      </c>
      <c r="J2868" t="s">
        <v>305</v>
      </c>
      <c r="K2868" t="s">
        <v>5</v>
      </c>
      <c r="L2868" t="s">
        <v>16</v>
      </c>
      <c r="M2868" t="s">
        <v>114</v>
      </c>
      <c r="N2868" s="2">
        <v>45747</v>
      </c>
    </row>
    <row r="2869" spans="1:14" x14ac:dyDescent="0.25">
      <c r="A2869" t="s">
        <v>481</v>
      </c>
      <c r="B2869" s="2">
        <v>46081</v>
      </c>
      <c r="C2869" t="s">
        <v>481</v>
      </c>
      <c r="D2869" t="s">
        <v>112</v>
      </c>
      <c r="E2869" t="s">
        <v>9</v>
      </c>
      <c r="F2869" s="3">
        <v>-23400</v>
      </c>
      <c r="G2869" s="3">
        <v>-23400</v>
      </c>
      <c r="H2869" t="s">
        <v>3</v>
      </c>
      <c r="I2869" t="s">
        <v>3</v>
      </c>
      <c r="J2869" t="s">
        <v>304</v>
      </c>
      <c r="K2869" t="s">
        <v>13</v>
      </c>
      <c r="L2869" t="s">
        <v>16</v>
      </c>
      <c r="M2869" t="s">
        <v>114</v>
      </c>
      <c r="N2869" s="2">
        <v>46082</v>
      </c>
    </row>
    <row r="2870" spans="1:14" x14ac:dyDescent="0.25">
      <c r="A2870" t="s">
        <v>481</v>
      </c>
      <c r="B2870" s="2">
        <v>46081</v>
      </c>
      <c r="C2870" t="s">
        <v>481</v>
      </c>
      <c r="D2870" t="s">
        <v>112</v>
      </c>
      <c r="E2870" t="s">
        <v>9</v>
      </c>
      <c r="F2870" s="3">
        <v>-18805</v>
      </c>
      <c r="G2870" s="3">
        <v>-18805</v>
      </c>
      <c r="H2870" t="s">
        <v>3</v>
      </c>
      <c r="I2870" t="s">
        <v>3</v>
      </c>
      <c r="J2870" t="s">
        <v>393</v>
      </c>
      <c r="K2870" t="s">
        <v>13</v>
      </c>
      <c r="L2870" t="s">
        <v>16</v>
      </c>
      <c r="M2870" t="s">
        <v>114</v>
      </c>
      <c r="N2870" s="2">
        <v>46082</v>
      </c>
    </row>
    <row r="2871" spans="1:14" x14ac:dyDescent="0.25">
      <c r="A2871" t="s">
        <v>481</v>
      </c>
      <c r="B2871" s="2">
        <v>46112</v>
      </c>
      <c r="C2871" t="s">
        <v>481</v>
      </c>
      <c r="D2871" t="s">
        <v>112</v>
      </c>
      <c r="E2871" t="s">
        <v>9</v>
      </c>
      <c r="F2871" s="3">
        <v>40388</v>
      </c>
      <c r="G2871" s="3">
        <v>40388</v>
      </c>
      <c r="H2871" t="s">
        <v>3</v>
      </c>
      <c r="I2871" t="s">
        <v>3</v>
      </c>
      <c r="J2871" t="s">
        <v>307</v>
      </c>
      <c r="K2871" t="s">
        <v>13</v>
      </c>
      <c r="L2871" t="s">
        <v>16</v>
      </c>
      <c r="M2871" t="s">
        <v>114</v>
      </c>
      <c r="N2871" s="2">
        <v>46112</v>
      </c>
    </row>
    <row r="2872" spans="1:14" x14ac:dyDescent="0.25">
      <c r="A2872" t="s">
        <v>481</v>
      </c>
      <c r="B2872" s="2">
        <v>46112</v>
      </c>
      <c r="C2872" t="s">
        <v>481</v>
      </c>
      <c r="D2872" t="s">
        <v>112</v>
      </c>
      <c r="E2872" t="s">
        <v>9</v>
      </c>
      <c r="F2872" s="3">
        <v>43697.5</v>
      </c>
      <c r="G2872" s="3">
        <v>43697.5</v>
      </c>
      <c r="H2872" t="s">
        <v>3</v>
      </c>
      <c r="I2872" t="s">
        <v>3</v>
      </c>
      <c r="J2872" t="s">
        <v>395</v>
      </c>
      <c r="K2872" t="s">
        <v>13</v>
      </c>
      <c r="L2872" t="s">
        <v>16</v>
      </c>
      <c r="M2872" t="s">
        <v>114</v>
      </c>
      <c r="N2872" s="2">
        <v>46112</v>
      </c>
    </row>
    <row r="2873" spans="1:14" x14ac:dyDescent="0.25">
      <c r="A2873" s="4" t="s">
        <v>244</v>
      </c>
      <c r="B2873" s="5"/>
      <c r="C2873" s="4" t="s">
        <v>9</v>
      </c>
      <c r="D2873" s="4" t="s">
        <v>9</v>
      </c>
      <c r="E2873" s="4" t="s">
        <v>9</v>
      </c>
      <c r="F2873" s="6">
        <v>0</v>
      </c>
      <c r="G2873" s="6">
        <v>0</v>
      </c>
      <c r="H2873" s="4" t="s">
        <v>9</v>
      </c>
      <c r="I2873" s="4" t="s">
        <v>3</v>
      </c>
      <c r="J2873" s="4" t="s">
        <v>9</v>
      </c>
      <c r="K2873" s="4" t="s">
        <v>9</v>
      </c>
      <c r="L2873" s="4" t="s">
        <v>9</v>
      </c>
      <c r="M2873" s="4" t="s">
        <v>9</v>
      </c>
      <c r="N2873" s="5"/>
    </row>
    <row r="2874" spans="1:14" x14ac:dyDescent="0.25">
      <c r="A2874" t="s">
        <v>481</v>
      </c>
      <c r="B2874" s="2">
        <v>45782</v>
      </c>
      <c r="C2874" t="s">
        <v>481</v>
      </c>
      <c r="D2874" t="s">
        <v>112</v>
      </c>
      <c r="E2874" t="s">
        <v>9</v>
      </c>
      <c r="F2874" s="3">
        <v>-11250</v>
      </c>
      <c r="G2874" s="3">
        <v>-11250</v>
      </c>
      <c r="H2874" t="s">
        <v>3</v>
      </c>
      <c r="I2874" t="s">
        <v>3</v>
      </c>
      <c r="J2874" t="s">
        <v>9</v>
      </c>
      <c r="K2874" t="s">
        <v>9</v>
      </c>
      <c r="L2874" t="s">
        <v>17</v>
      </c>
      <c r="M2874" t="s">
        <v>114</v>
      </c>
      <c r="N2874" s="2">
        <v>45777</v>
      </c>
    </row>
    <row r="2875" spans="1:14" x14ac:dyDescent="0.25">
      <c r="A2875" t="s">
        <v>481</v>
      </c>
      <c r="B2875" s="2">
        <v>46147</v>
      </c>
      <c r="C2875" t="s">
        <v>481</v>
      </c>
      <c r="D2875" t="s">
        <v>112</v>
      </c>
      <c r="E2875" t="s">
        <v>9</v>
      </c>
      <c r="F2875" s="3">
        <v>-17274</v>
      </c>
      <c r="G2875" s="3">
        <v>-17274</v>
      </c>
      <c r="H2875" t="s">
        <v>3</v>
      </c>
      <c r="I2875" t="s">
        <v>3</v>
      </c>
      <c r="J2875" t="s">
        <v>9</v>
      </c>
      <c r="K2875" t="s">
        <v>9</v>
      </c>
      <c r="L2875" t="s">
        <v>17</v>
      </c>
      <c r="M2875" t="s">
        <v>114</v>
      </c>
      <c r="N2875" s="2">
        <v>46142</v>
      </c>
    </row>
    <row r="2876" spans="1:14" x14ac:dyDescent="0.25">
      <c r="A2876" t="s">
        <v>481</v>
      </c>
      <c r="B2876" s="2">
        <v>45747</v>
      </c>
      <c r="C2876" t="s">
        <v>481</v>
      </c>
      <c r="D2876" t="s">
        <v>112</v>
      </c>
      <c r="E2876" t="s">
        <v>9</v>
      </c>
      <c r="F2876" s="3">
        <v>-800</v>
      </c>
      <c r="G2876" s="3">
        <v>-800</v>
      </c>
      <c r="H2876" t="s">
        <v>3</v>
      </c>
      <c r="I2876" t="s">
        <v>3</v>
      </c>
      <c r="J2876" t="s">
        <v>305</v>
      </c>
      <c r="K2876" t="s">
        <v>5</v>
      </c>
      <c r="L2876" t="s">
        <v>17</v>
      </c>
      <c r="M2876" t="s">
        <v>114</v>
      </c>
      <c r="N2876" s="2">
        <v>45748</v>
      </c>
    </row>
    <row r="2877" spans="1:14" x14ac:dyDescent="0.25">
      <c r="A2877" t="s">
        <v>481</v>
      </c>
      <c r="B2877" s="2">
        <v>45777</v>
      </c>
      <c r="C2877" t="s">
        <v>481</v>
      </c>
      <c r="D2877" t="s">
        <v>112</v>
      </c>
      <c r="E2877" t="s">
        <v>9</v>
      </c>
      <c r="F2877" s="3">
        <v>12050</v>
      </c>
      <c r="G2877" s="3">
        <v>12050</v>
      </c>
      <c r="H2877" t="s">
        <v>3</v>
      </c>
      <c r="I2877" t="s">
        <v>3</v>
      </c>
      <c r="J2877" t="s">
        <v>308</v>
      </c>
      <c r="K2877" t="s">
        <v>5</v>
      </c>
      <c r="L2877" t="s">
        <v>17</v>
      </c>
      <c r="M2877" t="s">
        <v>114</v>
      </c>
      <c r="N2877" s="2">
        <v>45777</v>
      </c>
    </row>
    <row r="2878" spans="1:14" x14ac:dyDescent="0.25">
      <c r="A2878" t="s">
        <v>481</v>
      </c>
      <c r="B2878" s="2">
        <v>46112</v>
      </c>
      <c r="C2878" t="s">
        <v>481</v>
      </c>
      <c r="D2878" t="s">
        <v>112</v>
      </c>
      <c r="E2878" t="s">
        <v>9</v>
      </c>
      <c r="F2878" s="3">
        <v>-40388</v>
      </c>
      <c r="G2878" s="3">
        <v>-40388</v>
      </c>
      <c r="H2878" t="s">
        <v>3</v>
      </c>
      <c r="I2878" t="s">
        <v>3</v>
      </c>
      <c r="J2878" t="s">
        <v>307</v>
      </c>
      <c r="K2878" t="s">
        <v>13</v>
      </c>
      <c r="L2878" t="s">
        <v>17</v>
      </c>
      <c r="M2878" t="s">
        <v>114</v>
      </c>
      <c r="N2878" s="2">
        <v>46113</v>
      </c>
    </row>
    <row r="2879" spans="1:14" x14ac:dyDescent="0.25">
      <c r="A2879" t="s">
        <v>481</v>
      </c>
      <c r="B2879" s="2">
        <v>46112</v>
      </c>
      <c r="C2879" t="s">
        <v>481</v>
      </c>
      <c r="D2879" t="s">
        <v>112</v>
      </c>
      <c r="E2879" t="s">
        <v>9</v>
      </c>
      <c r="F2879" s="3">
        <v>-43697.5</v>
      </c>
      <c r="G2879" s="3">
        <v>-43697.5</v>
      </c>
      <c r="H2879" t="s">
        <v>3</v>
      </c>
      <c r="I2879" t="s">
        <v>3</v>
      </c>
      <c r="J2879" t="s">
        <v>395</v>
      </c>
      <c r="K2879" t="s">
        <v>13</v>
      </c>
      <c r="L2879" t="s">
        <v>17</v>
      </c>
      <c r="M2879" t="s">
        <v>114</v>
      </c>
      <c r="N2879" s="2">
        <v>46113</v>
      </c>
    </row>
    <row r="2880" spans="1:14" x14ac:dyDescent="0.25">
      <c r="A2880" t="s">
        <v>481</v>
      </c>
      <c r="B2880" s="2">
        <v>46142</v>
      </c>
      <c r="C2880" t="s">
        <v>481</v>
      </c>
      <c r="D2880" t="s">
        <v>112</v>
      </c>
      <c r="E2880" t="s">
        <v>9</v>
      </c>
      <c r="F2880" s="3">
        <v>42012</v>
      </c>
      <c r="G2880" s="3">
        <v>42012</v>
      </c>
      <c r="H2880" t="s">
        <v>3</v>
      </c>
      <c r="I2880" t="s">
        <v>3</v>
      </c>
      <c r="J2880" t="s">
        <v>310</v>
      </c>
      <c r="K2880" t="s">
        <v>13</v>
      </c>
      <c r="L2880" t="s">
        <v>17</v>
      </c>
      <c r="M2880" t="s">
        <v>114</v>
      </c>
      <c r="N2880" s="2">
        <v>46142</v>
      </c>
    </row>
    <row r="2881" spans="1:14" x14ac:dyDescent="0.25">
      <c r="A2881" t="s">
        <v>481</v>
      </c>
      <c r="B2881" s="2">
        <v>46142</v>
      </c>
      <c r="C2881" t="s">
        <v>481</v>
      </c>
      <c r="D2881" t="s">
        <v>112</v>
      </c>
      <c r="E2881" t="s">
        <v>9</v>
      </c>
      <c r="F2881" s="3">
        <v>59347.5</v>
      </c>
      <c r="G2881" s="3">
        <v>59347.5</v>
      </c>
      <c r="H2881" t="s">
        <v>3</v>
      </c>
      <c r="I2881" t="s">
        <v>3</v>
      </c>
      <c r="J2881" t="s">
        <v>423</v>
      </c>
      <c r="K2881" t="s">
        <v>13</v>
      </c>
      <c r="L2881" t="s">
        <v>17</v>
      </c>
      <c r="M2881" t="s">
        <v>114</v>
      </c>
      <c r="N2881" s="2">
        <v>46142</v>
      </c>
    </row>
    <row r="2882" spans="1:14" x14ac:dyDescent="0.25">
      <c r="A2882" s="4" t="s">
        <v>249</v>
      </c>
      <c r="B2882" s="5"/>
      <c r="C2882" s="4" t="s">
        <v>9</v>
      </c>
      <c r="D2882" s="4" t="s">
        <v>9</v>
      </c>
      <c r="E2882" s="4" t="s">
        <v>9</v>
      </c>
      <c r="F2882" s="6">
        <v>0</v>
      </c>
      <c r="G2882" s="6">
        <v>0</v>
      </c>
      <c r="H2882" s="4" t="s">
        <v>9</v>
      </c>
      <c r="I2882" s="4" t="s">
        <v>3</v>
      </c>
      <c r="J2882" s="4" t="s">
        <v>9</v>
      </c>
      <c r="K2882" s="4" t="s">
        <v>9</v>
      </c>
      <c r="L2882" s="4" t="s">
        <v>9</v>
      </c>
      <c r="M2882" s="4" t="s">
        <v>9</v>
      </c>
      <c r="N2882" s="5"/>
    </row>
    <row r="2883" spans="1:14" x14ac:dyDescent="0.25">
      <c r="A2883" t="s">
        <v>481</v>
      </c>
      <c r="B2883" s="2">
        <v>45810</v>
      </c>
      <c r="C2883" t="s">
        <v>481</v>
      </c>
      <c r="D2883" t="s">
        <v>112</v>
      </c>
      <c r="E2883" t="s">
        <v>9</v>
      </c>
      <c r="F2883" s="3">
        <v>-14550</v>
      </c>
      <c r="G2883" s="3">
        <v>-14550</v>
      </c>
      <c r="H2883" t="s">
        <v>3</v>
      </c>
      <c r="I2883" t="s">
        <v>3</v>
      </c>
      <c r="J2883" t="s">
        <v>9</v>
      </c>
      <c r="K2883" t="s">
        <v>9</v>
      </c>
      <c r="L2883" t="s">
        <v>18</v>
      </c>
      <c r="M2883" t="s">
        <v>114</v>
      </c>
      <c r="N2883" s="2">
        <v>45808</v>
      </c>
    </row>
    <row r="2884" spans="1:14" x14ac:dyDescent="0.25">
      <c r="A2884" t="s">
        <v>481</v>
      </c>
      <c r="B2884" s="2">
        <v>46175</v>
      </c>
      <c r="C2884" t="s">
        <v>481</v>
      </c>
      <c r="D2884" t="s">
        <v>112</v>
      </c>
      <c r="E2884" t="s">
        <v>9</v>
      </c>
      <c r="F2884" s="3">
        <v>-16137</v>
      </c>
      <c r="G2884" s="3">
        <v>-16137</v>
      </c>
      <c r="H2884" t="s">
        <v>3</v>
      </c>
      <c r="I2884" t="s">
        <v>3</v>
      </c>
      <c r="J2884" t="s">
        <v>9</v>
      </c>
      <c r="K2884" t="s">
        <v>9</v>
      </c>
      <c r="L2884" t="s">
        <v>18</v>
      </c>
      <c r="M2884" t="s">
        <v>114</v>
      </c>
      <c r="N2884" s="2">
        <v>46173</v>
      </c>
    </row>
    <row r="2885" spans="1:14" x14ac:dyDescent="0.25">
      <c r="A2885" t="s">
        <v>481</v>
      </c>
      <c r="B2885" s="2">
        <v>45777</v>
      </c>
      <c r="C2885" t="s">
        <v>481</v>
      </c>
      <c r="D2885" t="s">
        <v>112</v>
      </c>
      <c r="E2885" t="s">
        <v>9</v>
      </c>
      <c r="F2885" s="3">
        <v>-12050</v>
      </c>
      <c r="G2885" s="3">
        <v>-12050</v>
      </c>
      <c r="H2885" t="s">
        <v>3</v>
      </c>
      <c r="I2885" t="s">
        <v>3</v>
      </c>
      <c r="J2885" t="s">
        <v>308</v>
      </c>
      <c r="K2885" t="s">
        <v>5</v>
      </c>
      <c r="L2885" t="s">
        <v>18</v>
      </c>
      <c r="M2885" t="s">
        <v>114</v>
      </c>
      <c r="N2885" s="2">
        <v>45778</v>
      </c>
    </row>
    <row r="2886" spans="1:14" x14ac:dyDescent="0.25">
      <c r="A2886" t="s">
        <v>481</v>
      </c>
      <c r="B2886" s="2">
        <v>45808</v>
      </c>
      <c r="C2886" t="s">
        <v>481</v>
      </c>
      <c r="D2886" t="s">
        <v>112</v>
      </c>
      <c r="E2886" t="s">
        <v>9</v>
      </c>
      <c r="F2886" s="3">
        <v>22750</v>
      </c>
      <c r="G2886" s="3">
        <v>22750</v>
      </c>
      <c r="H2886" t="s">
        <v>3</v>
      </c>
      <c r="I2886" t="s">
        <v>3</v>
      </c>
      <c r="J2886" t="s">
        <v>311</v>
      </c>
      <c r="K2886" t="s">
        <v>5</v>
      </c>
      <c r="L2886" t="s">
        <v>18</v>
      </c>
      <c r="M2886" t="s">
        <v>114</v>
      </c>
      <c r="N2886" s="2">
        <v>45808</v>
      </c>
    </row>
    <row r="2887" spans="1:14" x14ac:dyDescent="0.25">
      <c r="A2887" t="s">
        <v>481</v>
      </c>
      <c r="B2887" s="2">
        <v>45808</v>
      </c>
      <c r="C2887" t="s">
        <v>481</v>
      </c>
      <c r="D2887" t="s">
        <v>112</v>
      </c>
      <c r="E2887" t="s">
        <v>9</v>
      </c>
      <c r="F2887" s="3">
        <v>3850</v>
      </c>
      <c r="G2887" s="3">
        <v>3850</v>
      </c>
      <c r="H2887" t="s">
        <v>3</v>
      </c>
      <c r="I2887" t="s">
        <v>3</v>
      </c>
      <c r="J2887" t="s">
        <v>397</v>
      </c>
      <c r="K2887" t="s">
        <v>5</v>
      </c>
      <c r="L2887" t="s">
        <v>18</v>
      </c>
      <c r="M2887" t="s">
        <v>114</v>
      </c>
      <c r="N2887" s="2">
        <v>45808</v>
      </c>
    </row>
    <row r="2888" spans="1:14" x14ac:dyDescent="0.25">
      <c r="A2888" t="s">
        <v>481</v>
      </c>
      <c r="B2888" s="2">
        <v>46142</v>
      </c>
      <c r="C2888" t="s">
        <v>481</v>
      </c>
      <c r="D2888" t="s">
        <v>112</v>
      </c>
      <c r="E2888" t="s">
        <v>9</v>
      </c>
      <c r="F2888" s="3">
        <v>-42012</v>
      </c>
      <c r="G2888" s="3">
        <v>-42012</v>
      </c>
      <c r="H2888" t="s">
        <v>3</v>
      </c>
      <c r="I2888" t="s">
        <v>3</v>
      </c>
      <c r="J2888" t="s">
        <v>310</v>
      </c>
      <c r="K2888" t="s">
        <v>13</v>
      </c>
      <c r="L2888" t="s">
        <v>18</v>
      </c>
      <c r="M2888" t="s">
        <v>114</v>
      </c>
      <c r="N2888" s="2">
        <v>46143</v>
      </c>
    </row>
    <row r="2889" spans="1:14" x14ac:dyDescent="0.25">
      <c r="A2889" t="s">
        <v>481</v>
      </c>
      <c r="B2889" s="2">
        <v>46142</v>
      </c>
      <c r="C2889" t="s">
        <v>481</v>
      </c>
      <c r="D2889" t="s">
        <v>112</v>
      </c>
      <c r="E2889" t="s">
        <v>9</v>
      </c>
      <c r="F2889" s="3">
        <v>-59347.5</v>
      </c>
      <c r="G2889" s="3">
        <v>-59347.5</v>
      </c>
      <c r="H2889" t="s">
        <v>3</v>
      </c>
      <c r="I2889" t="s">
        <v>3</v>
      </c>
      <c r="J2889" t="s">
        <v>423</v>
      </c>
      <c r="K2889" t="s">
        <v>13</v>
      </c>
      <c r="L2889" t="s">
        <v>18</v>
      </c>
      <c r="M2889" t="s">
        <v>114</v>
      </c>
      <c r="N2889" s="2">
        <v>46143</v>
      </c>
    </row>
    <row r="2890" spans="1:14" x14ac:dyDescent="0.25">
      <c r="A2890" t="s">
        <v>481</v>
      </c>
      <c r="B2890" s="2">
        <v>46173</v>
      </c>
      <c r="C2890" t="s">
        <v>481</v>
      </c>
      <c r="D2890" t="s">
        <v>112</v>
      </c>
      <c r="E2890" t="s">
        <v>9</v>
      </c>
      <c r="F2890" s="3">
        <v>46184</v>
      </c>
      <c r="G2890" s="3">
        <v>46184</v>
      </c>
      <c r="H2890" t="s">
        <v>3</v>
      </c>
      <c r="I2890" t="s">
        <v>3</v>
      </c>
      <c r="J2890" t="s">
        <v>313</v>
      </c>
      <c r="K2890" t="s">
        <v>13</v>
      </c>
      <c r="L2890" t="s">
        <v>18</v>
      </c>
      <c r="M2890" t="s">
        <v>114</v>
      </c>
      <c r="N2890" s="2">
        <v>46173</v>
      </c>
    </row>
    <row r="2891" spans="1:14" x14ac:dyDescent="0.25">
      <c r="A2891" t="s">
        <v>481</v>
      </c>
      <c r="B2891" s="2">
        <v>46173</v>
      </c>
      <c r="C2891" t="s">
        <v>481</v>
      </c>
      <c r="D2891" t="s">
        <v>112</v>
      </c>
      <c r="E2891" t="s">
        <v>9</v>
      </c>
      <c r="F2891" s="3">
        <v>71312.5</v>
      </c>
      <c r="G2891" s="3">
        <v>71312.5</v>
      </c>
      <c r="H2891" t="s">
        <v>3</v>
      </c>
      <c r="I2891" t="s">
        <v>3</v>
      </c>
      <c r="J2891" t="s">
        <v>427</v>
      </c>
      <c r="K2891" t="s">
        <v>13</v>
      </c>
      <c r="L2891" t="s">
        <v>18</v>
      </c>
      <c r="M2891" t="s">
        <v>114</v>
      </c>
      <c r="N2891" s="2">
        <v>46173</v>
      </c>
    </row>
    <row r="2892" spans="1:14" x14ac:dyDescent="0.25">
      <c r="A2892" s="4" t="s">
        <v>223</v>
      </c>
      <c r="B2892" s="5"/>
      <c r="C2892" s="4" t="s">
        <v>9</v>
      </c>
      <c r="D2892" s="4" t="s">
        <v>9</v>
      </c>
      <c r="E2892" s="4" t="s">
        <v>9</v>
      </c>
      <c r="F2892" s="6">
        <v>0</v>
      </c>
      <c r="G2892" s="6">
        <v>0</v>
      </c>
      <c r="H2892" s="4" t="s">
        <v>9</v>
      </c>
      <c r="I2892" s="4" t="s">
        <v>3</v>
      </c>
      <c r="J2892" s="4" t="s">
        <v>9</v>
      </c>
      <c r="K2892" s="4" t="s">
        <v>9</v>
      </c>
      <c r="L2892" s="4" t="s">
        <v>9</v>
      </c>
      <c r="M2892" s="4" t="s">
        <v>9</v>
      </c>
      <c r="N2892" s="5"/>
    </row>
    <row r="2893" spans="1:14" x14ac:dyDescent="0.25">
      <c r="A2893" t="s">
        <v>481</v>
      </c>
      <c r="B2893" s="2">
        <v>45839</v>
      </c>
      <c r="C2893" t="s">
        <v>481</v>
      </c>
      <c r="D2893" t="s">
        <v>112</v>
      </c>
      <c r="E2893" t="s">
        <v>9</v>
      </c>
      <c r="F2893" s="3">
        <v>-16700</v>
      </c>
      <c r="G2893" s="3">
        <v>-16700</v>
      </c>
      <c r="H2893" t="s">
        <v>3</v>
      </c>
      <c r="I2893" t="s">
        <v>3</v>
      </c>
      <c r="J2893" t="s">
        <v>9</v>
      </c>
      <c r="K2893" t="s">
        <v>9</v>
      </c>
      <c r="L2893" t="s">
        <v>19</v>
      </c>
      <c r="M2893" t="s">
        <v>114</v>
      </c>
      <c r="N2893" s="2">
        <v>45838</v>
      </c>
    </row>
    <row r="2894" spans="1:14" x14ac:dyDescent="0.25">
      <c r="A2894" t="s">
        <v>481</v>
      </c>
      <c r="B2894" s="2">
        <v>46205</v>
      </c>
      <c r="C2894" t="s">
        <v>481</v>
      </c>
      <c r="D2894" t="s">
        <v>112</v>
      </c>
      <c r="E2894" t="s">
        <v>9</v>
      </c>
      <c r="F2894" s="3">
        <v>-16056.54</v>
      </c>
      <c r="G2894" s="3">
        <v>-16056.54</v>
      </c>
      <c r="H2894" t="s">
        <v>3</v>
      </c>
      <c r="I2894" t="s">
        <v>3</v>
      </c>
      <c r="J2894" t="s">
        <v>9</v>
      </c>
      <c r="K2894" t="s">
        <v>9</v>
      </c>
      <c r="L2894" t="s">
        <v>19</v>
      </c>
      <c r="M2894" t="s">
        <v>114</v>
      </c>
      <c r="N2894" s="2">
        <v>46203</v>
      </c>
    </row>
    <row r="2895" spans="1:14" x14ac:dyDescent="0.25">
      <c r="A2895" t="s">
        <v>481</v>
      </c>
      <c r="B2895" s="2">
        <v>45808</v>
      </c>
      <c r="C2895" t="s">
        <v>481</v>
      </c>
      <c r="D2895" t="s">
        <v>112</v>
      </c>
      <c r="E2895" t="s">
        <v>9</v>
      </c>
      <c r="F2895" s="3">
        <v>-22750</v>
      </c>
      <c r="G2895" s="3">
        <v>-22750</v>
      </c>
      <c r="H2895" t="s">
        <v>3</v>
      </c>
      <c r="I2895" t="s">
        <v>3</v>
      </c>
      <c r="J2895" t="s">
        <v>311</v>
      </c>
      <c r="K2895" t="s">
        <v>5</v>
      </c>
      <c r="L2895" t="s">
        <v>19</v>
      </c>
      <c r="M2895" t="s">
        <v>114</v>
      </c>
      <c r="N2895" s="2">
        <v>45809</v>
      </c>
    </row>
    <row r="2896" spans="1:14" x14ac:dyDescent="0.25">
      <c r="A2896" t="s">
        <v>481</v>
      </c>
      <c r="B2896" s="2">
        <v>45808</v>
      </c>
      <c r="C2896" t="s">
        <v>481</v>
      </c>
      <c r="D2896" t="s">
        <v>112</v>
      </c>
      <c r="E2896" t="s">
        <v>9</v>
      </c>
      <c r="F2896" s="3">
        <v>-3850</v>
      </c>
      <c r="G2896" s="3">
        <v>-3850</v>
      </c>
      <c r="H2896" t="s">
        <v>3</v>
      </c>
      <c r="I2896" t="s">
        <v>3</v>
      </c>
      <c r="J2896" t="s">
        <v>397</v>
      </c>
      <c r="K2896" t="s">
        <v>5</v>
      </c>
      <c r="L2896" t="s">
        <v>19</v>
      </c>
      <c r="M2896" t="s">
        <v>114</v>
      </c>
      <c r="N2896" s="2">
        <v>45809</v>
      </c>
    </row>
    <row r="2897" spans="1:14" x14ac:dyDescent="0.25">
      <c r="A2897" t="s">
        <v>481</v>
      </c>
      <c r="B2897" s="2">
        <v>45838</v>
      </c>
      <c r="C2897" t="s">
        <v>481</v>
      </c>
      <c r="D2897" t="s">
        <v>112</v>
      </c>
      <c r="E2897" t="s">
        <v>9</v>
      </c>
      <c r="F2897" s="3">
        <v>36950</v>
      </c>
      <c r="G2897" s="3">
        <v>36950</v>
      </c>
      <c r="H2897" t="s">
        <v>3</v>
      </c>
      <c r="I2897" t="s">
        <v>3</v>
      </c>
      <c r="J2897" t="s">
        <v>314</v>
      </c>
      <c r="K2897" t="s">
        <v>5</v>
      </c>
      <c r="L2897" t="s">
        <v>19</v>
      </c>
      <c r="M2897" t="s">
        <v>114</v>
      </c>
      <c r="N2897" s="2">
        <v>45838</v>
      </c>
    </row>
    <row r="2898" spans="1:14" x14ac:dyDescent="0.25">
      <c r="A2898" t="s">
        <v>481</v>
      </c>
      <c r="B2898" s="2">
        <v>45838</v>
      </c>
      <c r="C2898" t="s">
        <v>481</v>
      </c>
      <c r="D2898" t="s">
        <v>112</v>
      </c>
      <c r="E2898" t="s">
        <v>9</v>
      </c>
      <c r="F2898" s="3">
        <v>6350</v>
      </c>
      <c r="G2898" s="3">
        <v>6350</v>
      </c>
      <c r="H2898" t="s">
        <v>3</v>
      </c>
      <c r="I2898" t="s">
        <v>3</v>
      </c>
      <c r="J2898" t="s">
        <v>398</v>
      </c>
      <c r="K2898" t="s">
        <v>5</v>
      </c>
      <c r="L2898" t="s">
        <v>19</v>
      </c>
      <c r="M2898" t="s">
        <v>114</v>
      </c>
      <c r="N2898" s="2">
        <v>45838</v>
      </c>
    </row>
    <row r="2899" spans="1:14" x14ac:dyDescent="0.25">
      <c r="A2899" t="s">
        <v>481</v>
      </c>
      <c r="B2899" s="2">
        <v>46173</v>
      </c>
      <c r="C2899" t="s">
        <v>481</v>
      </c>
      <c r="D2899" t="s">
        <v>112</v>
      </c>
      <c r="E2899" t="s">
        <v>9</v>
      </c>
      <c r="F2899" s="3">
        <v>-46184</v>
      </c>
      <c r="G2899" s="3">
        <v>-46184</v>
      </c>
      <c r="H2899" t="s">
        <v>3</v>
      </c>
      <c r="I2899" t="s">
        <v>3</v>
      </c>
      <c r="J2899" t="s">
        <v>313</v>
      </c>
      <c r="K2899" t="s">
        <v>13</v>
      </c>
      <c r="L2899" t="s">
        <v>19</v>
      </c>
      <c r="M2899" t="s">
        <v>114</v>
      </c>
      <c r="N2899" s="2">
        <v>46174</v>
      </c>
    </row>
    <row r="2900" spans="1:14" x14ac:dyDescent="0.25">
      <c r="A2900" t="s">
        <v>481</v>
      </c>
      <c r="B2900" s="2">
        <v>46173</v>
      </c>
      <c r="C2900" t="s">
        <v>481</v>
      </c>
      <c r="D2900" t="s">
        <v>112</v>
      </c>
      <c r="E2900" t="s">
        <v>9</v>
      </c>
      <c r="F2900" s="3">
        <v>-71312.5</v>
      </c>
      <c r="G2900" s="3">
        <v>-71312.5</v>
      </c>
      <c r="H2900" t="s">
        <v>3</v>
      </c>
      <c r="I2900" t="s">
        <v>3</v>
      </c>
      <c r="J2900" t="s">
        <v>427</v>
      </c>
      <c r="K2900" t="s">
        <v>13</v>
      </c>
      <c r="L2900" t="s">
        <v>19</v>
      </c>
      <c r="M2900" t="s">
        <v>114</v>
      </c>
      <c r="N2900" s="2">
        <v>46174</v>
      </c>
    </row>
    <row r="2901" spans="1:14" x14ac:dyDescent="0.25">
      <c r="A2901" t="s">
        <v>481</v>
      </c>
      <c r="B2901" s="2">
        <v>46203</v>
      </c>
      <c r="C2901" t="s">
        <v>481</v>
      </c>
      <c r="D2901" t="s">
        <v>112</v>
      </c>
      <c r="E2901" t="s">
        <v>9</v>
      </c>
      <c r="F2901" s="3">
        <v>56439.11</v>
      </c>
      <c r="G2901" s="3">
        <v>56439.11</v>
      </c>
      <c r="H2901" t="s">
        <v>3</v>
      </c>
      <c r="I2901" t="s">
        <v>3</v>
      </c>
      <c r="J2901" t="s">
        <v>316</v>
      </c>
      <c r="K2901" t="s">
        <v>13</v>
      </c>
      <c r="L2901" t="s">
        <v>19</v>
      </c>
      <c r="M2901" t="s">
        <v>114</v>
      </c>
      <c r="N2901" s="2">
        <v>46203</v>
      </c>
    </row>
    <row r="2902" spans="1:14" x14ac:dyDescent="0.25">
      <c r="A2902" t="s">
        <v>481</v>
      </c>
      <c r="B2902" s="2">
        <v>46203</v>
      </c>
      <c r="C2902" t="s">
        <v>481</v>
      </c>
      <c r="D2902" t="s">
        <v>112</v>
      </c>
      <c r="E2902" t="s">
        <v>9</v>
      </c>
      <c r="F2902" s="3">
        <v>77113.929999999993</v>
      </c>
      <c r="G2902" s="3">
        <v>77113.929999999993</v>
      </c>
      <c r="H2902" t="s">
        <v>3</v>
      </c>
      <c r="I2902" t="s">
        <v>3</v>
      </c>
      <c r="J2902" t="s">
        <v>428</v>
      </c>
      <c r="K2902" t="s">
        <v>13</v>
      </c>
      <c r="L2902" t="s">
        <v>19</v>
      </c>
      <c r="M2902" t="s">
        <v>114</v>
      </c>
      <c r="N2902" s="2">
        <v>46203</v>
      </c>
    </row>
    <row r="2903" spans="1:14" x14ac:dyDescent="0.25">
      <c r="A2903" s="4" t="s">
        <v>224</v>
      </c>
      <c r="B2903" s="5"/>
      <c r="C2903" s="4" t="s">
        <v>9</v>
      </c>
      <c r="D2903" s="4" t="s">
        <v>9</v>
      </c>
      <c r="E2903" s="4" t="s">
        <v>9</v>
      </c>
      <c r="F2903" s="6">
        <v>0</v>
      </c>
      <c r="G2903" s="6">
        <v>0</v>
      </c>
      <c r="H2903" s="4" t="s">
        <v>9</v>
      </c>
      <c r="I2903" s="4" t="s">
        <v>3</v>
      </c>
      <c r="J2903" s="4" t="s">
        <v>9</v>
      </c>
      <c r="K2903" s="4" t="s">
        <v>9</v>
      </c>
      <c r="L2903" s="4" t="s">
        <v>9</v>
      </c>
      <c r="M2903" s="4" t="s">
        <v>9</v>
      </c>
      <c r="N2903" s="5"/>
    </row>
    <row r="2904" spans="1:14" x14ac:dyDescent="0.25">
      <c r="A2904" t="s">
        <v>481</v>
      </c>
      <c r="B2904" s="2">
        <v>45870</v>
      </c>
      <c r="C2904" t="s">
        <v>481</v>
      </c>
      <c r="D2904" t="s">
        <v>112</v>
      </c>
      <c r="E2904" t="s">
        <v>9</v>
      </c>
      <c r="F2904" s="3">
        <v>-20964.5</v>
      </c>
      <c r="G2904" s="3">
        <v>-20964.5</v>
      </c>
      <c r="H2904" t="s">
        <v>3</v>
      </c>
      <c r="I2904" t="s">
        <v>3</v>
      </c>
      <c r="J2904" t="s">
        <v>9</v>
      </c>
      <c r="K2904" t="s">
        <v>9</v>
      </c>
      <c r="L2904" t="s">
        <v>21</v>
      </c>
      <c r="M2904" t="s">
        <v>114</v>
      </c>
      <c r="N2904" s="2">
        <v>45869</v>
      </c>
    </row>
    <row r="2905" spans="1:14" x14ac:dyDescent="0.25">
      <c r="A2905" t="s">
        <v>481</v>
      </c>
      <c r="B2905" s="2">
        <v>46239</v>
      </c>
      <c r="C2905" t="s">
        <v>481</v>
      </c>
      <c r="D2905" t="s">
        <v>112</v>
      </c>
      <c r="E2905" t="s">
        <v>9</v>
      </c>
      <c r="F2905" s="3">
        <v>133553.04</v>
      </c>
      <c r="G2905" s="3">
        <v>133553.04</v>
      </c>
      <c r="H2905" t="s">
        <v>3</v>
      </c>
      <c r="I2905" t="s">
        <v>3</v>
      </c>
      <c r="J2905" t="s">
        <v>9</v>
      </c>
      <c r="K2905" t="s">
        <v>9</v>
      </c>
      <c r="L2905" t="s">
        <v>21</v>
      </c>
      <c r="M2905" t="s">
        <v>114</v>
      </c>
      <c r="N2905" s="2">
        <v>46234</v>
      </c>
    </row>
    <row r="2906" spans="1:14" x14ac:dyDescent="0.25">
      <c r="A2906" t="s">
        <v>481</v>
      </c>
      <c r="B2906" s="2">
        <v>46239</v>
      </c>
      <c r="C2906" t="s">
        <v>481</v>
      </c>
      <c r="D2906" t="s">
        <v>112</v>
      </c>
      <c r="E2906" t="s">
        <v>9</v>
      </c>
      <c r="F2906" s="3">
        <v>-143605.5</v>
      </c>
      <c r="G2906" s="3">
        <v>-143605.5</v>
      </c>
      <c r="H2906" t="s">
        <v>3</v>
      </c>
      <c r="I2906" t="s">
        <v>3</v>
      </c>
      <c r="J2906" t="s">
        <v>9</v>
      </c>
      <c r="K2906" t="s">
        <v>9</v>
      </c>
      <c r="L2906" t="s">
        <v>21</v>
      </c>
      <c r="M2906" t="s">
        <v>114</v>
      </c>
      <c r="N2906" s="2">
        <v>46234</v>
      </c>
    </row>
    <row r="2907" spans="1:14" x14ac:dyDescent="0.25">
      <c r="A2907" t="s">
        <v>481</v>
      </c>
      <c r="B2907" s="2">
        <v>45838</v>
      </c>
      <c r="C2907" t="s">
        <v>481</v>
      </c>
      <c r="D2907" t="s">
        <v>112</v>
      </c>
      <c r="E2907" t="s">
        <v>9</v>
      </c>
      <c r="F2907" s="3">
        <v>-36950</v>
      </c>
      <c r="G2907" s="3">
        <v>-36950</v>
      </c>
      <c r="H2907" t="s">
        <v>3</v>
      </c>
      <c r="I2907" t="s">
        <v>3</v>
      </c>
      <c r="J2907" t="s">
        <v>314</v>
      </c>
      <c r="K2907" t="s">
        <v>5</v>
      </c>
      <c r="L2907" t="s">
        <v>21</v>
      </c>
      <c r="M2907" t="s">
        <v>114</v>
      </c>
      <c r="N2907" s="2">
        <v>45839</v>
      </c>
    </row>
    <row r="2908" spans="1:14" x14ac:dyDescent="0.25">
      <c r="A2908" t="s">
        <v>481</v>
      </c>
      <c r="B2908" s="2">
        <v>45838</v>
      </c>
      <c r="C2908" t="s">
        <v>481</v>
      </c>
      <c r="D2908" t="s">
        <v>112</v>
      </c>
      <c r="E2908" t="s">
        <v>9</v>
      </c>
      <c r="F2908" s="3">
        <v>-6350</v>
      </c>
      <c r="G2908" s="3">
        <v>-6350</v>
      </c>
      <c r="H2908" t="s">
        <v>3</v>
      </c>
      <c r="I2908" t="s">
        <v>3</v>
      </c>
      <c r="J2908" t="s">
        <v>398</v>
      </c>
      <c r="K2908" t="s">
        <v>5</v>
      </c>
      <c r="L2908" t="s">
        <v>21</v>
      </c>
      <c r="M2908" t="s">
        <v>114</v>
      </c>
      <c r="N2908" s="2">
        <v>45839</v>
      </c>
    </row>
    <row r="2909" spans="1:14" x14ac:dyDescent="0.25">
      <c r="A2909" t="s">
        <v>481</v>
      </c>
      <c r="B2909" s="2">
        <v>45869</v>
      </c>
      <c r="C2909" t="s">
        <v>481</v>
      </c>
      <c r="D2909" t="s">
        <v>112</v>
      </c>
      <c r="E2909" t="s">
        <v>9</v>
      </c>
      <c r="F2909" s="3">
        <v>53350</v>
      </c>
      <c r="G2909" s="3">
        <v>53350</v>
      </c>
      <c r="H2909" t="s">
        <v>3</v>
      </c>
      <c r="I2909" t="s">
        <v>3</v>
      </c>
      <c r="J2909" t="s">
        <v>317</v>
      </c>
      <c r="K2909" t="s">
        <v>5</v>
      </c>
      <c r="L2909" t="s">
        <v>21</v>
      </c>
      <c r="M2909" t="s">
        <v>114</v>
      </c>
      <c r="N2909" s="2">
        <v>45869</v>
      </c>
    </row>
    <row r="2910" spans="1:14" x14ac:dyDescent="0.25">
      <c r="A2910" t="s">
        <v>481</v>
      </c>
      <c r="B2910" s="2">
        <v>45869</v>
      </c>
      <c r="C2910" t="s">
        <v>481</v>
      </c>
      <c r="D2910" t="s">
        <v>112</v>
      </c>
      <c r="E2910" t="s">
        <v>9</v>
      </c>
      <c r="F2910" s="3">
        <v>10914.5</v>
      </c>
      <c r="G2910" s="3">
        <v>10914.5</v>
      </c>
      <c r="H2910" t="s">
        <v>3</v>
      </c>
      <c r="I2910" t="s">
        <v>3</v>
      </c>
      <c r="J2910" t="s">
        <v>382</v>
      </c>
      <c r="K2910" t="s">
        <v>5</v>
      </c>
      <c r="L2910" t="s">
        <v>21</v>
      </c>
      <c r="M2910" t="s">
        <v>114</v>
      </c>
      <c r="N2910" s="2">
        <v>45869</v>
      </c>
    </row>
    <row r="2911" spans="1:14" x14ac:dyDescent="0.25">
      <c r="A2911" t="s">
        <v>481</v>
      </c>
      <c r="B2911" s="2">
        <v>46203</v>
      </c>
      <c r="C2911" t="s">
        <v>481</v>
      </c>
      <c r="D2911" t="s">
        <v>112</v>
      </c>
      <c r="E2911" t="s">
        <v>9</v>
      </c>
      <c r="F2911" s="3">
        <v>-56439.11</v>
      </c>
      <c r="G2911" s="3">
        <v>-56439.11</v>
      </c>
      <c r="H2911" t="s">
        <v>3</v>
      </c>
      <c r="I2911" t="s">
        <v>3</v>
      </c>
      <c r="J2911" t="s">
        <v>316</v>
      </c>
      <c r="K2911" t="s">
        <v>13</v>
      </c>
      <c r="L2911" t="s">
        <v>21</v>
      </c>
      <c r="M2911" t="s">
        <v>114</v>
      </c>
      <c r="N2911" s="2">
        <v>46204</v>
      </c>
    </row>
    <row r="2912" spans="1:14" x14ac:dyDescent="0.25">
      <c r="A2912" t="s">
        <v>481</v>
      </c>
      <c r="B2912" s="2">
        <v>46203</v>
      </c>
      <c r="C2912" t="s">
        <v>481</v>
      </c>
      <c r="D2912" t="s">
        <v>112</v>
      </c>
      <c r="E2912" t="s">
        <v>9</v>
      </c>
      <c r="F2912" s="3">
        <v>-77113.929999999993</v>
      </c>
      <c r="G2912" s="3">
        <v>-77113.929999999993</v>
      </c>
      <c r="H2912" t="s">
        <v>3</v>
      </c>
      <c r="I2912" t="s">
        <v>3</v>
      </c>
      <c r="J2912" t="s">
        <v>428</v>
      </c>
      <c r="K2912" t="s">
        <v>13</v>
      </c>
      <c r="L2912" t="s">
        <v>21</v>
      </c>
      <c r="M2912" t="s">
        <v>114</v>
      </c>
      <c r="N2912" s="2">
        <v>46204</v>
      </c>
    </row>
    <row r="2913" spans="1:14" x14ac:dyDescent="0.25">
      <c r="A2913" t="s">
        <v>481</v>
      </c>
      <c r="B2913" s="2">
        <v>46234</v>
      </c>
      <c r="C2913" t="s">
        <v>481</v>
      </c>
      <c r="D2913" t="s">
        <v>112</v>
      </c>
      <c r="E2913" t="s">
        <v>9</v>
      </c>
      <c r="F2913" s="3">
        <v>58398</v>
      </c>
      <c r="G2913" s="3">
        <v>58398</v>
      </c>
      <c r="H2913" t="s">
        <v>3</v>
      </c>
      <c r="I2913" t="s">
        <v>3</v>
      </c>
      <c r="J2913" t="s">
        <v>319</v>
      </c>
      <c r="K2913" t="s">
        <v>13</v>
      </c>
      <c r="L2913" t="s">
        <v>21</v>
      </c>
      <c r="M2913" t="s">
        <v>114</v>
      </c>
      <c r="N2913" s="2">
        <v>46234</v>
      </c>
    </row>
    <row r="2914" spans="1:14" x14ac:dyDescent="0.25">
      <c r="A2914" t="s">
        <v>481</v>
      </c>
      <c r="B2914" s="2">
        <v>46234</v>
      </c>
      <c r="C2914" t="s">
        <v>481</v>
      </c>
      <c r="D2914" t="s">
        <v>112</v>
      </c>
      <c r="E2914" t="s">
        <v>9</v>
      </c>
      <c r="F2914" s="3">
        <v>85207.5</v>
      </c>
      <c r="G2914" s="3">
        <v>85207.5</v>
      </c>
      <c r="H2914" t="s">
        <v>3</v>
      </c>
      <c r="I2914" t="s">
        <v>3</v>
      </c>
      <c r="J2914" t="s">
        <v>429</v>
      </c>
      <c r="K2914" t="s">
        <v>13</v>
      </c>
      <c r="L2914" t="s">
        <v>21</v>
      </c>
      <c r="M2914" t="s">
        <v>114</v>
      </c>
      <c r="N2914" s="2">
        <v>46234</v>
      </c>
    </row>
    <row r="2915" spans="1:14" x14ac:dyDescent="0.25">
      <c r="A2915" s="4" t="s">
        <v>262</v>
      </c>
      <c r="B2915" s="5"/>
      <c r="C2915" s="4" t="s">
        <v>9</v>
      </c>
      <c r="D2915" s="4" t="s">
        <v>9</v>
      </c>
      <c r="E2915" s="4" t="s">
        <v>9</v>
      </c>
      <c r="F2915" s="6">
        <v>0</v>
      </c>
      <c r="G2915" s="6">
        <v>0</v>
      </c>
      <c r="H2915" s="4" t="s">
        <v>9</v>
      </c>
      <c r="I2915" s="4" t="s">
        <v>3</v>
      </c>
      <c r="J2915" s="4" t="s">
        <v>9</v>
      </c>
      <c r="K2915" s="4" t="s">
        <v>9</v>
      </c>
      <c r="L2915" s="4" t="s">
        <v>9</v>
      </c>
      <c r="M2915" s="4" t="s">
        <v>9</v>
      </c>
      <c r="N2915" s="5"/>
    </row>
    <row r="2916" spans="1:14" x14ac:dyDescent="0.25">
      <c r="A2916" t="s">
        <v>481</v>
      </c>
      <c r="B2916" s="2">
        <v>45901</v>
      </c>
      <c r="C2916" t="s">
        <v>481</v>
      </c>
      <c r="D2916" t="s">
        <v>112</v>
      </c>
      <c r="E2916" t="s">
        <v>9</v>
      </c>
      <c r="F2916" s="3">
        <v>-9219.5</v>
      </c>
      <c r="G2916" s="3">
        <v>-9219.5</v>
      </c>
      <c r="H2916" t="s">
        <v>3</v>
      </c>
      <c r="I2916" t="s">
        <v>3</v>
      </c>
      <c r="J2916" t="s">
        <v>9</v>
      </c>
      <c r="K2916" t="s">
        <v>9</v>
      </c>
      <c r="L2916" t="s">
        <v>22</v>
      </c>
      <c r="M2916" t="s">
        <v>114</v>
      </c>
      <c r="N2916" s="2">
        <v>45900</v>
      </c>
    </row>
    <row r="2917" spans="1:14" x14ac:dyDescent="0.25">
      <c r="A2917" t="s">
        <v>481</v>
      </c>
      <c r="B2917" s="2">
        <v>45903</v>
      </c>
      <c r="C2917" t="s">
        <v>481</v>
      </c>
      <c r="D2917" t="s">
        <v>112</v>
      </c>
      <c r="E2917" t="s">
        <v>9</v>
      </c>
      <c r="F2917" s="3">
        <v>-5484</v>
      </c>
      <c r="G2917" s="3">
        <v>-5484</v>
      </c>
      <c r="H2917" t="s">
        <v>3</v>
      </c>
      <c r="I2917" t="s">
        <v>3</v>
      </c>
      <c r="J2917" t="s">
        <v>9</v>
      </c>
      <c r="K2917" t="s">
        <v>9</v>
      </c>
      <c r="L2917" t="s">
        <v>22</v>
      </c>
      <c r="M2917" t="s">
        <v>114</v>
      </c>
      <c r="N2917" s="2">
        <v>45900</v>
      </c>
    </row>
    <row r="2918" spans="1:14" x14ac:dyDescent="0.25">
      <c r="A2918" t="s">
        <v>481</v>
      </c>
      <c r="B2918" s="2">
        <v>46267</v>
      </c>
      <c r="C2918" t="s">
        <v>481</v>
      </c>
      <c r="D2918" t="s">
        <v>112</v>
      </c>
      <c r="E2918" t="s">
        <v>9</v>
      </c>
      <c r="F2918" s="3">
        <v>-9044.5</v>
      </c>
      <c r="G2918" s="3">
        <v>-9044.5</v>
      </c>
      <c r="H2918" t="s">
        <v>3</v>
      </c>
      <c r="I2918" t="s">
        <v>3</v>
      </c>
      <c r="J2918" t="s">
        <v>9</v>
      </c>
      <c r="K2918" t="s">
        <v>9</v>
      </c>
      <c r="L2918" t="s">
        <v>22</v>
      </c>
      <c r="M2918" t="s">
        <v>114</v>
      </c>
      <c r="N2918" s="2">
        <v>46265</v>
      </c>
    </row>
    <row r="2919" spans="1:14" x14ac:dyDescent="0.25">
      <c r="A2919" t="s">
        <v>481</v>
      </c>
      <c r="B2919" s="2">
        <v>45869</v>
      </c>
      <c r="C2919" t="s">
        <v>481</v>
      </c>
      <c r="D2919" t="s">
        <v>112</v>
      </c>
      <c r="E2919" t="s">
        <v>9</v>
      </c>
      <c r="F2919" s="3">
        <v>-53350</v>
      </c>
      <c r="G2919" s="3">
        <v>-53350</v>
      </c>
      <c r="H2919" t="s">
        <v>3</v>
      </c>
      <c r="I2919" t="s">
        <v>3</v>
      </c>
      <c r="J2919" t="s">
        <v>317</v>
      </c>
      <c r="K2919" t="s">
        <v>5</v>
      </c>
      <c r="L2919" t="s">
        <v>22</v>
      </c>
      <c r="M2919" t="s">
        <v>114</v>
      </c>
      <c r="N2919" s="2">
        <v>45870</v>
      </c>
    </row>
    <row r="2920" spans="1:14" x14ac:dyDescent="0.25">
      <c r="A2920" t="s">
        <v>481</v>
      </c>
      <c r="B2920" s="2">
        <v>45869</v>
      </c>
      <c r="C2920" t="s">
        <v>481</v>
      </c>
      <c r="D2920" t="s">
        <v>112</v>
      </c>
      <c r="E2920" t="s">
        <v>9</v>
      </c>
      <c r="F2920" s="3">
        <v>-10914.5</v>
      </c>
      <c r="G2920" s="3">
        <v>-10914.5</v>
      </c>
      <c r="H2920" t="s">
        <v>3</v>
      </c>
      <c r="I2920" t="s">
        <v>3</v>
      </c>
      <c r="J2920" t="s">
        <v>382</v>
      </c>
      <c r="K2920" t="s">
        <v>5</v>
      </c>
      <c r="L2920" t="s">
        <v>22</v>
      </c>
      <c r="M2920" t="s">
        <v>114</v>
      </c>
      <c r="N2920" s="2">
        <v>45870</v>
      </c>
    </row>
    <row r="2921" spans="1:14" x14ac:dyDescent="0.25">
      <c r="A2921" t="s">
        <v>481</v>
      </c>
      <c r="B2921" s="2">
        <v>45900</v>
      </c>
      <c r="C2921" t="s">
        <v>481</v>
      </c>
      <c r="D2921" t="s">
        <v>112</v>
      </c>
      <c r="E2921" t="s">
        <v>9</v>
      </c>
      <c r="F2921" s="3">
        <v>57050</v>
      </c>
      <c r="G2921" s="3">
        <v>57050</v>
      </c>
      <c r="H2921" t="s">
        <v>3</v>
      </c>
      <c r="I2921" t="s">
        <v>3</v>
      </c>
      <c r="J2921" t="s">
        <v>320</v>
      </c>
      <c r="K2921" t="s">
        <v>5</v>
      </c>
      <c r="L2921" t="s">
        <v>22</v>
      </c>
      <c r="M2921" t="s">
        <v>114</v>
      </c>
      <c r="N2921" s="2">
        <v>45900</v>
      </c>
    </row>
    <row r="2922" spans="1:14" x14ac:dyDescent="0.25">
      <c r="A2922" t="s">
        <v>481</v>
      </c>
      <c r="B2922" s="2">
        <v>45900</v>
      </c>
      <c r="C2922" t="s">
        <v>481</v>
      </c>
      <c r="D2922" t="s">
        <v>112</v>
      </c>
      <c r="E2922" t="s">
        <v>9</v>
      </c>
      <c r="F2922" s="3">
        <v>16434</v>
      </c>
      <c r="G2922" s="3">
        <v>16434</v>
      </c>
      <c r="H2922" t="s">
        <v>3</v>
      </c>
      <c r="I2922" t="s">
        <v>3</v>
      </c>
      <c r="J2922" t="s">
        <v>383</v>
      </c>
      <c r="K2922" t="s">
        <v>5</v>
      </c>
      <c r="L2922" t="s">
        <v>22</v>
      </c>
      <c r="M2922" t="s">
        <v>114</v>
      </c>
      <c r="N2922" s="2">
        <v>45900</v>
      </c>
    </row>
    <row r="2923" spans="1:14" x14ac:dyDescent="0.25">
      <c r="A2923" t="s">
        <v>481</v>
      </c>
      <c r="B2923" s="2">
        <v>45900</v>
      </c>
      <c r="C2923" t="s">
        <v>481</v>
      </c>
      <c r="D2923" t="s">
        <v>112</v>
      </c>
      <c r="E2923" t="s">
        <v>9</v>
      </c>
      <c r="F2923" s="3">
        <v>-57050</v>
      </c>
      <c r="G2923" s="3">
        <v>-57050</v>
      </c>
      <c r="H2923" t="s">
        <v>3</v>
      </c>
      <c r="I2923" t="s">
        <v>3</v>
      </c>
      <c r="J2923" t="s">
        <v>320</v>
      </c>
      <c r="K2923" t="s">
        <v>5</v>
      </c>
      <c r="L2923" t="s">
        <v>22</v>
      </c>
      <c r="M2923" t="s">
        <v>114</v>
      </c>
      <c r="N2923" s="2">
        <v>45900</v>
      </c>
    </row>
    <row r="2924" spans="1:14" x14ac:dyDescent="0.25">
      <c r="A2924" t="s">
        <v>481</v>
      </c>
      <c r="B2924" s="2">
        <v>45900</v>
      </c>
      <c r="C2924" t="s">
        <v>481</v>
      </c>
      <c r="D2924" t="s">
        <v>112</v>
      </c>
      <c r="E2924" t="s">
        <v>9</v>
      </c>
      <c r="F2924" s="3">
        <v>-16434</v>
      </c>
      <c r="G2924" s="3">
        <v>-16434</v>
      </c>
      <c r="H2924" t="s">
        <v>3</v>
      </c>
      <c r="I2924" t="s">
        <v>3</v>
      </c>
      <c r="J2924" t="s">
        <v>383</v>
      </c>
      <c r="K2924" t="s">
        <v>5</v>
      </c>
      <c r="L2924" t="s">
        <v>22</v>
      </c>
      <c r="M2924" t="s">
        <v>114</v>
      </c>
      <c r="N2924" s="2">
        <v>45900</v>
      </c>
    </row>
    <row r="2925" spans="1:14" x14ac:dyDescent="0.25">
      <c r="A2925" t="s">
        <v>481</v>
      </c>
      <c r="B2925" s="2">
        <v>45900</v>
      </c>
      <c r="C2925" t="s">
        <v>481</v>
      </c>
      <c r="D2925" t="s">
        <v>112</v>
      </c>
      <c r="E2925" t="s">
        <v>9</v>
      </c>
      <c r="F2925" s="3">
        <v>65450</v>
      </c>
      <c r="G2925" s="3">
        <v>65450</v>
      </c>
      <c r="H2925" t="s">
        <v>3</v>
      </c>
      <c r="I2925" t="s">
        <v>3</v>
      </c>
      <c r="J2925" t="s">
        <v>320</v>
      </c>
      <c r="K2925" t="s">
        <v>5</v>
      </c>
      <c r="L2925" t="s">
        <v>22</v>
      </c>
      <c r="M2925" t="s">
        <v>114</v>
      </c>
      <c r="N2925" s="2">
        <v>45900</v>
      </c>
    </row>
    <row r="2926" spans="1:14" x14ac:dyDescent="0.25">
      <c r="A2926" t="s">
        <v>481</v>
      </c>
      <c r="B2926" s="2">
        <v>45900</v>
      </c>
      <c r="C2926" t="s">
        <v>481</v>
      </c>
      <c r="D2926" t="s">
        <v>112</v>
      </c>
      <c r="E2926" t="s">
        <v>9</v>
      </c>
      <c r="F2926" s="3">
        <v>17018</v>
      </c>
      <c r="G2926" s="3">
        <v>17018</v>
      </c>
      <c r="H2926" t="s">
        <v>3</v>
      </c>
      <c r="I2926" t="s">
        <v>3</v>
      </c>
      <c r="J2926" t="s">
        <v>383</v>
      </c>
      <c r="K2926" t="s">
        <v>5</v>
      </c>
      <c r="L2926" t="s">
        <v>22</v>
      </c>
      <c r="M2926" t="s">
        <v>114</v>
      </c>
      <c r="N2926" s="2">
        <v>45900</v>
      </c>
    </row>
    <row r="2927" spans="1:14" x14ac:dyDescent="0.25">
      <c r="A2927" t="s">
        <v>481</v>
      </c>
      <c r="B2927" s="2">
        <v>45900</v>
      </c>
      <c r="C2927" t="s">
        <v>481</v>
      </c>
      <c r="D2927" t="s">
        <v>112</v>
      </c>
      <c r="E2927" t="s">
        <v>9</v>
      </c>
      <c r="F2927" s="3">
        <v>61950</v>
      </c>
      <c r="G2927" s="3">
        <v>61950</v>
      </c>
      <c r="H2927" t="s">
        <v>3</v>
      </c>
      <c r="I2927" t="s">
        <v>3</v>
      </c>
      <c r="J2927" t="s">
        <v>320</v>
      </c>
      <c r="K2927" t="s">
        <v>5</v>
      </c>
      <c r="L2927" t="s">
        <v>22</v>
      </c>
      <c r="M2927" t="s">
        <v>114</v>
      </c>
      <c r="N2927" s="2">
        <v>45900</v>
      </c>
    </row>
    <row r="2928" spans="1:14" x14ac:dyDescent="0.25">
      <c r="A2928" t="s">
        <v>481</v>
      </c>
      <c r="B2928" s="2">
        <v>45900</v>
      </c>
      <c r="C2928" t="s">
        <v>481</v>
      </c>
      <c r="D2928" t="s">
        <v>112</v>
      </c>
      <c r="E2928" t="s">
        <v>9</v>
      </c>
      <c r="F2928" s="3">
        <v>17018</v>
      </c>
      <c r="G2928" s="3">
        <v>17018</v>
      </c>
      <c r="H2928" t="s">
        <v>3</v>
      </c>
      <c r="I2928" t="s">
        <v>3</v>
      </c>
      <c r="J2928" t="s">
        <v>383</v>
      </c>
      <c r="K2928" t="s">
        <v>5</v>
      </c>
      <c r="L2928" t="s">
        <v>22</v>
      </c>
      <c r="M2928" t="s">
        <v>114</v>
      </c>
      <c r="N2928" s="2">
        <v>45900</v>
      </c>
    </row>
    <row r="2929" spans="1:14" x14ac:dyDescent="0.25">
      <c r="A2929" t="s">
        <v>481</v>
      </c>
      <c r="B2929" s="2">
        <v>45900</v>
      </c>
      <c r="C2929" t="s">
        <v>481</v>
      </c>
      <c r="D2929" t="s">
        <v>112</v>
      </c>
      <c r="E2929" t="s">
        <v>9</v>
      </c>
      <c r="F2929" s="3">
        <v>-65450</v>
      </c>
      <c r="G2929" s="3">
        <v>-65450</v>
      </c>
      <c r="H2929" t="s">
        <v>3</v>
      </c>
      <c r="I2929" t="s">
        <v>3</v>
      </c>
      <c r="J2929" t="s">
        <v>320</v>
      </c>
      <c r="K2929" t="s">
        <v>5</v>
      </c>
      <c r="L2929" t="s">
        <v>22</v>
      </c>
      <c r="M2929" t="s">
        <v>114</v>
      </c>
      <c r="N2929" s="2">
        <v>45900</v>
      </c>
    </row>
    <row r="2930" spans="1:14" x14ac:dyDescent="0.25">
      <c r="A2930" t="s">
        <v>481</v>
      </c>
      <c r="B2930" s="2">
        <v>45900</v>
      </c>
      <c r="C2930" t="s">
        <v>481</v>
      </c>
      <c r="D2930" t="s">
        <v>112</v>
      </c>
      <c r="E2930" t="s">
        <v>9</v>
      </c>
      <c r="F2930" s="3">
        <v>-17018</v>
      </c>
      <c r="G2930" s="3">
        <v>-17018</v>
      </c>
      <c r="H2930" t="s">
        <v>3</v>
      </c>
      <c r="I2930" t="s">
        <v>3</v>
      </c>
      <c r="J2930" t="s">
        <v>383</v>
      </c>
      <c r="K2930" t="s">
        <v>5</v>
      </c>
      <c r="L2930" t="s">
        <v>22</v>
      </c>
      <c r="M2930" t="s">
        <v>114</v>
      </c>
      <c r="N2930" s="2">
        <v>45900</v>
      </c>
    </row>
    <row r="2931" spans="1:14" x14ac:dyDescent="0.25">
      <c r="A2931" t="s">
        <v>481</v>
      </c>
      <c r="B2931" s="2">
        <v>46234</v>
      </c>
      <c r="C2931" t="s">
        <v>481</v>
      </c>
      <c r="D2931" t="s">
        <v>112</v>
      </c>
      <c r="E2931" t="s">
        <v>9</v>
      </c>
      <c r="F2931" s="3">
        <v>-58398</v>
      </c>
      <c r="G2931" s="3">
        <v>-58398</v>
      </c>
      <c r="H2931" t="s">
        <v>3</v>
      </c>
      <c r="I2931" t="s">
        <v>3</v>
      </c>
      <c r="J2931" t="s">
        <v>319</v>
      </c>
      <c r="K2931" t="s">
        <v>13</v>
      </c>
      <c r="L2931" t="s">
        <v>22</v>
      </c>
      <c r="M2931" t="s">
        <v>114</v>
      </c>
      <c r="N2931" s="2">
        <v>46235</v>
      </c>
    </row>
    <row r="2932" spans="1:14" x14ac:dyDescent="0.25">
      <c r="A2932" t="s">
        <v>481</v>
      </c>
      <c r="B2932" s="2">
        <v>46234</v>
      </c>
      <c r="C2932" t="s">
        <v>481</v>
      </c>
      <c r="D2932" t="s">
        <v>112</v>
      </c>
      <c r="E2932" t="s">
        <v>9</v>
      </c>
      <c r="F2932" s="3">
        <v>-85207.5</v>
      </c>
      <c r="G2932" s="3">
        <v>-85207.5</v>
      </c>
      <c r="H2932" t="s">
        <v>3</v>
      </c>
      <c r="I2932" t="s">
        <v>3</v>
      </c>
      <c r="J2932" t="s">
        <v>429</v>
      </c>
      <c r="K2932" t="s">
        <v>13</v>
      </c>
      <c r="L2932" t="s">
        <v>22</v>
      </c>
      <c r="M2932" t="s">
        <v>114</v>
      </c>
      <c r="N2932" s="2">
        <v>46235</v>
      </c>
    </row>
    <row r="2933" spans="1:14" x14ac:dyDescent="0.25">
      <c r="A2933" t="s">
        <v>481</v>
      </c>
      <c r="B2933" s="2">
        <v>46265</v>
      </c>
      <c r="C2933" t="s">
        <v>481</v>
      </c>
      <c r="D2933" t="s">
        <v>112</v>
      </c>
      <c r="E2933" t="s">
        <v>9</v>
      </c>
      <c r="F2933" s="3">
        <v>62850</v>
      </c>
      <c r="G2933" s="3">
        <v>62850</v>
      </c>
      <c r="H2933" t="s">
        <v>3</v>
      </c>
      <c r="I2933" t="s">
        <v>3</v>
      </c>
      <c r="J2933" t="s">
        <v>322</v>
      </c>
      <c r="K2933" t="s">
        <v>13</v>
      </c>
      <c r="L2933" t="s">
        <v>22</v>
      </c>
      <c r="M2933" t="s">
        <v>114</v>
      </c>
      <c r="N2933" s="2">
        <v>46265</v>
      </c>
    </row>
    <row r="2934" spans="1:14" x14ac:dyDescent="0.25">
      <c r="A2934" t="s">
        <v>481</v>
      </c>
      <c r="B2934" s="2">
        <v>46265</v>
      </c>
      <c r="C2934" t="s">
        <v>481</v>
      </c>
      <c r="D2934" t="s">
        <v>112</v>
      </c>
      <c r="E2934" t="s">
        <v>9</v>
      </c>
      <c r="F2934" s="3">
        <v>89800</v>
      </c>
      <c r="G2934" s="3">
        <v>89800</v>
      </c>
      <c r="H2934" t="s">
        <v>3</v>
      </c>
      <c r="I2934" t="s">
        <v>3</v>
      </c>
      <c r="J2934" t="s">
        <v>431</v>
      </c>
      <c r="K2934" t="s">
        <v>13</v>
      </c>
      <c r="L2934" t="s">
        <v>22</v>
      </c>
      <c r="M2934" t="s">
        <v>114</v>
      </c>
      <c r="N2934" s="2">
        <v>46265</v>
      </c>
    </row>
    <row r="2935" spans="1:14" x14ac:dyDescent="0.25">
      <c r="A2935" s="4" t="s">
        <v>267</v>
      </c>
      <c r="B2935" s="5"/>
      <c r="C2935" s="4" t="s">
        <v>9</v>
      </c>
      <c r="D2935" s="4" t="s">
        <v>9</v>
      </c>
      <c r="E2935" s="4" t="s">
        <v>9</v>
      </c>
      <c r="F2935" s="6">
        <v>0</v>
      </c>
      <c r="G2935" s="6">
        <v>0</v>
      </c>
      <c r="H2935" s="4" t="s">
        <v>9</v>
      </c>
      <c r="I2935" s="4" t="s">
        <v>3</v>
      </c>
      <c r="J2935" s="4" t="s">
        <v>9</v>
      </c>
      <c r="K2935" s="4" t="s">
        <v>9</v>
      </c>
      <c r="L2935" s="4" t="s">
        <v>9</v>
      </c>
      <c r="M2935" s="4" t="s">
        <v>9</v>
      </c>
      <c r="N2935" s="5"/>
    </row>
    <row r="2936" spans="1:14" x14ac:dyDescent="0.25">
      <c r="A2936" t="s">
        <v>481</v>
      </c>
      <c r="B2936" s="2">
        <v>45932</v>
      </c>
      <c r="C2936" t="s">
        <v>481</v>
      </c>
      <c r="D2936" t="s">
        <v>112</v>
      </c>
      <c r="E2936" t="s">
        <v>9</v>
      </c>
      <c r="F2936" s="3">
        <v>-31273</v>
      </c>
      <c r="G2936" s="3">
        <v>-31273</v>
      </c>
      <c r="H2936" t="s">
        <v>3</v>
      </c>
      <c r="I2936" t="s">
        <v>3</v>
      </c>
      <c r="J2936" t="s">
        <v>9</v>
      </c>
      <c r="K2936" t="s">
        <v>9</v>
      </c>
      <c r="L2936" t="s">
        <v>6</v>
      </c>
      <c r="M2936" t="s">
        <v>114</v>
      </c>
      <c r="N2936" s="2">
        <v>45930</v>
      </c>
    </row>
    <row r="2937" spans="1:14" x14ac:dyDescent="0.25">
      <c r="A2937" t="s">
        <v>481</v>
      </c>
      <c r="B2937" s="2">
        <v>45900</v>
      </c>
      <c r="C2937" t="s">
        <v>481</v>
      </c>
      <c r="D2937" t="s">
        <v>112</v>
      </c>
      <c r="E2937" t="s">
        <v>9</v>
      </c>
      <c r="F2937" s="3">
        <v>-57050</v>
      </c>
      <c r="G2937" s="3">
        <v>-57050</v>
      </c>
      <c r="H2937" t="s">
        <v>3</v>
      </c>
      <c r="I2937" t="s">
        <v>3</v>
      </c>
      <c r="J2937" t="s">
        <v>320</v>
      </c>
      <c r="K2937" t="s">
        <v>5</v>
      </c>
      <c r="L2937" t="s">
        <v>6</v>
      </c>
      <c r="M2937" t="s">
        <v>114</v>
      </c>
      <c r="N2937" s="2">
        <v>45901</v>
      </c>
    </row>
    <row r="2938" spans="1:14" x14ac:dyDescent="0.25">
      <c r="A2938" t="s">
        <v>481</v>
      </c>
      <c r="B2938" s="2">
        <v>45900</v>
      </c>
      <c r="C2938" t="s">
        <v>481</v>
      </c>
      <c r="D2938" t="s">
        <v>112</v>
      </c>
      <c r="E2938" t="s">
        <v>9</v>
      </c>
      <c r="F2938" s="3">
        <v>-16434</v>
      </c>
      <c r="G2938" s="3">
        <v>-16434</v>
      </c>
      <c r="H2938" t="s">
        <v>3</v>
      </c>
      <c r="I2938" t="s">
        <v>3</v>
      </c>
      <c r="J2938" t="s">
        <v>383</v>
      </c>
      <c r="K2938" t="s">
        <v>5</v>
      </c>
      <c r="L2938" t="s">
        <v>6</v>
      </c>
      <c r="M2938" t="s">
        <v>114</v>
      </c>
      <c r="N2938" s="2">
        <v>45901</v>
      </c>
    </row>
    <row r="2939" spans="1:14" x14ac:dyDescent="0.25">
      <c r="A2939" t="s">
        <v>481</v>
      </c>
      <c r="B2939" s="2">
        <v>45900</v>
      </c>
      <c r="C2939" t="s">
        <v>481</v>
      </c>
      <c r="D2939" t="s">
        <v>112</v>
      </c>
      <c r="E2939" t="s">
        <v>9</v>
      </c>
      <c r="F2939" s="3">
        <v>57050</v>
      </c>
      <c r="G2939" s="3">
        <v>57050</v>
      </c>
      <c r="H2939" t="s">
        <v>3</v>
      </c>
      <c r="I2939" t="s">
        <v>3</v>
      </c>
      <c r="J2939" t="s">
        <v>320</v>
      </c>
      <c r="K2939" t="s">
        <v>5</v>
      </c>
      <c r="L2939" t="s">
        <v>6</v>
      </c>
      <c r="M2939" t="s">
        <v>114</v>
      </c>
      <c r="N2939" s="2">
        <v>45901</v>
      </c>
    </row>
    <row r="2940" spans="1:14" x14ac:dyDescent="0.25">
      <c r="A2940" t="s">
        <v>481</v>
      </c>
      <c r="B2940" s="2">
        <v>45900</v>
      </c>
      <c r="C2940" t="s">
        <v>481</v>
      </c>
      <c r="D2940" t="s">
        <v>112</v>
      </c>
      <c r="E2940" t="s">
        <v>9</v>
      </c>
      <c r="F2940" s="3">
        <v>16434</v>
      </c>
      <c r="G2940" s="3">
        <v>16434</v>
      </c>
      <c r="H2940" t="s">
        <v>3</v>
      </c>
      <c r="I2940" t="s">
        <v>3</v>
      </c>
      <c r="J2940" t="s">
        <v>383</v>
      </c>
      <c r="K2940" t="s">
        <v>5</v>
      </c>
      <c r="L2940" t="s">
        <v>6</v>
      </c>
      <c r="M2940" t="s">
        <v>114</v>
      </c>
      <c r="N2940" s="2">
        <v>45901</v>
      </c>
    </row>
    <row r="2941" spans="1:14" x14ac:dyDescent="0.25">
      <c r="A2941" t="s">
        <v>481</v>
      </c>
      <c r="B2941" s="2">
        <v>45900</v>
      </c>
      <c r="C2941" t="s">
        <v>481</v>
      </c>
      <c r="D2941" t="s">
        <v>112</v>
      </c>
      <c r="E2941" t="s">
        <v>9</v>
      </c>
      <c r="F2941" s="3">
        <v>-65450</v>
      </c>
      <c r="G2941" s="3">
        <v>-65450</v>
      </c>
      <c r="H2941" t="s">
        <v>3</v>
      </c>
      <c r="I2941" t="s">
        <v>3</v>
      </c>
      <c r="J2941" t="s">
        <v>320</v>
      </c>
      <c r="K2941" t="s">
        <v>5</v>
      </c>
      <c r="L2941" t="s">
        <v>6</v>
      </c>
      <c r="M2941" t="s">
        <v>114</v>
      </c>
      <c r="N2941" s="2">
        <v>45901</v>
      </c>
    </row>
    <row r="2942" spans="1:14" x14ac:dyDescent="0.25">
      <c r="A2942" t="s">
        <v>481</v>
      </c>
      <c r="B2942" s="2">
        <v>45900</v>
      </c>
      <c r="C2942" t="s">
        <v>481</v>
      </c>
      <c r="D2942" t="s">
        <v>112</v>
      </c>
      <c r="E2942" t="s">
        <v>9</v>
      </c>
      <c r="F2942" s="3">
        <v>-17018</v>
      </c>
      <c r="G2942" s="3">
        <v>-17018</v>
      </c>
      <c r="H2942" t="s">
        <v>3</v>
      </c>
      <c r="I2942" t="s">
        <v>3</v>
      </c>
      <c r="J2942" t="s">
        <v>383</v>
      </c>
      <c r="K2942" t="s">
        <v>5</v>
      </c>
      <c r="L2942" t="s">
        <v>6</v>
      </c>
      <c r="M2942" t="s">
        <v>114</v>
      </c>
      <c r="N2942" s="2">
        <v>45901</v>
      </c>
    </row>
    <row r="2943" spans="1:14" x14ac:dyDescent="0.25">
      <c r="A2943" t="s">
        <v>481</v>
      </c>
      <c r="B2943" s="2">
        <v>45900</v>
      </c>
      <c r="C2943" t="s">
        <v>481</v>
      </c>
      <c r="D2943" t="s">
        <v>112</v>
      </c>
      <c r="E2943" t="s">
        <v>9</v>
      </c>
      <c r="F2943" s="3">
        <v>65450</v>
      </c>
      <c r="G2943" s="3">
        <v>65450</v>
      </c>
      <c r="H2943" t="s">
        <v>3</v>
      </c>
      <c r="I2943" t="s">
        <v>3</v>
      </c>
      <c r="J2943" t="s">
        <v>320</v>
      </c>
      <c r="K2943" t="s">
        <v>5</v>
      </c>
      <c r="L2943" t="s">
        <v>6</v>
      </c>
      <c r="M2943" t="s">
        <v>114</v>
      </c>
      <c r="N2943" s="2">
        <v>45901</v>
      </c>
    </row>
    <row r="2944" spans="1:14" x14ac:dyDescent="0.25">
      <c r="A2944" t="s">
        <v>481</v>
      </c>
      <c r="B2944" s="2">
        <v>45900</v>
      </c>
      <c r="C2944" t="s">
        <v>481</v>
      </c>
      <c r="D2944" t="s">
        <v>112</v>
      </c>
      <c r="E2944" t="s">
        <v>9</v>
      </c>
      <c r="F2944" s="3">
        <v>17018</v>
      </c>
      <c r="G2944" s="3">
        <v>17018</v>
      </c>
      <c r="H2944" t="s">
        <v>3</v>
      </c>
      <c r="I2944" t="s">
        <v>3</v>
      </c>
      <c r="J2944" t="s">
        <v>383</v>
      </c>
      <c r="K2944" t="s">
        <v>5</v>
      </c>
      <c r="L2944" t="s">
        <v>6</v>
      </c>
      <c r="M2944" t="s">
        <v>114</v>
      </c>
      <c r="N2944" s="2">
        <v>45901</v>
      </c>
    </row>
    <row r="2945" spans="1:14" x14ac:dyDescent="0.25">
      <c r="A2945" t="s">
        <v>481</v>
      </c>
      <c r="B2945" s="2">
        <v>45900</v>
      </c>
      <c r="C2945" t="s">
        <v>481</v>
      </c>
      <c r="D2945" t="s">
        <v>112</v>
      </c>
      <c r="E2945" t="s">
        <v>9</v>
      </c>
      <c r="F2945" s="3">
        <v>-61950</v>
      </c>
      <c r="G2945" s="3">
        <v>-61950</v>
      </c>
      <c r="H2945" t="s">
        <v>3</v>
      </c>
      <c r="I2945" t="s">
        <v>3</v>
      </c>
      <c r="J2945" t="s">
        <v>320</v>
      </c>
      <c r="K2945" t="s">
        <v>5</v>
      </c>
      <c r="L2945" t="s">
        <v>6</v>
      </c>
      <c r="M2945" t="s">
        <v>114</v>
      </c>
      <c r="N2945" s="2">
        <v>45901</v>
      </c>
    </row>
    <row r="2946" spans="1:14" x14ac:dyDescent="0.25">
      <c r="A2946" t="s">
        <v>481</v>
      </c>
      <c r="B2946" s="2">
        <v>45900</v>
      </c>
      <c r="C2946" t="s">
        <v>481</v>
      </c>
      <c r="D2946" t="s">
        <v>112</v>
      </c>
      <c r="E2946" t="s">
        <v>9</v>
      </c>
      <c r="F2946" s="3">
        <v>-17018</v>
      </c>
      <c r="G2946" s="3">
        <v>-17018</v>
      </c>
      <c r="H2946" t="s">
        <v>3</v>
      </c>
      <c r="I2946" t="s">
        <v>3</v>
      </c>
      <c r="J2946" t="s">
        <v>383</v>
      </c>
      <c r="K2946" t="s">
        <v>5</v>
      </c>
      <c r="L2946" t="s">
        <v>6</v>
      </c>
      <c r="M2946" t="s">
        <v>114</v>
      </c>
      <c r="N2946" s="2">
        <v>45901</v>
      </c>
    </row>
    <row r="2947" spans="1:14" x14ac:dyDescent="0.25">
      <c r="A2947" t="s">
        <v>481</v>
      </c>
      <c r="B2947" s="2">
        <v>45930</v>
      </c>
      <c r="C2947" t="s">
        <v>481</v>
      </c>
      <c r="D2947" t="s">
        <v>112</v>
      </c>
      <c r="E2947" t="s">
        <v>9</v>
      </c>
      <c r="F2947" s="3">
        <v>75250</v>
      </c>
      <c r="G2947" s="3">
        <v>75250</v>
      </c>
      <c r="H2947" t="s">
        <v>3</v>
      </c>
      <c r="I2947" t="s">
        <v>3</v>
      </c>
      <c r="J2947" t="s">
        <v>323</v>
      </c>
      <c r="K2947" t="s">
        <v>5</v>
      </c>
      <c r="L2947" t="s">
        <v>6</v>
      </c>
      <c r="M2947" t="s">
        <v>114</v>
      </c>
      <c r="N2947" s="2">
        <v>45930</v>
      </c>
    </row>
    <row r="2948" spans="1:14" x14ac:dyDescent="0.25">
      <c r="A2948" t="s">
        <v>481</v>
      </c>
      <c r="B2948" s="2">
        <v>45930</v>
      </c>
      <c r="C2948" t="s">
        <v>481</v>
      </c>
      <c r="D2948" t="s">
        <v>112</v>
      </c>
      <c r="E2948" t="s">
        <v>9</v>
      </c>
      <c r="F2948" s="3">
        <v>34991</v>
      </c>
      <c r="G2948" s="3">
        <v>34991</v>
      </c>
      <c r="H2948" t="s">
        <v>3</v>
      </c>
      <c r="I2948" t="s">
        <v>3</v>
      </c>
      <c r="J2948" t="s">
        <v>384</v>
      </c>
      <c r="K2948" t="s">
        <v>5</v>
      </c>
      <c r="L2948" t="s">
        <v>6</v>
      </c>
      <c r="M2948" t="s">
        <v>114</v>
      </c>
      <c r="N2948" s="2">
        <v>45930</v>
      </c>
    </row>
    <row r="2949" spans="1:14" x14ac:dyDescent="0.25">
      <c r="A2949" s="4" t="s">
        <v>272</v>
      </c>
      <c r="B2949" s="5"/>
      <c r="C2949" s="4" t="s">
        <v>9</v>
      </c>
      <c r="D2949" s="4" t="s">
        <v>9</v>
      </c>
      <c r="E2949" s="4" t="s">
        <v>9</v>
      </c>
      <c r="F2949" s="6">
        <v>0</v>
      </c>
      <c r="G2949" s="6">
        <v>0</v>
      </c>
      <c r="H2949" s="4" t="s">
        <v>9</v>
      </c>
      <c r="I2949" s="4" t="s">
        <v>3</v>
      </c>
      <c r="J2949" s="4" t="s">
        <v>9</v>
      </c>
      <c r="K2949" s="4" t="s">
        <v>9</v>
      </c>
      <c r="L2949" s="4" t="s">
        <v>9</v>
      </c>
      <c r="M2949" s="4" t="s">
        <v>9</v>
      </c>
      <c r="N2949" s="5"/>
    </row>
    <row r="2950" spans="1:14" x14ac:dyDescent="0.25">
      <c r="A2950" t="s">
        <v>481</v>
      </c>
      <c r="B2950" s="2">
        <v>45965</v>
      </c>
      <c r="C2950" t="s">
        <v>481</v>
      </c>
      <c r="D2950" t="s">
        <v>112</v>
      </c>
      <c r="E2950" t="s">
        <v>9</v>
      </c>
      <c r="F2950" s="3">
        <v>-43306.5</v>
      </c>
      <c r="G2950" s="3">
        <v>-43306.5</v>
      </c>
      <c r="H2950" t="s">
        <v>3</v>
      </c>
      <c r="I2950" t="s">
        <v>3</v>
      </c>
      <c r="J2950" t="s">
        <v>9</v>
      </c>
      <c r="K2950" t="s">
        <v>9</v>
      </c>
      <c r="L2950" t="s">
        <v>8</v>
      </c>
      <c r="M2950" t="s">
        <v>114</v>
      </c>
      <c r="N2950" s="2">
        <v>45961</v>
      </c>
    </row>
    <row r="2951" spans="1:14" x14ac:dyDescent="0.25">
      <c r="A2951" t="s">
        <v>481</v>
      </c>
      <c r="B2951" s="2">
        <v>45930</v>
      </c>
      <c r="C2951" t="s">
        <v>481</v>
      </c>
      <c r="D2951" t="s">
        <v>112</v>
      </c>
      <c r="E2951" t="s">
        <v>9</v>
      </c>
      <c r="F2951" s="3">
        <v>-75250</v>
      </c>
      <c r="G2951" s="3">
        <v>-75250</v>
      </c>
      <c r="H2951" t="s">
        <v>3</v>
      </c>
      <c r="I2951" t="s">
        <v>3</v>
      </c>
      <c r="J2951" t="s">
        <v>323</v>
      </c>
      <c r="K2951" t="s">
        <v>5</v>
      </c>
      <c r="L2951" t="s">
        <v>8</v>
      </c>
      <c r="M2951" t="s">
        <v>114</v>
      </c>
      <c r="N2951" s="2">
        <v>45931</v>
      </c>
    </row>
    <row r="2952" spans="1:14" x14ac:dyDescent="0.25">
      <c r="A2952" t="s">
        <v>481</v>
      </c>
      <c r="B2952" s="2">
        <v>45930</v>
      </c>
      <c r="C2952" t="s">
        <v>481</v>
      </c>
      <c r="D2952" t="s">
        <v>112</v>
      </c>
      <c r="E2952" t="s">
        <v>9</v>
      </c>
      <c r="F2952" s="3">
        <v>-34991</v>
      </c>
      <c r="G2952" s="3">
        <v>-34991</v>
      </c>
      <c r="H2952" t="s">
        <v>3</v>
      </c>
      <c r="I2952" t="s">
        <v>3</v>
      </c>
      <c r="J2952" t="s">
        <v>384</v>
      </c>
      <c r="K2952" t="s">
        <v>5</v>
      </c>
      <c r="L2952" t="s">
        <v>8</v>
      </c>
      <c r="M2952" t="s">
        <v>114</v>
      </c>
      <c r="N2952" s="2">
        <v>45931</v>
      </c>
    </row>
    <row r="2953" spans="1:14" x14ac:dyDescent="0.25">
      <c r="A2953" t="s">
        <v>481</v>
      </c>
      <c r="B2953" s="2">
        <v>45961</v>
      </c>
      <c r="C2953" t="s">
        <v>481</v>
      </c>
      <c r="D2953" t="s">
        <v>112</v>
      </c>
      <c r="E2953" t="s">
        <v>9</v>
      </c>
      <c r="F2953" s="3">
        <v>105850</v>
      </c>
      <c r="G2953" s="3">
        <v>105850</v>
      </c>
      <c r="H2953" t="s">
        <v>3</v>
      </c>
      <c r="I2953" t="s">
        <v>3</v>
      </c>
      <c r="J2953" t="s">
        <v>325</v>
      </c>
      <c r="K2953" t="s">
        <v>5</v>
      </c>
      <c r="L2953" t="s">
        <v>8</v>
      </c>
      <c r="M2953" t="s">
        <v>114</v>
      </c>
      <c r="N2953" s="2">
        <v>45961</v>
      </c>
    </row>
    <row r="2954" spans="1:14" x14ac:dyDescent="0.25">
      <c r="A2954" t="s">
        <v>481</v>
      </c>
      <c r="B2954" s="2">
        <v>45961</v>
      </c>
      <c r="C2954" t="s">
        <v>481</v>
      </c>
      <c r="D2954" t="s">
        <v>112</v>
      </c>
      <c r="E2954" t="s">
        <v>9</v>
      </c>
      <c r="F2954" s="3">
        <v>47697.5</v>
      </c>
      <c r="G2954" s="3">
        <v>47697.5</v>
      </c>
      <c r="H2954" t="s">
        <v>3</v>
      </c>
      <c r="I2954" t="s">
        <v>3</v>
      </c>
      <c r="J2954" t="s">
        <v>385</v>
      </c>
      <c r="K2954" t="s">
        <v>5</v>
      </c>
      <c r="L2954" t="s">
        <v>8</v>
      </c>
      <c r="M2954" t="s">
        <v>114</v>
      </c>
      <c r="N2954" s="2">
        <v>45961</v>
      </c>
    </row>
    <row r="2955" spans="1:14" x14ac:dyDescent="0.25">
      <c r="A2955" s="4" t="s">
        <v>278</v>
      </c>
      <c r="B2955" s="5"/>
      <c r="C2955" s="4" t="s">
        <v>9</v>
      </c>
      <c r="D2955" s="4" t="s">
        <v>9</v>
      </c>
      <c r="E2955" s="4" t="s">
        <v>9</v>
      </c>
      <c r="F2955" s="6">
        <v>0</v>
      </c>
      <c r="G2955" s="6">
        <v>0</v>
      </c>
      <c r="H2955" s="4" t="s">
        <v>9</v>
      </c>
      <c r="I2955" s="4" t="s">
        <v>3</v>
      </c>
      <c r="J2955" s="4" t="s">
        <v>9</v>
      </c>
      <c r="K2955" s="4" t="s">
        <v>9</v>
      </c>
      <c r="L2955" s="4" t="s">
        <v>9</v>
      </c>
      <c r="M2955" s="4" t="s">
        <v>9</v>
      </c>
      <c r="N2955" s="5"/>
    </row>
    <row r="2956" spans="1:14" x14ac:dyDescent="0.25">
      <c r="A2956" t="s">
        <v>481</v>
      </c>
      <c r="B2956" s="2">
        <v>45993</v>
      </c>
      <c r="C2956" t="s">
        <v>481</v>
      </c>
      <c r="D2956" t="s">
        <v>112</v>
      </c>
      <c r="E2956" t="s">
        <v>9</v>
      </c>
      <c r="F2956" s="3">
        <v>-2013</v>
      </c>
      <c r="G2956" s="3">
        <v>-2013</v>
      </c>
      <c r="H2956" t="s">
        <v>3</v>
      </c>
      <c r="I2956" t="s">
        <v>3</v>
      </c>
      <c r="J2956" t="s">
        <v>9</v>
      </c>
      <c r="K2956" t="s">
        <v>9</v>
      </c>
      <c r="L2956" t="s">
        <v>11</v>
      </c>
      <c r="M2956" t="s">
        <v>114</v>
      </c>
      <c r="N2956" s="2">
        <v>45991</v>
      </c>
    </row>
    <row r="2957" spans="1:14" x14ac:dyDescent="0.25">
      <c r="A2957" t="s">
        <v>481</v>
      </c>
      <c r="B2957" s="2">
        <v>45961</v>
      </c>
      <c r="C2957" t="s">
        <v>481</v>
      </c>
      <c r="D2957" t="s">
        <v>112</v>
      </c>
      <c r="E2957" t="s">
        <v>9</v>
      </c>
      <c r="F2957" s="3">
        <v>-105850</v>
      </c>
      <c r="G2957" s="3">
        <v>-105850</v>
      </c>
      <c r="H2957" t="s">
        <v>3</v>
      </c>
      <c r="I2957" t="s">
        <v>3</v>
      </c>
      <c r="J2957" t="s">
        <v>325</v>
      </c>
      <c r="K2957" t="s">
        <v>5</v>
      </c>
      <c r="L2957" t="s">
        <v>11</v>
      </c>
      <c r="M2957" t="s">
        <v>114</v>
      </c>
      <c r="N2957" s="2">
        <v>45962</v>
      </c>
    </row>
    <row r="2958" spans="1:14" x14ac:dyDescent="0.25">
      <c r="A2958" t="s">
        <v>481</v>
      </c>
      <c r="B2958" s="2">
        <v>45961</v>
      </c>
      <c r="C2958" t="s">
        <v>481</v>
      </c>
      <c r="D2958" t="s">
        <v>112</v>
      </c>
      <c r="E2958" t="s">
        <v>9</v>
      </c>
      <c r="F2958" s="3">
        <v>-47697.5</v>
      </c>
      <c r="G2958" s="3">
        <v>-47697.5</v>
      </c>
      <c r="H2958" t="s">
        <v>3</v>
      </c>
      <c r="I2958" t="s">
        <v>3</v>
      </c>
      <c r="J2958" t="s">
        <v>385</v>
      </c>
      <c r="K2958" t="s">
        <v>5</v>
      </c>
      <c r="L2958" t="s">
        <v>11</v>
      </c>
      <c r="M2958" t="s">
        <v>114</v>
      </c>
      <c r="N2958" s="2">
        <v>45962</v>
      </c>
    </row>
    <row r="2959" spans="1:14" x14ac:dyDescent="0.25">
      <c r="A2959" t="s">
        <v>481</v>
      </c>
      <c r="B2959" s="2">
        <v>45991</v>
      </c>
      <c r="C2959" t="s">
        <v>481</v>
      </c>
      <c r="D2959" t="s">
        <v>112</v>
      </c>
      <c r="E2959" t="s">
        <v>9</v>
      </c>
      <c r="F2959" s="3">
        <v>98450</v>
      </c>
      <c r="G2959" s="3">
        <v>98450</v>
      </c>
      <c r="H2959" t="s">
        <v>3</v>
      </c>
      <c r="I2959" t="s">
        <v>3</v>
      </c>
      <c r="J2959" t="s">
        <v>328</v>
      </c>
      <c r="K2959" t="s">
        <v>5</v>
      </c>
      <c r="L2959" t="s">
        <v>11</v>
      </c>
      <c r="M2959" t="s">
        <v>114</v>
      </c>
      <c r="N2959" s="2">
        <v>45991</v>
      </c>
    </row>
    <row r="2960" spans="1:14" x14ac:dyDescent="0.25">
      <c r="A2960" t="s">
        <v>481</v>
      </c>
      <c r="B2960" s="2">
        <v>45991</v>
      </c>
      <c r="C2960" t="s">
        <v>481</v>
      </c>
      <c r="D2960" t="s">
        <v>112</v>
      </c>
      <c r="E2960" t="s">
        <v>9</v>
      </c>
      <c r="F2960" s="3">
        <v>57110.5</v>
      </c>
      <c r="G2960" s="3">
        <v>57110.5</v>
      </c>
      <c r="H2960" t="s">
        <v>3</v>
      </c>
      <c r="I2960" t="s">
        <v>3</v>
      </c>
      <c r="J2960" t="s">
        <v>387</v>
      </c>
      <c r="K2960" t="s">
        <v>5</v>
      </c>
      <c r="L2960" t="s">
        <v>11</v>
      </c>
      <c r="M2960" t="s">
        <v>114</v>
      </c>
      <c r="N2960" s="2">
        <v>45991</v>
      </c>
    </row>
    <row r="2961" spans="1:14" x14ac:dyDescent="0.25">
      <c r="A2961" s="4" t="s">
        <v>226</v>
      </c>
      <c r="B2961" s="5"/>
      <c r="C2961" s="4" t="s">
        <v>9</v>
      </c>
      <c r="D2961" s="4" t="s">
        <v>9</v>
      </c>
      <c r="E2961" s="4" t="s">
        <v>9</v>
      </c>
      <c r="F2961" s="6">
        <v>0</v>
      </c>
      <c r="G2961" s="6">
        <v>0</v>
      </c>
      <c r="H2961" s="4" t="s">
        <v>9</v>
      </c>
      <c r="I2961" s="4" t="s">
        <v>3</v>
      </c>
      <c r="J2961" s="4" t="s">
        <v>9</v>
      </c>
      <c r="K2961" s="4" t="s">
        <v>9</v>
      </c>
      <c r="L2961" s="4" t="s">
        <v>9</v>
      </c>
      <c r="M2961" s="4" t="s">
        <v>9</v>
      </c>
      <c r="N2961" s="5"/>
    </row>
    <row r="2962" spans="1:14" x14ac:dyDescent="0.25">
      <c r="A2962" t="s">
        <v>481</v>
      </c>
      <c r="B2962" s="2">
        <v>46028</v>
      </c>
      <c r="C2962" t="s">
        <v>481</v>
      </c>
      <c r="D2962" t="s">
        <v>112</v>
      </c>
      <c r="E2962" t="s">
        <v>9</v>
      </c>
      <c r="F2962" s="3">
        <v>-10009.5</v>
      </c>
      <c r="G2962" s="3">
        <v>-10009.5</v>
      </c>
      <c r="H2962" t="s">
        <v>3</v>
      </c>
      <c r="I2962" t="s">
        <v>3</v>
      </c>
      <c r="J2962" t="s">
        <v>9</v>
      </c>
      <c r="K2962" t="s">
        <v>9</v>
      </c>
      <c r="L2962" t="s">
        <v>12</v>
      </c>
      <c r="M2962" t="s">
        <v>114</v>
      </c>
      <c r="N2962" s="2">
        <v>46022</v>
      </c>
    </row>
    <row r="2963" spans="1:14" x14ac:dyDescent="0.25">
      <c r="A2963" t="s">
        <v>481</v>
      </c>
      <c r="B2963" s="2">
        <v>45991</v>
      </c>
      <c r="C2963" t="s">
        <v>481</v>
      </c>
      <c r="D2963" t="s">
        <v>112</v>
      </c>
      <c r="E2963" t="s">
        <v>9</v>
      </c>
      <c r="F2963" s="3">
        <v>-98450</v>
      </c>
      <c r="G2963" s="3">
        <v>-98450</v>
      </c>
      <c r="H2963" t="s">
        <v>3</v>
      </c>
      <c r="I2963" t="s">
        <v>3</v>
      </c>
      <c r="J2963" t="s">
        <v>328</v>
      </c>
      <c r="K2963" t="s">
        <v>5</v>
      </c>
      <c r="L2963" t="s">
        <v>12</v>
      </c>
      <c r="M2963" t="s">
        <v>114</v>
      </c>
      <c r="N2963" s="2">
        <v>45992</v>
      </c>
    </row>
    <row r="2964" spans="1:14" x14ac:dyDescent="0.25">
      <c r="A2964" t="s">
        <v>481</v>
      </c>
      <c r="B2964" s="2">
        <v>45991</v>
      </c>
      <c r="C2964" t="s">
        <v>481</v>
      </c>
      <c r="D2964" t="s">
        <v>112</v>
      </c>
      <c r="E2964" t="s">
        <v>9</v>
      </c>
      <c r="F2964" s="3">
        <v>-57110.5</v>
      </c>
      <c r="G2964" s="3">
        <v>-57110.5</v>
      </c>
      <c r="H2964" t="s">
        <v>3</v>
      </c>
      <c r="I2964" t="s">
        <v>3</v>
      </c>
      <c r="J2964" t="s">
        <v>387</v>
      </c>
      <c r="K2964" t="s">
        <v>5</v>
      </c>
      <c r="L2964" t="s">
        <v>12</v>
      </c>
      <c r="M2964" t="s">
        <v>114</v>
      </c>
      <c r="N2964" s="2">
        <v>45992</v>
      </c>
    </row>
    <row r="2965" spans="1:14" x14ac:dyDescent="0.25">
      <c r="A2965" t="s">
        <v>481</v>
      </c>
      <c r="B2965" s="2">
        <v>46022</v>
      </c>
      <c r="C2965" t="s">
        <v>481</v>
      </c>
      <c r="D2965" t="s">
        <v>112</v>
      </c>
      <c r="E2965" t="s">
        <v>9</v>
      </c>
      <c r="F2965" s="3">
        <v>100550</v>
      </c>
      <c r="G2965" s="3">
        <v>100550</v>
      </c>
      <c r="H2965" t="s">
        <v>3</v>
      </c>
      <c r="I2965" t="s">
        <v>3</v>
      </c>
      <c r="J2965" t="s">
        <v>298</v>
      </c>
      <c r="K2965" t="s">
        <v>5</v>
      </c>
      <c r="L2965" t="s">
        <v>12</v>
      </c>
      <c r="M2965" t="s">
        <v>114</v>
      </c>
      <c r="N2965" s="2">
        <v>46022</v>
      </c>
    </row>
    <row r="2966" spans="1:14" x14ac:dyDescent="0.25">
      <c r="A2966" t="s">
        <v>481</v>
      </c>
      <c r="B2966" s="2">
        <v>46022</v>
      </c>
      <c r="C2966" t="s">
        <v>481</v>
      </c>
      <c r="D2966" t="s">
        <v>112</v>
      </c>
      <c r="E2966" t="s">
        <v>9</v>
      </c>
      <c r="F2966" s="3">
        <v>65020</v>
      </c>
      <c r="G2966" s="3">
        <v>65020</v>
      </c>
      <c r="H2966" t="s">
        <v>3</v>
      </c>
      <c r="I2966" t="s">
        <v>3</v>
      </c>
      <c r="J2966" t="s">
        <v>381</v>
      </c>
      <c r="K2966" t="s">
        <v>5</v>
      </c>
      <c r="L2966" t="s">
        <v>12</v>
      </c>
      <c r="M2966" t="s">
        <v>114</v>
      </c>
      <c r="N2966" s="2">
        <v>46022</v>
      </c>
    </row>
    <row r="2967" spans="1:14" x14ac:dyDescent="0.25">
      <c r="A2967" t="s">
        <v>481</v>
      </c>
      <c r="B2967" s="2">
        <v>46022</v>
      </c>
      <c r="C2967" t="s">
        <v>481</v>
      </c>
      <c r="D2967" t="s">
        <v>112</v>
      </c>
      <c r="E2967" t="s">
        <v>9</v>
      </c>
      <c r="F2967" s="3">
        <v>100550</v>
      </c>
      <c r="G2967" s="3">
        <v>100550</v>
      </c>
      <c r="H2967" t="s">
        <v>3</v>
      </c>
      <c r="I2967" t="s">
        <v>3</v>
      </c>
      <c r="J2967" t="s">
        <v>298</v>
      </c>
      <c r="K2967" t="s">
        <v>5</v>
      </c>
      <c r="L2967" t="s">
        <v>12</v>
      </c>
      <c r="M2967" t="s">
        <v>114</v>
      </c>
      <c r="N2967" s="2">
        <v>46022</v>
      </c>
    </row>
    <row r="2968" spans="1:14" x14ac:dyDescent="0.25">
      <c r="A2968" t="s">
        <v>481</v>
      </c>
      <c r="B2968" s="2">
        <v>46022</v>
      </c>
      <c r="C2968" t="s">
        <v>481</v>
      </c>
      <c r="D2968" t="s">
        <v>112</v>
      </c>
      <c r="E2968" t="s">
        <v>9</v>
      </c>
      <c r="F2968" s="3">
        <v>65020</v>
      </c>
      <c r="G2968" s="3">
        <v>65020</v>
      </c>
      <c r="H2968" t="s">
        <v>3</v>
      </c>
      <c r="I2968" t="s">
        <v>3</v>
      </c>
      <c r="J2968" t="s">
        <v>381</v>
      </c>
      <c r="K2968" t="s">
        <v>5</v>
      </c>
      <c r="L2968" t="s">
        <v>12</v>
      </c>
      <c r="M2968" t="s">
        <v>114</v>
      </c>
      <c r="N2968" s="2">
        <v>46022</v>
      </c>
    </row>
    <row r="2969" spans="1:14" x14ac:dyDescent="0.25">
      <c r="A2969" t="s">
        <v>481</v>
      </c>
      <c r="B2969" s="2">
        <v>46022</v>
      </c>
      <c r="C2969" t="s">
        <v>481</v>
      </c>
      <c r="D2969" t="s">
        <v>112</v>
      </c>
      <c r="E2969" t="s">
        <v>9</v>
      </c>
      <c r="F2969" s="3">
        <v>-100550</v>
      </c>
      <c r="G2969" s="3">
        <v>-100550</v>
      </c>
      <c r="H2969" t="s">
        <v>3</v>
      </c>
      <c r="I2969" t="s">
        <v>3</v>
      </c>
      <c r="J2969" t="s">
        <v>298</v>
      </c>
      <c r="K2969" t="s">
        <v>5</v>
      </c>
      <c r="L2969" t="s">
        <v>12</v>
      </c>
      <c r="M2969" t="s">
        <v>114</v>
      </c>
      <c r="N2969" s="2">
        <v>46022</v>
      </c>
    </row>
    <row r="2970" spans="1:14" x14ac:dyDescent="0.25">
      <c r="A2970" t="s">
        <v>481</v>
      </c>
      <c r="B2970" s="2">
        <v>46022</v>
      </c>
      <c r="C2970" t="s">
        <v>481</v>
      </c>
      <c r="D2970" t="s">
        <v>112</v>
      </c>
      <c r="E2970" t="s">
        <v>9</v>
      </c>
      <c r="F2970" s="3">
        <v>-65020</v>
      </c>
      <c r="G2970" s="3">
        <v>-65020</v>
      </c>
      <c r="H2970" t="s">
        <v>3</v>
      </c>
      <c r="I2970" t="s">
        <v>3</v>
      </c>
      <c r="J2970" t="s">
        <v>381</v>
      </c>
      <c r="K2970" t="s">
        <v>5</v>
      </c>
      <c r="L2970" t="s">
        <v>12</v>
      </c>
      <c r="M2970" t="s">
        <v>114</v>
      </c>
      <c r="N2970" s="2">
        <v>46022</v>
      </c>
    </row>
    <row r="2971" spans="1:14" x14ac:dyDescent="0.25">
      <c r="A2971" s="4" t="s">
        <v>228</v>
      </c>
      <c r="B2971" s="5"/>
      <c r="C2971" s="4" t="s">
        <v>9</v>
      </c>
      <c r="D2971" s="4" t="s">
        <v>9</v>
      </c>
      <c r="E2971" s="4" t="s">
        <v>9</v>
      </c>
      <c r="F2971" s="6">
        <v>0</v>
      </c>
      <c r="G2971" s="6">
        <v>0</v>
      </c>
      <c r="H2971" s="4" t="s">
        <v>9</v>
      </c>
      <c r="I2971" s="4" t="s">
        <v>3</v>
      </c>
      <c r="J2971" s="4" t="s">
        <v>9</v>
      </c>
      <c r="K2971" s="4" t="s">
        <v>9</v>
      </c>
      <c r="L2971" s="4" t="s">
        <v>9</v>
      </c>
      <c r="M2971" s="4" t="s">
        <v>9</v>
      </c>
      <c r="N2971" s="5"/>
    </row>
    <row r="2972" spans="1:14" x14ac:dyDescent="0.25">
      <c r="A2972" s="4" t="s">
        <v>481</v>
      </c>
      <c r="B2972" s="5"/>
      <c r="C2972" s="4" t="s">
        <v>9</v>
      </c>
      <c r="D2972" s="4" t="s">
        <v>9</v>
      </c>
      <c r="E2972" s="4" t="s">
        <v>9</v>
      </c>
      <c r="F2972" s="6">
        <v>0</v>
      </c>
      <c r="G2972" s="6">
        <v>0</v>
      </c>
      <c r="H2972" s="4" t="s">
        <v>9</v>
      </c>
      <c r="I2972" s="4" t="s">
        <v>3</v>
      </c>
      <c r="J2972" s="4" t="s">
        <v>9</v>
      </c>
      <c r="K2972" s="4" t="s">
        <v>9</v>
      </c>
      <c r="L2972" s="4" t="s">
        <v>9</v>
      </c>
      <c r="M2972" s="4" t="s">
        <v>9</v>
      </c>
      <c r="N2972" s="5"/>
    </row>
    <row r="2973" spans="1:14" x14ac:dyDescent="0.25">
      <c r="A2973" t="s">
        <v>483</v>
      </c>
      <c r="B2973" s="2">
        <v>45901</v>
      </c>
      <c r="C2973" t="s">
        <v>483</v>
      </c>
      <c r="D2973" t="s">
        <v>99</v>
      </c>
      <c r="E2973" t="s">
        <v>9</v>
      </c>
      <c r="F2973" s="3">
        <v>-3360</v>
      </c>
      <c r="G2973" s="3">
        <v>-3360</v>
      </c>
      <c r="H2973" t="s">
        <v>3</v>
      </c>
      <c r="I2973" t="s">
        <v>3</v>
      </c>
      <c r="J2973" t="s">
        <v>9</v>
      </c>
      <c r="K2973" t="s">
        <v>9</v>
      </c>
      <c r="L2973" t="s">
        <v>22</v>
      </c>
      <c r="M2973" t="s">
        <v>102</v>
      </c>
      <c r="N2973" s="2">
        <v>45900</v>
      </c>
    </row>
    <row r="2974" spans="1:14" x14ac:dyDescent="0.25">
      <c r="A2974" t="s">
        <v>483</v>
      </c>
      <c r="B2974" s="2">
        <v>45900</v>
      </c>
      <c r="C2974" t="s">
        <v>483</v>
      </c>
      <c r="D2974" t="s">
        <v>99</v>
      </c>
      <c r="E2974" t="s">
        <v>9</v>
      </c>
      <c r="F2974" s="3">
        <v>3360</v>
      </c>
      <c r="G2974" s="3">
        <v>3360</v>
      </c>
      <c r="H2974" t="s">
        <v>3</v>
      </c>
      <c r="I2974" t="s">
        <v>3</v>
      </c>
      <c r="J2974" t="s">
        <v>484</v>
      </c>
      <c r="K2974" t="s">
        <v>5</v>
      </c>
      <c r="L2974" t="s">
        <v>22</v>
      </c>
      <c r="M2974" t="s">
        <v>102</v>
      </c>
      <c r="N2974" s="2">
        <v>45900</v>
      </c>
    </row>
    <row r="2975" spans="1:14" x14ac:dyDescent="0.25">
      <c r="A2975" s="4" t="s">
        <v>267</v>
      </c>
      <c r="B2975" s="5"/>
      <c r="C2975" s="4" t="s">
        <v>9</v>
      </c>
      <c r="D2975" s="4" t="s">
        <v>9</v>
      </c>
      <c r="E2975" s="4" t="s">
        <v>9</v>
      </c>
      <c r="F2975" s="6">
        <v>0</v>
      </c>
      <c r="G2975" s="6">
        <v>0</v>
      </c>
      <c r="H2975" s="4" t="s">
        <v>9</v>
      </c>
      <c r="I2975" s="4" t="s">
        <v>3</v>
      </c>
      <c r="J2975" s="4" t="s">
        <v>9</v>
      </c>
      <c r="K2975" s="4" t="s">
        <v>9</v>
      </c>
      <c r="L2975" s="4" t="s">
        <v>9</v>
      </c>
      <c r="M2975" s="4" t="s">
        <v>9</v>
      </c>
      <c r="N2975" s="5"/>
    </row>
    <row r="2976" spans="1:14" x14ac:dyDescent="0.25">
      <c r="A2976" t="s">
        <v>483</v>
      </c>
      <c r="B2976" s="2">
        <v>45932</v>
      </c>
      <c r="C2976" t="s">
        <v>483</v>
      </c>
      <c r="D2976" t="s">
        <v>99</v>
      </c>
      <c r="E2976" t="s">
        <v>9</v>
      </c>
      <c r="F2976" s="3">
        <v>-735</v>
      </c>
      <c r="G2976" s="3">
        <v>-735</v>
      </c>
      <c r="H2976" t="s">
        <v>3</v>
      </c>
      <c r="I2976" t="s">
        <v>3</v>
      </c>
      <c r="J2976" t="s">
        <v>9</v>
      </c>
      <c r="K2976" t="s">
        <v>9</v>
      </c>
      <c r="L2976" t="s">
        <v>6</v>
      </c>
      <c r="M2976" t="s">
        <v>102</v>
      </c>
      <c r="N2976" s="2">
        <v>45930</v>
      </c>
    </row>
    <row r="2977" spans="1:14" x14ac:dyDescent="0.25">
      <c r="A2977" t="s">
        <v>483</v>
      </c>
      <c r="B2977" s="2">
        <v>45930</v>
      </c>
      <c r="C2977" t="s">
        <v>483</v>
      </c>
      <c r="D2977" t="s">
        <v>99</v>
      </c>
      <c r="E2977" t="s">
        <v>9</v>
      </c>
      <c r="F2977" s="3">
        <v>735</v>
      </c>
      <c r="G2977" s="3">
        <v>735</v>
      </c>
      <c r="H2977" t="s">
        <v>3</v>
      </c>
      <c r="I2977" t="s">
        <v>3</v>
      </c>
      <c r="J2977" t="s">
        <v>446</v>
      </c>
      <c r="K2977" t="s">
        <v>5</v>
      </c>
      <c r="L2977" t="s">
        <v>6</v>
      </c>
      <c r="M2977" t="s">
        <v>102</v>
      </c>
      <c r="N2977" s="2">
        <v>45930</v>
      </c>
    </row>
    <row r="2978" spans="1:14" x14ac:dyDescent="0.25">
      <c r="A2978" s="4" t="s">
        <v>272</v>
      </c>
      <c r="B2978" s="5"/>
      <c r="C2978" s="4" t="s">
        <v>9</v>
      </c>
      <c r="D2978" s="4" t="s">
        <v>9</v>
      </c>
      <c r="E2978" s="4" t="s">
        <v>9</v>
      </c>
      <c r="F2978" s="6">
        <v>0</v>
      </c>
      <c r="G2978" s="6">
        <v>0</v>
      </c>
      <c r="H2978" s="4" t="s">
        <v>9</v>
      </c>
      <c r="I2978" s="4" t="s">
        <v>3</v>
      </c>
      <c r="J2978" s="4" t="s">
        <v>9</v>
      </c>
      <c r="K2978" s="4" t="s">
        <v>9</v>
      </c>
      <c r="L2978" s="4" t="s">
        <v>9</v>
      </c>
      <c r="M2978" s="4" t="s">
        <v>9</v>
      </c>
      <c r="N2978" s="5"/>
    </row>
    <row r="2979" spans="1:14" x14ac:dyDescent="0.25">
      <c r="A2979" t="s">
        <v>483</v>
      </c>
      <c r="B2979" s="2">
        <v>45965</v>
      </c>
      <c r="C2979" t="s">
        <v>483</v>
      </c>
      <c r="D2979" t="s">
        <v>99</v>
      </c>
      <c r="E2979" t="s">
        <v>9</v>
      </c>
      <c r="F2979" s="3">
        <v>-5250</v>
      </c>
      <c r="G2979" s="3">
        <v>-5250</v>
      </c>
      <c r="H2979" t="s">
        <v>3</v>
      </c>
      <c r="I2979" t="s">
        <v>3</v>
      </c>
      <c r="J2979" t="s">
        <v>9</v>
      </c>
      <c r="K2979" t="s">
        <v>9</v>
      </c>
      <c r="L2979" t="s">
        <v>8</v>
      </c>
      <c r="M2979" t="s">
        <v>102</v>
      </c>
      <c r="N2979" s="2">
        <v>45961</v>
      </c>
    </row>
    <row r="2980" spans="1:14" x14ac:dyDescent="0.25">
      <c r="A2980" t="s">
        <v>483</v>
      </c>
      <c r="B2980" s="2">
        <v>45961</v>
      </c>
      <c r="C2980" t="s">
        <v>483</v>
      </c>
      <c r="D2980" t="s">
        <v>99</v>
      </c>
      <c r="E2980" t="s">
        <v>9</v>
      </c>
      <c r="F2980" s="3">
        <v>5250</v>
      </c>
      <c r="G2980" s="3">
        <v>5250</v>
      </c>
      <c r="H2980" t="s">
        <v>3</v>
      </c>
      <c r="I2980" t="s">
        <v>3</v>
      </c>
      <c r="J2980" t="s">
        <v>447</v>
      </c>
      <c r="K2980" t="s">
        <v>5</v>
      </c>
      <c r="L2980" t="s">
        <v>8</v>
      </c>
      <c r="M2980" t="s">
        <v>102</v>
      </c>
      <c r="N2980" s="2">
        <v>45961</v>
      </c>
    </row>
    <row r="2981" spans="1:14" x14ac:dyDescent="0.25">
      <c r="A2981" s="4" t="s">
        <v>278</v>
      </c>
      <c r="B2981" s="5"/>
      <c r="C2981" s="4" t="s">
        <v>9</v>
      </c>
      <c r="D2981" s="4" t="s">
        <v>9</v>
      </c>
      <c r="E2981" s="4" t="s">
        <v>9</v>
      </c>
      <c r="F2981" s="6">
        <v>0</v>
      </c>
      <c r="G2981" s="6">
        <v>0</v>
      </c>
      <c r="H2981" s="4" t="s">
        <v>9</v>
      </c>
      <c r="I2981" s="4" t="s">
        <v>3</v>
      </c>
      <c r="J2981" s="4" t="s">
        <v>9</v>
      </c>
      <c r="K2981" s="4" t="s">
        <v>9</v>
      </c>
      <c r="L2981" s="4" t="s">
        <v>9</v>
      </c>
      <c r="M2981" s="4" t="s">
        <v>9</v>
      </c>
      <c r="N2981" s="5"/>
    </row>
    <row r="2982" spans="1:14" x14ac:dyDescent="0.25">
      <c r="A2982" t="s">
        <v>483</v>
      </c>
      <c r="B2982" s="2">
        <v>45993</v>
      </c>
      <c r="C2982" t="s">
        <v>483</v>
      </c>
      <c r="D2982" t="s">
        <v>99</v>
      </c>
      <c r="E2982" t="s">
        <v>9</v>
      </c>
      <c r="F2982" s="3">
        <v>-2730</v>
      </c>
      <c r="G2982" s="3">
        <v>-2730</v>
      </c>
      <c r="H2982" t="s">
        <v>3</v>
      </c>
      <c r="I2982" t="s">
        <v>3</v>
      </c>
      <c r="J2982" t="s">
        <v>9</v>
      </c>
      <c r="K2982" t="s">
        <v>9</v>
      </c>
      <c r="L2982" t="s">
        <v>11</v>
      </c>
      <c r="M2982" t="s">
        <v>102</v>
      </c>
      <c r="N2982" s="2">
        <v>45991</v>
      </c>
    </row>
    <row r="2983" spans="1:14" x14ac:dyDescent="0.25">
      <c r="A2983" t="s">
        <v>483</v>
      </c>
      <c r="B2983" s="2">
        <v>45991</v>
      </c>
      <c r="C2983" t="s">
        <v>483</v>
      </c>
      <c r="D2983" t="s">
        <v>99</v>
      </c>
      <c r="E2983" t="s">
        <v>9</v>
      </c>
      <c r="F2983" s="3">
        <v>2730</v>
      </c>
      <c r="G2983" s="3">
        <v>2730</v>
      </c>
      <c r="H2983" t="s">
        <v>3</v>
      </c>
      <c r="I2983" t="s">
        <v>3</v>
      </c>
      <c r="J2983" t="s">
        <v>448</v>
      </c>
      <c r="K2983" t="s">
        <v>5</v>
      </c>
      <c r="L2983" t="s">
        <v>11</v>
      </c>
      <c r="M2983" t="s">
        <v>102</v>
      </c>
      <c r="N2983" s="2">
        <v>45991</v>
      </c>
    </row>
    <row r="2984" spans="1:14" x14ac:dyDescent="0.25">
      <c r="A2984" s="4" t="s">
        <v>226</v>
      </c>
      <c r="B2984" s="5"/>
      <c r="C2984" s="4" t="s">
        <v>9</v>
      </c>
      <c r="D2984" s="4" t="s">
        <v>9</v>
      </c>
      <c r="E2984" s="4" t="s">
        <v>9</v>
      </c>
      <c r="F2984" s="6">
        <v>0</v>
      </c>
      <c r="G2984" s="6">
        <v>0</v>
      </c>
      <c r="H2984" s="4" t="s">
        <v>9</v>
      </c>
      <c r="I2984" s="4" t="s">
        <v>3</v>
      </c>
      <c r="J2984" s="4" t="s">
        <v>9</v>
      </c>
      <c r="K2984" s="4" t="s">
        <v>9</v>
      </c>
      <c r="L2984" s="4" t="s">
        <v>9</v>
      </c>
      <c r="M2984" s="4" t="s">
        <v>9</v>
      </c>
      <c r="N2984" s="5"/>
    </row>
    <row r="2985" spans="1:14" x14ac:dyDescent="0.25">
      <c r="A2985" t="s">
        <v>483</v>
      </c>
      <c r="B2985" s="2">
        <v>46028</v>
      </c>
      <c r="C2985" t="s">
        <v>483</v>
      </c>
      <c r="D2985" t="s">
        <v>99</v>
      </c>
      <c r="E2985" t="s">
        <v>9</v>
      </c>
      <c r="F2985" s="3">
        <v>-78802.149999999994</v>
      </c>
      <c r="G2985" s="3">
        <v>-78802.149999999994</v>
      </c>
      <c r="H2985" t="s">
        <v>3</v>
      </c>
      <c r="I2985" t="s">
        <v>3</v>
      </c>
      <c r="J2985" t="s">
        <v>9</v>
      </c>
      <c r="K2985" t="s">
        <v>9</v>
      </c>
      <c r="L2985" t="s">
        <v>12</v>
      </c>
      <c r="M2985" t="s">
        <v>102</v>
      </c>
      <c r="N2985" s="2">
        <v>46022</v>
      </c>
    </row>
    <row r="2986" spans="1:14" x14ac:dyDescent="0.25">
      <c r="A2986" t="s">
        <v>483</v>
      </c>
      <c r="B2986" s="2">
        <v>45992</v>
      </c>
      <c r="C2986" t="s">
        <v>483</v>
      </c>
      <c r="D2986" t="s">
        <v>99</v>
      </c>
      <c r="E2986" t="s">
        <v>9</v>
      </c>
      <c r="F2986" s="3">
        <v>2573</v>
      </c>
      <c r="G2986" s="3">
        <v>2573</v>
      </c>
      <c r="H2986" t="s">
        <v>3</v>
      </c>
      <c r="I2986" t="s">
        <v>3</v>
      </c>
      <c r="J2986" t="s">
        <v>448</v>
      </c>
      <c r="K2986" t="s">
        <v>5</v>
      </c>
      <c r="L2986" t="s">
        <v>12</v>
      </c>
      <c r="M2986" t="s">
        <v>102</v>
      </c>
      <c r="N2986" s="2">
        <v>45992</v>
      </c>
    </row>
    <row r="2987" spans="1:14" x14ac:dyDescent="0.25">
      <c r="A2987" t="s">
        <v>483</v>
      </c>
      <c r="B2987" s="2">
        <v>46007</v>
      </c>
      <c r="C2987" t="s">
        <v>483</v>
      </c>
      <c r="D2987" t="s">
        <v>99</v>
      </c>
      <c r="E2987" t="s">
        <v>485</v>
      </c>
      <c r="F2987" s="3">
        <v>76229.149999999994</v>
      </c>
      <c r="G2987" s="3">
        <v>76229.149999999994</v>
      </c>
      <c r="H2987" t="s">
        <v>3</v>
      </c>
      <c r="I2987" t="s">
        <v>3</v>
      </c>
      <c r="J2987" t="s">
        <v>486</v>
      </c>
      <c r="K2987" t="s">
        <v>5</v>
      </c>
      <c r="L2987" t="s">
        <v>12</v>
      </c>
      <c r="M2987" t="s">
        <v>102</v>
      </c>
      <c r="N2987" s="2">
        <v>46007</v>
      </c>
    </row>
    <row r="2988" spans="1:14" x14ac:dyDescent="0.25">
      <c r="A2988" s="4" t="s">
        <v>228</v>
      </c>
      <c r="B2988" s="5"/>
      <c r="C2988" s="4" t="s">
        <v>9</v>
      </c>
      <c r="D2988" s="4" t="s">
        <v>9</v>
      </c>
      <c r="E2988" s="4" t="s">
        <v>9</v>
      </c>
      <c r="F2988" s="6">
        <v>0</v>
      </c>
      <c r="G2988" s="6">
        <v>0</v>
      </c>
      <c r="H2988" s="4" t="s">
        <v>9</v>
      </c>
      <c r="I2988" s="4" t="s">
        <v>3</v>
      </c>
      <c r="J2988" s="4" t="s">
        <v>9</v>
      </c>
      <c r="K2988" s="4" t="s">
        <v>9</v>
      </c>
      <c r="L2988" s="4" t="s">
        <v>9</v>
      </c>
      <c r="M2988" s="4" t="s">
        <v>9</v>
      </c>
      <c r="N2988" s="5"/>
    </row>
    <row r="2989" spans="1:14" x14ac:dyDescent="0.25">
      <c r="A2989" s="4" t="s">
        <v>483</v>
      </c>
      <c r="B2989" s="5"/>
      <c r="C2989" s="4" t="s">
        <v>9</v>
      </c>
      <c r="D2989" s="4" t="s">
        <v>9</v>
      </c>
      <c r="E2989" s="4" t="s">
        <v>9</v>
      </c>
      <c r="F2989" s="6">
        <v>0</v>
      </c>
      <c r="G2989" s="6">
        <v>0</v>
      </c>
      <c r="H2989" s="4" t="s">
        <v>9</v>
      </c>
      <c r="I2989" s="4" t="s">
        <v>3</v>
      </c>
      <c r="J2989" s="4" t="s">
        <v>9</v>
      </c>
      <c r="K2989" s="4" t="s">
        <v>9</v>
      </c>
      <c r="L2989" s="4" t="s">
        <v>9</v>
      </c>
      <c r="M2989" s="4" t="s">
        <v>9</v>
      </c>
      <c r="N2989" s="5"/>
    </row>
    <row r="2990" spans="1:14" x14ac:dyDescent="0.25">
      <c r="A2990" t="s">
        <v>487</v>
      </c>
      <c r="B2990" s="2">
        <v>45932</v>
      </c>
      <c r="C2990" t="s">
        <v>487</v>
      </c>
      <c r="D2990" t="s">
        <v>33</v>
      </c>
      <c r="E2990" t="s">
        <v>9</v>
      </c>
      <c r="F2990" s="3">
        <v>14138</v>
      </c>
      <c r="G2990" s="3">
        <v>14138</v>
      </c>
      <c r="H2990" t="s">
        <v>3</v>
      </c>
      <c r="I2990" t="s">
        <v>3</v>
      </c>
      <c r="J2990" t="s">
        <v>9</v>
      </c>
      <c r="K2990" t="s">
        <v>9</v>
      </c>
      <c r="L2990" t="s">
        <v>6</v>
      </c>
      <c r="M2990" t="s">
        <v>35</v>
      </c>
      <c r="N2990" s="2">
        <v>45930</v>
      </c>
    </row>
    <row r="2991" spans="1:14" x14ac:dyDescent="0.25">
      <c r="A2991" t="s">
        <v>487</v>
      </c>
      <c r="B2991" s="2">
        <v>45910</v>
      </c>
      <c r="C2991" t="s">
        <v>487</v>
      </c>
      <c r="D2991" t="s">
        <v>33</v>
      </c>
      <c r="E2991" t="s">
        <v>9</v>
      </c>
      <c r="F2991" s="3">
        <v>-14138</v>
      </c>
      <c r="G2991" s="3">
        <v>-14138</v>
      </c>
      <c r="H2991" t="s">
        <v>3</v>
      </c>
      <c r="I2991" t="s">
        <v>3</v>
      </c>
      <c r="J2991" t="s">
        <v>9</v>
      </c>
      <c r="K2991" t="s">
        <v>5</v>
      </c>
      <c r="L2991" t="s">
        <v>6</v>
      </c>
      <c r="M2991" t="s">
        <v>35</v>
      </c>
      <c r="N2991" s="2">
        <v>45910</v>
      </c>
    </row>
    <row r="2992" spans="1:14" x14ac:dyDescent="0.25">
      <c r="A2992" s="4" t="s">
        <v>272</v>
      </c>
      <c r="B2992" s="5"/>
      <c r="C2992" s="4" t="s">
        <v>9</v>
      </c>
      <c r="D2992" s="4" t="s">
        <v>9</v>
      </c>
      <c r="E2992" s="4" t="s">
        <v>9</v>
      </c>
      <c r="F2992" s="6">
        <v>0</v>
      </c>
      <c r="G2992" s="6">
        <v>0</v>
      </c>
      <c r="H2992" s="4" t="s">
        <v>9</v>
      </c>
      <c r="I2992" s="4" t="s">
        <v>3</v>
      </c>
      <c r="J2992" s="4" t="s">
        <v>9</v>
      </c>
      <c r="K2992" s="4" t="s">
        <v>9</v>
      </c>
      <c r="L2992" s="4" t="s">
        <v>9</v>
      </c>
      <c r="M2992" s="4" t="s">
        <v>9</v>
      </c>
      <c r="N2992" s="5"/>
    </row>
    <row r="2993" spans="1:14" x14ac:dyDescent="0.25">
      <c r="A2993" t="s">
        <v>487</v>
      </c>
      <c r="B2993" s="2">
        <v>46028</v>
      </c>
      <c r="C2993" t="s">
        <v>487</v>
      </c>
      <c r="D2993" t="s">
        <v>33</v>
      </c>
      <c r="E2993" t="s">
        <v>9</v>
      </c>
      <c r="F2993" s="3">
        <v>173244</v>
      </c>
      <c r="G2993" s="3">
        <v>173244</v>
      </c>
      <c r="H2993" t="s">
        <v>3</v>
      </c>
      <c r="I2993" t="s">
        <v>3</v>
      </c>
      <c r="J2993" t="s">
        <v>9</v>
      </c>
      <c r="K2993" t="s">
        <v>9</v>
      </c>
      <c r="L2993" t="s">
        <v>12</v>
      </c>
      <c r="M2993" t="s">
        <v>35</v>
      </c>
      <c r="N2993" s="2">
        <v>46022</v>
      </c>
    </row>
    <row r="2994" spans="1:14" x14ac:dyDescent="0.25">
      <c r="A2994" t="s">
        <v>487</v>
      </c>
      <c r="B2994" s="2">
        <v>46007</v>
      </c>
      <c r="C2994" t="s">
        <v>487</v>
      </c>
      <c r="D2994" t="s">
        <v>33</v>
      </c>
      <c r="E2994" t="s">
        <v>9</v>
      </c>
      <c r="F2994" s="3">
        <v>-173244</v>
      </c>
      <c r="G2994" s="3">
        <v>-173244</v>
      </c>
      <c r="H2994" t="s">
        <v>3</v>
      </c>
      <c r="I2994" t="s">
        <v>3</v>
      </c>
      <c r="J2994" t="s">
        <v>9</v>
      </c>
      <c r="K2994" t="s">
        <v>5</v>
      </c>
      <c r="L2994" t="s">
        <v>12</v>
      </c>
      <c r="M2994" t="s">
        <v>35</v>
      </c>
      <c r="N2994" s="2">
        <v>46007</v>
      </c>
    </row>
    <row r="2995" spans="1:14" x14ac:dyDescent="0.25">
      <c r="A2995" s="4" t="s">
        <v>228</v>
      </c>
      <c r="B2995" s="5"/>
      <c r="C2995" s="4" t="s">
        <v>9</v>
      </c>
      <c r="D2995" s="4" t="s">
        <v>9</v>
      </c>
      <c r="E2995" s="4" t="s">
        <v>9</v>
      </c>
      <c r="F2995" s="6">
        <v>0</v>
      </c>
      <c r="G2995" s="6">
        <v>0</v>
      </c>
      <c r="H2995" s="4" t="s">
        <v>9</v>
      </c>
      <c r="I2995" s="4" t="s">
        <v>3</v>
      </c>
      <c r="J2995" s="4" t="s">
        <v>9</v>
      </c>
      <c r="K2995" s="4" t="s">
        <v>9</v>
      </c>
      <c r="L2995" s="4" t="s">
        <v>9</v>
      </c>
      <c r="M2995" s="4" t="s">
        <v>9</v>
      </c>
      <c r="N2995" s="5"/>
    </row>
    <row r="2996" spans="1:14" x14ac:dyDescent="0.25">
      <c r="A2996" s="4" t="s">
        <v>487</v>
      </c>
      <c r="B2996" s="5"/>
      <c r="C2996" s="4" t="s">
        <v>9</v>
      </c>
      <c r="D2996" s="4" t="s">
        <v>9</v>
      </c>
      <c r="E2996" s="4" t="s">
        <v>9</v>
      </c>
      <c r="F2996" s="6">
        <v>0</v>
      </c>
      <c r="G2996" s="6">
        <v>0</v>
      </c>
      <c r="H2996" s="4" t="s">
        <v>9</v>
      </c>
      <c r="I2996" s="4" t="s">
        <v>3</v>
      </c>
      <c r="J2996" s="4" t="s">
        <v>9</v>
      </c>
      <c r="K2996" s="4" t="s">
        <v>9</v>
      </c>
      <c r="L2996" s="4" t="s">
        <v>9</v>
      </c>
      <c r="M2996" s="4" t="s">
        <v>9</v>
      </c>
      <c r="N2996" s="5"/>
    </row>
    <row r="2997" spans="1:14" x14ac:dyDescent="0.25">
      <c r="A2997" t="s">
        <v>488</v>
      </c>
      <c r="B2997" s="2">
        <v>46084</v>
      </c>
      <c r="C2997" t="s">
        <v>488</v>
      </c>
      <c r="D2997" t="s">
        <v>112</v>
      </c>
      <c r="E2997" t="s">
        <v>9</v>
      </c>
      <c r="F2997" s="3">
        <v>-1100</v>
      </c>
      <c r="G2997" s="3">
        <v>-1100</v>
      </c>
      <c r="H2997" t="s">
        <v>3</v>
      </c>
      <c r="I2997" t="s">
        <v>3</v>
      </c>
      <c r="J2997" t="s">
        <v>9</v>
      </c>
      <c r="K2997" t="s">
        <v>9</v>
      </c>
      <c r="L2997" t="s">
        <v>15</v>
      </c>
      <c r="M2997" t="s">
        <v>114</v>
      </c>
      <c r="N2997" s="2">
        <v>46081</v>
      </c>
    </row>
    <row r="2998" spans="1:14" x14ac:dyDescent="0.25">
      <c r="A2998" t="s">
        <v>488</v>
      </c>
      <c r="B2998" s="2">
        <v>46081</v>
      </c>
      <c r="C2998" t="s">
        <v>488</v>
      </c>
      <c r="D2998" t="s">
        <v>112</v>
      </c>
      <c r="E2998" t="s">
        <v>9</v>
      </c>
      <c r="F2998" s="3">
        <v>1100</v>
      </c>
      <c r="G2998" s="3">
        <v>1100</v>
      </c>
      <c r="H2998" t="s">
        <v>3</v>
      </c>
      <c r="I2998" t="s">
        <v>3</v>
      </c>
      <c r="J2998" t="s">
        <v>304</v>
      </c>
      <c r="K2998" t="s">
        <v>13</v>
      </c>
      <c r="L2998" t="s">
        <v>15</v>
      </c>
      <c r="M2998" t="s">
        <v>114</v>
      </c>
      <c r="N2998" s="2">
        <v>46081</v>
      </c>
    </row>
    <row r="2999" spans="1:14" x14ac:dyDescent="0.25">
      <c r="A2999" s="4" t="s">
        <v>239</v>
      </c>
      <c r="B2999" s="5"/>
      <c r="C2999" s="4" t="s">
        <v>9</v>
      </c>
      <c r="D2999" s="4" t="s">
        <v>9</v>
      </c>
      <c r="E2999" s="4" t="s">
        <v>9</v>
      </c>
      <c r="F2999" s="6">
        <v>0</v>
      </c>
      <c r="G2999" s="6">
        <v>0</v>
      </c>
      <c r="H2999" s="4" t="s">
        <v>9</v>
      </c>
      <c r="I2999" s="4" t="s">
        <v>3</v>
      </c>
      <c r="J2999" s="4" t="s">
        <v>9</v>
      </c>
      <c r="K2999" s="4" t="s">
        <v>9</v>
      </c>
      <c r="L2999" s="4" t="s">
        <v>9</v>
      </c>
      <c r="M2999" s="4" t="s">
        <v>9</v>
      </c>
      <c r="N2999" s="5"/>
    </row>
    <row r="3000" spans="1:14" x14ac:dyDescent="0.25">
      <c r="A3000" t="s">
        <v>488</v>
      </c>
      <c r="B3000" s="2">
        <v>46115</v>
      </c>
      <c r="C3000" t="s">
        <v>488</v>
      </c>
      <c r="D3000" t="s">
        <v>112</v>
      </c>
      <c r="E3000" t="s">
        <v>9</v>
      </c>
      <c r="F3000" s="3">
        <v>-2200</v>
      </c>
      <c r="G3000" s="3">
        <v>-2200</v>
      </c>
      <c r="H3000" t="s">
        <v>3</v>
      </c>
      <c r="I3000" t="s">
        <v>3</v>
      </c>
      <c r="J3000" t="s">
        <v>9</v>
      </c>
      <c r="K3000" t="s">
        <v>9</v>
      </c>
      <c r="L3000" t="s">
        <v>16</v>
      </c>
      <c r="M3000" t="s">
        <v>114</v>
      </c>
      <c r="N3000" s="2">
        <v>46112</v>
      </c>
    </row>
    <row r="3001" spans="1:14" x14ac:dyDescent="0.25">
      <c r="A3001" t="s">
        <v>488</v>
      </c>
      <c r="B3001" s="2">
        <v>46081</v>
      </c>
      <c r="C3001" t="s">
        <v>488</v>
      </c>
      <c r="D3001" t="s">
        <v>112</v>
      </c>
      <c r="E3001" t="s">
        <v>9</v>
      </c>
      <c r="F3001" s="3">
        <v>-1100</v>
      </c>
      <c r="G3001" s="3">
        <v>-1100</v>
      </c>
      <c r="H3001" t="s">
        <v>3</v>
      </c>
      <c r="I3001" t="s">
        <v>3</v>
      </c>
      <c r="J3001" t="s">
        <v>304</v>
      </c>
      <c r="K3001" t="s">
        <v>13</v>
      </c>
      <c r="L3001" t="s">
        <v>16</v>
      </c>
      <c r="M3001" t="s">
        <v>114</v>
      </c>
      <c r="N3001" s="2">
        <v>46082</v>
      </c>
    </row>
    <row r="3002" spans="1:14" x14ac:dyDescent="0.25">
      <c r="A3002" t="s">
        <v>488</v>
      </c>
      <c r="B3002" s="2">
        <v>46112</v>
      </c>
      <c r="C3002" t="s">
        <v>488</v>
      </c>
      <c r="D3002" t="s">
        <v>112</v>
      </c>
      <c r="E3002" t="s">
        <v>9</v>
      </c>
      <c r="F3002" s="3">
        <v>3300</v>
      </c>
      <c r="G3002" s="3">
        <v>3300</v>
      </c>
      <c r="H3002" t="s">
        <v>3</v>
      </c>
      <c r="I3002" t="s">
        <v>3</v>
      </c>
      <c r="J3002" t="s">
        <v>307</v>
      </c>
      <c r="K3002" t="s">
        <v>13</v>
      </c>
      <c r="L3002" t="s">
        <v>16</v>
      </c>
      <c r="M3002" t="s">
        <v>114</v>
      </c>
      <c r="N3002" s="2">
        <v>46112</v>
      </c>
    </row>
    <row r="3003" spans="1:14" x14ac:dyDescent="0.25">
      <c r="A3003" s="4" t="s">
        <v>244</v>
      </c>
      <c r="B3003" s="5"/>
      <c r="C3003" s="4" t="s">
        <v>9</v>
      </c>
      <c r="D3003" s="4" t="s">
        <v>9</v>
      </c>
      <c r="E3003" s="4" t="s">
        <v>9</v>
      </c>
      <c r="F3003" s="6">
        <v>0</v>
      </c>
      <c r="G3003" s="6">
        <v>0</v>
      </c>
      <c r="H3003" s="4" t="s">
        <v>9</v>
      </c>
      <c r="I3003" s="4" t="s">
        <v>3</v>
      </c>
      <c r="J3003" s="4" t="s">
        <v>9</v>
      </c>
      <c r="K3003" s="4" t="s">
        <v>9</v>
      </c>
      <c r="L3003" s="4" t="s">
        <v>9</v>
      </c>
      <c r="M3003" s="4" t="s">
        <v>9</v>
      </c>
      <c r="N3003" s="5"/>
    </row>
    <row r="3004" spans="1:14" x14ac:dyDescent="0.25">
      <c r="A3004" t="s">
        <v>488</v>
      </c>
      <c r="B3004" s="2">
        <v>46147</v>
      </c>
      <c r="C3004" t="s">
        <v>488</v>
      </c>
      <c r="D3004" t="s">
        <v>112</v>
      </c>
      <c r="E3004" t="s">
        <v>9</v>
      </c>
      <c r="F3004" s="3">
        <v>-700</v>
      </c>
      <c r="G3004" s="3">
        <v>-700</v>
      </c>
      <c r="H3004" t="s">
        <v>3</v>
      </c>
      <c r="I3004" t="s">
        <v>3</v>
      </c>
      <c r="J3004" t="s">
        <v>9</v>
      </c>
      <c r="K3004" t="s">
        <v>9</v>
      </c>
      <c r="L3004" t="s">
        <v>17</v>
      </c>
      <c r="M3004" t="s">
        <v>114</v>
      </c>
      <c r="N3004" s="2">
        <v>46142</v>
      </c>
    </row>
    <row r="3005" spans="1:14" x14ac:dyDescent="0.25">
      <c r="A3005" t="s">
        <v>488</v>
      </c>
      <c r="B3005" s="2">
        <v>46112</v>
      </c>
      <c r="C3005" t="s">
        <v>488</v>
      </c>
      <c r="D3005" t="s">
        <v>112</v>
      </c>
      <c r="E3005" t="s">
        <v>9</v>
      </c>
      <c r="F3005" s="3">
        <v>-3300</v>
      </c>
      <c r="G3005" s="3">
        <v>-3300</v>
      </c>
      <c r="H3005" t="s">
        <v>3</v>
      </c>
      <c r="I3005" t="s">
        <v>3</v>
      </c>
      <c r="J3005" t="s">
        <v>307</v>
      </c>
      <c r="K3005" t="s">
        <v>13</v>
      </c>
      <c r="L3005" t="s">
        <v>17</v>
      </c>
      <c r="M3005" t="s">
        <v>114</v>
      </c>
      <c r="N3005" s="2">
        <v>46113</v>
      </c>
    </row>
    <row r="3006" spans="1:14" x14ac:dyDescent="0.25">
      <c r="A3006" t="s">
        <v>488</v>
      </c>
      <c r="B3006" s="2">
        <v>46142</v>
      </c>
      <c r="C3006" t="s">
        <v>488</v>
      </c>
      <c r="D3006" t="s">
        <v>112</v>
      </c>
      <c r="E3006" t="s">
        <v>9</v>
      </c>
      <c r="F3006" s="3">
        <v>4000</v>
      </c>
      <c r="G3006" s="3">
        <v>4000</v>
      </c>
      <c r="H3006" t="s">
        <v>3</v>
      </c>
      <c r="I3006" t="s">
        <v>3</v>
      </c>
      <c r="J3006" t="s">
        <v>310</v>
      </c>
      <c r="K3006" t="s">
        <v>13</v>
      </c>
      <c r="L3006" t="s">
        <v>17</v>
      </c>
      <c r="M3006" t="s">
        <v>114</v>
      </c>
      <c r="N3006" s="2">
        <v>46142</v>
      </c>
    </row>
    <row r="3007" spans="1:14" x14ac:dyDescent="0.25">
      <c r="A3007" s="4" t="s">
        <v>249</v>
      </c>
      <c r="B3007" s="5"/>
      <c r="C3007" s="4" t="s">
        <v>9</v>
      </c>
      <c r="D3007" s="4" t="s">
        <v>9</v>
      </c>
      <c r="E3007" s="4" t="s">
        <v>9</v>
      </c>
      <c r="F3007" s="6">
        <v>0</v>
      </c>
      <c r="G3007" s="6">
        <v>0</v>
      </c>
      <c r="H3007" s="4" t="s">
        <v>9</v>
      </c>
      <c r="I3007" s="4" t="s">
        <v>3</v>
      </c>
      <c r="J3007" s="4" t="s">
        <v>9</v>
      </c>
      <c r="K3007" s="4" t="s">
        <v>9</v>
      </c>
      <c r="L3007" s="4" t="s">
        <v>9</v>
      </c>
      <c r="M3007" s="4" t="s">
        <v>9</v>
      </c>
      <c r="N3007" s="5"/>
    </row>
    <row r="3008" spans="1:14" x14ac:dyDescent="0.25">
      <c r="A3008" t="s">
        <v>488</v>
      </c>
      <c r="B3008" s="2">
        <v>46142</v>
      </c>
      <c r="C3008" t="s">
        <v>488</v>
      </c>
      <c r="D3008" t="s">
        <v>112</v>
      </c>
      <c r="E3008" t="s">
        <v>9</v>
      </c>
      <c r="F3008" s="3">
        <v>-4000</v>
      </c>
      <c r="G3008" s="3">
        <v>-4000</v>
      </c>
      <c r="H3008" t="s">
        <v>3</v>
      </c>
      <c r="I3008" t="s">
        <v>3</v>
      </c>
      <c r="J3008" t="s">
        <v>310</v>
      </c>
      <c r="K3008" t="s">
        <v>13</v>
      </c>
      <c r="L3008" t="s">
        <v>18</v>
      </c>
      <c r="M3008" t="s">
        <v>114</v>
      </c>
      <c r="N3008" s="2">
        <v>46143</v>
      </c>
    </row>
    <row r="3009" spans="1:14" x14ac:dyDescent="0.25">
      <c r="A3009" t="s">
        <v>488</v>
      </c>
      <c r="B3009" s="2">
        <v>46173</v>
      </c>
      <c r="C3009" t="s">
        <v>488</v>
      </c>
      <c r="D3009" t="s">
        <v>112</v>
      </c>
      <c r="E3009" t="s">
        <v>9</v>
      </c>
      <c r="F3009" s="3">
        <v>4000</v>
      </c>
      <c r="G3009" s="3">
        <v>4000</v>
      </c>
      <c r="H3009" t="s">
        <v>3</v>
      </c>
      <c r="I3009" t="s">
        <v>3</v>
      </c>
      <c r="J3009" t="s">
        <v>313</v>
      </c>
      <c r="K3009" t="s">
        <v>13</v>
      </c>
      <c r="L3009" t="s">
        <v>18</v>
      </c>
      <c r="M3009" t="s">
        <v>114</v>
      </c>
      <c r="N3009" s="2">
        <v>46173</v>
      </c>
    </row>
    <row r="3010" spans="1:14" x14ac:dyDescent="0.25">
      <c r="A3010" s="4" t="s">
        <v>223</v>
      </c>
      <c r="B3010" s="5"/>
      <c r="C3010" s="4" t="s">
        <v>9</v>
      </c>
      <c r="D3010" s="4" t="s">
        <v>9</v>
      </c>
      <c r="E3010" s="4" t="s">
        <v>9</v>
      </c>
      <c r="F3010" s="6">
        <v>0</v>
      </c>
      <c r="G3010" s="6">
        <v>0</v>
      </c>
      <c r="H3010" s="4" t="s">
        <v>9</v>
      </c>
      <c r="I3010" s="4" t="s">
        <v>3</v>
      </c>
      <c r="J3010" s="4" t="s">
        <v>9</v>
      </c>
      <c r="K3010" s="4" t="s">
        <v>9</v>
      </c>
      <c r="L3010" s="4" t="s">
        <v>9</v>
      </c>
      <c r="M3010" s="4" t="s">
        <v>9</v>
      </c>
      <c r="N3010" s="5"/>
    </row>
    <row r="3011" spans="1:14" x14ac:dyDescent="0.25">
      <c r="A3011" t="s">
        <v>488</v>
      </c>
      <c r="B3011" s="2">
        <v>46173</v>
      </c>
      <c r="C3011" t="s">
        <v>488</v>
      </c>
      <c r="D3011" t="s">
        <v>112</v>
      </c>
      <c r="E3011" t="s">
        <v>9</v>
      </c>
      <c r="F3011" s="3">
        <v>-4000</v>
      </c>
      <c r="G3011" s="3">
        <v>-4000</v>
      </c>
      <c r="H3011" t="s">
        <v>3</v>
      </c>
      <c r="I3011" t="s">
        <v>3</v>
      </c>
      <c r="J3011" t="s">
        <v>313</v>
      </c>
      <c r="K3011" t="s">
        <v>13</v>
      </c>
      <c r="L3011" t="s">
        <v>19</v>
      </c>
      <c r="M3011" t="s">
        <v>114</v>
      </c>
      <c r="N3011" s="2">
        <v>46174</v>
      </c>
    </row>
    <row r="3012" spans="1:14" x14ac:dyDescent="0.25">
      <c r="A3012" t="s">
        <v>488</v>
      </c>
      <c r="B3012" s="2">
        <v>46203</v>
      </c>
      <c r="C3012" t="s">
        <v>488</v>
      </c>
      <c r="D3012" t="s">
        <v>112</v>
      </c>
      <c r="E3012" t="s">
        <v>9</v>
      </c>
      <c r="F3012" s="3">
        <v>4000</v>
      </c>
      <c r="G3012" s="3">
        <v>4000</v>
      </c>
      <c r="H3012" t="s">
        <v>3</v>
      </c>
      <c r="I3012" t="s">
        <v>3</v>
      </c>
      <c r="J3012" t="s">
        <v>316</v>
      </c>
      <c r="K3012" t="s">
        <v>13</v>
      </c>
      <c r="L3012" t="s">
        <v>19</v>
      </c>
      <c r="M3012" t="s">
        <v>114</v>
      </c>
      <c r="N3012" s="2">
        <v>46203</v>
      </c>
    </row>
    <row r="3013" spans="1:14" x14ac:dyDescent="0.25">
      <c r="A3013" s="4" t="s">
        <v>224</v>
      </c>
      <c r="B3013" s="5"/>
      <c r="C3013" s="4" t="s">
        <v>9</v>
      </c>
      <c r="D3013" s="4" t="s">
        <v>9</v>
      </c>
      <c r="E3013" s="4" t="s">
        <v>9</v>
      </c>
      <c r="F3013" s="6">
        <v>0</v>
      </c>
      <c r="G3013" s="6">
        <v>0</v>
      </c>
      <c r="H3013" s="4" t="s">
        <v>9</v>
      </c>
      <c r="I3013" s="4" t="s">
        <v>3</v>
      </c>
      <c r="J3013" s="4" t="s">
        <v>9</v>
      </c>
      <c r="K3013" s="4" t="s">
        <v>9</v>
      </c>
      <c r="L3013" s="4" t="s">
        <v>9</v>
      </c>
      <c r="M3013" s="4" t="s">
        <v>9</v>
      </c>
      <c r="N3013" s="5"/>
    </row>
    <row r="3014" spans="1:14" x14ac:dyDescent="0.25">
      <c r="A3014" t="s">
        <v>488</v>
      </c>
      <c r="B3014" s="2">
        <v>46239</v>
      </c>
      <c r="C3014" t="s">
        <v>488</v>
      </c>
      <c r="D3014" t="s">
        <v>112</v>
      </c>
      <c r="E3014" t="s">
        <v>9</v>
      </c>
      <c r="F3014" s="3">
        <v>4000</v>
      </c>
      <c r="G3014" s="3">
        <v>4000</v>
      </c>
      <c r="H3014" t="s">
        <v>3</v>
      </c>
      <c r="I3014" t="s">
        <v>3</v>
      </c>
      <c r="J3014" t="s">
        <v>9</v>
      </c>
      <c r="K3014" t="s">
        <v>9</v>
      </c>
      <c r="L3014" t="s">
        <v>21</v>
      </c>
      <c r="M3014" t="s">
        <v>114</v>
      </c>
      <c r="N3014" s="2">
        <v>46234</v>
      </c>
    </row>
    <row r="3015" spans="1:14" x14ac:dyDescent="0.25">
      <c r="A3015" t="s">
        <v>488</v>
      </c>
      <c r="B3015" s="2">
        <v>46239</v>
      </c>
      <c r="C3015" t="s">
        <v>488</v>
      </c>
      <c r="D3015" t="s">
        <v>112</v>
      </c>
      <c r="E3015" t="s">
        <v>9</v>
      </c>
      <c r="F3015" s="3">
        <v>-4000</v>
      </c>
      <c r="G3015" s="3">
        <v>-4000</v>
      </c>
      <c r="H3015" t="s">
        <v>3</v>
      </c>
      <c r="I3015" t="s">
        <v>3</v>
      </c>
      <c r="J3015" t="s">
        <v>9</v>
      </c>
      <c r="K3015" t="s">
        <v>9</v>
      </c>
      <c r="L3015" t="s">
        <v>21</v>
      </c>
      <c r="M3015" t="s">
        <v>114</v>
      </c>
      <c r="N3015" s="2">
        <v>46234</v>
      </c>
    </row>
    <row r="3016" spans="1:14" x14ac:dyDescent="0.25">
      <c r="A3016" t="s">
        <v>488</v>
      </c>
      <c r="B3016" s="2">
        <v>46203</v>
      </c>
      <c r="C3016" t="s">
        <v>488</v>
      </c>
      <c r="D3016" t="s">
        <v>112</v>
      </c>
      <c r="E3016" t="s">
        <v>9</v>
      </c>
      <c r="F3016" s="3">
        <v>-4000</v>
      </c>
      <c r="G3016" s="3">
        <v>-4000</v>
      </c>
      <c r="H3016" t="s">
        <v>3</v>
      </c>
      <c r="I3016" t="s">
        <v>3</v>
      </c>
      <c r="J3016" t="s">
        <v>316</v>
      </c>
      <c r="K3016" t="s">
        <v>13</v>
      </c>
      <c r="L3016" t="s">
        <v>21</v>
      </c>
      <c r="M3016" t="s">
        <v>114</v>
      </c>
      <c r="N3016" s="2">
        <v>46204</v>
      </c>
    </row>
    <row r="3017" spans="1:14" x14ac:dyDescent="0.25">
      <c r="A3017" t="s">
        <v>488</v>
      </c>
      <c r="B3017" s="2">
        <v>46234</v>
      </c>
      <c r="C3017" t="s">
        <v>488</v>
      </c>
      <c r="D3017" t="s">
        <v>112</v>
      </c>
      <c r="E3017" t="s">
        <v>9</v>
      </c>
      <c r="F3017" s="3">
        <v>4000</v>
      </c>
      <c r="G3017" s="3">
        <v>4000</v>
      </c>
      <c r="H3017" t="s">
        <v>3</v>
      </c>
      <c r="I3017" t="s">
        <v>3</v>
      </c>
      <c r="J3017" t="s">
        <v>319</v>
      </c>
      <c r="K3017" t="s">
        <v>13</v>
      </c>
      <c r="L3017" t="s">
        <v>21</v>
      </c>
      <c r="M3017" t="s">
        <v>114</v>
      </c>
      <c r="N3017" s="2">
        <v>46234</v>
      </c>
    </row>
    <row r="3018" spans="1:14" x14ac:dyDescent="0.25">
      <c r="A3018" s="4" t="s">
        <v>262</v>
      </c>
      <c r="B3018" s="5"/>
      <c r="C3018" s="4" t="s">
        <v>9</v>
      </c>
      <c r="D3018" s="4" t="s">
        <v>9</v>
      </c>
      <c r="E3018" s="4" t="s">
        <v>9</v>
      </c>
      <c r="F3018" s="6">
        <v>0</v>
      </c>
      <c r="G3018" s="6">
        <v>0</v>
      </c>
      <c r="H3018" s="4" t="s">
        <v>9</v>
      </c>
      <c r="I3018" s="4" t="s">
        <v>3</v>
      </c>
      <c r="J3018" s="4" t="s">
        <v>9</v>
      </c>
      <c r="K3018" s="4" t="s">
        <v>9</v>
      </c>
      <c r="L3018" s="4" t="s">
        <v>9</v>
      </c>
      <c r="M3018" s="4" t="s">
        <v>9</v>
      </c>
      <c r="N3018" s="5"/>
    </row>
    <row r="3019" spans="1:14" x14ac:dyDescent="0.25">
      <c r="A3019" t="s">
        <v>488</v>
      </c>
      <c r="B3019" s="2">
        <v>46267</v>
      </c>
      <c r="C3019" t="s">
        <v>488</v>
      </c>
      <c r="D3019" t="s">
        <v>112</v>
      </c>
      <c r="E3019" t="s">
        <v>9</v>
      </c>
      <c r="F3019" s="3">
        <v>-300</v>
      </c>
      <c r="G3019" s="3">
        <v>-300</v>
      </c>
      <c r="H3019" t="s">
        <v>3</v>
      </c>
      <c r="I3019" t="s">
        <v>3</v>
      </c>
      <c r="J3019" t="s">
        <v>9</v>
      </c>
      <c r="K3019" t="s">
        <v>9</v>
      </c>
      <c r="L3019" t="s">
        <v>22</v>
      </c>
      <c r="M3019" t="s">
        <v>114</v>
      </c>
      <c r="N3019" s="2">
        <v>46265</v>
      </c>
    </row>
    <row r="3020" spans="1:14" x14ac:dyDescent="0.25">
      <c r="A3020" t="s">
        <v>488</v>
      </c>
      <c r="B3020" s="2">
        <v>46234</v>
      </c>
      <c r="C3020" t="s">
        <v>488</v>
      </c>
      <c r="D3020" t="s">
        <v>112</v>
      </c>
      <c r="E3020" t="s">
        <v>9</v>
      </c>
      <c r="F3020" s="3">
        <v>-4000</v>
      </c>
      <c r="G3020" s="3">
        <v>-4000</v>
      </c>
      <c r="H3020" t="s">
        <v>3</v>
      </c>
      <c r="I3020" t="s">
        <v>3</v>
      </c>
      <c r="J3020" t="s">
        <v>319</v>
      </c>
      <c r="K3020" t="s">
        <v>13</v>
      </c>
      <c r="L3020" t="s">
        <v>22</v>
      </c>
      <c r="M3020" t="s">
        <v>114</v>
      </c>
      <c r="N3020" s="2">
        <v>46235</v>
      </c>
    </row>
    <row r="3021" spans="1:14" x14ac:dyDescent="0.25">
      <c r="A3021" t="s">
        <v>488</v>
      </c>
      <c r="B3021" s="2">
        <v>46265</v>
      </c>
      <c r="C3021" t="s">
        <v>488</v>
      </c>
      <c r="D3021" t="s">
        <v>112</v>
      </c>
      <c r="E3021" t="s">
        <v>9</v>
      </c>
      <c r="F3021" s="3">
        <v>4300</v>
      </c>
      <c r="G3021" s="3">
        <v>4300</v>
      </c>
      <c r="H3021" t="s">
        <v>3</v>
      </c>
      <c r="I3021" t="s">
        <v>3</v>
      </c>
      <c r="J3021" t="s">
        <v>322</v>
      </c>
      <c r="K3021" t="s">
        <v>13</v>
      </c>
      <c r="L3021" t="s">
        <v>22</v>
      </c>
      <c r="M3021" t="s">
        <v>114</v>
      </c>
      <c r="N3021" s="2">
        <v>46265</v>
      </c>
    </row>
    <row r="3022" spans="1:14" x14ac:dyDescent="0.25">
      <c r="A3022" s="4" t="s">
        <v>267</v>
      </c>
      <c r="B3022" s="5"/>
      <c r="C3022" s="4" t="s">
        <v>9</v>
      </c>
      <c r="D3022" s="4" t="s">
        <v>9</v>
      </c>
      <c r="E3022" s="4" t="s">
        <v>9</v>
      </c>
      <c r="F3022" s="6">
        <v>0</v>
      </c>
      <c r="G3022" s="6">
        <v>0</v>
      </c>
      <c r="H3022" s="4" t="s">
        <v>9</v>
      </c>
      <c r="I3022" s="4" t="s">
        <v>3</v>
      </c>
      <c r="J3022" s="4" t="s">
        <v>9</v>
      </c>
      <c r="K3022" s="4" t="s">
        <v>9</v>
      </c>
      <c r="L3022" s="4" t="s">
        <v>9</v>
      </c>
      <c r="M3022" s="4" t="s">
        <v>9</v>
      </c>
      <c r="N3022" s="5"/>
    </row>
    <row r="3023" spans="1:14" x14ac:dyDescent="0.25">
      <c r="A3023" s="4" t="s">
        <v>488</v>
      </c>
      <c r="B3023" s="5"/>
      <c r="C3023" s="4" t="s">
        <v>9</v>
      </c>
      <c r="D3023" s="4" t="s">
        <v>9</v>
      </c>
      <c r="E3023" s="4" t="s">
        <v>9</v>
      </c>
      <c r="F3023" s="6">
        <v>0</v>
      </c>
      <c r="G3023" s="6">
        <v>0</v>
      </c>
      <c r="H3023" s="4" t="s">
        <v>9</v>
      </c>
      <c r="I3023" s="4" t="s">
        <v>3</v>
      </c>
      <c r="J3023" s="4" t="s">
        <v>9</v>
      </c>
      <c r="K3023" s="4" t="s">
        <v>9</v>
      </c>
      <c r="L3023" s="4" t="s">
        <v>9</v>
      </c>
      <c r="M3023" s="4" t="s">
        <v>9</v>
      </c>
      <c r="N3023" s="5"/>
    </row>
    <row r="3024" spans="1:14" x14ac:dyDescent="0.25">
      <c r="A3024" t="s">
        <v>489</v>
      </c>
      <c r="B3024" s="2">
        <v>45839</v>
      </c>
      <c r="C3024" t="s">
        <v>489</v>
      </c>
      <c r="D3024" t="s">
        <v>99</v>
      </c>
      <c r="E3024" t="s">
        <v>9</v>
      </c>
      <c r="F3024" s="3">
        <v>-8364.65</v>
      </c>
      <c r="G3024" s="3">
        <v>-8364.65</v>
      </c>
      <c r="H3024" t="s">
        <v>3</v>
      </c>
      <c r="I3024" t="s">
        <v>3</v>
      </c>
      <c r="J3024" t="s">
        <v>9</v>
      </c>
      <c r="K3024" t="s">
        <v>9</v>
      </c>
      <c r="L3024" t="s">
        <v>19</v>
      </c>
      <c r="M3024" t="s">
        <v>102</v>
      </c>
      <c r="N3024" s="2">
        <v>45838</v>
      </c>
    </row>
    <row r="3025" spans="1:14" x14ac:dyDescent="0.25">
      <c r="A3025" t="s">
        <v>489</v>
      </c>
      <c r="B3025" s="2">
        <v>45813</v>
      </c>
      <c r="C3025" t="s">
        <v>489</v>
      </c>
      <c r="D3025" t="s">
        <v>99</v>
      </c>
      <c r="E3025" t="s">
        <v>490</v>
      </c>
      <c r="F3025" s="3">
        <v>3345.86</v>
      </c>
      <c r="G3025" s="3">
        <v>3345.86</v>
      </c>
      <c r="H3025" t="s">
        <v>3</v>
      </c>
      <c r="I3025" t="s">
        <v>3</v>
      </c>
      <c r="J3025" t="s">
        <v>491</v>
      </c>
      <c r="K3025" t="s">
        <v>5</v>
      </c>
      <c r="L3025" t="s">
        <v>19</v>
      </c>
      <c r="M3025" t="s">
        <v>102</v>
      </c>
      <c r="N3025" s="2">
        <v>45813</v>
      </c>
    </row>
    <row r="3026" spans="1:14" x14ac:dyDescent="0.25">
      <c r="A3026" t="s">
        <v>489</v>
      </c>
      <c r="B3026" s="2">
        <v>45825</v>
      </c>
      <c r="C3026" t="s">
        <v>489</v>
      </c>
      <c r="D3026" t="s">
        <v>99</v>
      </c>
      <c r="E3026" t="s">
        <v>490</v>
      </c>
      <c r="F3026" s="3">
        <v>5018.79</v>
      </c>
      <c r="G3026" s="3">
        <v>5018.79</v>
      </c>
      <c r="H3026" t="s">
        <v>3</v>
      </c>
      <c r="I3026" t="s">
        <v>3</v>
      </c>
      <c r="J3026" t="s">
        <v>491</v>
      </c>
      <c r="K3026" t="s">
        <v>5</v>
      </c>
      <c r="L3026" t="s">
        <v>19</v>
      </c>
      <c r="M3026" t="s">
        <v>102</v>
      </c>
      <c r="N3026" s="2">
        <v>45825</v>
      </c>
    </row>
    <row r="3027" spans="1:14" x14ac:dyDescent="0.25">
      <c r="A3027" s="4" t="s">
        <v>224</v>
      </c>
      <c r="B3027" s="5"/>
      <c r="C3027" s="4" t="s">
        <v>9</v>
      </c>
      <c r="D3027" s="4" t="s">
        <v>9</v>
      </c>
      <c r="E3027" s="4" t="s">
        <v>9</v>
      </c>
      <c r="F3027" s="6">
        <v>0</v>
      </c>
      <c r="G3027" s="6">
        <v>0</v>
      </c>
      <c r="H3027" s="4" t="s">
        <v>9</v>
      </c>
      <c r="I3027" s="4" t="s">
        <v>3</v>
      </c>
      <c r="J3027" s="4" t="s">
        <v>9</v>
      </c>
      <c r="K3027" s="4" t="s">
        <v>9</v>
      </c>
      <c r="L3027" s="4" t="s">
        <v>9</v>
      </c>
      <c r="M3027" s="4" t="s">
        <v>9</v>
      </c>
      <c r="N3027" s="5"/>
    </row>
    <row r="3028" spans="1:14" x14ac:dyDescent="0.25">
      <c r="A3028" t="s">
        <v>489</v>
      </c>
      <c r="B3028" s="2">
        <v>45901</v>
      </c>
      <c r="C3028" t="s">
        <v>489</v>
      </c>
      <c r="D3028" t="s">
        <v>99</v>
      </c>
      <c r="E3028" t="s">
        <v>9</v>
      </c>
      <c r="F3028" s="3">
        <v>-5496.77</v>
      </c>
      <c r="G3028" s="3">
        <v>-5496.77</v>
      </c>
      <c r="H3028" t="s">
        <v>3</v>
      </c>
      <c r="I3028" t="s">
        <v>3</v>
      </c>
      <c r="J3028" t="s">
        <v>9</v>
      </c>
      <c r="K3028" t="s">
        <v>9</v>
      </c>
      <c r="L3028" t="s">
        <v>22</v>
      </c>
      <c r="M3028" t="s">
        <v>102</v>
      </c>
      <c r="N3028" s="2">
        <v>45900</v>
      </c>
    </row>
    <row r="3029" spans="1:14" x14ac:dyDescent="0.25">
      <c r="A3029" t="s">
        <v>489</v>
      </c>
      <c r="B3029" s="2">
        <v>45898</v>
      </c>
      <c r="C3029" t="s">
        <v>489</v>
      </c>
      <c r="D3029" t="s">
        <v>99</v>
      </c>
      <c r="E3029" t="s">
        <v>490</v>
      </c>
      <c r="F3029" s="3">
        <v>5496.77</v>
      </c>
      <c r="G3029" s="3">
        <v>5496.77</v>
      </c>
      <c r="H3029" t="s">
        <v>3</v>
      </c>
      <c r="I3029" t="s">
        <v>3</v>
      </c>
      <c r="J3029" t="s">
        <v>491</v>
      </c>
      <c r="K3029" t="s">
        <v>5</v>
      </c>
      <c r="L3029" t="s">
        <v>22</v>
      </c>
      <c r="M3029" t="s">
        <v>102</v>
      </c>
      <c r="N3029" s="2">
        <v>45898</v>
      </c>
    </row>
    <row r="3030" spans="1:14" x14ac:dyDescent="0.25">
      <c r="A3030" s="4" t="s">
        <v>267</v>
      </c>
      <c r="B3030" s="5"/>
      <c r="C3030" s="4" t="s">
        <v>9</v>
      </c>
      <c r="D3030" s="4" t="s">
        <v>9</v>
      </c>
      <c r="E3030" s="4" t="s">
        <v>9</v>
      </c>
      <c r="F3030" s="6">
        <v>0</v>
      </c>
      <c r="G3030" s="6">
        <v>0</v>
      </c>
      <c r="H3030" s="4" t="s">
        <v>9</v>
      </c>
      <c r="I3030" s="4" t="s">
        <v>3</v>
      </c>
      <c r="J3030" s="4" t="s">
        <v>9</v>
      </c>
      <c r="K3030" s="4" t="s">
        <v>9</v>
      </c>
      <c r="L3030" s="4" t="s">
        <v>9</v>
      </c>
      <c r="M3030" s="4" t="s">
        <v>9</v>
      </c>
      <c r="N3030" s="5"/>
    </row>
    <row r="3031" spans="1:14" x14ac:dyDescent="0.25">
      <c r="A3031" t="s">
        <v>489</v>
      </c>
      <c r="B3031" s="2">
        <v>45932</v>
      </c>
      <c r="C3031" t="s">
        <v>489</v>
      </c>
      <c r="D3031" t="s">
        <v>99</v>
      </c>
      <c r="E3031" t="s">
        <v>9</v>
      </c>
      <c r="F3031" s="3">
        <v>-9081.6200000000008</v>
      </c>
      <c r="G3031" s="3">
        <v>-9081.6200000000008</v>
      </c>
      <c r="H3031" t="s">
        <v>3</v>
      </c>
      <c r="I3031" t="s">
        <v>3</v>
      </c>
      <c r="J3031" t="s">
        <v>9</v>
      </c>
      <c r="K3031" t="s">
        <v>9</v>
      </c>
      <c r="L3031" t="s">
        <v>6</v>
      </c>
      <c r="M3031" t="s">
        <v>102</v>
      </c>
      <c r="N3031" s="2">
        <v>45930</v>
      </c>
    </row>
    <row r="3032" spans="1:14" x14ac:dyDescent="0.25">
      <c r="A3032" t="s">
        <v>489</v>
      </c>
      <c r="B3032" s="2">
        <v>45925</v>
      </c>
      <c r="C3032" t="s">
        <v>489</v>
      </c>
      <c r="D3032" t="s">
        <v>99</v>
      </c>
      <c r="E3032" t="s">
        <v>490</v>
      </c>
      <c r="F3032" s="3">
        <v>4301.82</v>
      </c>
      <c r="G3032" s="3">
        <v>4301.82</v>
      </c>
      <c r="H3032" t="s">
        <v>3</v>
      </c>
      <c r="I3032" t="s">
        <v>3</v>
      </c>
      <c r="J3032" t="s">
        <v>491</v>
      </c>
      <c r="K3032" t="s">
        <v>5</v>
      </c>
      <c r="L3032" t="s">
        <v>6</v>
      </c>
      <c r="M3032" t="s">
        <v>102</v>
      </c>
      <c r="N3032" s="2">
        <v>45925</v>
      </c>
    </row>
    <row r="3033" spans="1:14" x14ac:dyDescent="0.25">
      <c r="A3033" t="s">
        <v>489</v>
      </c>
      <c r="B3033" s="2">
        <v>45929</v>
      </c>
      <c r="C3033" t="s">
        <v>489</v>
      </c>
      <c r="D3033" t="s">
        <v>99</v>
      </c>
      <c r="E3033" t="s">
        <v>490</v>
      </c>
      <c r="F3033" s="3">
        <v>4779.8</v>
      </c>
      <c r="G3033" s="3">
        <v>4779.8</v>
      </c>
      <c r="H3033" t="s">
        <v>3</v>
      </c>
      <c r="I3033" t="s">
        <v>3</v>
      </c>
      <c r="J3033" t="s">
        <v>491</v>
      </c>
      <c r="K3033" t="s">
        <v>5</v>
      </c>
      <c r="L3033" t="s">
        <v>6</v>
      </c>
      <c r="M3033" t="s">
        <v>102</v>
      </c>
      <c r="N3033" s="2">
        <v>45929</v>
      </c>
    </row>
    <row r="3034" spans="1:14" x14ac:dyDescent="0.25">
      <c r="A3034" s="4" t="s">
        <v>272</v>
      </c>
      <c r="B3034" s="5"/>
      <c r="C3034" s="4" t="s">
        <v>9</v>
      </c>
      <c r="D3034" s="4" t="s">
        <v>9</v>
      </c>
      <c r="E3034" s="4" t="s">
        <v>9</v>
      </c>
      <c r="F3034" s="6">
        <v>0</v>
      </c>
      <c r="G3034" s="6">
        <v>0</v>
      </c>
      <c r="H3034" s="4" t="s">
        <v>9</v>
      </c>
      <c r="I3034" s="4" t="s">
        <v>3</v>
      </c>
      <c r="J3034" s="4" t="s">
        <v>9</v>
      </c>
      <c r="K3034" s="4" t="s">
        <v>9</v>
      </c>
      <c r="L3034" s="4" t="s">
        <v>9</v>
      </c>
      <c r="M3034" s="4" t="s">
        <v>9</v>
      </c>
      <c r="N3034" s="5"/>
    </row>
    <row r="3035" spans="1:14" x14ac:dyDescent="0.25">
      <c r="A3035" t="s">
        <v>489</v>
      </c>
      <c r="B3035" s="2">
        <v>45965</v>
      </c>
      <c r="C3035" t="s">
        <v>489</v>
      </c>
      <c r="D3035" t="s">
        <v>99</v>
      </c>
      <c r="E3035" t="s">
        <v>9</v>
      </c>
      <c r="F3035" s="3">
        <v>-5257.78</v>
      </c>
      <c r="G3035" s="3">
        <v>-5257.78</v>
      </c>
      <c r="H3035" t="s">
        <v>3</v>
      </c>
      <c r="I3035" t="s">
        <v>3</v>
      </c>
      <c r="J3035" t="s">
        <v>9</v>
      </c>
      <c r="K3035" t="s">
        <v>9</v>
      </c>
      <c r="L3035" t="s">
        <v>8</v>
      </c>
      <c r="M3035" t="s">
        <v>102</v>
      </c>
      <c r="N3035" s="2">
        <v>45961</v>
      </c>
    </row>
    <row r="3036" spans="1:14" x14ac:dyDescent="0.25">
      <c r="A3036" t="s">
        <v>489</v>
      </c>
      <c r="B3036" s="2">
        <v>45953</v>
      </c>
      <c r="C3036" t="s">
        <v>489</v>
      </c>
      <c r="D3036" t="s">
        <v>99</v>
      </c>
      <c r="E3036" t="s">
        <v>490</v>
      </c>
      <c r="F3036" s="3">
        <v>5257.78</v>
      </c>
      <c r="G3036" s="3">
        <v>5257.78</v>
      </c>
      <c r="H3036" t="s">
        <v>3</v>
      </c>
      <c r="I3036" t="s">
        <v>3</v>
      </c>
      <c r="J3036" t="s">
        <v>491</v>
      </c>
      <c r="K3036" t="s">
        <v>5</v>
      </c>
      <c r="L3036" t="s">
        <v>8</v>
      </c>
      <c r="M3036" t="s">
        <v>102</v>
      </c>
      <c r="N3036" s="2">
        <v>45953</v>
      </c>
    </row>
    <row r="3037" spans="1:14" x14ac:dyDescent="0.25">
      <c r="A3037" s="4" t="s">
        <v>278</v>
      </c>
      <c r="B3037" s="5"/>
      <c r="C3037" s="4" t="s">
        <v>9</v>
      </c>
      <c r="D3037" s="4" t="s">
        <v>9</v>
      </c>
      <c r="E3037" s="4" t="s">
        <v>9</v>
      </c>
      <c r="F3037" s="6">
        <v>0</v>
      </c>
      <c r="G3037" s="6">
        <v>0</v>
      </c>
      <c r="H3037" s="4" t="s">
        <v>9</v>
      </c>
      <c r="I3037" s="4" t="s">
        <v>3</v>
      </c>
      <c r="J3037" s="4" t="s">
        <v>9</v>
      </c>
      <c r="K3037" s="4" t="s">
        <v>9</v>
      </c>
      <c r="L3037" s="4" t="s">
        <v>9</v>
      </c>
      <c r="M3037" s="4" t="s">
        <v>9</v>
      </c>
      <c r="N3037" s="5"/>
    </row>
    <row r="3038" spans="1:14" x14ac:dyDescent="0.25">
      <c r="A3038" t="s">
        <v>489</v>
      </c>
      <c r="B3038" s="2">
        <v>45993</v>
      </c>
      <c r="C3038" t="s">
        <v>489</v>
      </c>
      <c r="D3038" t="s">
        <v>99</v>
      </c>
      <c r="E3038" t="s">
        <v>9</v>
      </c>
      <c r="F3038" s="3">
        <v>-1433.94</v>
      </c>
      <c r="G3038" s="3">
        <v>-1433.94</v>
      </c>
      <c r="H3038" t="s">
        <v>3</v>
      </c>
      <c r="I3038" t="s">
        <v>3</v>
      </c>
      <c r="J3038" t="s">
        <v>9</v>
      </c>
      <c r="K3038" t="s">
        <v>9</v>
      </c>
      <c r="L3038" t="s">
        <v>11</v>
      </c>
      <c r="M3038" t="s">
        <v>102</v>
      </c>
      <c r="N3038" s="2">
        <v>45991</v>
      </c>
    </row>
    <row r="3039" spans="1:14" x14ac:dyDescent="0.25">
      <c r="A3039" t="s">
        <v>489</v>
      </c>
      <c r="B3039" s="2">
        <v>45973</v>
      </c>
      <c r="C3039" t="s">
        <v>489</v>
      </c>
      <c r="D3039" t="s">
        <v>99</v>
      </c>
      <c r="E3039" t="s">
        <v>490</v>
      </c>
      <c r="F3039" s="3">
        <v>1433.94</v>
      </c>
      <c r="G3039" s="3">
        <v>1433.94</v>
      </c>
      <c r="H3039" t="s">
        <v>3</v>
      </c>
      <c r="I3039" t="s">
        <v>3</v>
      </c>
      <c r="J3039" t="s">
        <v>491</v>
      </c>
      <c r="K3039" t="s">
        <v>5</v>
      </c>
      <c r="L3039" t="s">
        <v>11</v>
      </c>
      <c r="M3039" t="s">
        <v>102</v>
      </c>
      <c r="N3039" s="2">
        <v>45973</v>
      </c>
    </row>
    <row r="3040" spans="1:14" x14ac:dyDescent="0.25">
      <c r="A3040" s="4" t="s">
        <v>226</v>
      </c>
      <c r="B3040" s="5"/>
      <c r="C3040" s="4" t="s">
        <v>9</v>
      </c>
      <c r="D3040" s="4" t="s">
        <v>9</v>
      </c>
      <c r="E3040" s="4" t="s">
        <v>9</v>
      </c>
      <c r="F3040" s="6">
        <v>0</v>
      </c>
      <c r="G3040" s="6">
        <v>0</v>
      </c>
      <c r="H3040" s="4" t="s">
        <v>9</v>
      </c>
      <c r="I3040" s="4" t="s">
        <v>3</v>
      </c>
      <c r="J3040" s="4" t="s">
        <v>9</v>
      </c>
      <c r="K3040" s="4" t="s">
        <v>9</v>
      </c>
      <c r="L3040" s="4" t="s">
        <v>9</v>
      </c>
      <c r="M3040" s="4" t="s">
        <v>9</v>
      </c>
      <c r="N3040" s="5"/>
    </row>
    <row r="3041" spans="1:14" x14ac:dyDescent="0.25">
      <c r="A3041" t="s">
        <v>489</v>
      </c>
      <c r="B3041" s="2">
        <v>46028</v>
      </c>
      <c r="C3041" t="s">
        <v>489</v>
      </c>
      <c r="D3041" t="s">
        <v>99</v>
      </c>
      <c r="E3041" t="s">
        <v>9</v>
      </c>
      <c r="F3041" s="3">
        <v>-166099.64000000001</v>
      </c>
      <c r="G3041" s="3">
        <v>-166099.64000000001</v>
      </c>
      <c r="H3041" t="s">
        <v>3</v>
      </c>
      <c r="I3041" t="s">
        <v>3</v>
      </c>
      <c r="J3041" t="s">
        <v>9</v>
      </c>
      <c r="K3041" t="s">
        <v>9</v>
      </c>
      <c r="L3041" t="s">
        <v>12</v>
      </c>
      <c r="M3041" t="s">
        <v>102</v>
      </c>
      <c r="N3041" s="2">
        <v>46022</v>
      </c>
    </row>
    <row r="3042" spans="1:14" x14ac:dyDescent="0.25">
      <c r="A3042" t="s">
        <v>489</v>
      </c>
      <c r="B3042" s="2">
        <v>46007</v>
      </c>
      <c r="C3042" t="s">
        <v>489</v>
      </c>
      <c r="D3042" t="s">
        <v>99</v>
      </c>
      <c r="E3042" t="s">
        <v>485</v>
      </c>
      <c r="F3042" s="3">
        <v>166099.65</v>
      </c>
      <c r="G3042" s="3">
        <v>166099.65</v>
      </c>
      <c r="H3042" t="s">
        <v>3</v>
      </c>
      <c r="I3042" t="s">
        <v>3</v>
      </c>
      <c r="J3042" t="s">
        <v>492</v>
      </c>
      <c r="K3042" t="s">
        <v>5</v>
      </c>
      <c r="L3042" t="s">
        <v>12</v>
      </c>
      <c r="M3042" t="s">
        <v>102</v>
      </c>
      <c r="N3042" s="2">
        <v>46007</v>
      </c>
    </row>
    <row r="3043" spans="1:14" x14ac:dyDescent="0.25">
      <c r="A3043" t="s">
        <v>489</v>
      </c>
      <c r="B3043" s="2">
        <v>45999</v>
      </c>
      <c r="C3043" t="s">
        <v>489</v>
      </c>
      <c r="D3043" t="s">
        <v>99</v>
      </c>
      <c r="E3043" t="s">
        <v>485</v>
      </c>
      <c r="F3043" s="3">
        <v>-0.01</v>
      </c>
      <c r="G3043" s="3">
        <v>-0.01</v>
      </c>
      <c r="H3043" t="s">
        <v>3</v>
      </c>
      <c r="I3043" t="s">
        <v>3</v>
      </c>
      <c r="J3043" t="s">
        <v>492</v>
      </c>
      <c r="K3043" t="s">
        <v>5</v>
      </c>
      <c r="L3043" t="s">
        <v>12</v>
      </c>
      <c r="M3043" t="s">
        <v>102</v>
      </c>
      <c r="N3043" s="2">
        <v>46008</v>
      </c>
    </row>
    <row r="3044" spans="1:14" x14ac:dyDescent="0.25">
      <c r="A3044" s="4" t="s">
        <v>228</v>
      </c>
      <c r="B3044" s="5"/>
      <c r="C3044" s="4" t="s">
        <v>9</v>
      </c>
      <c r="D3044" s="4" t="s">
        <v>9</v>
      </c>
      <c r="E3044" s="4" t="s">
        <v>9</v>
      </c>
      <c r="F3044" s="6">
        <v>0</v>
      </c>
      <c r="G3044" s="6">
        <v>0</v>
      </c>
      <c r="H3044" s="4" t="s">
        <v>9</v>
      </c>
      <c r="I3044" s="4" t="s">
        <v>3</v>
      </c>
      <c r="J3044" s="4" t="s">
        <v>9</v>
      </c>
      <c r="K3044" s="4" t="s">
        <v>9</v>
      </c>
      <c r="L3044" s="4" t="s">
        <v>9</v>
      </c>
      <c r="M3044" s="4" t="s">
        <v>9</v>
      </c>
      <c r="N3044" s="5"/>
    </row>
    <row r="3045" spans="1:14" x14ac:dyDescent="0.25">
      <c r="A3045" s="4" t="s">
        <v>489</v>
      </c>
      <c r="B3045" s="5"/>
      <c r="C3045" s="4" t="s">
        <v>9</v>
      </c>
      <c r="D3045" s="4" t="s">
        <v>9</v>
      </c>
      <c r="E3045" s="4" t="s">
        <v>9</v>
      </c>
      <c r="F3045" s="6">
        <v>0</v>
      </c>
      <c r="G3045" s="6">
        <v>0</v>
      </c>
      <c r="H3045" s="4" t="s">
        <v>9</v>
      </c>
      <c r="I3045" s="4" t="s">
        <v>3</v>
      </c>
      <c r="J3045" s="4" t="s">
        <v>9</v>
      </c>
      <c r="K3045" s="4" t="s">
        <v>9</v>
      </c>
      <c r="L3045" s="4" t="s">
        <v>9</v>
      </c>
      <c r="M3045" s="4" t="s">
        <v>9</v>
      </c>
      <c r="N3045" s="5"/>
    </row>
    <row r="3046" spans="1:14" x14ac:dyDescent="0.25">
      <c r="A3046" t="s">
        <v>493</v>
      </c>
      <c r="B3046" s="2">
        <v>45782</v>
      </c>
      <c r="C3046" t="s">
        <v>493</v>
      </c>
      <c r="D3046" t="s">
        <v>33</v>
      </c>
      <c r="E3046" t="s">
        <v>9</v>
      </c>
      <c r="F3046" s="3">
        <v>1680</v>
      </c>
      <c r="G3046" s="3">
        <v>1680</v>
      </c>
      <c r="H3046" t="s">
        <v>3</v>
      </c>
      <c r="I3046" t="s">
        <v>3</v>
      </c>
      <c r="J3046" t="s">
        <v>9</v>
      </c>
      <c r="K3046" t="s">
        <v>9</v>
      </c>
      <c r="L3046" t="s">
        <v>17</v>
      </c>
      <c r="M3046" t="s">
        <v>35</v>
      </c>
      <c r="N3046" s="2">
        <v>45777</v>
      </c>
    </row>
    <row r="3047" spans="1:14" x14ac:dyDescent="0.25">
      <c r="A3047" t="s">
        <v>493</v>
      </c>
      <c r="B3047" s="2">
        <v>45763</v>
      </c>
      <c r="C3047" t="s">
        <v>493</v>
      </c>
      <c r="D3047" t="s">
        <v>33</v>
      </c>
      <c r="E3047" t="s">
        <v>9</v>
      </c>
      <c r="F3047" s="3">
        <v>-1680</v>
      </c>
      <c r="G3047" s="3">
        <v>-1680</v>
      </c>
      <c r="H3047" t="s">
        <v>3</v>
      </c>
      <c r="I3047" t="s">
        <v>3</v>
      </c>
      <c r="J3047" t="s">
        <v>9</v>
      </c>
      <c r="K3047" t="s">
        <v>5</v>
      </c>
      <c r="L3047" t="s">
        <v>17</v>
      </c>
      <c r="M3047" t="s">
        <v>35</v>
      </c>
      <c r="N3047" s="2">
        <v>45763</v>
      </c>
    </row>
    <row r="3048" spans="1:14" x14ac:dyDescent="0.25">
      <c r="A3048" s="4" t="s">
        <v>249</v>
      </c>
      <c r="B3048" s="5"/>
      <c r="C3048" s="4" t="s">
        <v>9</v>
      </c>
      <c r="D3048" s="4" t="s">
        <v>9</v>
      </c>
      <c r="E3048" s="4" t="s">
        <v>9</v>
      </c>
      <c r="F3048" s="6">
        <v>0</v>
      </c>
      <c r="G3048" s="6">
        <v>0</v>
      </c>
      <c r="H3048" s="4" t="s">
        <v>9</v>
      </c>
      <c r="I3048" s="4" t="s">
        <v>3</v>
      </c>
      <c r="J3048" s="4" t="s">
        <v>9</v>
      </c>
      <c r="K3048" s="4" t="s">
        <v>9</v>
      </c>
      <c r="L3048" s="4" t="s">
        <v>9</v>
      </c>
      <c r="M3048" s="4" t="s">
        <v>9</v>
      </c>
      <c r="N3048" s="5"/>
    </row>
    <row r="3049" spans="1:14" x14ac:dyDescent="0.25">
      <c r="A3049" t="s">
        <v>493</v>
      </c>
      <c r="B3049" s="2">
        <v>45810</v>
      </c>
      <c r="C3049" t="s">
        <v>493</v>
      </c>
      <c r="D3049" t="s">
        <v>33</v>
      </c>
      <c r="E3049" t="s">
        <v>9</v>
      </c>
      <c r="F3049" s="3">
        <v>2126</v>
      </c>
      <c r="G3049" s="3">
        <v>2126</v>
      </c>
      <c r="H3049" t="s">
        <v>3</v>
      </c>
      <c r="I3049" t="s">
        <v>3</v>
      </c>
      <c r="J3049" t="s">
        <v>9</v>
      </c>
      <c r="K3049" t="s">
        <v>9</v>
      </c>
      <c r="L3049" t="s">
        <v>18</v>
      </c>
      <c r="M3049" t="s">
        <v>35</v>
      </c>
      <c r="N3049" s="2">
        <v>45808</v>
      </c>
    </row>
    <row r="3050" spans="1:14" x14ac:dyDescent="0.25">
      <c r="A3050" t="s">
        <v>493</v>
      </c>
      <c r="B3050" s="2">
        <v>45799</v>
      </c>
      <c r="C3050" t="s">
        <v>493</v>
      </c>
      <c r="D3050" t="s">
        <v>33</v>
      </c>
      <c r="E3050" t="s">
        <v>9</v>
      </c>
      <c r="F3050" s="3">
        <v>-2126</v>
      </c>
      <c r="G3050" s="3">
        <v>-2126</v>
      </c>
      <c r="H3050" t="s">
        <v>3</v>
      </c>
      <c r="I3050" t="s">
        <v>3</v>
      </c>
      <c r="J3050" t="s">
        <v>9</v>
      </c>
      <c r="K3050" t="s">
        <v>5</v>
      </c>
      <c r="L3050" t="s">
        <v>18</v>
      </c>
      <c r="M3050" t="s">
        <v>35</v>
      </c>
      <c r="N3050" s="2">
        <v>45799</v>
      </c>
    </row>
    <row r="3051" spans="1:14" x14ac:dyDescent="0.25">
      <c r="A3051" s="4" t="s">
        <v>223</v>
      </c>
      <c r="B3051" s="5"/>
      <c r="C3051" s="4" t="s">
        <v>9</v>
      </c>
      <c r="D3051" s="4" t="s">
        <v>9</v>
      </c>
      <c r="E3051" s="4" t="s">
        <v>9</v>
      </c>
      <c r="F3051" s="6">
        <v>0</v>
      </c>
      <c r="G3051" s="6">
        <v>0</v>
      </c>
      <c r="H3051" s="4" t="s">
        <v>9</v>
      </c>
      <c r="I3051" s="4" t="s">
        <v>3</v>
      </c>
      <c r="J3051" s="4" t="s">
        <v>9</v>
      </c>
      <c r="K3051" s="4" t="s">
        <v>9</v>
      </c>
      <c r="L3051" s="4" t="s">
        <v>9</v>
      </c>
      <c r="M3051" s="4" t="s">
        <v>9</v>
      </c>
      <c r="N3051" s="5"/>
    </row>
    <row r="3052" spans="1:14" x14ac:dyDescent="0.25">
      <c r="A3052" t="s">
        <v>493</v>
      </c>
      <c r="B3052" s="2">
        <v>45839</v>
      </c>
      <c r="C3052" t="s">
        <v>493</v>
      </c>
      <c r="D3052" t="s">
        <v>33</v>
      </c>
      <c r="E3052" t="s">
        <v>9</v>
      </c>
      <c r="F3052" s="3">
        <v>2415</v>
      </c>
      <c r="G3052" s="3">
        <v>2415</v>
      </c>
      <c r="H3052" t="s">
        <v>3</v>
      </c>
      <c r="I3052" t="s">
        <v>3</v>
      </c>
      <c r="J3052" t="s">
        <v>9</v>
      </c>
      <c r="K3052" t="s">
        <v>9</v>
      </c>
      <c r="L3052" t="s">
        <v>19</v>
      </c>
      <c r="M3052" t="s">
        <v>35</v>
      </c>
      <c r="N3052" s="2">
        <v>45838</v>
      </c>
    </row>
    <row r="3053" spans="1:14" x14ac:dyDescent="0.25">
      <c r="A3053" t="s">
        <v>493</v>
      </c>
      <c r="B3053" s="2">
        <v>45825</v>
      </c>
      <c r="C3053" t="s">
        <v>493</v>
      </c>
      <c r="D3053" t="s">
        <v>33</v>
      </c>
      <c r="E3053" t="s">
        <v>9</v>
      </c>
      <c r="F3053" s="3">
        <v>-2415</v>
      </c>
      <c r="G3053" s="3">
        <v>-2415</v>
      </c>
      <c r="H3053" t="s">
        <v>3</v>
      </c>
      <c r="I3053" t="s">
        <v>3</v>
      </c>
      <c r="J3053" t="s">
        <v>9</v>
      </c>
      <c r="K3053" t="s">
        <v>5</v>
      </c>
      <c r="L3053" t="s">
        <v>19</v>
      </c>
      <c r="M3053" t="s">
        <v>35</v>
      </c>
      <c r="N3053" s="2">
        <v>45825</v>
      </c>
    </row>
    <row r="3054" spans="1:14" x14ac:dyDescent="0.25">
      <c r="A3054" s="4" t="s">
        <v>224</v>
      </c>
      <c r="B3054" s="5"/>
      <c r="C3054" s="4" t="s">
        <v>9</v>
      </c>
      <c r="D3054" s="4" t="s">
        <v>9</v>
      </c>
      <c r="E3054" s="4" t="s">
        <v>9</v>
      </c>
      <c r="F3054" s="6">
        <v>0</v>
      </c>
      <c r="G3054" s="6">
        <v>0</v>
      </c>
      <c r="H3054" s="4" t="s">
        <v>9</v>
      </c>
      <c r="I3054" s="4" t="s">
        <v>3</v>
      </c>
      <c r="J3054" s="4" t="s">
        <v>9</v>
      </c>
      <c r="K3054" s="4" t="s">
        <v>9</v>
      </c>
      <c r="L3054" s="4" t="s">
        <v>9</v>
      </c>
      <c r="M3054" s="4" t="s">
        <v>9</v>
      </c>
      <c r="N3054" s="5"/>
    </row>
    <row r="3055" spans="1:14" x14ac:dyDescent="0.25">
      <c r="A3055" t="s">
        <v>493</v>
      </c>
      <c r="B3055" s="2">
        <v>45870</v>
      </c>
      <c r="C3055" t="s">
        <v>493</v>
      </c>
      <c r="D3055" t="s">
        <v>33</v>
      </c>
      <c r="E3055" t="s">
        <v>9</v>
      </c>
      <c r="F3055" s="3">
        <v>14700</v>
      </c>
      <c r="G3055" s="3">
        <v>14700</v>
      </c>
      <c r="H3055" t="s">
        <v>3</v>
      </c>
      <c r="I3055" t="s">
        <v>3</v>
      </c>
      <c r="J3055" t="s">
        <v>9</v>
      </c>
      <c r="K3055" t="s">
        <v>9</v>
      </c>
      <c r="L3055" t="s">
        <v>21</v>
      </c>
      <c r="M3055" t="s">
        <v>35</v>
      </c>
      <c r="N3055" s="2">
        <v>45869</v>
      </c>
    </row>
    <row r="3056" spans="1:14" x14ac:dyDescent="0.25">
      <c r="A3056" t="s">
        <v>493</v>
      </c>
      <c r="B3056" s="2">
        <v>45849</v>
      </c>
      <c r="C3056" t="s">
        <v>493</v>
      </c>
      <c r="D3056" t="s">
        <v>33</v>
      </c>
      <c r="E3056" t="s">
        <v>9</v>
      </c>
      <c r="F3056" s="3">
        <v>-14700</v>
      </c>
      <c r="G3056" s="3">
        <v>-14700</v>
      </c>
      <c r="H3056" t="s">
        <v>3</v>
      </c>
      <c r="I3056" t="s">
        <v>3</v>
      </c>
      <c r="J3056" t="s">
        <v>9</v>
      </c>
      <c r="K3056" t="s">
        <v>5</v>
      </c>
      <c r="L3056" t="s">
        <v>21</v>
      </c>
      <c r="M3056" t="s">
        <v>35</v>
      </c>
      <c r="N3056" s="2">
        <v>45849</v>
      </c>
    </row>
    <row r="3057" spans="1:14" x14ac:dyDescent="0.25">
      <c r="A3057" s="4" t="s">
        <v>262</v>
      </c>
      <c r="B3057" s="5"/>
      <c r="C3057" s="4" t="s">
        <v>9</v>
      </c>
      <c r="D3057" s="4" t="s">
        <v>9</v>
      </c>
      <c r="E3057" s="4" t="s">
        <v>9</v>
      </c>
      <c r="F3057" s="6">
        <v>0</v>
      </c>
      <c r="G3057" s="6">
        <v>0</v>
      </c>
      <c r="H3057" s="4" t="s">
        <v>9</v>
      </c>
      <c r="I3057" s="4" t="s">
        <v>3</v>
      </c>
      <c r="J3057" s="4" t="s">
        <v>9</v>
      </c>
      <c r="K3057" s="4" t="s">
        <v>9</v>
      </c>
      <c r="L3057" s="4" t="s">
        <v>9</v>
      </c>
      <c r="M3057" s="4" t="s">
        <v>9</v>
      </c>
      <c r="N3057" s="5"/>
    </row>
    <row r="3058" spans="1:14" x14ac:dyDescent="0.25">
      <c r="A3058" t="s">
        <v>493</v>
      </c>
      <c r="B3058" s="2">
        <v>45901</v>
      </c>
      <c r="C3058" t="s">
        <v>493</v>
      </c>
      <c r="D3058" t="s">
        <v>33</v>
      </c>
      <c r="E3058" t="s">
        <v>9</v>
      </c>
      <c r="F3058" s="3">
        <v>15120</v>
      </c>
      <c r="G3058" s="3">
        <v>15120</v>
      </c>
      <c r="H3058" t="s">
        <v>3</v>
      </c>
      <c r="I3058" t="s">
        <v>3</v>
      </c>
      <c r="J3058" t="s">
        <v>9</v>
      </c>
      <c r="K3058" t="s">
        <v>9</v>
      </c>
      <c r="L3058" t="s">
        <v>22</v>
      </c>
      <c r="M3058" t="s">
        <v>35</v>
      </c>
      <c r="N3058" s="2">
        <v>45900</v>
      </c>
    </row>
    <row r="3059" spans="1:14" x14ac:dyDescent="0.25">
      <c r="A3059" t="s">
        <v>493</v>
      </c>
      <c r="B3059" s="2">
        <v>45888</v>
      </c>
      <c r="C3059" t="s">
        <v>493</v>
      </c>
      <c r="D3059" t="s">
        <v>33</v>
      </c>
      <c r="E3059" t="s">
        <v>9</v>
      </c>
      <c r="F3059" s="3">
        <v>-15120</v>
      </c>
      <c r="G3059" s="3">
        <v>-15120</v>
      </c>
      <c r="H3059" t="s">
        <v>3</v>
      </c>
      <c r="I3059" t="s">
        <v>3</v>
      </c>
      <c r="J3059" t="s">
        <v>9</v>
      </c>
      <c r="K3059" t="s">
        <v>5</v>
      </c>
      <c r="L3059" t="s">
        <v>22</v>
      </c>
      <c r="M3059" t="s">
        <v>35</v>
      </c>
      <c r="N3059" s="2">
        <v>45888</v>
      </c>
    </row>
    <row r="3060" spans="1:14" x14ac:dyDescent="0.25">
      <c r="A3060" s="4" t="s">
        <v>267</v>
      </c>
      <c r="B3060" s="5"/>
      <c r="C3060" s="4" t="s">
        <v>9</v>
      </c>
      <c r="D3060" s="4" t="s">
        <v>9</v>
      </c>
      <c r="E3060" s="4" t="s">
        <v>9</v>
      </c>
      <c r="F3060" s="6">
        <v>0</v>
      </c>
      <c r="G3060" s="6">
        <v>0</v>
      </c>
      <c r="H3060" s="4" t="s">
        <v>9</v>
      </c>
      <c r="I3060" s="4" t="s">
        <v>3</v>
      </c>
      <c r="J3060" s="4" t="s">
        <v>9</v>
      </c>
      <c r="K3060" s="4" t="s">
        <v>9</v>
      </c>
      <c r="L3060" s="4" t="s">
        <v>9</v>
      </c>
      <c r="M3060" s="4" t="s">
        <v>9</v>
      </c>
      <c r="N3060" s="5"/>
    </row>
    <row r="3061" spans="1:14" x14ac:dyDescent="0.25">
      <c r="A3061" t="s">
        <v>493</v>
      </c>
      <c r="B3061" s="2">
        <v>45932</v>
      </c>
      <c r="C3061" t="s">
        <v>493</v>
      </c>
      <c r="D3061" t="s">
        <v>33</v>
      </c>
      <c r="E3061" t="s">
        <v>9</v>
      </c>
      <c r="F3061" s="3">
        <v>12075</v>
      </c>
      <c r="G3061" s="3">
        <v>12075</v>
      </c>
      <c r="H3061" t="s">
        <v>3</v>
      </c>
      <c r="I3061" t="s">
        <v>3</v>
      </c>
      <c r="J3061" t="s">
        <v>9</v>
      </c>
      <c r="K3061" t="s">
        <v>9</v>
      </c>
      <c r="L3061" t="s">
        <v>6</v>
      </c>
      <c r="M3061" t="s">
        <v>35</v>
      </c>
      <c r="N3061" s="2">
        <v>45930</v>
      </c>
    </row>
    <row r="3062" spans="1:14" x14ac:dyDescent="0.25">
      <c r="A3062" t="s">
        <v>493</v>
      </c>
      <c r="B3062" s="2">
        <v>45910</v>
      </c>
      <c r="C3062" t="s">
        <v>493</v>
      </c>
      <c r="D3062" t="s">
        <v>33</v>
      </c>
      <c r="E3062" t="s">
        <v>9</v>
      </c>
      <c r="F3062" s="3">
        <v>-12075</v>
      </c>
      <c r="G3062" s="3">
        <v>-12075</v>
      </c>
      <c r="H3062" t="s">
        <v>3</v>
      </c>
      <c r="I3062" t="s">
        <v>3</v>
      </c>
      <c r="J3062" t="s">
        <v>9</v>
      </c>
      <c r="K3062" t="s">
        <v>5</v>
      </c>
      <c r="L3062" t="s">
        <v>6</v>
      </c>
      <c r="M3062" t="s">
        <v>35</v>
      </c>
      <c r="N3062" s="2">
        <v>45910</v>
      </c>
    </row>
    <row r="3063" spans="1:14" x14ac:dyDescent="0.25">
      <c r="A3063" s="4" t="s">
        <v>272</v>
      </c>
      <c r="B3063" s="5"/>
      <c r="C3063" s="4" t="s">
        <v>9</v>
      </c>
      <c r="D3063" s="4" t="s">
        <v>9</v>
      </c>
      <c r="E3063" s="4" t="s">
        <v>9</v>
      </c>
      <c r="F3063" s="6">
        <v>0</v>
      </c>
      <c r="G3063" s="6">
        <v>0</v>
      </c>
      <c r="H3063" s="4" t="s">
        <v>9</v>
      </c>
      <c r="I3063" s="4" t="s">
        <v>3</v>
      </c>
      <c r="J3063" s="4" t="s">
        <v>9</v>
      </c>
      <c r="K3063" s="4" t="s">
        <v>9</v>
      </c>
      <c r="L3063" s="4" t="s">
        <v>9</v>
      </c>
      <c r="M3063" s="4" t="s">
        <v>9</v>
      </c>
      <c r="N3063" s="5"/>
    </row>
    <row r="3064" spans="1:14" x14ac:dyDescent="0.25">
      <c r="A3064" s="4" t="s">
        <v>493</v>
      </c>
      <c r="B3064" s="5"/>
      <c r="C3064" s="4" t="s">
        <v>9</v>
      </c>
      <c r="D3064" s="4" t="s">
        <v>9</v>
      </c>
      <c r="E3064" s="4" t="s">
        <v>9</v>
      </c>
      <c r="F3064" s="6">
        <v>0</v>
      </c>
      <c r="G3064" s="6">
        <v>0</v>
      </c>
      <c r="H3064" s="4" t="s">
        <v>9</v>
      </c>
      <c r="I3064" s="4" t="s">
        <v>3</v>
      </c>
      <c r="J3064" s="4" t="s">
        <v>9</v>
      </c>
      <c r="K3064" s="4" t="s">
        <v>9</v>
      </c>
      <c r="L3064" s="4" t="s">
        <v>9</v>
      </c>
      <c r="M3064" s="4" t="s">
        <v>9</v>
      </c>
      <c r="N3064" s="5"/>
    </row>
    <row r="3065" spans="1:14" x14ac:dyDescent="0.25">
      <c r="A3065" t="s">
        <v>494</v>
      </c>
      <c r="B3065" s="2">
        <v>46022</v>
      </c>
      <c r="C3065" t="s">
        <v>494</v>
      </c>
      <c r="D3065" t="s">
        <v>112</v>
      </c>
      <c r="E3065" t="s">
        <v>9</v>
      </c>
      <c r="F3065" s="3">
        <v>-46325</v>
      </c>
      <c r="G3065" s="3">
        <v>-46325</v>
      </c>
      <c r="H3065" t="s">
        <v>3</v>
      </c>
      <c r="I3065" t="s">
        <v>3</v>
      </c>
      <c r="J3065" t="s">
        <v>299</v>
      </c>
      <c r="K3065" t="s">
        <v>13</v>
      </c>
      <c r="L3065" t="s">
        <v>14</v>
      </c>
      <c r="M3065" t="s">
        <v>114</v>
      </c>
      <c r="N3065" s="2">
        <v>46023</v>
      </c>
    </row>
    <row r="3066" spans="1:14" x14ac:dyDescent="0.25">
      <c r="A3066" t="s">
        <v>494</v>
      </c>
      <c r="B3066" s="2">
        <v>46023</v>
      </c>
      <c r="C3066" t="s">
        <v>494</v>
      </c>
      <c r="D3066" t="s">
        <v>112</v>
      </c>
      <c r="E3066" t="s">
        <v>9</v>
      </c>
      <c r="F3066" s="3">
        <v>46325</v>
      </c>
      <c r="G3066" s="3">
        <v>46325</v>
      </c>
      <c r="H3066" t="s">
        <v>3</v>
      </c>
      <c r="I3066" t="s">
        <v>3</v>
      </c>
      <c r="J3066" t="s">
        <v>299</v>
      </c>
      <c r="K3066" t="s">
        <v>13</v>
      </c>
      <c r="L3066" t="s">
        <v>14</v>
      </c>
      <c r="M3066" t="s">
        <v>114</v>
      </c>
      <c r="N3066" s="2">
        <v>46023</v>
      </c>
    </row>
    <row r="3067" spans="1:14" x14ac:dyDescent="0.25">
      <c r="A3067" s="4" t="s">
        <v>234</v>
      </c>
      <c r="B3067" s="5"/>
      <c r="C3067" s="4" t="s">
        <v>9</v>
      </c>
      <c r="D3067" s="4" t="s">
        <v>9</v>
      </c>
      <c r="E3067" s="4" t="s">
        <v>9</v>
      </c>
      <c r="F3067" s="6">
        <v>0</v>
      </c>
      <c r="G3067" s="6">
        <v>0</v>
      </c>
      <c r="H3067" s="4" t="s">
        <v>9</v>
      </c>
      <c r="I3067" s="4" t="s">
        <v>3</v>
      </c>
      <c r="J3067" s="4" t="s">
        <v>9</v>
      </c>
      <c r="K3067" s="4" t="s">
        <v>9</v>
      </c>
      <c r="L3067" s="4" t="s">
        <v>9</v>
      </c>
      <c r="M3067" s="4" t="s">
        <v>9</v>
      </c>
      <c r="N3067" s="5"/>
    </row>
    <row r="3068" spans="1:14" x14ac:dyDescent="0.25">
      <c r="A3068" t="s">
        <v>494</v>
      </c>
      <c r="B3068" s="2">
        <v>45749</v>
      </c>
      <c r="C3068" t="s">
        <v>494</v>
      </c>
      <c r="D3068" t="s">
        <v>112</v>
      </c>
      <c r="E3068" t="s">
        <v>9</v>
      </c>
      <c r="F3068" s="3">
        <v>-1600</v>
      </c>
      <c r="G3068" s="3">
        <v>-1600</v>
      </c>
      <c r="H3068" t="s">
        <v>3</v>
      </c>
      <c r="I3068" t="s">
        <v>3</v>
      </c>
      <c r="J3068" t="s">
        <v>9</v>
      </c>
      <c r="K3068" t="s">
        <v>9</v>
      </c>
      <c r="L3068" t="s">
        <v>16</v>
      </c>
      <c r="M3068" t="s">
        <v>114</v>
      </c>
      <c r="N3068" s="2">
        <v>45747</v>
      </c>
    </row>
    <row r="3069" spans="1:14" x14ac:dyDescent="0.25">
      <c r="A3069" t="s">
        <v>494</v>
      </c>
      <c r="B3069" s="2">
        <v>45747</v>
      </c>
      <c r="C3069" t="s">
        <v>494</v>
      </c>
      <c r="D3069" t="s">
        <v>112</v>
      </c>
      <c r="E3069" t="s">
        <v>9</v>
      </c>
      <c r="F3069" s="3">
        <v>1600</v>
      </c>
      <c r="G3069" s="3">
        <v>1600</v>
      </c>
      <c r="H3069" t="s">
        <v>3</v>
      </c>
      <c r="I3069" t="s">
        <v>3</v>
      </c>
      <c r="J3069" t="s">
        <v>306</v>
      </c>
      <c r="K3069" t="s">
        <v>5</v>
      </c>
      <c r="L3069" t="s">
        <v>16</v>
      </c>
      <c r="M3069" t="s">
        <v>114</v>
      </c>
      <c r="N3069" s="2">
        <v>45747</v>
      </c>
    </row>
    <row r="3070" spans="1:14" x14ac:dyDescent="0.25">
      <c r="A3070" s="4" t="s">
        <v>244</v>
      </c>
      <c r="B3070" s="5"/>
      <c r="C3070" s="4" t="s">
        <v>9</v>
      </c>
      <c r="D3070" s="4" t="s">
        <v>9</v>
      </c>
      <c r="E3070" s="4" t="s">
        <v>9</v>
      </c>
      <c r="F3070" s="6">
        <v>0</v>
      </c>
      <c r="G3070" s="6">
        <v>0</v>
      </c>
      <c r="H3070" s="4" t="s">
        <v>9</v>
      </c>
      <c r="I3070" s="4" t="s">
        <v>3</v>
      </c>
      <c r="J3070" s="4" t="s">
        <v>9</v>
      </c>
      <c r="K3070" s="4" t="s">
        <v>9</v>
      </c>
      <c r="L3070" s="4" t="s">
        <v>9</v>
      </c>
      <c r="M3070" s="4" t="s">
        <v>9</v>
      </c>
      <c r="N3070" s="5"/>
    </row>
    <row r="3071" spans="1:14" x14ac:dyDescent="0.25">
      <c r="A3071" t="s">
        <v>494</v>
      </c>
      <c r="B3071" s="2">
        <v>45782</v>
      </c>
      <c r="C3071" t="s">
        <v>494</v>
      </c>
      <c r="D3071" t="s">
        <v>112</v>
      </c>
      <c r="E3071" t="s">
        <v>9</v>
      </c>
      <c r="F3071" s="3">
        <v>-2025</v>
      </c>
      <c r="G3071" s="3">
        <v>-2025</v>
      </c>
      <c r="H3071" t="s">
        <v>3</v>
      </c>
      <c r="I3071" t="s">
        <v>3</v>
      </c>
      <c r="J3071" t="s">
        <v>9</v>
      </c>
      <c r="K3071" t="s">
        <v>9</v>
      </c>
      <c r="L3071" t="s">
        <v>17</v>
      </c>
      <c r="M3071" t="s">
        <v>114</v>
      </c>
      <c r="N3071" s="2">
        <v>45777</v>
      </c>
    </row>
    <row r="3072" spans="1:14" x14ac:dyDescent="0.25">
      <c r="A3072" t="s">
        <v>494</v>
      </c>
      <c r="B3072" s="2">
        <v>45747</v>
      </c>
      <c r="C3072" t="s">
        <v>494</v>
      </c>
      <c r="D3072" t="s">
        <v>112</v>
      </c>
      <c r="E3072" t="s">
        <v>9</v>
      </c>
      <c r="F3072" s="3">
        <v>-1600</v>
      </c>
      <c r="G3072" s="3">
        <v>-1600</v>
      </c>
      <c r="H3072" t="s">
        <v>3</v>
      </c>
      <c r="I3072" t="s">
        <v>3</v>
      </c>
      <c r="J3072" t="s">
        <v>306</v>
      </c>
      <c r="K3072" t="s">
        <v>5</v>
      </c>
      <c r="L3072" t="s">
        <v>17</v>
      </c>
      <c r="M3072" t="s">
        <v>114</v>
      </c>
      <c r="N3072" s="2">
        <v>45748</v>
      </c>
    </row>
    <row r="3073" spans="1:14" x14ac:dyDescent="0.25">
      <c r="A3073" t="s">
        <v>494</v>
      </c>
      <c r="B3073" s="2">
        <v>45777</v>
      </c>
      <c r="C3073" t="s">
        <v>494</v>
      </c>
      <c r="D3073" t="s">
        <v>112</v>
      </c>
      <c r="E3073" t="s">
        <v>9</v>
      </c>
      <c r="F3073" s="3">
        <v>3625</v>
      </c>
      <c r="G3073" s="3">
        <v>3625</v>
      </c>
      <c r="H3073" t="s">
        <v>3</v>
      </c>
      <c r="I3073" t="s">
        <v>3</v>
      </c>
      <c r="J3073" t="s">
        <v>309</v>
      </c>
      <c r="K3073" t="s">
        <v>5</v>
      </c>
      <c r="L3073" t="s">
        <v>17</v>
      </c>
      <c r="M3073" t="s">
        <v>114</v>
      </c>
      <c r="N3073" s="2">
        <v>45777</v>
      </c>
    </row>
    <row r="3074" spans="1:14" x14ac:dyDescent="0.25">
      <c r="A3074" s="4" t="s">
        <v>249</v>
      </c>
      <c r="B3074" s="5"/>
      <c r="C3074" s="4" t="s">
        <v>9</v>
      </c>
      <c r="D3074" s="4" t="s">
        <v>9</v>
      </c>
      <c r="E3074" s="4" t="s">
        <v>9</v>
      </c>
      <c r="F3074" s="6">
        <v>0</v>
      </c>
      <c r="G3074" s="6">
        <v>0</v>
      </c>
      <c r="H3074" s="4" t="s">
        <v>9</v>
      </c>
      <c r="I3074" s="4" t="s">
        <v>3</v>
      </c>
      <c r="J3074" s="4" t="s">
        <v>9</v>
      </c>
      <c r="K3074" s="4" t="s">
        <v>9</v>
      </c>
      <c r="L3074" s="4" t="s">
        <v>9</v>
      </c>
      <c r="M3074" s="4" t="s">
        <v>9</v>
      </c>
      <c r="N3074" s="5"/>
    </row>
    <row r="3075" spans="1:14" x14ac:dyDescent="0.25">
      <c r="A3075" t="s">
        <v>494</v>
      </c>
      <c r="B3075" s="2">
        <v>45810</v>
      </c>
      <c r="C3075" t="s">
        <v>494</v>
      </c>
      <c r="D3075" t="s">
        <v>112</v>
      </c>
      <c r="E3075" t="s">
        <v>9</v>
      </c>
      <c r="F3075" s="3">
        <v>-2300</v>
      </c>
      <c r="G3075" s="3">
        <v>-2300</v>
      </c>
      <c r="H3075" t="s">
        <v>3</v>
      </c>
      <c r="I3075" t="s">
        <v>3</v>
      </c>
      <c r="J3075" t="s">
        <v>9</v>
      </c>
      <c r="K3075" t="s">
        <v>9</v>
      </c>
      <c r="L3075" t="s">
        <v>18</v>
      </c>
      <c r="M3075" t="s">
        <v>114</v>
      </c>
      <c r="N3075" s="2">
        <v>45808</v>
      </c>
    </row>
    <row r="3076" spans="1:14" x14ac:dyDescent="0.25">
      <c r="A3076" t="s">
        <v>494</v>
      </c>
      <c r="B3076" s="2">
        <v>45777</v>
      </c>
      <c r="C3076" t="s">
        <v>494</v>
      </c>
      <c r="D3076" t="s">
        <v>112</v>
      </c>
      <c r="E3076" t="s">
        <v>9</v>
      </c>
      <c r="F3076" s="3">
        <v>-3625</v>
      </c>
      <c r="G3076" s="3">
        <v>-3625</v>
      </c>
      <c r="H3076" t="s">
        <v>3</v>
      </c>
      <c r="I3076" t="s">
        <v>3</v>
      </c>
      <c r="J3076" t="s">
        <v>309</v>
      </c>
      <c r="K3076" t="s">
        <v>5</v>
      </c>
      <c r="L3076" t="s">
        <v>18</v>
      </c>
      <c r="M3076" t="s">
        <v>114</v>
      </c>
      <c r="N3076" s="2">
        <v>45778</v>
      </c>
    </row>
    <row r="3077" spans="1:14" x14ac:dyDescent="0.25">
      <c r="A3077" t="s">
        <v>494</v>
      </c>
      <c r="B3077" s="2">
        <v>45808</v>
      </c>
      <c r="C3077" t="s">
        <v>494</v>
      </c>
      <c r="D3077" t="s">
        <v>112</v>
      </c>
      <c r="E3077" t="s">
        <v>9</v>
      </c>
      <c r="F3077" s="3">
        <v>5925</v>
      </c>
      <c r="G3077" s="3">
        <v>5925</v>
      </c>
      <c r="H3077" t="s">
        <v>3</v>
      </c>
      <c r="I3077" t="s">
        <v>3</v>
      </c>
      <c r="J3077" t="s">
        <v>312</v>
      </c>
      <c r="K3077" t="s">
        <v>5</v>
      </c>
      <c r="L3077" t="s">
        <v>18</v>
      </c>
      <c r="M3077" t="s">
        <v>114</v>
      </c>
      <c r="N3077" s="2">
        <v>45808</v>
      </c>
    </row>
    <row r="3078" spans="1:14" x14ac:dyDescent="0.25">
      <c r="A3078" s="4" t="s">
        <v>223</v>
      </c>
      <c r="B3078" s="5"/>
      <c r="C3078" s="4" t="s">
        <v>9</v>
      </c>
      <c r="D3078" s="4" t="s">
        <v>9</v>
      </c>
      <c r="E3078" s="4" t="s">
        <v>9</v>
      </c>
      <c r="F3078" s="6">
        <v>0</v>
      </c>
      <c r="G3078" s="6">
        <v>0</v>
      </c>
      <c r="H3078" s="4" t="s">
        <v>9</v>
      </c>
      <c r="I3078" s="4" t="s">
        <v>3</v>
      </c>
      <c r="J3078" s="4" t="s">
        <v>9</v>
      </c>
      <c r="K3078" s="4" t="s">
        <v>9</v>
      </c>
      <c r="L3078" s="4" t="s">
        <v>9</v>
      </c>
      <c r="M3078" s="4" t="s">
        <v>9</v>
      </c>
      <c r="N3078" s="5"/>
    </row>
    <row r="3079" spans="1:14" x14ac:dyDescent="0.25">
      <c r="A3079" t="s">
        <v>494</v>
      </c>
      <c r="B3079" s="2">
        <v>45839</v>
      </c>
      <c r="C3079" t="s">
        <v>494</v>
      </c>
      <c r="D3079" t="s">
        <v>112</v>
      </c>
      <c r="E3079" t="s">
        <v>9</v>
      </c>
      <c r="F3079" s="3">
        <v>-14000</v>
      </c>
      <c r="G3079" s="3">
        <v>-14000</v>
      </c>
      <c r="H3079" t="s">
        <v>3</v>
      </c>
      <c r="I3079" t="s">
        <v>3</v>
      </c>
      <c r="J3079" t="s">
        <v>9</v>
      </c>
      <c r="K3079" t="s">
        <v>9</v>
      </c>
      <c r="L3079" t="s">
        <v>19</v>
      </c>
      <c r="M3079" t="s">
        <v>114</v>
      </c>
      <c r="N3079" s="2">
        <v>45838</v>
      </c>
    </row>
    <row r="3080" spans="1:14" x14ac:dyDescent="0.25">
      <c r="A3080" t="s">
        <v>494</v>
      </c>
      <c r="B3080" s="2">
        <v>45808</v>
      </c>
      <c r="C3080" t="s">
        <v>494</v>
      </c>
      <c r="D3080" t="s">
        <v>112</v>
      </c>
      <c r="E3080" t="s">
        <v>9</v>
      </c>
      <c r="F3080" s="3">
        <v>-5925</v>
      </c>
      <c r="G3080" s="3">
        <v>-5925</v>
      </c>
      <c r="H3080" t="s">
        <v>3</v>
      </c>
      <c r="I3080" t="s">
        <v>3</v>
      </c>
      <c r="J3080" t="s">
        <v>312</v>
      </c>
      <c r="K3080" t="s">
        <v>5</v>
      </c>
      <c r="L3080" t="s">
        <v>19</v>
      </c>
      <c r="M3080" t="s">
        <v>114</v>
      </c>
      <c r="N3080" s="2">
        <v>45809</v>
      </c>
    </row>
    <row r="3081" spans="1:14" x14ac:dyDescent="0.25">
      <c r="A3081" t="s">
        <v>494</v>
      </c>
      <c r="B3081" s="2">
        <v>45838</v>
      </c>
      <c r="C3081" t="s">
        <v>494</v>
      </c>
      <c r="D3081" t="s">
        <v>112</v>
      </c>
      <c r="E3081" t="s">
        <v>9</v>
      </c>
      <c r="F3081" s="3">
        <v>19925</v>
      </c>
      <c r="G3081" s="3">
        <v>19925</v>
      </c>
      <c r="H3081" t="s">
        <v>3</v>
      </c>
      <c r="I3081" t="s">
        <v>3</v>
      </c>
      <c r="J3081" t="s">
        <v>315</v>
      </c>
      <c r="K3081" t="s">
        <v>5</v>
      </c>
      <c r="L3081" t="s">
        <v>19</v>
      </c>
      <c r="M3081" t="s">
        <v>114</v>
      </c>
      <c r="N3081" s="2">
        <v>45838</v>
      </c>
    </row>
    <row r="3082" spans="1:14" x14ac:dyDescent="0.25">
      <c r="A3082" s="4" t="s">
        <v>224</v>
      </c>
      <c r="B3082" s="5"/>
      <c r="C3082" s="4" t="s">
        <v>9</v>
      </c>
      <c r="D3082" s="4" t="s">
        <v>9</v>
      </c>
      <c r="E3082" s="4" t="s">
        <v>9</v>
      </c>
      <c r="F3082" s="6">
        <v>0</v>
      </c>
      <c r="G3082" s="6">
        <v>0</v>
      </c>
      <c r="H3082" s="4" t="s">
        <v>9</v>
      </c>
      <c r="I3082" s="4" t="s">
        <v>3</v>
      </c>
      <c r="J3082" s="4" t="s">
        <v>9</v>
      </c>
      <c r="K3082" s="4" t="s">
        <v>9</v>
      </c>
      <c r="L3082" s="4" t="s">
        <v>9</v>
      </c>
      <c r="M3082" s="4" t="s">
        <v>9</v>
      </c>
      <c r="N3082" s="5"/>
    </row>
    <row r="3083" spans="1:14" x14ac:dyDescent="0.25">
      <c r="A3083" t="s">
        <v>494</v>
      </c>
      <c r="B3083" s="2">
        <v>45870</v>
      </c>
      <c r="C3083" t="s">
        <v>494</v>
      </c>
      <c r="D3083" t="s">
        <v>112</v>
      </c>
      <c r="E3083" t="s">
        <v>9</v>
      </c>
      <c r="F3083" s="3">
        <v>-14400</v>
      </c>
      <c r="G3083" s="3">
        <v>-14400</v>
      </c>
      <c r="H3083" t="s">
        <v>3</v>
      </c>
      <c r="I3083" t="s">
        <v>3</v>
      </c>
      <c r="J3083" t="s">
        <v>9</v>
      </c>
      <c r="K3083" t="s">
        <v>9</v>
      </c>
      <c r="L3083" t="s">
        <v>21</v>
      </c>
      <c r="M3083" t="s">
        <v>114</v>
      </c>
      <c r="N3083" s="2">
        <v>45869</v>
      </c>
    </row>
    <row r="3084" spans="1:14" x14ac:dyDescent="0.25">
      <c r="A3084" t="s">
        <v>494</v>
      </c>
      <c r="B3084" s="2">
        <v>45838</v>
      </c>
      <c r="C3084" t="s">
        <v>494</v>
      </c>
      <c r="D3084" t="s">
        <v>112</v>
      </c>
      <c r="E3084" t="s">
        <v>9</v>
      </c>
      <c r="F3084" s="3">
        <v>-19925</v>
      </c>
      <c r="G3084" s="3">
        <v>-19925</v>
      </c>
      <c r="H3084" t="s">
        <v>3</v>
      </c>
      <c r="I3084" t="s">
        <v>3</v>
      </c>
      <c r="J3084" t="s">
        <v>315</v>
      </c>
      <c r="K3084" t="s">
        <v>5</v>
      </c>
      <c r="L3084" t="s">
        <v>21</v>
      </c>
      <c r="M3084" t="s">
        <v>114</v>
      </c>
      <c r="N3084" s="2">
        <v>45839</v>
      </c>
    </row>
    <row r="3085" spans="1:14" x14ac:dyDescent="0.25">
      <c r="A3085" t="s">
        <v>494</v>
      </c>
      <c r="B3085" s="2">
        <v>45869</v>
      </c>
      <c r="C3085" t="s">
        <v>494</v>
      </c>
      <c r="D3085" t="s">
        <v>112</v>
      </c>
      <c r="E3085" t="s">
        <v>9</v>
      </c>
      <c r="F3085" s="3">
        <v>34325</v>
      </c>
      <c r="G3085" s="3">
        <v>34325</v>
      </c>
      <c r="H3085" t="s">
        <v>3</v>
      </c>
      <c r="I3085" t="s">
        <v>3</v>
      </c>
      <c r="J3085" t="s">
        <v>318</v>
      </c>
      <c r="K3085" t="s">
        <v>5</v>
      </c>
      <c r="L3085" t="s">
        <v>21</v>
      </c>
      <c r="M3085" t="s">
        <v>114</v>
      </c>
      <c r="N3085" s="2">
        <v>45869</v>
      </c>
    </row>
    <row r="3086" spans="1:14" x14ac:dyDescent="0.25">
      <c r="A3086" s="4" t="s">
        <v>262</v>
      </c>
      <c r="B3086" s="5"/>
      <c r="C3086" s="4" t="s">
        <v>9</v>
      </c>
      <c r="D3086" s="4" t="s">
        <v>9</v>
      </c>
      <c r="E3086" s="4" t="s">
        <v>9</v>
      </c>
      <c r="F3086" s="6">
        <v>0</v>
      </c>
      <c r="G3086" s="6">
        <v>0</v>
      </c>
      <c r="H3086" s="4" t="s">
        <v>9</v>
      </c>
      <c r="I3086" s="4" t="s">
        <v>3</v>
      </c>
      <c r="J3086" s="4" t="s">
        <v>9</v>
      </c>
      <c r="K3086" s="4" t="s">
        <v>9</v>
      </c>
      <c r="L3086" s="4" t="s">
        <v>9</v>
      </c>
      <c r="M3086" s="4" t="s">
        <v>9</v>
      </c>
      <c r="N3086" s="5"/>
    </row>
    <row r="3087" spans="1:14" x14ac:dyDescent="0.25">
      <c r="A3087" t="s">
        <v>494</v>
      </c>
      <c r="B3087" s="2">
        <v>45901</v>
      </c>
      <c r="C3087" t="s">
        <v>494</v>
      </c>
      <c r="D3087" t="s">
        <v>112</v>
      </c>
      <c r="E3087" t="s">
        <v>9</v>
      </c>
      <c r="F3087" s="3">
        <v>-10700</v>
      </c>
      <c r="G3087" s="3">
        <v>-10700</v>
      </c>
      <c r="H3087" t="s">
        <v>3</v>
      </c>
      <c r="I3087" t="s">
        <v>3</v>
      </c>
      <c r="J3087" t="s">
        <v>9</v>
      </c>
      <c r="K3087" t="s">
        <v>9</v>
      </c>
      <c r="L3087" t="s">
        <v>22</v>
      </c>
      <c r="M3087" t="s">
        <v>114</v>
      </c>
      <c r="N3087" s="2">
        <v>45900</v>
      </c>
    </row>
    <row r="3088" spans="1:14" x14ac:dyDescent="0.25">
      <c r="A3088" t="s">
        <v>494</v>
      </c>
      <c r="B3088" s="2">
        <v>45903</v>
      </c>
      <c r="C3088" t="s">
        <v>494</v>
      </c>
      <c r="D3088" t="s">
        <v>112</v>
      </c>
      <c r="E3088" t="s">
        <v>9</v>
      </c>
      <c r="F3088" s="3">
        <v>-800</v>
      </c>
      <c r="G3088" s="3">
        <v>-800</v>
      </c>
      <c r="H3088" t="s">
        <v>3</v>
      </c>
      <c r="I3088" t="s">
        <v>3</v>
      </c>
      <c r="J3088" t="s">
        <v>9</v>
      </c>
      <c r="K3088" t="s">
        <v>9</v>
      </c>
      <c r="L3088" t="s">
        <v>22</v>
      </c>
      <c r="M3088" t="s">
        <v>114</v>
      </c>
      <c r="N3088" s="2">
        <v>45900</v>
      </c>
    </row>
    <row r="3089" spans="1:14" x14ac:dyDescent="0.25">
      <c r="A3089" t="s">
        <v>494</v>
      </c>
      <c r="B3089" s="2">
        <v>45869</v>
      </c>
      <c r="C3089" t="s">
        <v>494</v>
      </c>
      <c r="D3089" t="s">
        <v>112</v>
      </c>
      <c r="E3089" t="s">
        <v>9</v>
      </c>
      <c r="F3089" s="3">
        <v>-34325</v>
      </c>
      <c r="G3089" s="3">
        <v>-34325</v>
      </c>
      <c r="H3089" t="s">
        <v>3</v>
      </c>
      <c r="I3089" t="s">
        <v>3</v>
      </c>
      <c r="J3089" t="s">
        <v>318</v>
      </c>
      <c r="K3089" t="s">
        <v>5</v>
      </c>
      <c r="L3089" t="s">
        <v>22</v>
      </c>
      <c r="M3089" t="s">
        <v>114</v>
      </c>
      <c r="N3089" s="2">
        <v>45870</v>
      </c>
    </row>
    <row r="3090" spans="1:14" x14ac:dyDescent="0.25">
      <c r="A3090" t="s">
        <v>494</v>
      </c>
      <c r="B3090" s="2">
        <v>45900</v>
      </c>
      <c r="C3090" t="s">
        <v>494</v>
      </c>
      <c r="D3090" t="s">
        <v>112</v>
      </c>
      <c r="E3090" t="s">
        <v>9</v>
      </c>
      <c r="F3090" s="3">
        <v>45025</v>
      </c>
      <c r="G3090" s="3">
        <v>45025</v>
      </c>
      <c r="H3090" t="s">
        <v>3</v>
      </c>
      <c r="I3090" t="s">
        <v>3</v>
      </c>
      <c r="J3090" t="s">
        <v>321</v>
      </c>
      <c r="K3090" t="s">
        <v>5</v>
      </c>
      <c r="L3090" t="s">
        <v>22</v>
      </c>
      <c r="M3090" t="s">
        <v>114</v>
      </c>
      <c r="N3090" s="2">
        <v>45900</v>
      </c>
    </row>
    <row r="3091" spans="1:14" x14ac:dyDescent="0.25">
      <c r="A3091" t="s">
        <v>494</v>
      </c>
      <c r="B3091" s="2">
        <v>45900</v>
      </c>
      <c r="C3091" t="s">
        <v>494</v>
      </c>
      <c r="D3091" t="s">
        <v>112</v>
      </c>
      <c r="E3091" t="s">
        <v>9</v>
      </c>
      <c r="F3091" s="3">
        <v>-45025</v>
      </c>
      <c r="G3091" s="3">
        <v>-45025</v>
      </c>
      <c r="H3091" t="s">
        <v>3</v>
      </c>
      <c r="I3091" t="s">
        <v>3</v>
      </c>
      <c r="J3091" t="s">
        <v>321</v>
      </c>
      <c r="K3091" t="s">
        <v>5</v>
      </c>
      <c r="L3091" t="s">
        <v>22</v>
      </c>
      <c r="M3091" t="s">
        <v>114</v>
      </c>
      <c r="N3091" s="2">
        <v>45900</v>
      </c>
    </row>
    <row r="3092" spans="1:14" x14ac:dyDescent="0.25">
      <c r="A3092" t="s">
        <v>494</v>
      </c>
      <c r="B3092" s="2">
        <v>45900</v>
      </c>
      <c r="C3092" t="s">
        <v>494</v>
      </c>
      <c r="D3092" t="s">
        <v>112</v>
      </c>
      <c r="E3092" t="s">
        <v>9</v>
      </c>
      <c r="F3092" s="3">
        <v>42725</v>
      </c>
      <c r="G3092" s="3">
        <v>42725</v>
      </c>
      <c r="H3092" t="s">
        <v>3</v>
      </c>
      <c r="I3092" t="s">
        <v>3</v>
      </c>
      <c r="J3092" t="s">
        <v>321</v>
      </c>
      <c r="K3092" t="s">
        <v>5</v>
      </c>
      <c r="L3092" t="s">
        <v>22</v>
      </c>
      <c r="M3092" t="s">
        <v>114</v>
      </c>
      <c r="N3092" s="2">
        <v>45900</v>
      </c>
    </row>
    <row r="3093" spans="1:14" x14ac:dyDescent="0.25">
      <c r="A3093" t="s">
        <v>494</v>
      </c>
      <c r="B3093" s="2">
        <v>45900</v>
      </c>
      <c r="C3093" t="s">
        <v>494</v>
      </c>
      <c r="D3093" t="s">
        <v>112</v>
      </c>
      <c r="E3093" t="s">
        <v>9</v>
      </c>
      <c r="F3093" s="3">
        <v>45825</v>
      </c>
      <c r="G3093" s="3">
        <v>45825</v>
      </c>
      <c r="H3093" t="s">
        <v>3</v>
      </c>
      <c r="I3093" t="s">
        <v>3</v>
      </c>
      <c r="J3093" t="s">
        <v>321</v>
      </c>
      <c r="K3093" t="s">
        <v>5</v>
      </c>
      <c r="L3093" t="s">
        <v>22</v>
      </c>
      <c r="M3093" t="s">
        <v>114</v>
      </c>
      <c r="N3093" s="2">
        <v>45900</v>
      </c>
    </row>
    <row r="3094" spans="1:14" x14ac:dyDescent="0.25">
      <c r="A3094" t="s">
        <v>494</v>
      </c>
      <c r="B3094" s="2">
        <v>45900</v>
      </c>
      <c r="C3094" t="s">
        <v>494</v>
      </c>
      <c r="D3094" t="s">
        <v>112</v>
      </c>
      <c r="E3094" t="s">
        <v>9</v>
      </c>
      <c r="F3094" s="3">
        <v>-42725</v>
      </c>
      <c r="G3094" s="3">
        <v>-42725</v>
      </c>
      <c r="H3094" t="s">
        <v>3</v>
      </c>
      <c r="I3094" t="s">
        <v>3</v>
      </c>
      <c r="J3094" t="s">
        <v>321</v>
      </c>
      <c r="K3094" t="s">
        <v>5</v>
      </c>
      <c r="L3094" t="s">
        <v>22</v>
      </c>
      <c r="M3094" t="s">
        <v>114</v>
      </c>
      <c r="N3094" s="2">
        <v>45900</v>
      </c>
    </row>
    <row r="3095" spans="1:14" x14ac:dyDescent="0.25">
      <c r="A3095" s="4" t="s">
        <v>267</v>
      </c>
      <c r="B3095" s="5"/>
      <c r="C3095" s="4" t="s">
        <v>9</v>
      </c>
      <c r="D3095" s="4" t="s">
        <v>9</v>
      </c>
      <c r="E3095" s="4" t="s">
        <v>9</v>
      </c>
      <c r="F3095" s="6">
        <v>0</v>
      </c>
      <c r="G3095" s="6">
        <v>0</v>
      </c>
      <c r="H3095" s="4" t="s">
        <v>9</v>
      </c>
      <c r="I3095" s="4" t="s">
        <v>3</v>
      </c>
      <c r="J3095" s="4" t="s">
        <v>9</v>
      </c>
      <c r="K3095" s="4" t="s">
        <v>9</v>
      </c>
      <c r="L3095" s="4" t="s">
        <v>9</v>
      </c>
      <c r="M3095" s="4" t="s">
        <v>9</v>
      </c>
      <c r="N3095" s="5"/>
    </row>
    <row r="3096" spans="1:14" x14ac:dyDescent="0.25">
      <c r="A3096" t="s">
        <v>494</v>
      </c>
      <c r="B3096" s="2">
        <v>45932</v>
      </c>
      <c r="C3096" t="s">
        <v>494</v>
      </c>
      <c r="D3096" t="s">
        <v>112</v>
      </c>
      <c r="E3096" t="s">
        <v>9</v>
      </c>
      <c r="F3096" s="3">
        <v>-500</v>
      </c>
      <c r="G3096" s="3">
        <v>-500</v>
      </c>
      <c r="H3096" t="s">
        <v>3</v>
      </c>
      <c r="I3096" t="s">
        <v>3</v>
      </c>
      <c r="J3096" t="s">
        <v>9</v>
      </c>
      <c r="K3096" t="s">
        <v>9</v>
      </c>
      <c r="L3096" t="s">
        <v>6</v>
      </c>
      <c r="M3096" t="s">
        <v>114</v>
      </c>
      <c r="N3096" s="2">
        <v>45930</v>
      </c>
    </row>
    <row r="3097" spans="1:14" x14ac:dyDescent="0.25">
      <c r="A3097" t="s">
        <v>494</v>
      </c>
      <c r="B3097" s="2">
        <v>45900</v>
      </c>
      <c r="C3097" t="s">
        <v>494</v>
      </c>
      <c r="D3097" t="s">
        <v>112</v>
      </c>
      <c r="E3097" t="s">
        <v>9</v>
      </c>
      <c r="F3097" s="3">
        <v>-45025</v>
      </c>
      <c r="G3097" s="3">
        <v>-45025</v>
      </c>
      <c r="H3097" t="s">
        <v>3</v>
      </c>
      <c r="I3097" t="s">
        <v>3</v>
      </c>
      <c r="J3097" t="s">
        <v>321</v>
      </c>
      <c r="K3097" t="s">
        <v>5</v>
      </c>
      <c r="L3097" t="s">
        <v>6</v>
      </c>
      <c r="M3097" t="s">
        <v>114</v>
      </c>
      <c r="N3097" s="2">
        <v>45901</v>
      </c>
    </row>
    <row r="3098" spans="1:14" x14ac:dyDescent="0.25">
      <c r="A3098" t="s">
        <v>494</v>
      </c>
      <c r="B3098" s="2">
        <v>45900</v>
      </c>
      <c r="C3098" t="s">
        <v>494</v>
      </c>
      <c r="D3098" t="s">
        <v>112</v>
      </c>
      <c r="E3098" t="s">
        <v>9</v>
      </c>
      <c r="F3098" s="3">
        <v>45025</v>
      </c>
      <c r="G3098" s="3">
        <v>45025</v>
      </c>
      <c r="H3098" t="s">
        <v>3</v>
      </c>
      <c r="I3098" t="s">
        <v>3</v>
      </c>
      <c r="J3098" t="s">
        <v>321</v>
      </c>
      <c r="K3098" t="s">
        <v>5</v>
      </c>
      <c r="L3098" t="s">
        <v>6</v>
      </c>
      <c r="M3098" t="s">
        <v>114</v>
      </c>
      <c r="N3098" s="2">
        <v>45901</v>
      </c>
    </row>
    <row r="3099" spans="1:14" x14ac:dyDescent="0.25">
      <c r="A3099" t="s">
        <v>494</v>
      </c>
      <c r="B3099" s="2">
        <v>45900</v>
      </c>
      <c r="C3099" t="s">
        <v>494</v>
      </c>
      <c r="D3099" t="s">
        <v>112</v>
      </c>
      <c r="E3099" t="s">
        <v>9</v>
      </c>
      <c r="F3099" s="3">
        <v>-42725</v>
      </c>
      <c r="G3099" s="3">
        <v>-42725</v>
      </c>
      <c r="H3099" t="s">
        <v>3</v>
      </c>
      <c r="I3099" t="s">
        <v>3</v>
      </c>
      <c r="J3099" t="s">
        <v>321</v>
      </c>
      <c r="K3099" t="s">
        <v>5</v>
      </c>
      <c r="L3099" t="s">
        <v>6</v>
      </c>
      <c r="M3099" t="s">
        <v>114</v>
      </c>
      <c r="N3099" s="2">
        <v>45901</v>
      </c>
    </row>
    <row r="3100" spans="1:14" x14ac:dyDescent="0.25">
      <c r="A3100" t="s">
        <v>494</v>
      </c>
      <c r="B3100" s="2">
        <v>45900</v>
      </c>
      <c r="C3100" t="s">
        <v>494</v>
      </c>
      <c r="D3100" t="s">
        <v>112</v>
      </c>
      <c r="E3100" t="s">
        <v>9</v>
      </c>
      <c r="F3100" s="3">
        <v>42725</v>
      </c>
      <c r="G3100" s="3">
        <v>42725</v>
      </c>
      <c r="H3100" t="s">
        <v>3</v>
      </c>
      <c r="I3100" t="s">
        <v>3</v>
      </c>
      <c r="J3100" t="s">
        <v>321</v>
      </c>
      <c r="K3100" t="s">
        <v>5</v>
      </c>
      <c r="L3100" t="s">
        <v>6</v>
      </c>
      <c r="M3100" t="s">
        <v>114</v>
      </c>
      <c r="N3100" s="2">
        <v>45901</v>
      </c>
    </row>
    <row r="3101" spans="1:14" x14ac:dyDescent="0.25">
      <c r="A3101" t="s">
        <v>494</v>
      </c>
      <c r="B3101" s="2">
        <v>45900</v>
      </c>
      <c r="C3101" t="s">
        <v>494</v>
      </c>
      <c r="D3101" t="s">
        <v>112</v>
      </c>
      <c r="E3101" t="s">
        <v>9</v>
      </c>
      <c r="F3101" s="3">
        <v>-45825</v>
      </c>
      <c r="G3101" s="3">
        <v>-45825</v>
      </c>
      <c r="H3101" t="s">
        <v>3</v>
      </c>
      <c r="I3101" t="s">
        <v>3</v>
      </c>
      <c r="J3101" t="s">
        <v>321</v>
      </c>
      <c r="K3101" t="s">
        <v>5</v>
      </c>
      <c r="L3101" t="s">
        <v>6</v>
      </c>
      <c r="M3101" t="s">
        <v>114</v>
      </c>
      <c r="N3101" s="2">
        <v>45901</v>
      </c>
    </row>
    <row r="3102" spans="1:14" x14ac:dyDescent="0.25">
      <c r="A3102" t="s">
        <v>494</v>
      </c>
      <c r="B3102" s="2">
        <v>45930</v>
      </c>
      <c r="C3102" t="s">
        <v>494</v>
      </c>
      <c r="D3102" t="s">
        <v>112</v>
      </c>
      <c r="E3102" t="s">
        <v>9</v>
      </c>
      <c r="F3102" s="3">
        <v>46325</v>
      </c>
      <c r="G3102" s="3">
        <v>46325</v>
      </c>
      <c r="H3102" t="s">
        <v>3</v>
      </c>
      <c r="I3102" t="s">
        <v>3</v>
      </c>
      <c r="J3102" t="s">
        <v>324</v>
      </c>
      <c r="K3102" t="s">
        <v>5</v>
      </c>
      <c r="L3102" t="s">
        <v>6</v>
      </c>
      <c r="M3102" t="s">
        <v>114</v>
      </c>
      <c r="N3102" s="2">
        <v>45930</v>
      </c>
    </row>
    <row r="3103" spans="1:14" x14ac:dyDescent="0.25">
      <c r="A3103" s="4" t="s">
        <v>272</v>
      </c>
      <c r="B3103" s="5"/>
      <c r="C3103" s="4" t="s">
        <v>9</v>
      </c>
      <c r="D3103" s="4" t="s">
        <v>9</v>
      </c>
      <c r="E3103" s="4" t="s">
        <v>9</v>
      </c>
      <c r="F3103" s="6">
        <v>0</v>
      </c>
      <c r="G3103" s="6">
        <v>0</v>
      </c>
      <c r="H3103" s="4" t="s">
        <v>9</v>
      </c>
      <c r="I3103" s="4" t="s">
        <v>3</v>
      </c>
      <c r="J3103" s="4" t="s">
        <v>9</v>
      </c>
      <c r="K3103" s="4" t="s">
        <v>9</v>
      </c>
      <c r="L3103" s="4" t="s">
        <v>9</v>
      </c>
      <c r="M3103" s="4" t="s">
        <v>9</v>
      </c>
      <c r="N3103" s="5"/>
    </row>
    <row r="3104" spans="1:14" x14ac:dyDescent="0.25">
      <c r="A3104" t="s">
        <v>494</v>
      </c>
      <c r="B3104" s="2">
        <v>45930</v>
      </c>
      <c r="C3104" t="s">
        <v>494</v>
      </c>
      <c r="D3104" t="s">
        <v>112</v>
      </c>
      <c r="E3104" t="s">
        <v>9</v>
      </c>
      <c r="F3104" s="3">
        <v>-46325</v>
      </c>
      <c r="G3104" s="3">
        <v>-46325</v>
      </c>
      <c r="H3104" t="s">
        <v>3</v>
      </c>
      <c r="I3104" t="s">
        <v>3</v>
      </c>
      <c r="J3104" t="s">
        <v>324</v>
      </c>
      <c r="K3104" t="s">
        <v>5</v>
      </c>
      <c r="L3104" t="s">
        <v>8</v>
      </c>
      <c r="M3104" t="s">
        <v>114</v>
      </c>
      <c r="N3104" s="2">
        <v>45931</v>
      </c>
    </row>
    <row r="3105" spans="1:14" x14ac:dyDescent="0.25">
      <c r="A3105" t="s">
        <v>494</v>
      </c>
      <c r="B3105" s="2">
        <v>45961</v>
      </c>
      <c r="C3105" t="s">
        <v>494</v>
      </c>
      <c r="D3105" t="s">
        <v>112</v>
      </c>
      <c r="E3105" t="s">
        <v>9</v>
      </c>
      <c r="F3105" s="3">
        <v>46325</v>
      </c>
      <c r="G3105" s="3">
        <v>46325</v>
      </c>
      <c r="H3105" t="s">
        <v>3</v>
      </c>
      <c r="I3105" t="s">
        <v>3</v>
      </c>
      <c r="J3105" t="s">
        <v>326</v>
      </c>
      <c r="K3105" t="s">
        <v>5</v>
      </c>
      <c r="L3105" t="s">
        <v>8</v>
      </c>
      <c r="M3105" t="s">
        <v>114</v>
      </c>
      <c r="N3105" s="2">
        <v>45961</v>
      </c>
    </row>
    <row r="3106" spans="1:14" x14ac:dyDescent="0.25">
      <c r="A3106" s="4" t="s">
        <v>278</v>
      </c>
      <c r="B3106" s="5"/>
      <c r="C3106" s="4" t="s">
        <v>9</v>
      </c>
      <c r="D3106" s="4" t="s">
        <v>9</v>
      </c>
      <c r="E3106" s="4" t="s">
        <v>9</v>
      </c>
      <c r="F3106" s="6">
        <v>0</v>
      </c>
      <c r="G3106" s="6">
        <v>0</v>
      </c>
      <c r="H3106" s="4" t="s">
        <v>9</v>
      </c>
      <c r="I3106" s="4" t="s">
        <v>3</v>
      </c>
      <c r="J3106" s="4" t="s">
        <v>9</v>
      </c>
      <c r="K3106" s="4" t="s">
        <v>9</v>
      </c>
      <c r="L3106" s="4" t="s">
        <v>9</v>
      </c>
      <c r="M3106" s="4" t="s">
        <v>9</v>
      </c>
      <c r="N3106" s="5"/>
    </row>
    <row r="3107" spans="1:14" x14ac:dyDescent="0.25">
      <c r="A3107" t="s">
        <v>494</v>
      </c>
      <c r="B3107" s="2">
        <v>45961</v>
      </c>
      <c r="C3107" t="s">
        <v>494</v>
      </c>
      <c r="D3107" t="s">
        <v>112</v>
      </c>
      <c r="E3107" t="s">
        <v>9</v>
      </c>
      <c r="F3107" s="3">
        <v>-46325</v>
      </c>
      <c r="G3107" s="3">
        <v>-46325</v>
      </c>
      <c r="H3107" t="s">
        <v>3</v>
      </c>
      <c r="I3107" t="s">
        <v>3</v>
      </c>
      <c r="J3107" t="s">
        <v>326</v>
      </c>
      <c r="K3107" t="s">
        <v>5</v>
      </c>
      <c r="L3107" t="s">
        <v>11</v>
      </c>
      <c r="M3107" t="s">
        <v>114</v>
      </c>
      <c r="N3107" s="2">
        <v>45962</v>
      </c>
    </row>
    <row r="3108" spans="1:14" x14ac:dyDescent="0.25">
      <c r="A3108" t="s">
        <v>494</v>
      </c>
      <c r="B3108" s="2">
        <v>45991</v>
      </c>
      <c r="C3108" t="s">
        <v>494</v>
      </c>
      <c r="D3108" t="s">
        <v>112</v>
      </c>
      <c r="E3108" t="s">
        <v>9</v>
      </c>
      <c r="F3108" s="3">
        <v>46325</v>
      </c>
      <c r="G3108" s="3">
        <v>46325</v>
      </c>
      <c r="H3108" t="s">
        <v>3</v>
      </c>
      <c r="I3108" t="s">
        <v>3</v>
      </c>
      <c r="J3108" t="s">
        <v>329</v>
      </c>
      <c r="K3108" t="s">
        <v>5</v>
      </c>
      <c r="L3108" t="s">
        <v>11</v>
      </c>
      <c r="M3108" t="s">
        <v>114</v>
      </c>
      <c r="N3108" s="2">
        <v>45991</v>
      </c>
    </row>
    <row r="3109" spans="1:14" x14ac:dyDescent="0.25">
      <c r="A3109" s="4" t="s">
        <v>226</v>
      </c>
      <c r="B3109" s="5"/>
      <c r="C3109" s="4" t="s">
        <v>9</v>
      </c>
      <c r="D3109" s="4" t="s">
        <v>9</v>
      </c>
      <c r="E3109" s="4" t="s">
        <v>9</v>
      </c>
      <c r="F3109" s="6">
        <v>0</v>
      </c>
      <c r="G3109" s="6">
        <v>0</v>
      </c>
      <c r="H3109" s="4" t="s">
        <v>9</v>
      </c>
      <c r="I3109" s="4" t="s">
        <v>3</v>
      </c>
      <c r="J3109" s="4" t="s">
        <v>9</v>
      </c>
      <c r="K3109" s="4" t="s">
        <v>9</v>
      </c>
      <c r="L3109" s="4" t="s">
        <v>9</v>
      </c>
      <c r="M3109" s="4" t="s">
        <v>9</v>
      </c>
      <c r="N3109" s="5"/>
    </row>
    <row r="3110" spans="1:14" x14ac:dyDescent="0.25">
      <c r="A3110" t="s">
        <v>494</v>
      </c>
      <c r="B3110" s="2">
        <v>45991</v>
      </c>
      <c r="C3110" t="s">
        <v>494</v>
      </c>
      <c r="D3110" t="s">
        <v>112</v>
      </c>
      <c r="E3110" t="s">
        <v>9</v>
      </c>
      <c r="F3110" s="3">
        <v>-46325</v>
      </c>
      <c r="G3110" s="3">
        <v>-46325</v>
      </c>
      <c r="H3110" t="s">
        <v>3</v>
      </c>
      <c r="I3110" t="s">
        <v>3</v>
      </c>
      <c r="J3110" t="s">
        <v>329</v>
      </c>
      <c r="K3110" t="s">
        <v>5</v>
      </c>
      <c r="L3110" t="s">
        <v>12</v>
      </c>
      <c r="M3110" t="s">
        <v>114</v>
      </c>
      <c r="N3110" s="2">
        <v>45992</v>
      </c>
    </row>
    <row r="3111" spans="1:14" x14ac:dyDescent="0.25">
      <c r="A3111" t="s">
        <v>494</v>
      </c>
      <c r="B3111" s="2">
        <v>46022</v>
      </c>
      <c r="C3111" t="s">
        <v>494</v>
      </c>
      <c r="D3111" t="s">
        <v>112</v>
      </c>
      <c r="E3111" t="s">
        <v>9</v>
      </c>
      <c r="F3111" s="3">
        <v>46325</v>
      </c>
      <c r="G3111" s="3">
        <v>46325</v>
      </c>
      <c r="H3111" t="s">
        <v>3</v>
      </c>
      <c r="I3111" t="s">
        <v>3</v>
      </c>
      <c r="J3111" t="s">
        <v>299</v>
      </c>
      <c r="K3111" t="s">
        <v>5</v>
      </c>
      <c r="L3111" t="s">
        <v>12</v>
      </c>
      <c r="M3111" t="s">
        <v>114</v>
      </c>
      <c r="N3111" s="2">
        <v>46022</v>
      </c>
    </row>
    <row r="3112" spans="1:14" x14ac:dyDescent="0.25">
      <c r="A3112" t="s">
        <v>494</v>
      </c>
      <c r="B3112" s="2">
        <v>46022</v>
      </c>
      <c r="C3112" t="s">
        <v>494</v>
      </c>
      <c r="D3112" t="s">
        <v>112</v>
      </c>
      <c r="E3112" t="s">
        <v>9</v>
      </c>
      <c r="F3112" s="3">
        <v>46325</v>
      </c>
      <c r="G3112" s="3">
        <v>46325</v>
      </c>
      <c r="H3112" t="s">
        <v>3</v>
      </c>
      <c r="I3112" t="s">
        <v>3</v>
      </c>
      <c r="J3112" t="s">
        <v>299</v>
      </c>
      <c r="K3112" t="s">
        <v>5</v>
      </c>
      <c r="L3112" t="s">
        <v>12</v>
      </c>
      <c r="M3112" t="s">
        <v>114</v>
      </c>
      <c r="N3112" s="2">
        <v>46022</v>
      </c>
    </row>
    <row r="3113" spans="1:14" x14ac:dyDescent="0.25">
      <c r="A3113" t="s">
        <v>494</v>
      </c>
      <c r="B3113" s="2">
        <v>46022</v>
      </c>
      <c r="C3113" t="s">
        <v>494</v>
      </c>
      <c r="D3113" t="s">
        <v>112</v>
      </c>
      <c r="E3113" t="s">
        <v>9</v>
      </c>
      <c r="F3113" s="3">
        <v>-46325</v>
      </c>
      <c r="G3113" s="3">
        <v>-46325</v>
      </c>
      <c r="H3113" t="s">
        <v>3</v>
      </c>
      <c r="I3113" t="s">
        <v>3</v>
      </c>
      <c r="J3113" t="s">
        <v>299</v>
      </c>
      <c r="K3113" t="s">
        <v>5</v>
      </c>
      <c r="L3113" t="s">
        <v>12</v>
      </c>
      <c r="M3113" t="s">
        <v>114</v>
      </c>
      <c r="N3113" s="2">
        <v>46022</v>
      </c>
    </row>
    <row r="3114" spans="1:14" x14ac:dyDescent="0.25">
      <c r="A3114" s="4" t="s">
        <v>228</v>
      </c>
      <c r="B3114" s="5"/>
      <c r="C3114" s="4" t="s">
        <v>9</v>
      </c>
      <c r="D3114" s="4" t="s">
        <v>9</v>
      </c>
      <c r="E3114" s="4" t="s">
        <v>9</v>
      </c>
      <c r="F3114" s="6">
        <v>0</v>
      </c>
      <c r="G3114" s="6">
        <v>0</v>
      </c>
      <c r="H3114" s="4" t="s">
        <v>9</v>
      </c>
      <c r="I3114" s="4" t="s">
        <v>3</v>
      </c>
      <c r="J3114" s="4" t="s">
        <v>9</v>
      </c>
      <c r="K3114" s="4" t="s">
        <v>9</v>
      </c>
      <c r="L3114" s="4" t="s">
        <v>9</v>
      </c>
      <c r="M3114" s="4" t="s">
        <v>9</v>
      </c>
      <c r="N3114" s="5"/>
    </row>
    <row r="3115" spans="1:14" x14ac:dyDescent="0.25">
      <c r="A3115" s="4" t="s">
        <v>494</v>
      </c>
      <c r="B3115" s="5"/>
      <c r="C3115" s="4" t="s">
        <v>9</v>
      </c>
      <c r="D3115" s="4" t="s">
        <v>9</v>
      </c>
      <c r="E3115" s="4" t="s">
        <v>9</v>
      </c>
      <c r="F3115" s="6">
        <v>0</v>
      </c>
      <c r="G3115" s="6">
        <v>0</v>
      </c>
      <c r="H3115" s="4" t="s">
        <v>9</v>
      </c>
      <c r="I3115" s="4" t="s">
        <v>3</v>
      </c>
      <c r="J3115" s="4" t="s">
        <v>9</v>
      </c>
      <c r="K3115" s="4" t="s">
        <v>9</v>
      </c>
      <c r="L3115" s="4" t="s">
        <v>9</v>
      </c>
      <c r="M3115" s="4" t="s">
        <v>9</v>
      </c>
      <c r="N3115" s="5"/>
    </row>
    <row r="3116" spans="1:14" x14ac:dyDescent="0.25">
      <c r="A3116" t="s">
        <v>495</v>
      </c>
      <c r="B3116" s="2">
        <v>46022</v>
      </c>
      <c r="C3116" t="s">
        <v>495</v>
      </c>
      <c r="D3116" t="s">
        <v>112</v>
      </c>
      <c r="E3116" t="s">
        <v>9</v>
      </c>
      <c r="F3116" s="3">
        <v>-26400</v>
      </c>
      <c r="G3116" s="3">
        <v>-26400</v>
      </c>
      <c r="H3116" t="s">
        <v>3</v>
      </c>
      <c r="I3116" t="s">
        <v>3</v>
      </c>
      <c r="J3116" t="s">
        <v>298</v>
      </c>
      <c r="K3116" t="s">
        <v>13</v>
      </c>
      <c r="L3116" t="s">
        <v>14</v>
      </c>
      <c r="M3116" t="s">
        <v>114</v>
      </c>
      <c r="N3116" s="2">
        <v>46023</v>
      </c>
    </row>
    <row r="3117" spans="1:14" x14ac:dyDescent="0.25">
      <c r="A3117" t="s">
        <v>495</v>
      </c>
      <c r="B3117" s="2">
        <v>46023</v>
      </c>
      <c r="C3117" t="s">
        <v>495</v>
      </c>
      <c r="D3117" t="s">
        <v>112</v>
      </c>
      <c r="E3117" t="s">
        <v>9</v>
      </c>
      <c r="F3117" s="3">
        <v>26400</v>
      </c>
      <c r="G3117" s="3">
        <v>26400</v>
      </c>
      <c r="H3117" t="s">
        <v>3</v>
      </c>
      <c r="I3117" t="s">
        <v>3</v>
      </c>
      <c r="J3117" t="s">
        <v>298</v>
      </c>
      <c r="K3117" t="s">
        <v>13</v>
      </c>
      <c r="L3117" t="s">
        <v>14</v>
      </c>
      <c r="M3117" t="s">
        <v>114</v>
      </c>
      <c r="N3117" s="2">
        <v>46023</v>
      </c>
    </row>
    <row r="3118" spans="1:14" x14ac:dyDescent="0.25">
      <c r="A3118" s="4" t="s">
        <v>234</v>
      </c>
      <c r="B3118" s="5"/>
      <c r="C3118" s="4" t="s">
        <v>9</v>
      </c>
      <c r="D3118" s="4" t="s">
        <v>9</v>
      </c>
      <c r="E3118" s="4" t="s">
        <v>9</v>
      </c>
      <c r="F3118" s="6">
        <v>0</v>
      </c>
      <c r="G3118" s="6">
        <v>0</v>
      </c>
      <c r="H3118" s="4" t="s">
        <v>9</v>
      </c>
      <c r="I3118" s="4" t="s">
        <v>3</v>
      </c>
      <c r="J3118" s="4" t="s">
        <v>9</v>
      </c>
      <c r="K3118" s="4" t="s">
        <v>9</v>
      </c>
      <c r="L3118" s="4" t="s">
        <v>9</v>
      </c>
      <c r="M3118" s="4" t="s">
        <v>9</v>
      </c>
      <c r="N3118" s="5"/>
    </row>
    <row r="3119" spans="1:14" x14ac:dyDescent="0.25">
      <c r="A3119" t="s">
        <v>495</v>
      </c>
      <c r="B3119" s="2">
        <v>45839</v>
      </c>
      <c r="C3119" t="s">
        <v>495</v>
      </c>
      <c r="D3119" t="s">
        <v>112</v>
      </c>
      <c r="E3119" t="s">
        <v>9</v>
      </c>
      <c r="F3119" s="3">
        <v>-8700</v>
      </c>
      <c r="G3119" s="3">
        <v>-8700</v>
      </c>
      <c r="H3119" t="s">
        <v>3</v>
      </c>
      <c r="I3119" t="s">
        <v>3</v>
      </c>
      <c r="J3119" t="s">
        <v>9</v>
      </c>
      <c r="K3119" t="s">
        <v>9</v>
      </c>
      <c r="L3119" t="s">
        <v>19</v>
      </c>
      <c r="M3119" t="s">
        <v>114</v>
      </c>
      <c r="N3119" s="2">
        <v>45838</v>
      </c>
    </row>
    <row r="3120" spans="1:14" x14ac:dyDescent="0.25">
      <c r="A3120" t="s">
        <v>495</v>
      </c>
      <c r="B3120" s="2">
        <v>45839</v>
      </c>
      <c r="C3120" t="s">
        <v>495</v>
      </c>
      <c r="D3120" t="s">
        <v>301</v>
      </c>
      <c r="E3120" t="s">
        <v>9</v>
      </c>
      <c r="F3120" s="3">
        <v>8700</v>
      </c>
      <c r="G3120" s="3">
        <v>8700</v>
      </c>
      <c r="H3120" t="s">
        <v>3</v>
      </c>
      <c r="I3120" t="s">
        <v>3</v>
      </c>
      <c r="J3120" t="s">
        <v>9</v>
      </c>
      <c r="K3120" t="s">
        <v>9</v>
      </c>
      <c r="L3120" t="s">
        <v>19</v>
      </c>
      <c r="M3120" t="s">
        <v>302</v>
      </c>
      <c r="N3120" s="2">
        <v>45838</v>
      </c>
    </row>
    <row r="3121" spans="1:14" x14ac:dyDescent="0.25">
      <c r="A3121" t="s">
        <v>495</v>
      </c>
      <c r="B3121" s="2">
        <v>45838</v>
      </c>
      <c r="C3121" t="s">
        <v>495</v>
      </c>
      <c r="D3121" t="s">
        <v>112</v>
      </c>
      <c r="E3121" t="s">
        <v>9</v>
      </c>
      <c r="F3121" s="3">
        <v>8700</v>
      </c>
      <c r="G3121" s="3">
        <v>8700</v>
      </c>
      <c r="H3121" t="s">
        <v>3</v>
      </c>
      <c r="I3121" t="s">
        <v>3</v>
      </c>
      <c r="J3121" t="s">
        <v>314</v>
      </c>
      <c r="K3121" t="s">
        <v>5</v>
      </c>
      <c r="L3121" t="s">
        <v>19</v>
      </c>
      <c r="M3121" t="s">
        <v>114</v>
      </c>
      <c r="N3121" s="2">
        <v>45838</v>
      </c>
    </row>
    <row r="3122" spans="1:14" x14ac:dyDescent="0.25">
      <c r="A3122" t="s">
        <v>495</v>
      </c>
      <c r="B3122" s="2">
        <v>45838</v>
      </c>
      <c r="C3122" t="s">
        <v>495</v>
      </c>
      <c r="D3122" t="s">
        <v>301</v>
      </c>
      <c r="E3122" t="s">
        <v>9</v>
      </c>
      <c r="F3122" s="3">
        <v>-8700</v>
      </c>
      <c r="G3122" s="3">
        <v>-8700</v>
      </c>
      <c r="H3122" t="s">
        <v>3</v>
      </c>
      <c r="I3122" t="s">
        <v>3</v>
      </c>
      <c r="J3122" t="s">
        <v>10</v>
      </c>
      <c r="K3122" t="s">
        <v>5</v>
      </c>
      <c r="L3122" t="s">
        <v>19</v>
      </c>
      <c r="M3122" t="s">
        <v>302</v>
      </c>
      <c r="N3122" s="2">
        <v>45838</v>
      </c>
    </row>
    <row r="3123" spans="1:14" x14ac:dyDescent="0.25">
      <c r="A3123" s="4" t="s">
        <v>224</v>
      </c>
      <c r="B3123" s="5"/>
      <c r="C3123" s="4" t="s">
        <v>9</v>
      </c>
      <c r="D3123" s="4" t="s">
        <v>9</v>
      </c>
      <c r="E3123" s="4" t="s">
        <v>9</v>
      </c>
      <c r="F3123" s="6">
        <v>0</v>
      </c>
      <c r="G3123" s="6">
        <v>0</v>
      </c>
      <c r="H3123" s="4" t="s">
        <v>9</v>
      </c>
      <c r="I3123" s="4" t="s">
        <v>3</v>
      </c>
      <c r="J3123" s="4" t="s">
        <v>9</v>
      </c>
      <c r="K3123" s="4" t="s">
        <v>9</v>
      </c>
      <c r="L3123" s="4" t="s">
        <v>9</v>
      </c>
      <c r="M3123" s="4" t="s">
        <v>9</v>
      </c>
      <c r="N3123" s="5"/>
    </row>
    <row r="3124" spans="1:14" x14ac:dyDescent="0.25">
      <c r="A3124" t="s">
        <v>495</v>
      </c>
      <c r="B3124" s="2">
        <v>45838</v>
      </c>
      <c r="C3124" t="s">
        <v>495</v>
      </c>
      <c r="D3124" t="s">
        <v>112</v>
      </c>
      <c r="E3124" t="s">
        <v>9</v>
      </c>
      <c r="F3124" s="3">
        <v>-8700</v>
      </c>
      <c r="G3124" s="3">
        <v>-8700</v>
      </c>
      <c r="H3124" t="s">
        <v>3</v>
      </c>
      <c r="I3124" t="s">
        <v>3</v>
      </c>
      <c r="J3124" t="s">
        <v>314</v>
      </c>
      <c r="K3124" t="s">
        <v>5</v>
      </c>
      <c r="L3124" t="s">
        <v>21</v>
      </c>
      <c r="M3124" t="s">
        <v>114</v>
      </c>
      <c r="N3124" s="2">
        <v>45839</v>
      </c>
    </row>
    <row r="3125" spans="1:14" x14ac:dyDescent="0.25">
      <c r="A3125" t="s">
        <v>495</v>
      </c>
      <c r="B3125" s="2">
        <v>45869</v>
      </c>
      <c r="C3125" t="s">
        <v>495</v>
      </c>
      <c r="D3125" t="s">
        <v>112</v>
      </c>
      <c r="E3125" t="s">
        <v>9</v>
      </c>
      <c r="F3125" s="3">
        <v>8700</v>
      </c>
      <c r="G3125" s="3">
        <v>8700</v>
      </c>
      <c r="H3125" t="s">
        <v>3</v>
      </c>
      <c r="I3125" t="s">
        <v>3</v>
      </c>
      <c r="J3125" t="s">
        <v>317</v>
      </c>
      <c r="K3125" t="s">
        <v>5</v>
      </c>
      <c r="L3125" t="s">
        <v>21</v>
      </c>
      <c r="M3125" t="s">
        <v>114</v>
      </c>
      <c r="N3125" s="2">
        <v>45869</v>
      </c>
    </row>
    <row r="3126" spans="1:14" x14ac:dyDescent="0.25">
      <c r="A3126" s="4" t="s">
        <v>262</v>
      </c>
      <c r="B3126" s="5"/>
      <c r="C3126" s="4" t="s">
        <v>9</v>
      </c>
      <c r="D3126" s="4" t="s">
        <v>9</v>
      </c>
      <c r="E3126" s="4" t="s">
        <v>9</v>
      </c>
      <c r="F3126" s="6">
        <v>0</v>
      </c>
      <c r="G3126" s="6">
        <v>0</v>
      </c>
      <c r="H3126" s="4" t="s">
        <v>9</v>
      </c>
      <c r="I3126" s="4" t="s">
        <v>3</v>
      </c>
      <c r="J3126" s="4" t="s">
        <v>9</v>
      </c>
      <c r="K3126" s="4" t="s">
        <v>9</v>
      </c>
      <c r="L3126" s="4" t="s">
        <v>9</v>
      </c>
      <c r="M3126" s="4" t="s">
        <v>9</v>
      </c>
      <c r="N3126" s="5"/>
    </row>
    <row r="3127" spans="1:14" x14ac:dyDescent="0.25">
      <c r="A3127" t="s">
        <v>495</v>
      </c>
      <c r="B3127" s="2">
        <v>45901</v>
      </c>
      <c r="C3127" t="s">
        <v>495</v>
      </c>
      <c r="D3127" t="s">
        <v>112</v>
      </c>
      <c r="E3127" t="s">
        <v>9</v>
      </c>
      <c r="F3127" s="3">
        <v>-800</v>
      </c>
      <c r="G3127" s="3">
        <v>-800</v>
      </c>
      <c r="H3127" t="s">
        <v>3</v>
      </c>
      <c r="I3127" t="s">
        <v>3</v>
      </c>
      <c r="J3127" t="s">
        <v>9</v>
      </c>
      <c r="K3127" t="s">
        <v>9</v>
      </c>
      <c r="L3127" t="s">
        <v>22</v>
      </c>
      <c r="M3127" t="s">
        <v>114</v>
      </c>
      <c r="N3127" s="2">
        <v>45900</v>
      </c>
    </row>
    <row r="3128" spans="1:14" x14ac:dyDescent="0.25">
      <c r="A3128" t="s">
        <v>495</v>
      </c>
      <c r="B3128" s="2">
        <v>45901</v>
      </c>
      <c r="C3128" t="s">
        <v>495</v>
      </c>
      <c r="D3128" t="s">
        <v>301</v>
      </c>
      <c r="E3128" t="s">
        <v>9</v>
      </c>
      <c r="F3128" s="3">
        <v>800</v>
      </c>
      <c r="G3128" s="3">
        <v>800</v>
      </c>
      <c r="H3128" t="s">
        <v>3</v>
      </c>
      <c r="I3128" t="s">
        <v>3</v>
      </c>
      <c r="J3128" t="s">
        <v>9</v>
      </c>
      <c r="K3128" t="s">
        <v>9</v>
      </c>
      <c r="L3128" t="s">
        <v>22</v>
      </c>
      <c r="M3128" t="s">
        <v>302</v>
      </c>
      <c r="N3128" s="2">
        <v>45900</v>
      </c>
    </row>
    <row r="3129" spans="1:14" x14ac:dyDescent="0.25">
      <c r="A3129" t="s">
        <v>495</v>
      </c>
      <c r="B3129" s="2">
        <v>45903</v>
      </c>
      <c r="C3129" t="s">
        <v>495</v>
      </c>
      <c r="D3129" t="s">
        <v>112</v>
      </c>
      <c r="E3129" t="s">
        <v>9</v>
      </c>
      <c r="F3129" s="3">
        <v>-4700</v>
      </c>
      <c r="G3129" s="3">
        <v>-4700</v>
      </c>
      <c r="H3129" t="s">
        <v>3</v>
      </c>
      <c r="I3129" t="s">
        <v>3</v>
      </c>
      <c r="J3129" t="s">
        <v>9</v>
      </c>
      <c r="K3129" t="s">
        <v>9</v>
      </c>
      <c r="L3129" t="s">
        <v>22</v>
      </c>
      <c r="M3129" t="s">
        <v>114</v>
      </c>
      <c r="N3129" s="2">
        <v>45900</v>
      </c>
    </row>
    <row r="3130" spans="1:14" x14ac:dyDescent="0.25">
      <c r="A3130" t="s">
        <v>495</v>
      </c>
      <c r="B3130" s="2">
        <v>45869</v>
      </c>
      <c r="C3130" t="s">
        <v>495</v>
      </c>
      <c r="D3130" t="s">
        <v>112</v>
      </c>
      <c r="E3130" t="s">
        <v>9</v>
      </c>
      <c r="F3130" s="3">
        <v>-8700</v>
      </c>
      <c r="G3130" s="3">
        <v>-8700</v>
      </c>
      <c r="H3130" t="s">
        <v>3</v>
      </c>
      <c r="I3130" t="s">
        <v>3</v>
      </c>
      <c r="J3130" t="s">
        <v>317</v>
      </c>
      <c r="K3130" t="s">
        <v>5</v>
      </c>
      <c r="L3130" t="s">
        <v>22</v>
      </c>
      <c r="M3130" t="s">
        <v>114</v>
      </c>
      <c r="N3130" s="2">
        <v>45870</v>
      </c>
    </row>
    <row r="3131" spans="1:14" x14ac:dyDescent="0.25">
      <c r="A3131" t="s">
        <v>495</v>
      </c>
      <c r="B3131" s="2">
        <v>45900</v>
      </c>
      <c r="C3131" t="s">
        <v>495</v>
      </c>
      <c r="D3131" t="s">
        <v>112</v>
      </c>
      <c r="E3131" t="s">
        <v>9</v>
      </c>
      <c r="F3131" s="3">
        <v>9500</v>
      </c>
      <c r="G3131" s="3">
        <v>9500</v>
      </c>
      <c r="H3131" t="s">
        <v>3</v>
      </c>
      <c r="I3131" t="s">
        <v>3</v>
      </c>
      <c r="J3131" t="s">
        <v>320</v>
      </c>
      <c r="K3131" t="s">
        <v>5</v>
      </c>
      <c r="L3131" t="s">
        <v>22</v>
      </c>
      <c r="M3131" t="s">
        <v>114</v>
      </c>
      <c r="N3131" s="2">
        <v>45900</v>
      </c>
    </row>
    <row r="3132" spans="1:14" x14ac:dyDescent="0.25">
      <c r="A3132" t="s">
        <v>495</v>
      </c>
      <c r="B3132" s="2">
        <v>45900</v>
      </c>
      <c r="C3132" t="s">
        <v>495</v>
      </c>
      <c r="D3132" t="s">
        <v>301</v>
      </c>
      <c r="E3132" t="s">
        <v>9</v>
      </c>
      <c r="F3132" s="3">
        <v>-800</v>
      </c>
      <c r="G3132" s="3">
        <v>-800</v>
      </c>
      <c r="H3132" t="s">
        <v>3</v>
      </c>
      <c r="I3132" t="s">
        <v>3</v>
      </c>
      <c r="J3132" t="s">
        <v>10</v>
      </c>
      <c r="K3132" t="s">
        <v>5</v>
      </c>
      <c r="L3132" t="s">
        <v>22</v>
      </c>
      <c r="M3132" t="s">
        <v>302</v>
      </c>
      <c r="N3132" s="2">
        <v>45900</v>
      </c>
    </row>
    <row r="3133" spans="1:14" x14ac:dyDescent="0.25">
      <c r="A3133" t="s">
        <v>495</v>
      </c>
      <c r="B3133" s="2">
        <v>45900</v>
      </c>
      <c r="C3133" t="s">
        <v>495</v>
      </c>
      <c r="D3133" t="s">
        <v>112</v>
      </c>
      <c r="E3133" t="s">
        <v>9</v>
      </c>
      <c r="F3133" s="3">
        <v>-9500</v>
      </c>
      <c r="G3133" s="3">
        <v>-9500</v>
      </c>
      <c r="H3133" t="s">
        <v>3</v>
      </c>
      <c r="I3133" t="s">
        <v>3</v>
      </c>
      <c r="J3133" t="s">
        <v>320</v>
      </c>
      <c r="K3133" t="s">
        <v>5</v>
      </c>
      <c r="L3133" t="s">
        <v>22</v>
      </c>
      <c r="M3133" t="s">
        <v>114</v>
      </c>
      <c r="N3133" s="2">
        <v>45900</v>
      </c>
    </row>
    <row r="3134" spans="1:14" x14ac:dyDescent="0.25">
      <c r="A3134" t="s">
        <v>495</v>
      </c>
      <c r="B3134" s="2">
        <v>45900</v>
      </c>
      <c r="C3134" t="s">
        <v>495</v>
      </c>
      <c r="D3134" t="s">
        <v>112</v>
      </c>
      <c r="E3134" t="s">
        <v>9</v>
      </c>
      <c r="F3134" s="3">
        <v>12100</v>
      </c>
      <c r="G3134" s="3">
        <v>12100</v>
      </c>
      <c r="H3134" t="s">
        <v>3</v>
      </c>
      <c r="I3134" t="s">
        <v>3</v>
      </c>
      <c r="J3134" t="s">
        <v>320</v>
      </c>
      <c r="K3134" t="s">
        <v>5</v>
      </c>
      <c r="L3134" t="s">
        <v>22</v>
      </c>
      <c r="M3134" t="s">
        <v>114</v>
      </c>
      <c r="N3134" s="2">
        <v>45900</v>
      </c>
    </row>
    <row r="3135" spans="1:14" x14ac:dyDescent="0.25">
      <c r="A3135" t="s">
        <v>495</v>
      </c>
      <c r="B3135" s="2">
        <v>45900</v>
      </c>
      <c r="C3135" t="s">
        <v>495</v>
      </c>
      <c r="D3135" t="s">
        <v>112</v>
      </c>
      <c r="E3135" t="s">
        <v>9</v>
      </c>
      <c r="F3135" s="3">
        <v>14200</v>
      </c>
      <c r="G3135" s="3">
        <v>14200</v>
      </c>
      <c r="H3135" t="s">
        <v>3</v>
      </c>
      <c r="I3135" t="s">
        <v>3</v>
      </c>
      <c r="J3135" t="s">
        <v>320</v>
      </c>
      <c r="K3135" t="s">
        <v>5</v>
      </c>
      <c r="L3135" t="s">
        <v>22</v>
      </c>
      <c r="M3135" t="s">
        <v>114</v>
      </c>
      <c r="N3135" s="2">
        <v>45900</v>
      </c>
    </row>
    <row r="3136" spans="1:14" x14ac:dyDescent="0.25">
      <c r="A3136" t="s">
        <v>495</v>
      </c>
      <c r="B3136" s="2">
        <v>45900</v>
      </c>
      <c r="C3136" t="s">
        <v>495</v>
      </c>
      <c r="D3136" t="s">
        <v>112</v>
      </c>
      <c r="E3136" t="s">
        <v>9</v>
      </c>
      <c r="F3136" s="3">
        <v>-12100</v>
      </c>
      <c r="G3136" s="3">
        <v>-12100</v>
      </c>
      <c r="H3136" t="s">
        <v>3</v>
      </c>
      <c r="I3136" t="s">
        <v>3</v>
      </c>
      <c r="J3136" t="s">
        <v>320</v>
      </c>
      <c r="K3136" t="s">
        <v>5</v>
      </c>
      <c r="L3136" t="s">
        <v>22</v>
      </c>
      <c r="M3136" t="s">
        <v>114</v>
      </c>
      <c r="N3136" s="2">
        <v>45900</v>
      </c>
    </row>
    <row r="3137" spans="1:14" x14ac:dyDescent="0.25">
      <c r="A3137" s="4" t="s">
        <v>267</v>
      </c>
      <c r="B3137" s="5"/>
      <c r="C3137" s="4" t="s">
        <v>9</v>
      </c>
      <c r="D3137" s="4" t="s">
        <v>9</v>
      </c>
      <c r="E3137" s="4" t="s">
        <v>9</v>
      </c>
      <c r="F3137" s="6">
        <v>0</v>
      </c>
      <c r="G3137" s="6">
        <v>0</v>
      </c>
      <c r="H3137" s="4" t="s">
        <v>9</v>
      </c>
      <c r="I3137" s="4" t="s">
        <v>3</v>
      </c>
      <c r="J3137" s="4" t="s">
        <v>9</v>
      </c>
      <c r="K3137" s="4" t="s">
        <v>9</v>
      </c>
      <c r="L3137" s="4" t="s">
        <v>9</v>
      </c>
      <c r="M3137" s="4" t="s">
        <v>9</v>
      </c>
      <c r="N3137" s="5"/>
    </row>
    <row r="3138" spans="1:14" x14ac:dyDescent="0.25">
      <c r="A3138" t="s">
        <v>495</v>
      </c>
      <c r="B3138" s="2">
        <v>45932</v>
      </c>
      <c r="C3138" t="s">
        <v>495</v>
      </c>
      <c r="D3138" t="s">
        <v>301</v>
      </c>
      <c r="E3138" t="s">
        <v>9</v>
      </c>
      <c r="F3138" s="3">
        <v>4700</v>
      </c>
      <c r="G3138" s="3">
        <v>4700</v>
      </c>
      <c r="H3138" t="s">
        <v>3</v>
      </c>
      <c r="I3138" t="s">
        <v>3</v>
      </c>
      <c r="J3138" t="s">
        <v>9</v>
      </c>
      <c r="K3138" t="s">
        <v>9</v>
      </c>
      <c r="L3138" t="s">
        <v>6</v>
      </c>
      <c r="M3138" t="s">
        <v>302</v>
      </c>
      <c r="N3138" s="2">
        <v>45930</v>
      </c>
    </row>
    <row r="3139" spans="1:14" x14ac:dyDescent="0.25">
      <c r="A3139" t="s">
        <v>495</v>
      </c>
      <c r="B3139" s="2">
        <v>45900</v>
      </c>
      <c r="C3139" t="s">
        <v>495</v>
      </c>
      <c r="D3139" t="s">
        <v>112</v>
      </c>
      <c r="E3139" t="s">
        <v>9</v>
      </c>
      <c r="F3139" s="3">
        <v>-9500</v>
      </c>
      <c r="G3139" s="3">
        <v>-9500</v>
      </c>
      <c r="H3139" t="s">
        <v>3</v>
      </c>
      <c r="I3139" t="s">
        <v>3</v>
      </c>
      <c r="J3139" t="s">
        <v>320</v>
      </c>
      <c r="K3139" t="s">
        <v>5</v>
      </c>
      <c r="L3139" t="s">
        <v>6</v>
      </c>
      <c r="M3139" t="s">
        <v>114</v>
      </c>
      <c r="N3139" s="2">
        <v>45901</v>
      </c>
    </row>
    <row r="3140" spans="1:14" x14ac:dyDescent="0.25">
      <c r="A3140" t="s">
        <v>495</v>
      </c>
      <c r="B3140" s="2">
        <v>45900</v>
      </c>
      <c r="C3140" t="s">
        <v>495</v>
      </c>
      <c r="D3140" t="s">
        <v>112</v>
      </c>
      <c r="E3140" t="s">
        <v>9</v>
      </c>
      <c r="F3140" s="3">
        <v>9500</v>
      </c>
      <c r="G3140" s="3">
        <v>9500</v>
      </c>
      <c r="H3140" t="s">
        <v>3</v>
      </c>
      <c r="I3140" t="s">
        <v>3</v>
      </c>
      <c r="J3140" t="s">
        <v>320</v>
      </c>
      <c r="K3140" t="s">
        <v>5</v>
      </c>
      <c r="L3140" t="s">
        <v>6</v>
      </c>
      <c r="M3140" t="s">
        <v>114</v>
      </c>
      <c r="N3140" s="2">
        <v>45901</v>
      </c>
    </row>
    <row r="3141" spans="1:14" x14ac:dyDescent="0.25">
      <c r="A3141" t="s">
        <v>495</v>
      </c>
      <c r="B3141" s="2">
        <v>45900</v>
      </c>
      <c r="C3141" t="s">
        <v>495</v>
      </c>
      <c r="D3141" t="s">
        <v>112</v>
      </c>
      <c r="E3141" t="s">
        <v>9</v>
      </c>
      <c r="F3141" s="3">
        <v>-12100</v>
      </c>
      <c r="G3141" s="3">
        <v>-12100</v>
      </c>
      <c r="H3141" t="s">
        <v>3</v>
      </c>
      <c r="I3141" t="s">
        <v>3</v>
      </c>
      <c r="J3141" t="s">
        <v>320</v>
      </c>
      <c r="K3141" t="s">
        <v>5</v>
      </c>
      <c r="L3141" t="s">
        <v>6</v>
      </c>
      <c r="M3141" t="s">
        <v>114</v>
      </c>
      <c r="N3141" s="2">
        <v>45901</v>
      </c>
    </row>
    <row r="3142" spans="1:14" x14ac:dyDescent="0.25">
      <c r="A3142" t="s">
        <v>495</v>
      </c>
      <c r="B3142" s="2">
        <v>45900</v>
      </c>
      <c r="C3142" t="s">
        <v>495</v>
      </c>
      <c r="D3142" t="s">
        <v>112</v>
      </c>
      <c r="E3142" t="s">
        <v>9</v>
      </c>
      <c r="F3142" s="3">
        <v>12100</v>
      </c>
      <c r="G3142" s="3">
        <v>12100</v>
      </c>
      <c r="H3142" t="s">
        <v>3</v>
      </c>
      <c r="I3142" t="s">
        <v>3</v>
      </c>
      <c r="J3142" t="s">
        <v>320</v>
      </c>
      <c r="K3142" t="s">
        <v>5</v>
      </c>
      <c r="L3142" t="s">
        <v>6</v>
      </c>
      <c r="M3142" t="s">
        <v>114</v>
      </c>
      <c r="N3142" s="2">
        <v>45901</v>
      </c>
    </row>
    <row r="3143" spans="1:14" x14ac:dyDescent="0.25">
      <c r="A3143" t="s">
        <v>495</v>
      </c>
      <c r="B3143" s="2">
        <v>45900</v>
      </c>
      <c r="C3143" t="s">
        <v>495</v>
      </c>
      <c r="D3143" t="s">
        <v>112</v>
      </c>
      <c r="E3143" t="s">
        <v>9</v>
      </c>
      <c r="F3143" s="3">
        <v>-14200</v>
      </c>
      <c r="G3143" s="3">
        <v>-14200</v>
      </c>
      <c r="H3143" t="s">
        <v>3</v>
      </c>
      <c r="I3143" t="s">
        <v>3</v>
      </c>
      <c r="J3143" t="s">
        <v>320</v>
      </c>
      <c r="K3143" t="s">
        <v>5</v>
      </c>
      <c r="L3143" t="s">
        <v>6</v>
      </c>
      <c r="M3143" t="s">
        <v>114</v>
      </c>
      <c r="N3143" s="2">
        <v>45901</v>
      </c>
    </row>
    <row r="3144" spans="1:14" x14ac:dyDescent="0.25">
      <c r="A3144" t="s">
        <v>495</v>
      </c>
      <c r="B3144" s="2">
        <v>45930</v>
      </c>
      <c r="C3144" t="s">
        <v>495</v>
      </c>
      <c r="D3144" t="s">
        <v>112</v>
      </c>
      <c r="E3144" t="s">
        <v>9</v>
      </c>
      <c r="F3144" s="3">
        <v>14200</v>
      </c>
      <c r="G3144" s="3">
        <v>14200</v>
      </c>
      <c r="H3144" t="s">
        <v>3</v>
      </c>
      <c r="I3144" t="s">
        <v>3</v>
      </c>
      <c r="J3144" t="s">
        <v>323</v>
      </c>
      <c r="K3144" t="s">
        <v>5</v>
      </c>
      <c r="L3144" t="s">
        <v>6</v>
      </c>
      <c r="M3144" t="s">
        <v>114</v>
      </c>
      <c r="N3144" s="2">
        <v>45930</v>
      </c>
    </row>
    <row r="3145" spans="1:14" x14ac:dyDescent="0.25">
      <c r="A3145" t="s">
        <v>495</v>
      </c>
      <c r="B3145" s="2">
        <v>45930</v>
      </c>
      <c r="C3145" t="s">
        <v>495</v>
      </c>
      <c r="D3145" t="s">
        <v>301</v>
      </c>
      <c r="E3145" t="s">
        <v>9</v>
      </c>
      <c r="F3145" s="3">
        <v>-4700</v>
      </c>
      <c r="G3145" s="3">
        <v>-4700</v>
      </c>
      <c r="H3145" t="s">
        <v>3</v>
      </c>
      <c r="I3145" t="s">
        <v>3</v>
      </c>
      <c r="J3145" t="s">
        <v>10</v>
      </c>
      <c r="K3145" t="s">
        <v>5</v>
      </c>
      <c r="L3145" t="s">
        <v>6</v>
      </c>
      <c r="M3145" t="s">
        <v>302</v>
      </c>
      <c r="N3145" s="2">
        <v>45930</v>
      </c>
    </row>
    <row r="3146" spans="1:14" x14ac:dyDescent="0.25">
      <c r="A3146" s="4" t="s">
        <v>272</v>
      </c>
      <c r="B3146" s="5"/>
      <c r="C3146" s="4" t="s">
        <v>9</v>
      </c>
      <c r="D3146" s="4" t="s">
        <v>9</v>
      </c>
      <c r="E3146" s="4" t="s">
        <v>9</v>
      </c>
      <c r="F3146" s="6">
        <v>0</v>
      </c>
      <c r="G3146" s="6">
        <v>0</v>
      </c>
      <c r="H3146" s="4" t="s">
        <v>9</v>
      </c>
      <c r="I3146" s="4" t="s">
        <v>3</v>
      </c>
      <c r="J3146" s="4" t="s">
        <v>9</v>
      </c>
      <c r="K3146" s="4" t="s">
        <v>9</v>
      </c>
      <c r="L3146" s="4" t="s">
        <v>9</v>
      </c>
      <c r="M3146" s="4" t="s">
        <v>9</v>
      </c>
      <c r="N3146" s="5"/>
    </row>
    <row r="3147" spans="1:14" x14ac:dyDescent="0.25">
      <c r="A3147" t="s">
        <v>495</v>
      </c>
      <c r="B3147" s="2">
        <v>45965</v>
      </c>
      <c r="C3147" t="s">
        <v>495</v>
      </c>
      <c r="D3147" t="s">
        <v>112</v>
      </c>
      <c r="E3147" t="s">
        <v>9</v>
      </c>
      <c r="F3147" s="3">
        <v>-6200</v>
      </c>
      <c r="G3147" s="3">
        <v>-6200</v>
      </c>
      <c r="H3147" t="s">
        <v>3</v>
      </c>
      <c r="I3147" t="s">
        <v>3</v>
      </c>
      <c r="J3147" t="s">
        <v>9</v>
      </c>
      <c r="K3147" t="s">
        <v>9</v>
      </c>
      <c r="L3147" t="s">
        <v>8</v>
      </c>
      <c r="M3147" t="s">
        <v>114</v>
      </c>
      <c r="N3147" s="2">
        <v>45961</v>
      </c>
    </row>
    <row r="3148" spans="1:14" x14ac:dyDescent="0.25">
      <c r="A3148" t="s">
        <v>495</v>
      </c>
      <c r="B3148" s="2">
        <v>45965</v>
      </c>
      <c r="C3148" t="s">
        <v>495</v>
      </c>
      <c r="D3148" t="s">
        <v>301</v>
      </c>
      <c r="E3148" t="s">
        <v>9</v>
      </c>
      <c r="F3148" s="3">
        <v>6200</v>
      </c>
      <c r="G3148" s="3">
        <v>6200</v>
      </c>
      <c r="H3148" t="s">
        <v>3</v>
      </c>
      <c r="I3148" t="s">
        <v>3</v>
      </c>
      <c r="J3148" t="s">
        <v>9</v>
      </c>
      <c r="K3148" t="s">
        <v>9</v>
      </c>
      <c r="L3148" t="s">
        <v>8</v>
      </c>
      <c r="M3148" t="s">
        <v>302</v>
      </c>
      <c r="N3148" s="2">
        <v>45961</v>
      </c>
    </row>
    <row r="3149" spans="1:14" x14ac:dyDescent="0.25">
      <c r="A3149" t="s">
        <v>495</v>
      </c>
      <c r="B3149" s="2">
        <v>45930</v>
      </c>
      <c r="C3149" t="s">
        <v>495</v>
      </c>
      <c r="D3149" t="s">
        <v>112</v>
      </c>
      <c r="E3149" t="s">
        <v>9</v>
      </c>
      <c r="F3149" s="3">
        <v>-14200</v>
      </c>
      <c r="G3149" s="3">
        <v>-14200</v>
      </c>
      <c r="H3149" t="s">
        <v>3</v>
      </c>
      <c r="I3149" t="s">
        <v>3</v>
      </c>
      <c r="J3149" t="s">
        <v>323</v>
      </c>
      <c r="K3149" t="s">
        <v>5</v>
      </c>
      <c r="L3149" t="s">
        <v>8</v>
      </c>
      <c r="M3149" t="s">
        <v>114</v>
      </c>
      <c r="N3149" s="2">
        <v>45931</v>
      </c>
    </row>
    <row r="3150" spans="1:14" x14ac:dyDescent="0.25">
      <c r="A3150" t="s">
        <v>495</v>
      </c>
      <c r="B3150" s="2">
        <v>45961</v>
      </c>
      <c r="C3150" t="s">
        <v>495</v>
      </c>
      <c r="D3150" t="s">
        <v>112</v>
      </c>
      <c r="E3150" t="s">
        <v>9</v>
      </c>
      <c r="F3150" s="3">
        <v>20400</v>
      </c>
      <c r="G3150" s="3">
        <v>20400</v>
      </c>
      <c r="H3150" t="s">
        <v>3</v>
      </c>
      <c r="I3150" t="s">
        <v>3</v>
      </c>
      <c r="J3150" t="s">
        <v>325</v>
      </c>
      <c r="K3150" t="s">
        <v>5</v>
      </c>
      <c r="L3150" t="s">
        <v>8</v>
      </c>
      <c r="M3150" t="s">
        <v>114</v>
      </c>
      <c r="N3150" s="2">
        <v>45961</v>
      </c>
    </row>
    <row r="3151" spans="1:14" x14ac:dyDescent="0.25">
      <c r="A3151" t="s">
        <v>495</v>
      </c>
      <c r="B3151" s="2">
        <v>45961</v>
      </c>
      <c r="C3151" t="s">
        <v>495</v>
      </c>
      <c r="D3151" t="s">
        <v>301</v>
      </c>
      <c r="E3151" t="s">
        <v>9</v>
      </c>
      <c r="F3151" s="3">
        <v>-6200</v>
      </c>
      <c r="G3151" s="3">
        <v>-6200</v>
      </c>
      <c r="H3151" t="s">
        <v>3</v>
      </c>
      <c r="I3151" t="s">
        <v>3</v>
      </c>
      <c r="J3151" t="s">
        <v>10</v>
      </c>
      <c r="K3151" t="s">
        <v>5</v>
      </c>
      <c r="L3151" t="s">
        <v>8</v>
      </c>
      <c r="M3151" t="s">
        <v>302</v>
      </c>
      <c r="N3151" s="2">
        <v>45961</v>
      </c>
    </row>
    <row r="3152" spans="1:14" x14ac:dyDescent="0.25">
      <c r="A3152" s="4" t="s">
        <v>278</v>
      </c>
      <c r="B3152" s="5"/>
      <c r="C3152" s="4" t="s">
        <v>9</v>
      </c>
      <c r="D3152" s="4" t="s">
        <v>9</v>
      </c>
      <c r="E3152" s="4" t="s">
        <v>9</v>
      </c>
      <c r="F3152" s="6">
        <v>0</v>
      </c>
      <c r="G3152" s="6">
        <v>0</v>
      </c>
      <c r="H3152" s="4" t="s">
        <v>9</v>
      </c>
      <c r="I3152" s="4" t="s">
        <v>3</v>
      </c>
      <c r="J3152" s="4" t="s">
        <v>9</v>
      </c>
      <c r="K3152" s="4" t="s">
        <v>9</v>
      </c>
      <c r="L3152" s="4" t="s">
        <v>9</v>
      </c>
      <c r="M3152" s="4" t="s">
        <v>9</v>
      </c>
      <c r="N3152" s="5"/>
    </row>
    <row r="3153" spans="1:14" x14ac:dyDescent="0.25">
      <c r="A3153" t="s">
        <v>495</v>
      </c>
      <c r="B3153" s="2">
        <v>45993</v>
      </c>
      <c r="C3153" t="s">
        <v>495</v>
      </c>
      <c r="D3153" t="s">
        <v>112</v>
      </c>
      <c r="E3153" t="s">
        <v>9</v>
      </c>
      <c r="F3153" s="3">
        <v>-1200</v>
      </c>
      <c r="G3153" s="3">
        <v>-1200</v>
      </c>
      <c r="H3153" t="s">
        <v>3</v>
      </c>
      <c r="I3153" t="s">
        <v>3</v>
      </c>
      <c r="J3153" t="s">
        <v>9</v>
      </c>
      <c r="K3153" t="s">
        <v>9</v>
      </c>
      <c r="L3153" t="s">
        <v>11</v>
      </c>
      <c r="M3153" t="s">
        <v>114</v>
      </c>
      <c r="N3153" s="2">
        <v>45991</v>
      </c>
    </row>
    <row r="3154" spans="1:14" x14ac:dyDescent="0.25">
      <c r="A3154" t="s">
        <v>495</v>
      </c>
      <c r="B3154" s="2">
        <v>45993</v>
      </c>
      <c r="C3154" t="s">
        <v>495</v>
      </c>
      <c r="D3154" t="s">
        <v>301</v>
      </c>
      <c r="E3154" t="s">
        <v>9</v>
      </c>
      <c r="F3154" s="3">
        <v>1200</v>
      </c>
      <c r="G3154" s="3">
        <v>1200</v>
      </c>
      <c r="H3154" t="s">
        <v>3</v>
      </c>
      <c r="I3154" t="s">
        <v>3</v>
      </c>
      <c r="J3154" t="s">
        <v>9</v>
      </c>
      <c r="K3154" t="s">
        <v>9</v>
      </c>
      <c r="L3154" t="s">
        <v>11</v>
      </c>
      <c r="M3154" t="s">
        <v>302</v>
      </c>
      <c r="N3154" s="2">
        <v>45991</v>
      </c>
    </row>
    <row r="3155" spans="1:14" x14ac:dyDescent="0.25">
      <c r="A3155" t="s">
        <v>495</v>
      </c>
      <c r="B3155" s="2">
        <v>45961</v>
      </c>
      <c r="C3155" t="s">
        <v>495</v>
      </c>
      <c r="D3155" t="s">
        <v>112</v>
      </c>
      <c r="E3155" t="s">
        <v>9</v>
      </c>
      <c r="F3155" s="3">
        <v>-20400</v>
      </c>
      <c r="G3155" s="3">
        <v>-20400</v>
      </c>
      <c r="H3155" t="s">
        <v>3</v>
      </c>
      <c r="I3155" t="s">
        <v>3</v>
      </c>
      <c r="J3155" t="s">
        <v>325</v>
      </c>
      <c r="K3155" t="s">
        <v>5</v>
      </c>
      <c r="L3155" t="s">
        <v>11</v>
      </c>
      <c r="M3155" t="s">
        <v>114</v>
      </c>
      <c r="N3155" s="2">
        <v>45962</v>
      </c>
    </row>
    <row r="3156" spans="1:14" x14ac:dyDescent="0.25">
      <c r="A3156" t="s">
        <v>495</v>
      </c>
      <c r="B3156" s="2">
        <v>45991</v>
      </c>
      <c r="C3156" t="s">
        <v>495</v>
      </c>
      <c r="D3156" t="s">
        <v>112</v>
      </c>
      <c r="E3156" t="s">
        <v>9</v>
      </c>
      <c r="F3156" s="3">
        <v>21600</v>
      </c>
      <c r="G3156" s="3">
        <v>21600</v>
      </c>
      <c r="H3156" t="s">
        <v>3</v>
      </c>
      <c r="I3156" t="s">
        <v>3</v>
      </c>
      <c r="J3156" t="s">
        <v>328</v>
      </c>
      <c r="K3156" t="s">
        <v>5</v>
      </c>
      <c r="L3156" t="s">
        <v>11</v>
      </c>
      <c r="M3156" t="s">
        <v>114</v>
      </c>
      <c r="N3156" s="2">
        <v>45991</v>
      </c>
    </row>
    <row r="3157" spans="1:14" x14ac:dyDescent="0.25">
      <c r="A3157" t="s">
        <v>495</v>
      </c>
      <c r="B3157" s="2">
        <v>45991</v>
      </c>
      <c r="C3157" t="s">
        <v>495</v>
      </c>
      <c r="D3157" t="s">
        <v>301</v>
      </c>
      <c r="E3157" t="s">
        <v>9</v>
      </c>
      <c r="F3157" s="3">
        <v>-1200</v>
      </c>
      <c r="G3157" s="3">
        <v>-1200</v>
      </c>
      <c r="H3157" t="s">
        <v>3</v>
      </c>
      <c r="I3157" t="s">
        <v>3</v>
      </c>
      <c r="J3157" t="s">
        <v>10</v>
      </c>
      <c r="K3157" t="s">
        <v>5</v>
      </c>
      <c r="L3157" t="s">
        <v>11</v>
      </c>
      <c r="M3157" t="s">
        <v>302</v>
      </c>
      <c r="N3157" s="2">
        <v>45991</v>
      </c>
    </row>
    <row r="3158" spans="1:14" x14ac:dyDescent="0.25">
      <c r="A3158" s="4" t="s">
        <v>226</v>
      </c>
      <c r="B3158" s="5"/>
      <c r="C3158" s="4" t="s">
        <v>9</v>
      </c>
      <c r="D3158" s="4" t="s">
        <v>9</v>
      </c>
      <c r="E3158" s="4" t="s">
        <v>9</v>
      </c>
      <c r="F3158" s="6">
        <v>0</v>
      </c>
      <c r="G3158" s="6">
        <v>0</v>
      </c>
      <c r="H3158" s="4" t="s">
        <v>9</v>
      </c>
      <c r="I3158" s="4" t="s">
        <v>3</v>
      </c>
      <c r="J3158" s="4" t="s">
        <v>9</v>
      </c>
      <c r="K3158" s="4" t="s">
        <v>9</v>
      </c>
      <c r="L3158" s="4" t="s">
        <v>9</v>
      </c>
      <c r="M3158" s="4" t="s">
        <v>9</v>
      </c>
      <c r="N3158" s="5"/>
    </row>
    <row r="3159" spans="1:14" x14ac:dyDescent="0.25">
      <c r="A3159" t="s">
        <v>495</v>
      </c>
      <c r="B3159" s="2">
        <v>46028</v>
      </c>
      <c r="C3159" t="s">
        <v>495</v>
      </c>
      <c r="D3159" t="s">
        <v>112</v>
      </c>
      <c r="E3159" t="s">
        <v>9</v>
      </c>
      <c r="F3159" s="3">
        <v>-31200</v>
      </c>
      <c r="G3159" s="3">
        <v>-31200</v>
      </c>
      <c r="H3159" t="s">
        <v>3</v>
      </c>
      <c r="I3159" t="s">
        <v>3</v>
      </c>
      <c r="J3159" t="s">
        <v>9</v>
      </c>
      <c r="K3159" t="s">
        <v>9</v>
      </c>
      <c r="L3159" t="s">
        <v>12</v>
      </c>
      <c r="M3159" t="s">
        <v>114</v>
      </c>
      <c r="N3159" s="2">
        <v>46022</v>
      </c>
    </row>
    <row r="3160" spans="1:14" x14ac:dyDescent="0.25">
      <c r="A3160" t="s">
        <v>495</v>
      </c>
      <c r="B3160" s="2">
        <v>46028</v>
      </c>
      <c r="C3160" t="s">
        <v>495</v>
      </c>
      <c r="D3160" t="s">
        <v>301</v>
      </c>
      <c r="E3160" t="s">
        <v>9</v>
      </c>
      <c r="F3160" s="3">
        <v>4800</v>
      </c>
      <c r="G3160" s="3">
        <v>4800</v>
      </c>
      <c r="H3160" t="s">
        <v>3</v>
      </c>
      <c r="I3160" t="s">
        <v>3</v>
      </c>
      <c r="J3160" t="s">
        <v>9</v>
      </c>
      <c r="K3160" t="s">
        <v>9</v>
      </c>
      <c r="L3160" t="s">
        <v>12</v>
      </c>
      <c r="M3160" t="s">
        <v>302</v>
      </c>
      <c r="N3160" s="2">
        <v>46022</v>
      </c>
    </row>
    <row r="3161" spans="1:14" x14ac:dyDescent="0.25">
      <c r="A3161" t="s">
        <v>495</v>
      </c>
      <c r="B3161" s="2">
        <v>45991</v>
      </c>
      <c r="C3161" t="s">
        <v>495</v>
      </c>
      <c r="D3161" t="s">
        <v>112</v>
      </c>
      <c r="E3161" t="s">
        <v>9</v>
      </c>
      <c r="F3161" s="3">
        <v>-21600</v>
      </c>
      <c r="G3161" s="3">
        <v>-21600</v>
      </c>
      <c r="H3161" t="s">
        <v>3</v>
      </c>
      <c r="I3161" t="s">
        <v>3</v>
      </c>
      <c r="J3161" t="s">
        <v>328</v>
      </c>
      <c r="K3161" t="s">
        <v>5</v>
      </c>
      <c r="L3161" t="s">
        <v>12</v>
      </c>
      <c r="M3161" t="s">
        <v>114</v>
      </c>
      <c r="N3161" s="2">
        <v>45992</v>
      </c>
    </row>
    <row r="3162" spans="1:14" x14ac:dyDescent="0.25">
      <c r="A3162" t="s">
        <v>495</v>
      </c>
      <c r="B3162" s="2">
        <v>46022</v>
      </c>
      <c r="C3162" t="s">
        <v>495</v>
      </c>
      <c r="D3162" t="s">
        <v>112</v>
      </c>
      <c r="E3162" t="s">
        <v>9</v>
      </c>
      <c r="F3162" s="3">
        <v>26400</v>
      </c>
      <c r="G3162" s="3">
        <v>26400</v>
      </c>
      <c r="H3162" t="s">
        <v>3</v>
      </c>
      <c r="I3162" t="s">
        <v>3</v>
      </c>
      <c r="J3162" t="s">
        <v>298</v>
      </c>
      <c r="K3162" t="s">
        <v>5</v>
      </c>
      <c r="L3162" t="s">
        <v>12</v>
      </c>
      <c r="M3162" t="s">
        <v>114</v>
      </c>
      <c r="N3162" s="2">
        <v>46022</v>
      </c>
    </row>
    <row r="3163" spans="1:14" x14ac:dyDescent="0.25">
      <c r="A3163" t="s">
        <v>495</v>
      </c>
      <c r="B3163" s="2">
        <v>46022</v>
      </c>
      <c r="C3163" t="s">
        <v>495</v>
      </c>
      <c r="D3163" t="s">
        <v>301</v>
      </c>
      <c r="E3163" t="s">
        <v>9</v>
      </c>
      <c r="F3163" s="3">
        <v>-4800</v>
      </c>
      <c r="G3163" s="3">
        <v>-4800</v>
      </c>
      <c r="H3163" t="s">
        <v>3</v>
      </c>
      <c r="I3163" t="s">
        <v>3</v>
      </c>
      <c r="J3163" t="s">
        <v>10</v>
      </c>
      <c r="K3163" t="s">
        <v>5</v>
      </c>
      <c r="L3163" t="s">
        <v>12</v>
      </c>
      <c r="M3163" t="s">
        <v>302</v>
      </c>
      <c r="N3163" s="2">
        <v>46022</v>
      </c>
    </row>
    <row r="3164" spans="1:14" x14ac:dyDescent="0.25">
      <c r="A3164" t="s">
        <v>495</v>
      </c>
      <c r="B3164" s="2">
        <v>45992</v>
      </c>
      <c r="C3164" t="s">
        <v>495</v>
      </c>
      <c r="D3164" t="s">
        <v>112</v>
      </c>
      <c r="E3164" t="s">
        <v>9</v>
      </c>
      <c r="F3164" s="3">
        <v>26400</v>
      </c>
      <c r="G3164" s="3">
        <v>26400</v>
      </c>
      <c r="H3164" t="s">
        <v>3</v>
      </c>
      <c r="I3164" t="s">
        <v>3</v>
      </c>
      <c r="J3164" t="s">
        <v>496</v>
      </c>
      <c r="K3164" t="s">
        <v>5</v>
      </c>
      <c r="L3164" t="s">
        <v>12</v>
      </c>
      <c r="M3164" t="s">
        <v>114</v>
      </c>
      <c r="N3164" s="2">
        <v>45992</v>
      </c>
    </row>
    <row r="3165" spans="1:14" x14ac:dyDescent="0.25">
      <c r="A3165" t="s">
        <v>495</v>
      </c>
      <c r="B3165" s="2">
        <v>46022</v>
      </c>
      <c r="C3165" t="s">
        <v>495</v>
      </c>
      <c r="D3165" t="s">
        <v>112</v>
      </c>
      <c r="E3165" t="s">
        <v>9</v>
      </c>
      <c r="F3165" s="3">
        <v>26400</v>
      </c>
      <c r="G3165" s="3">
        <v>26400</v>
      </c>
      <c r="H3165" t="s">
        <v>3</v>
      </c>
      <c r="I3165" t="s">
        <v>3</v>
      </c>
      <c r="J3165" t="s">
        <v>298</v>
      </c>
      <c r="K3165" t="s">
        <v>5</v>
      </c>
      <c r="L3165" t="s">
        <v>12</v>
      </c>
      <c r="M3165" t="s">
        <v>114</v>
      </c>
      <c r="N3165" s="2">
        <v>46022</v>
      </c>
    </row>
    <row r="3166" spans="1:14" x14ac:dyDescent="0.25">
      <c r="A3166" t="s">
        <v>495</v>
      </c>
      <c r="B3166" s="2">
        <v>46022</v>
      </c>
      <c r="C3166" t="s">
        <v>495</v>
      </c>
      <c r="D3166" t="s">
        <v>112</v>
      </c>
      <c r="E3166" t="s">
        <v>9</v>
      </c>
      <c r="F3166" s="3">
        <v>-26400</v>
      </c>
      <c r="G3166" s="3">
        <v>-26400</v>
      </c>
      <c r="H3166" t="s">
        <v>3</v>
      </c>
      <c r="I3166" t="s">
        <v>3</v>
      </c>
      <c r="J3166" t="s">
        <v>298</v>
      </c>
      <c r="K3166" t="s">
        <v>5</v>
      </c>
      <c r="L3166" t="s">
        <v>12</v>
      </c>
      <c r="M3166" t="s">
        <v>114</v>
      </c>
      <c r="N3166" s="2">
        <v>46022</v>
      </c>
    </row>
    <row r="3167" spans="1:14" x14ac:dyDescent="0.25">
      <c r="A3167" s="4" t="s">
        <v>228</v>
      </c>
      <c r="B3167" s="5"/>
      <c r="C3167" s="4" t="s">
        <v>9</v>
      </c>
      <c r="D3167" s="4" t="s">
        <v>9</v>
      </c>
      <c r="E3167" s="4" t="s">
        <v>9</v>
      </c>
      <c r="F3167" s="6">
        <v>0</v>
      </c>
      <c r="G3167" s="6">
        <v>0</v>
      </c>
      <c r="H3167" s="4" t="s">
        <v>9</v>
      </c>
      <c r="I3167" s="4" t="s">
        <v>3</v>
      </c>
      <c r="J3167" s="4" t="s">
        <v>9</v>
      </c>
      <c r="K3167" s="4" t="s">
        <v>9</v>
      </c>
      <c r="L3167" s="4" t="s">
        <v>9</v>
      </c>
      <c r="M3167" s="4" t="s">
        <v>9</v>
      </c>
      <c r="N3167" s="5"/>
    </row>
    <row r="3168" spans="1:14" x14ac:dyDescent="0.25">
      <c r="A3168" s="4" t="s">
        <v>495</v>
      </c>
      <c r="B3168" s="5"/>
      <c r="C3168" s="4" t="s">
        <v>9</v>
      </c>
      <c r="D3168" s="4" t="s">
        <v>9</v>
      </c>
      <c r="E3168" s="4" t="s">
        <v>9</v>
      </c>
      <c r="F3168" s="6">
        <v>0</v>
      </c>
      <c r="G3168" s="6">
        <v>0</v>
      </c>
      <c r="H3168" s="4" t="s">
        <v>9</v>
      </c>
      <c r="I3168" s="4" t="s">
        <v>3</v>
      </c>
      <c r="J3168" s="4" t="s">
        <v>9</v>
      </c>
      <c r="K3168" s="4" t="s">
        <v>9</v>
      </c>
      <c r="L3168" s="4" t="s">
        <v>9</v>
      </c>
      <c r="M3168" s="4" t="s">
        <v>9</v>
      </c>
      <c r="N3168" s="5"/>
    </row>
    <row r="3169" spans="1:14" x14ac:dyDescent="0.25">
      <c r="A3169" t="s">
        <v>497</v>
      </c>
      <c r="B3169" s="2">
        <v>46056</v>
      </c>
      <c r="C3169" t="s">
        <v>497</v>
      </c>
      <c r="D3169" t="s">
        <v>301</v>
      </c>
      <c r="E3169" t="s">
        <v>9</v>
      </c>
      <c r="F3169" s="3">
        <v>1800</v>
      </c>
      <c r="G3169" s="3">
        <v>1800</v>
      </c>
      <c r="H3169" t="s">
        <v>3</v>
      </c>
      <c r="I3169" t="s">
        <v>3</v>
      </c>
      <c r="J3169" t="s">
        <v>9</v>
      </c>
      <c r="K3169" t="s">
        <v>9</v>
      </c>
      <c r="L3169" t="s">
        <v>14</v>
      </c>
      <c r="M3169" t="s">
        <v>302</v>
      </c>
      <c r="N3169" s="2">
        <v>46053</v>
      </c>
    </row>
    <row r="3170" spans="1:14" x14ac:dyDescent="0.25">
      <c r="A3170" t="s">
        <v>497</v>
      </c>
      <c r="B3170" s="2">
        <v>46053</v>
      </c>
      <c r="C3170" t="s">
        <v>497</v>
      </c>
      <c r="D3170" t="s">
        <v>301</v>
      </c>
      <c r="E3170" t="s">
        <v>9</v>
      </c>
      <c r="F3170" s="3">
        <v>-1800</v>
      </c>
      <c r="G3170" s="3">
        <v>-1800</v>
      </c>
      <c r="H3170" t="s">
        <v>3</v>
      </c>
      <c r="I3170" t="s">
        <v>3</v>
      </c>
      <c r="J3170" t="s">
        <v>10</v>
      </c>
      <c r="K3170" t="s">
        <v>13</v>
      </c>
      <c r="L3170" t="s">
        <v>14</v>
      </c>
      <c r="M3170" t="s">
        <v>302</v>
      </c>
      <c r="N3170" s="2">
        <v>46053</v>
      </c>
    </row>
    <row r="3171" spans="1:14" x14ac:dyDescent="0.25">
      <c r="A3171" s="4" t="s">
        <v>234</v>
      </c>
      <c r="B3171" s="5"/>
      <c r="C3171" s="4" t="s">
        <v>9</v>
      </c>
      <c r="D3171" s="4" t="s">
        <v>9</v>
      </c>
      <c r="E3171" s="4" t="s">
        <v>9</v>
      </c>
      <c r="F3171" s="6">
        <v>0</v>
      </c>
      <c r="G3171" s="6">
        <v>0</v>
      </c>
      <c r="H3171" s="4" t="s">
        <v>9</v>
      </c>
      <c r="I3171" s="4" t="s">
        <v>3</v>
      </c>
      <c r="J3171" s="4" t="s">
        <v>9</v>
      </c>
      <c r="K3171" s="4" t="s">
        <v>9</v>
      </c>
      <c r="L3171" s="4" t="s">
        <v>9</v>
      </c>
      <c r="M3171" s="4" t="s">
        <v>9</v>
      </c>
      <c r="N3171" s="5"/>
    </row>
    <row r="3172" spans="1:14" x14ac:dyDescent="0.25">
      <c r="A3172" t="s">
        <v>497</v>
      </c>
      <c r="B3172" s="2">
        <v>46084</v>
      </c>
      <c r="C3172" t="s">
        <v>497</v>
      </c>
      <c r="D3172" t="s">
        <v>301</v>
      </c>
      <c r="E3172" t="s">
        <v>9</v>
      </c>
      <c r="F3172" s="3">
        <v>5085</v>
      </c>
      <c r="G3172" s="3">
        <v>5085</v>
      </c>
      <c r="H3172" t="s">
        <v>3</v>
      </c>
      <c r="I3172" t="s">
        <v>3</v>
      </c>
      <c r="J3172" t="s">
        <v>9</v>
      </c>
      <c r="K3172" t="s">
        <v>9</v>
      </c>
      <c r="L3172" t="s">
        <v>15</v>
      </c>
      <c r="M3172" t="s">
        <v>302</v>
      </c>
      <c r="N3172" s="2">
        <v>46081</v>
      </c>
    </row>
    <row r="3173" spans="1:14" x14ac:dyDescent="0.25">
      <c r="A3173" t="s">
        <v>497</v>
      </c>
      <c r="B3173" s="2">
        <v>46081</v>
      </c>
      <c r="C3173" t="s">
        <v>497</v>
      </c>
      <c r="D3173" t="s">
        <v>301</v>
      </c>
      <c r="E3173" t="s">
        <v>9</v>
      </c>
      <c r="F3173" s="3">
        <v>-5085</v>
      </c>
      <c r="G3173" s="3">
        <v>-5085</v>
      </c>
      <c r="H3173" t="s">
        <v>3</v>
      </c>
      <c r="I3173" t="s">
        <v>3</v>
      </c>
      <c r="J3173" t="s">
        <v>10</v>
      </c>
      <c r="K3173" t="s">
        <v>13</v>
      </c>
      <c r="L3173" t="s">
        <v>15</v>
      </c>
      <c r="M3173" t="s">
        <v>302</v>
      </c>
      <c r="N3173" s="2">
        <v>46081</v>
      </c>
    </row>
    <row r="3174" spans="1:14" x14ac:dyDescent="0.25">
      <c r="A3174" s="4" t="s">
        <v>239</v>
      </c>
      <c r="B3174" s="5"/>
      <c r="C3174" s="4" t="s">
        <v>9</v>
      </c>
      <c r="D3174" s="4" t="s">
        <v>9</v>
      </c>
      <c r="E3174" s="4" t="s">
        <v>9</v>
      </c>
      <c r="F3174" s="6">
        <v>0</v>
      </c>
      <c r="G3174" s="6">
        <v>0</v>
      </c>
      <c r="H3174" s="4" t="s">
        <v>9</v>
      </c>
      <c r="I3174" s="4" t="s">
        <v>3</v>
      </c>
      <c r="J3174" s="4" t="s">
        <v>9</v>
      </c>
      <c r="K3174" s="4" t="s">
        <v>9</v>
      </c>
      <c r="L3174" s="4" t="s">
        <v>9</v>
      </c>
      <c r="M3174" s="4" t="s">
        <v>9</v>
      </c>
      <c r="N3174" s="5"/>
    </row>
    <row r="3175" spans="1:14" x14ac:dyDescent="0.25">
      <c r="A3175" t="s">
        <v>497</v>
      </c>
      <c r="B3175" s="2">
        <v>46115</v>
      </c>
      <c r="C3175" t="s">
        <v>497</v>
      </c>
      <c r="D3175" t="s">
        <v>112</v>
      </c>
      <c r="E3175" t="s">
        <v>9</v>
      </c>
      <c r="F3175" s="3">
        <v>-16990</v>
      </c>
      <c r="G3175" s="3">
        <v>-16990</v>
      </c>
      <c r="H3175" t="s">
        <v>3</v>
      </c>
      <c r="I3175" t="s">
        <v>3</v>
      </c>
      <c r="J3175" t="s">
        <v>9</v>
      </c>
      <c r="K3175" t="s">
        <v>9</v>
      </c>
      <c r="L3175" t="s">
        <v>16</v>
      </c>
      <c r="M3175" t="s">
        <v>114</v>
      </c>
      <c r="N3175" s="2">
        <v>46112</v>
      </c>
    </row>
    <row r="3176" spans="1:14" x14ac:dyDescent="0.25">
      <c r="A3176" t="s">
        <v>497</v>
      </c>
      <c r="B3176" s="2">
        <v>46115</v>
      </c>
      <c r="C3176" t="s">
        <v>497</v>
      </c>
      <c r="D3176" t="s">
        <v>301</v>
      </c>
      <c r="E3176" t="s">
        <v>9</v>
      </c>
      <c r="F3176" s="3">
        <v>10105</v>
      </c>
      <c r="G3176" s="3">
        <v>10105</v>
      </c>
      <c r="H3176" t="s">
        <v>3</v>
      </c>
      <c r="I3176" t="s">
        <v>3</v>
      </c>
      <c r="J3176" t="s">
        <v>9</v>
      </c>
      <c r="K3176" t="s">
        <v>9</v>
      </c>
      <c r="L3176" t="s">
        <v>16</v>
      </c>
      <c r="M3176" t="s">
        <v>302</v>
      </c>
      <c r="N3176" s="2">
        <v>46112</v>
      </c>
    </row>
    <row r="3177" spans="1:14" x14ac:dyDescent="0.25">
      <c r="A3177" t="s">
        <v>497</v>
      </c>
      <c r="B3177" s="2">
        <v>46112</v>
      </c>
      <c r="C3177" t="s">
        <v>497</v>
      </c>
      <c r="D3177" t="s">
        <v>112</v>
      </c>
      <c r="E3177" t="s">
        <v>9</v>
      </c>
      <c r="F3177" s="3">
        <v>13800</v>
      </c>
      <c r="G3177" s="3">
        <v>13800</v>
      </c>
      <c r="H3177" t="s">
        <v>3</v>
      </c>
      <c r="I3177" t="s">
        <v>3</v>
      </c>
      <c r="J3177" t="s">
        <v>307</v>
      </c>
      <c r="K3177" t="s">
        <v>13</v>
      </c>
      <c r="L3177" t="s">
        <v>16</v>
      </c>
      <c r="M3177" t="s">
        <v>114</v>
      </c>
      <c r="N3177" s="2">
        <v>46112</v>
      </c>
    </row>
    <row r="3178" spans="1:14" x14ac:dyDescent="0.25">
      <c r="A3178" t="s">
        <v>497</v>
      </c>
      <c r="B3178" s="2">
        <v>46112</v>
      </c>
      <c r="C3178" t="s">
        <v>497</v>
      </c>
      <c r="D3178" t="s">
        <v>112</v>
      </c>
      <c r="E3178" t="s">
        <v>9</v>
      </c>
      <c r="F3178" s="3">
        <v>400</v>
      </c>
      <c r="G3178" s="3">
        <v>400</v>
      </c>
      <c r="H3178" t="s">
        <v>3</v>
      </c>
      <c r="I3178" t="s">
        <v>3</v>
      </c>
      <c r="J3178" t="s">
        <v>369</v>
      </c>
      <c r="K3178" t="s">
        <v>13</v>
      </c>
      <c r="L3178" t="s">
        <v>16</v>
      </c>
      <c r="M3178" t="s">
        <v>114</v>
      </c>
      <c r="N3178" s="2">
        <v>46112</v>
      </c>
    </row>
    <row r="3179" spans="1:14" x14ac:dyDescent="0.25">
      <c r="A3179" t="s">
        <v>497</v>
      </c>
      <c r="B3179" s="2">
        <v>46112</v>
      </c>
      <c r="C3179" t="s">
        <v>497</v>
      </c>
      <c r="D3179" t="s">
        <v>112</v>
      </c>
      <c r="E3179" t="s">
        <v>9</v>
      </c>
      <c r="F3179" s="3">
        <v>2790</v>
      </c>
      <c r="G3179" s="3">
        <v>2790</v>
      </c>
      <c r="H3179" t="s">
        <v>3</v>
      </c>
      <c r="I3179" t="s">
        <v>3</v>
      </c>
      <c r="J3179" t="s">
        <v>498</v>
      </c>
      <c r="K3179" t="s">
        <v>13</v>
      </c>
      <c r="L3179" t="s">
        <v>16</v>
      </c>
      <c r="M3179" t="s">
        <v>114</v>
      </c>
      <c r="N3179" s="2">
        <v>46112</v>
      </c>
    </row>
    <row r="3180" spans="1:14" x14ac:dyDescent="0.25">
      <c r="A3180" t="s">
        <v>497</v>
      </c>
      <c r="B3180" s="2">
        <v>46112</v>
      </c>
      <c r="C3180" t="s">
        <v>497</v>
      </c>
      <c r="D3180" t="s">
        <v>301</v>
      </c>
      <c r="E3180" t="s">
        <v>9</v>
      </c>
      <c r="F3180" s="3">
        <v>-10105</v>
      </c>
      <c r="G3180" s="3">
        <v>-10105</v>
      </c>
      <c r="H3180" t="s">
        <v>3</v>
      </c>
      <c r="I3180" t="s">
        <v>3</v>
      </c>
      <c r="J3180" t="s">
        <v>10</v>
      </c>
      <c r="K3180" t="s">
        <v>13</v>
      </c>
      <c r="L3180" t="s">
        <v>16</v>
      </c>
      <c r="M3180" t="s">
        <v>302</v>
      </c>
      <c r="N3180" s="2">
        <v>46112</v>
      </c>
    </row>
    <row r="3181" spans="1:14" x14ac:dyDescent="0.25">
      <c r="A3181" s="4" t="s">
        <v>244</v>
      </c>
      <c r="B3181" s="5"/>
      <c r="C3181" s="4" t="s">
        <v>9</v>
      </c>
      <c r="D3181" s="4" t="s">
        <v>9</v>
      </c>
      <c r="E3181" s="4" t="s">
        <v>9</v>
      </c>
      <c r="F3181" s="6">
        <v>0</v>
      </c>
      <c r="G3181" s="6">
        <v>0</v>
      </c>
      <c r="H3181" s="4" t="s">
        <v>9</v>
      </c>
      <c r="I3181" s="4" t="s">
        <v>3</v>
      </c>
      <c r="J3181" s="4" t="s">
        <v>9</v>
      </c>
      <c r="K3181" s="4" t="s">
        <v>9</v>
      </c>
      <c r="L3181" s="4" t="s">
        <v>9</v>
      </c>
      <c r="M3181" s="4" t="s">
        <v>9</v>
      </c>
      <c r="N3181" s="5"/>
    </row>
    <row r="3182" spans="1:14" x14ac:dyDescent="0.25">
      <c r="A3182" t="s">
        <v>497</v>
      </c>
      <c r="B3182" s="2">
        <v>46147</v>
      </c>
      <c r="C3182" t="s">
        <v>497</v>
      </c>
      <c r="D3182" t="s">
        <v>112</v>
      </c>
      <c r="E3182" t="s">
        <v>9</v>
      </c>
      <c r="F3182" s="3">
        <v>-4700</v>
      </c>
      <c r="G3182" s="3">
        <v>-4700</v>
      </c>
      <c r="H3182" t="s">
        <v>3</v>
      </c>
      <c r="I3182" t="s">
        <v>3</v>
      </c>
      <c r="J3182" t="s">
        <v>9</v>
      </c>
      <c r="K3182" t="s">
        <v>9</v>
      </c>
      <c r="L3182" t="s">
        <v>17</v>
      </c>
      <c r="M3182" t="s">
        <v>114</v>
      </c>
      <c r="N3182" s="2">
        <v>46142</v>
      </c>
    </row>
    <row r="3183" spans="1:14" x14ac:dyDescent="0.25">
      <c r="A3183" t="s">
        <v>497</v>
      </c>
      <c r="B3183" s="2">
        <v>46147</v>
      </c>
      <c r="C3183" t="s">
        <v>497</v>
      </c>
      <c r="D3183" t="s">
        <v>301</v>
      </c>
      <c r="E3183" t="s">
        <v>9</v>
      </c>
      <c r="F3183" s="3">
        <v>4700</v>
      </c>
      <c r="G3183" s="3">
        <v>4700</v>
      </c>
      <c r="H3183" t="s">
        <v>3</v>
      </c>
      <c r="I3183" t="s">
        <v>3</v>
      </c>
      <c r="J3183" t="s">
        <v>9</v>
      </c>
      <c r="K3183" t="s">
        <v>9</v>
      </c>
      <c r="L3183" t="s">
        <v>17</v>
      </c>
      <c r="M3183" t="s">
        <v>302</v>
      </c>
      <c r="N3183" s="2">
        <v>46142</v>
      </c>
    </row>
    <row r="3184" spans="1:14" x14ac:dyDescent="0.25">
      <c r="A3184" t="s">
        <v>497</v>
      </c>
      <c r="B3184" s="2">
        <v>46112</v>
      </c>
      <c r="C3184" t="s">
        <v>497</v>
      </c>
      <c r="D3184" t="s">
        <v>112</v>
      </c>
      <c r="E3184" t="s">
        <v>9</v>
      </c>
      <c r="F3184" s="3">
        <v>-13800</v>
      </c>
      <c r="G3184" s="3">
        <v>-13800</v>
      </c>
      <c r="H3184" t="s">
        <v>3</v>
      </c>
      <c r="I3184" t="s">
        <v>3</v>
      </c>
      <c r="J3184" t="s">
        <v>307</v>
      </c>
      <c r="K3184" t="s">
        <v>13</v>
      </c>
      <c r="L3184" t="s">
        <v>17</v>
      </c>
      <c r="M3184" t="s">
        <v>114</v>
      </c>
      <c r="N3184" s="2">
        <v>46113</v>
      </c>
    </row>
    <row r="3185" spans="1:14" x14ac:dyDescent="0.25">
      <c r="A3185" t="s">
        <v>497</v>
      </c>
      <c r="B3185" s="2">
        <v>46112</v>
      </c>
      <c r="C3185" t="s">
        <v>497</v>
      </c>
      <c r="D3185" t="s">
        <v>112</v>
      </c>
      <c r="E3185" t="s">
        <v>9</v>
      </c>
      <c r="F3185" s="3">
        <v>-400</v>
      </c>
      <c r="G3185" s="3">
        <v>-400</v>
      </c>
      <c r="H3185" t="s">
        <v>3</v>
      </c>
      <c r="I3185" t="s">
        <v>3</v>
      </c>
      <c r="J3185" t="s">
        <v>369</v>
      </c>
      <c r="K3185" t="s">
        <v>13</v>
      </c>
      <c r="L3185" t="s">
        <v>17</v>
      </c>
      <c r="M3185" t="s">
        <v>114</v>
      </c>
      <c r="N3185" s="2">
        <v>46113</v>
      </c>
    </row>
    <row r="3186" spans="1:14" x14ac:dyDescent="0.25">
      <c r="A3186" t="s">
        <v>497</v>
      </c>
      <c r="B3186" s="2">
        <v>46112</v>
      </c>
      <c r="C3186" t="s">
        <v>497</v>
      </c>
      <c r="D3186" t="s">
        <v>112</v>
      </c>
      <c r="E3186" t="s">
        <v>9</v>
      </c>
      <c r="F3186" s="3">
        <v>-2790</v>
      </c>
      <c r="G3186" s="3">
        <v>-2790</v>
      </c>
      <c r="H3186" t="s">
        <v>3</v>
      </c>
      <c r="I3186" t="s">
        <v>3</v>
      </c>
      <c r="J3186" t="s">
        <v>498</v>
      </c>
      <c r="K3186" t="s">
        <v>13</v>
      </c>
      <c r="L3186" t="s">
        <v>17</v>
      </c>
      <c r="M3186" t="s">
        <v>114</v>
      </c>
      <c r="N3186" s="2">
        <v>46113</v>
      </c>
    </row>
    <row r="3187" spans="1:14" x14ac:dyDescent="0.25">
      <c r="A3187" t="s">
        <v>497</v>
      </c>
      <c r="B3187" s="2">
        <v>46142</v>
      </c>
      <c r="C3187" t="s">
        <v>497</v>
      </c>
      <c r="D3187" t="s">
        <v>112</v>
      </c>
      <c r="E3187" t="s">
        <v>9</v>
      </c>
      <c r="F3187" s="3">
        <v>18500</v>
      </c>
      <c r="G3187" s="3">
        <v>18500</v>
      </c>
      <c r="H3187" t="s">
        <v>3</v>
      </c>
      <c r="I3187" t="s">
        <v>3</v>
      </c>
      <c r="J3187" t="s">
        <v>310</v>
      </c>
      <c r="K3187" t="s">
        <v>13</v>
      </c>
      <c r="L3187" t="s">
        <v>17</v>
      </c>
      <c r="M3187" t="s">
        <v>114</v>
      </c>
      <c r="N3187" s="2">
        <v>46142</v>
      </c>
    </row>
    <row r="3188" spans="1:14" x14ac:dyDescent="0.25">
      <c r="A3188" t="s">
        <v>497</v>
      </c>
      <c r="B3188" s="2">
        <v>46142</v>
      </c>
      <c r="C3188" t="s">
        <v>497</v>
      </c>
      <c r="D3188" t="s">
        <v>112</v>
      </c>
      <c r="E3188" t="s">
        <v>9</v>
      </c>
      <c r="F3188" s="3">
        <v>400</v>
      </c>
      <c r="G3188" s="3">
        <v>400</v>
      </c>
      <c r="H3188" t="s">
        <v>3</v>
      </c>
      <c r="I3188" t="s">
        <v>3</v>
      </c>
      <c r="J3188" t="s">
        <v>370</v>
      </c>
      <c r="K3188" t="s">
        <v>13</v>
      </c>
      <c r="L3188" t="s">
        <v>17</v>
      </c>
      <c r="M3188" t="s">
        <v>114</v>
      </c>
      <c r="N3188" s="2">
        <v>46142</v>
      </c>
    </row>
    <row r="3189" spans="1:14" x14ac:dyDescent="0.25">
      <c r="A3189" t="s">
        <v>497</v>
      </c>
      <c r="B3189" s="2">
        <v>46142</v>
      </c>
      <c r="C3189" t="s">
        <v>497</v>
      </c>
      <c r="D3189" t="s">
        <v>112</v>
      </c>
      <c r="E3189" t="s">
        <v>9</v>
      </c>
      <c r="F3189" s="3">
        <v>2790</v>
      </c>
      <c r="G3189" s="3">
        <v>2790</v>
      </c>
      <c r="H3189" t="s">
        <v>3</v>
      </c>
      <c r="I3189" t="s">
        <v>3</v>
      </c>
      <c r="J3189" t="s">
        <v>499</v>
      </c>
      <c r="K3189" t="s">
        <v>13</v>
      </c>
      <c r="L3189" t="s">
        <v>17</v>
      </c>
      <c r="M3189" t="s">
        <v>114</v>
      </c>
      <c r="N3189" s="2">
        <v>46142</v>
      </c>
    </row>
    <row r="3190" spans="1:14" x14ac:dyDescent="0.25">
      <c r="A3190" t="s">
        <v>497</v>
      </c>
      <c r="B3190" s="2">
        <v>46142</v>
      </c>
      <c r="C3190" t="s">
        <v>497</v>
      </c>
      <c r="D3190" t="s">
        <v>301</v>
      </c>
      <c r="E3190" t="s">
        <v>9</v>
      </c>
      <c r="F3190" s="3">
        <v>-4700</v>
      </c>
      <c r="G3190" s="3">
        <v>-4700</v>
      </c>
      <c r="H3190" t="s">
        <v>3</v>
      </c>
      <c r="I3190" t="s">
        <v>3</v>
      </c>
      <c r="J3190" t="s">
        <v>10</v>
      </c>
      <c r="K3190" t="s">
        <v>13</v>
      </c>
      <c r="L3190" t="s">
        <v>17</v>
      </c>
      <c r="M3190" t="s">
        <v>302</v>
      </c>
      <c r="N3190" s="2">
        <v>46142</v>
      </c>
    </row>
    <row r="3191" spans="1:14" x14ac:dyDescent="0.25">
      <c r="A3191" s="4" t="s">
        <v>249</v>
      </c>
      <c r="B3191" s="5"/>
      <c r="C3191" s="4" t="s">
        <v>9</v>
      </c>
      <c r="D3191" s="4" t="s">
        <v>9</v>
      </c>
      <c r="E3191" s="4" t="s">
        <v>9</v>
      </c>
      <c r="F3191" s="6">
        <v>0</v>
      </c>
      <c r="G3191" s="6">
        <v>0</v>
      </c>
      <c r="H3191" s="4" t="s">
        <v>9</v>
      </c>
      <c r="I3191" s="4" t="s">
        <v>3</v>
      </c>
      <c r="J3191" s="4" t="s">
        <v>9</v>
      </c>
      <c r="K3191" s="4" t="s">
        <v>9</v>
      </c>
      <c r="L3191" s="4" t="s">
        <v>9</v>
      </c>
      <c r="M3191" s="4" t="s">
        <v>9</v>
      </c>
      <c r="N3191" s="5"/>
    </row>
    <row r="3192" spans="1:14" x14ac:dyDescent="0.25">
      <c r="A3192" t="s">
        <v>497</v>
      </c>
      <c r="B3192" s="2">
        <v>46175</v>
      </c>
      <c r="C3192" t="s">
        <v>497</v>
      </c>
      <c r="D3192" t="s">
        <v>112</v>
      </c>
      <c r="E3192" t="s">
        <v>9</v>
      </c>
      <c r="F3192" s="3">
        <v>-9000</v>
      </c>
      <c r="G3192" s="3">
        <v>-9000</v>
      </c>
      <c r="H3192" t="s">
        <v>3</v>
      </c>
      <c r="I3192" t="s">
        <v>3</v>
      </c>
      <c r="J3192" t="s">
        <v>9</v>
      </c>
      <c r="K3192" t="s">
        <v>9</v>
      </c>
      <c r="L3192" t="s">
        <v>18</v>
      </c>
      <c r="M3192" t="s">
        <v>114</v>
      </c>
      <c r="N3192" s="2">
        <v>46173</v>
      </c>
    </row>
    <row r="3193" spans="1:14" x14ac:dyDescent="0.25">
      <c r="A3193" t="s">
        <v>497</v>
      </c>
      <c r="B3193" s="2">
        <v>46175</v>
      </c>
      <c r="C3193" t="s">
        <v>497</v>
      </c>
      <c r="D3193" t="s">
        <v>301</v>
      </c>
      <c r="E3193" t="s">
        <v>9</v>
      </c>
      <c r="F3193" s="3">
        <v>9000</v>
      </c>
      <c r="G3193" s="3">
        <v>9000</v>
      </c>
      <c r="H3193" t="s">
        <v>3</v>
      </c>
      <c r="I3193" t="s">
        <v>3</v>
      </c>
      <c r="J3193" t="s">
        <v>9</v>
      </c>
      <c r="K3193" t="s">
        <v>9</v>
      </c>
      <c r="L3193" t="s">
        <v>18</v>
      </c>
      <c r="M3193" t="s">
        <v>302</v>
      </c>
      <c r="N3193" s="2">
        <v>46173</v>
      </c>
    </row>
    <row r="3194" spans="1:14" x14ac:dyDescent="0.25">
      <c r="A3194" t="s">
        <v>497</v>
      </c>
      <c r="B3194" s="2">
        <v>46142</v>
      </c>
      <c r="C3194" t="s">
        <v>497</v>
      </c>
      <c r="D3194" t="s">
        <v>112</v>
      </c>
      <c r="E3194" t="s">
        <v>9</v>
      </c>
      <c r="F3194" s="3">
        <v>-18500</v>
      </c>
      <c r="G3194" s="3">
        <v>-18500</v>
      </c>
      <c r="H3194" t="s">
        <v>3</v>
      </c>
      <c r="I3194" t="s">
        <v>3</v>
      </c>
      <c r="J3194" t="s">
        <v>310</v>
      </c>
      <c r="K3194" t="s">
        <v>13</v>
      </c>
      <c r="L3194" t="s">
        <v>18</v>
      </c>
      <c r="M3194" t="s">
        <v>114</v>
      </c>
      <c r="N3194" s="2">
        <v>46143</v>
      </c>
    </row>
    <row r="3195" spans="1:14" x14ac:dyDescent="0.25">
      <c r="A3195" t="s">
        <v>497</v>
      </c>
      <c r="B3195" s="2">
        <v>46142</v>
      </c>
      <c r="C3195" t="s">
        <v>497</v>
      </c>
      <c r="D3195" t="s">
        <v>112</v>
      </c>
      <c r="E3195" t="s">
        <v>9</v>
      </c>
      <c r="F3195" s="3">
        <v>-400</v>
      </c>
      <c r="G3195" s="3">
        <v>-400</v>
      </c>
      <c r="H3195" t="s">
        <v>3</v>
      </c>
      <c r="I3195" t="s">
        <v>3</v>
      </c>
      <c r="J3195" t="s">
        <v>370</v>
      </c>
      <c r="K3195" t="s">
        <v>13</v>
      </c>
      <c r="L3195" t="s">
        <v>18</v>
      </c>
      <c r="M3195" t="s">
        <v>114</v>
      </c>
      <c r="N3195" s="2">
        <v>46143</v>
      </c>
    </row>
    <row r="3196" spans="1:14" x14ac:dyDescent="0.25">
      <c r="A3196" t="s">
        <v>497</v>
      </c>
      <c r="B3196" s="2">
        <v>46142</v>
      </c>
      <c r="C3196" t="s">
        <v>497</v>
      </c>
      <c r="D3196" t="s">
        <v>112</v>
      </c>
      <c r="E3196" t="s">
        <v>9</v>
      </c>
      <c r="F3196" s="3">
        <v>-2790</v>
      </c>
      <c r="G3196" s="3">
        <v>-2790</v>
      </c>
      <c r="H3196" t="s">
        <v>3</v>
      </c>
      <c r="I3196" t="s">
        <v>3</v>
      </c>
      <c r="J3196" t="s">
        <v>499</v>
      </c>
      <c r="K3196" t="s">
        <v>13</v>
      </c>
      <c r="L3196" t="s">
        <v>18</v>
      </c>
      <c r="M3196" t="s">
        <v>114</v>
      </c>
      <c r="N3196" s="2">
        <v>46143</v>
      </c>
    </row>
    <row r="3197" spans="1:14" x14ac:dyDescent="0.25">
      <c r="A3197" t="s">
        <v>497</v>
      </c>
      <c r="B3197" s="2">
        <v>46173</v>
      </c>
      <c r="C3197" t="s">
        <v>497</v>
      </c>
      <c r="D3197" t="s">
        <v>112</v>
      </c>
      <c r="E3197" t="s">
        <v>9</v>
      </c>
      <c r="F3197" s="3">
        <v>27300</v>
      </c>
      <c r="G3197" s="3">
        <v>27300</v>
      </c>
      <c r="H3197" t="s">
        <v>3</v>
      </c>
      <c r="I3197" t="s">
        <v>3</v>
      </c>
      <c r="J3197" t="s">
        <v>313</v>
      </c>
      <c r="K3197" t="s">
        <v>13</v>
      </c>
      <c r="L3197" t="s">
        <v>18</v>
      </c>
      <c r="M3197" t="s">
        <v>114</v>
      </c>
      <c r="N3197" s="2">
        <v>46173</v>
      </c>
    </row>
    <row r="3198" spans="1:14" x14ac:dyDescent="0.25">
      <c r="A3198" t="s">
        <v>497</v>
      </c>
      <c r="B3198" s="2">
        <v>46173</v>
      </c>
      <c r="C3198" t="s">
        <v>497</v>
      </c>
      <c r="D3198" t="s">
        <v>112</v>
      </c>
      <c r="E3198" t="s">
        <v>9</v>
      </c>
      <c r="F3198" s="3">
        <v>600</v>
      </c>
      <c r="G3198" s="3">
        <v>600</v>
      </c>
      <c r="H3198" t="s">
        <v>3</v>
      </c>
      <c r="I3198" t="s">
        <v>3</v>
      </c>
      <c r="J3198" t="s">
        <v>371</v>
      </c>
      <c r="K3198" t="s">
        <v>13</v>
      </c>
      <c r="L3198" t="s">
        <v>18</v>
      </c>
      <c r="M3198" t="s">
        <v>114</v>
      </c>
      <c r="N3198" s="2">
        <v>46173</v>
      </c>
    </row>
    <row r="3199" spans="1:14" x14ac:dyDescent="0.25">
      <c r="A3199" t="s">
        <v>497</v>
      </c>
      <c r="B3199" s="2">
        <v>46173</v>
      </c>
      <c r="C3199" t="s">
        <v>497</v>
      </c>
      <c r="D3199" t="s">
        <v>112</v>
      </c>
      <c r="E3199" t="s">
        <v>9</v>
      </c>
      <c r="F3199" s="3">
        <v>2790</v>
      </c>
      <c r="G3199" s="3">
        <v>2790</v>
      </c>
      <c r="H3199" t="s">
        <v>3</v>
      </c>
      <c r="I3199" t="s">
        <v>3</v>
      </c>
      <c r="J3199" t="s">
        <v>500</v>
      </c>
      <c r="K3199" t="s">
        <v>13</v>
      </c>
      <c r="L3199" t="s">
        <v>18</v>
      </c>
      <c r="M3199" t="s">
        <v>114</v>
      </c>
      <c r="N3199" s="2">
        <v>46173</v>
      </c>
    </row>
    <row r="3200" spans="1:14" x14ac:dyDescent="0.25">
      <c r="A3200" t="s">
        <v>497</v>
      </c>
      <c r="B3200" s="2">
        <v>46173</v>
      </c>
      <c r="C3200" t="s">
        <v>497</v>
      </c>
      <c r="D3200" t="s">
        <v>301</v>
      </c>
      <c r="E3200" t="s">
        <v>9</v>
      </c>
      <c r="F3200" s="3">
        <v>-9000</v>
      </c>
      <c r="G3200" s="3">
        <v>-9000</v>
      </c>
      <c r="H3200" t="s">
        <v>3</v>
      </c>
      <c r="I3200" t="s">
        <v>3</v>
      </c>
      <c r="J3200" t="s">
        <v>10</v>
      </c>
      <c r="K3200" t="s">
        <v>13</v>
      </c>
      <c r="L3200" t="s">
        <v>18</v>
      </c>
      <c r="M3200" t="s">
        <v>302</v>
      </c>
      <c r="N3200" s="2">
        <v>46173</v>
      </c>
    </row>
    <row r="3201" spans="1:14" x14ac:dyDescent="0.25">
      <c r="A3201" s="4" t="s">
        <v>223</v>
      </c>
      <c r="B3201" s="5"/>
      <c r="C3201" s="4" t="s">
        <v>9</v>
      </c>
      <c r="D3201" s="4" t="s">
        <v>9</v>
      </c>
      <c r="E3201" s="4" t="s">
        <v>9</v>
      </c>
      <c r="F3201" s="6">
        <v>0</v>
      </c>
      <c r="G3201" s="6">
        <v>0</v>
      </c>
      <c r="H3201" s="4" t="s">
        <v>9</v>
      </c>
      <c r="I3201" s="4" t="s">
        <v>3</v>
      </c>
      <c r="J3201" s="4" t="s">
        <v>9</v>
      </c>
      <c r="K3201" s="4" t="s">
        <v>9</v>
      </c>
      <c r="L3201" s="4" t="s">
        <v>9</v>
      </c>
      <c r="M3201" s="4" t="s">
        <v>9</v>
      </c>
      <c r="N3201" s="5"/>
    </row>
    <row r="3202" spans="1:14" x14ac:dyDescent="0.25">
      <c r="A3202" t="s">
        <v>497</v>
      </c>
      <c r="B3202" s="2">
        <v>46205</v>
      </c>
      <c r="C3202" t="s">
        <v>497</v>
      </c>
      <c r="D3202" t="s">
        <v>112</v>
      </c>
      <c r="E3202" t="s">
        <v>9</v>
      </c>
      <c r="F3202" s="3">
        <v>-18000</v>
      </c>
      <c r="G3202" s="3">
        <v>-18000</v>
      </c>
      <c r="H3202" t="s">
        <v>3</v>
      </c>
      <c r="I3202" t="s">
        <v>3</v>
      </c>
      <c r="J3202" t="s">
        <v>9</v>
      </c>
      <c r="K3202" t="s">
        <v>9</v>
      </c>
      <c r="L3202" t="s">
        <v>19</v>
      </c>
      <c r="M3202" t="s">
        <v>114</v>
      </c>
      <c r="N3202" s="2">
        <v>46203</v>
      </c>
    </row>
    <row r="3203" spans="1:14" x14ac:dyDescent="0.25">
      <c r="A3203" t="s">
        <v>497</v>
      </c>
      <c r="B3203" s="2">
        <v>46205</v>
      </c>
      <c r="C3203" t="s">
        <v>497</v>
      </c>
      <c r="D3203" t="s">
        <v>301</v>
      </c>
      <c r="E3203" t="s">
        <v>9</v>
      </c>
      <c r="F3203" s="3">
        <v>18000</v>
      </c>
      <c r="G3203" s="3">
        <v>18000</v>
      </c>
      <c r="H3203" t="s">
        <v>3</v>
      </c>
      <c r="I3203" t="s">
        <v>3</v>
      </c>
      <c r="J3203" t="s">
        <v>9</v>
      </c>
      <c r="K3203" t="s">
        <v>9</v>
      </c>
      <c r="L3203" t="s">
        <v>19</v>
      </c>
      <c r="M3203" t="s">
        <v>302</v>
      </c>
      <c r="N3203" s="2">
        <v>46203</v>
      </c>
    </row>
    <row r="3204" spans="1:14" x14ac:dyDescent="0.25">
      <c r="A3204" t="s">
        <v>497</v>
      </c>
      <c r="B3204" s="2">
        <v>46173</v>
      </c>
      <c r="C3204" t="s">
        <v>497</v>
      </c>
      <c r="D3204" t="s">
        <v>112</v>
      </c>
      <c r="E3204" t="s">
        <v>9</v>
      </c>
      <c r="F3204" s="3">
        <v>-27300</v>
      </c>
      <c r="G3204" s="3">
        <v>-27300</v>
      </c>
      <c r="H3204" t="s">
        <v>3</v>
      </c>
      <c r="I3204" t="s">
        <v>3</v>
      </c>
      <c r="J3204" t="s">
        <v>313</v>
      </c>
      <c r="K3204" t="s">
        <v>13</v>
      </c>
      <c r="L3204" t="s">
        <v>19</v>
      </c>
      <c r="M3204" t="s">
        <v>114</v>
      </c>
      <c r="N3204" s="2">
        <v>46174</v>
      </c>
    </row>
    <row r="3205" spans="1:14" x14ac:dyDescent="0.25">
      <c r="A3205" t="s">
        <v>497</v>
      </c>
      <c r="B3205" s="2">
        <v>46173</v>
      </c>
      <c r="C3205" t="s">
        <v>497</v>
      </c>
      <c r="D3205" t="s">
        <v>112</v>
      </c>
      <c r="E3205" t="s">
        <v>9</v>
      </c>
      <c r="F3205" s="3">
        <v>-600</v>
      </c>
      <c r="G3205" s="3">
        <v>-600</v>
      </c>
      <c r="H3205" t="s">
        <v>3</v>
      </c>
      <c r="I3205" t="s">
        <v>3</v>
      </c>
      <c r="J3205" t="s">
        <v>371</v>
      </c>
      <c r="K3205" t="s">
        <v>13</v>
      </c>
      <c r="L3205" t="s">
        <v>19</v>
      </c>
      <c r="M3205" t="s">
        <v>114</v>
      </c>
      <c r="N3205" s="2">
        <v>46174</v>
      </c>
    </row>
    <row r="3206" spans="1:14" x14ac:dyDescent="0.25">
      <c r="A3206" t="s">
        <v>497</v>
      </c>
      <c r="B3206" s="2">
        <v>46173</v>
      </c>
      <c r="C3206" t="s">
        <v>497</v>
      </c>
      <c r="D3206" t="s">
        <v>112</v>
      </c>
      <c r="E3206" t="s">
        <v>9</v>
      </c>
      <c r="F3206" s="3">
        <v>-2790</v>
      </c>
      <c r="G3206" s="3">
        <v>-2790</v>
      </c>
      <c r="H3206" t="s">
        <v>3</v>
      </c>
      <c r="I3206" t="s">
        <v>3</v>
      </c>
      <c r="J3206" t="s">
        <v>500</v>
      </c>
      <c r="K3206" t="s">
        <v>13</v>
      </c>
      <c r="L3206" t="s">
        <v>19</v>
      </c>
      <c r="M3206" t="s">
        <v>114</v>
      </c>
      <c r="N3206" s="2">
        <v>46174</v>
      </c>
    </row>
    <row r="3207" spans="1:14" x14ac:dyDescent="0.25">
      <c r="A3207" t="s">
        <v>497</v>
      </c>
      <c r="B3207" s="2">
        <v>46203</v>
      </c>
      <c r="C3207" t="s">
        <v>497</v>
      </c>
      <c r="D3207" t="s">
        <v>112</v>
      </c>
      <c r="E3207" t="s">
        <v>9</v>
      </c>
      <c r="F3207" s="3">
        <v>45300</v>
      </c>
      <c r="G3207" s="3">
        <v>45300</v>
      </c>
      <c r="H3207" t="s">
        <v>3</v>
      </c>
      <c r="I3207" t="s">
        <v>3</v>
      </c>
      <c r="J3207" t="s">
        <v>316</v>
      </c>
      <c r="K3207" t="s">
        <v>13</v>
      </c>
      <c r="L3207" t="s">
        <v>19</v>
      </c>
      <c r="M3207" t="s">
        <v>114</v>
      </c>
      <c r="N3207" s="2">
        <v>46203</v>
      </c>
    </row>
    <row r="3208" spans="1:14" x14ac:dyDescent="0.25">
      <c r="A3208" t="s">
        <v>497</v>
      </c>
      <c r="B3208" s="2">
        <v>46203</v>
      </c>
      <c r="C3208" t="s">
        <v>497</v>
      </c>
      <c r="D3208" t="s">
        <v>112</v>
      </c>
      <c r="E3208" t="s">
        <v>9</v>
      </c>
      <c r="F3208" s="3">
        <v>600</v>
      </c>
      <c r="G3208" s="3">
        <v>600</v>
      </c>
      <c r="H3208" t="s">
        <v>3</v>
      </c>
      <c r="I3208" t="s">
        <v>3</v>
      </c>
      <c r="J3208" t="s">
        <v>372</v>
      </c>
      <c r="K3208" t="s">
        <v>13</v>
      </c>
      <c r="L3208" t="s">
        <v>19</v>
      </c>
      <c r="M3208" t="s">
        <v>114</v>
      </c>
      <c r="N3208" s="2">
        <v>46203</v>
      </c>
    </row>
    <row r="3209" spans="1:14" x14ac:dyDescent="0.25">
      <c r="A3209" t="s">
        <v>497</v>
      </c>
      <c r="B3209" s="2">
        <v>46203</v>
      </c>
      <c r="C3209" t="s">
        <v>497</v>
      </c>
      <c r="D3209" t="s">
        <v>112</v>
      </c>
      <c r="E3209" t="s">
        <v>9</v>
      </c>
      <c r="F3209" s="3">
        <v>2790</v>
      </c>
      <c r="G3209" s="3">
        <v>2790</v>
      </c>
      <c r="H3209" t="s">
        <v>3</v>
      </c>
      <c r="I3209" t="s">
        <v>3</v>
      </c>
      <c r="J3209" t="s">
        <v>501</v>
      </c>
      <c r="K3209" t="s">
        <v>13</v>
      </c>
      <c r="L3209" t="s">
        <v>19</v>
      </c>
      <c r="M3209" t="s">
        <v>114</v>
      </c>
      <c r="N3209" s="2">
        <v>46203</v>
      </c>
    </row>
    <row r="3210" spans="1:14" x14ac:dyDescent="0.25">
      <c r="A3210" t="s">
        <v>497</v>
      </c>
      <c r="B3210" s="2">
        <v>46203</v>
      </c>
      <c r="C3210" t="s">
        <v>497</v>
      </c>
      <c r="D3210" t="s">
        <v>301</v>
      </c>
      <c r="E3210" t="s">
        <v>9</v>
      </c>
      <c r="F3210" s="3">
        <v>-18000</v>
      </c>
      <c r="G3210" s="3">
        <v>-18000</v>
      </c>
      <c r="H3210" t="s">
        <v>3</v>
      </c>
      <c r="I3210" t="s">
        <v>3</v>
      </c>
      <c r="J3210" t="s">
        <v>10</v>
      </c>
      <c r="K3210" t="s">
        <v>13</v>
      </c>
      <c r="L3210" t="s">
        <v>19</v>
      </c>
      <c r="M3210" t="s">
        <v>302</v>
      </c>
      <c r="N3210" s="2">
        <v>46203</v>
      </c>
    </row>
    <row r="3211" spans="1:14" x14ac:dyDescent="0.25">
      <c r="A3211" s="4" t="s">
        <v>224</v>
      </c>
      <c r="B3211" s="5"/>
      <c r="C3211" s="4" t="s">
        <v>9</v>
      </c>
      <c r="D3211" s="4" t="s">
        <v>9</v>
      </c>
      <c r="E3211" s="4" t="s">
        <v>9</v>
      </c>
      <c r="F3211" s="6">
        <v>0</v>
      </c>
      <c r="G3211" s="6">
        <v>0</v>
      </c>
      <c r="H3211" s="4" t="s">
        <v>9</v>
      </c>
      <c r="I3211" s="4" t="s">
        <v>3</v>
      </c>
      <c r="J3211" s="4" t="s">
        <v>9</v>
      </c>
      <c r="K3211" s="4" t="s">
        <v>9</v>
      </c>
      <c r="L3211" s="4" t="s">
        <v>9</v>
      </c>
      <c r="M3211" s="4" t="s">
        <v>9</v>
      </c>
      <c r="N3211" s="5"/>
    </row>
    <row r="3212" spans="1:14" x14ac:dyDescent="0.25">
      <c r="A3212" t="s">
        <v>497</v>
      </c>
      <c r="B3212" s="2">
        <v>46239</v>
      </c>
      <c r="C3212" t="s">
        <v>497</v>
      </c>
      <c r="D3212" t="s">
        <v>112</v>
      </c>
      <c r="E3212" t="s">
        <v>9</v>
      </c>
      <c r="F3212" s="3">
        <v>48690</v>
      </c>
      <c r="G3212" s="3">
        <v>48690</v>
      </c>
      <c r="H3212" t="s">
        <v>3</v>
      </c>
      <c r="I3212" t="s">
        <v>3</v>
      </c>
      <c r="J3212" t="s">
        <v>9</v>
      </c>
      <c r="K3212" t="s">
        <v>9</v>
      </c>
      <c r="L3212" t="s">
        <v>21</v>
      </c>
      <c r="M3212" t="s">
        <v>114</v>
      </c>
      <c r="N3212" s="2">
        <v>46234</v>
      </c>
    </row>
    <row r="3213" spans="1:14" x14ac:dyDescent="0.25">
      <c r="A3213" t="s">
        <v>497</v>
      </c>
      <c r="B3213" s="2">
        <v>46239</v>
      </c>
      <c r="C3213" t="s">
        <v>497</v>
      </c>
      <c r="D3213" t="s">
        <v>112</v>
      </c>
      <c r="E3213" t="s">
        <v>9</v>
      </c>
      <c r="F3213" s="3">
        <v>-48690</v>
      </c>
      <c r="G3213" s="3">
        <v>-48690</v>
      </c>
      <c r="H3213" t="s">
        <v>3</v>
      </c>
      <c r="I3213" t="s">
        <v>3</v>
      </c>
      <c r="J3213" t="s">
        <v>9</v>
      </c>
      <c r="K3213" t="s">
        <v>9</v>
      </c>
      <c r="L3213" t="s">
        <v>21</v>
      </c>
      <c r="M3213" t="s">
        <v>114</v>
      </c>
      <c r="N3213" s="2">
        <v>46234</v>
      </c>
    </row>
    <row r="3214" spans="1:14" x14ac:dyDescent="0.25">
      <c r="A3214" t="s">
        <v>497</v>
      </c>
      <c r="B3214" s="2">
        <v>46203</v>
      </c>
      <c r="C3214" t="s">
        <v>497</v>
      </c>
      <c r="D3214" t="s">
        <v>112</v>
      </c>
      <c r="E3214" t="s">
        <v>9</v>
      </c>
      <c r="F3214" s="3">
        <v>-45300</v>
      </c>
      <c r="G3214" s="3">
        <v>-45300</v>
      </c>
      <c r="H3214" t="s">
        <v>3</v>
      </c>
      <c r="I3214" t="s">
        <v>3</v>
      </c>
      <c r="J3214" t="s">
        <v>316</v>
      </c>
      <c r="K3214" t="s">
        <v>13</v>
      </c>
      <c r="L3214" t="s">
        <v>21</v>
      </c>
      <c r="M3214" t="s">
        <v>114</v>
      </c>
      <c r="N3214" s="2">
        <v>46204</v>
      </c>
    </row>
    <row r="3215" spans="1:14" x14ac:dyDescent="0.25">
      <c r="A3215" t="s">
        <v>497</v>
      </c>
      <c r="B3215" s="2">
        <v>46203</v>
      </c>
      <c r="C3215" t="s">
        <v>497</v>
      </c>
      <c r="D3215" t="s">
        <v>112</v>
      </c>
      <c r="E3215" t="s">
        <v>9</v>
      </c>
      <c r="F3215" s="3">
        <v>-600</v>
      </c>
      <c r="G3215" s="3">
        <v>-600</v>
      </c>
      <c r="H3215" t="s">
        <v>3</v>
      </c>
      <c r="I3215" t="s">
        <v>3</v>
      </c>
      <c r="J3215" t="s">
        <v>372</v>
      </c>
      <c r="K3215" t="s">
        <v>13</v>
      </c>
      <c r="L3215" t="s">
        <v>21</v>
      </c>
      <c r="M3215" t="s">
        <v>114</v>
      </c>
      <c r="N3215" s="2">
        <v>46204</v>
      </c>
    </row>
    <row r="3216" spans="1:14" x14ac:dyDescent="0.25">
      <c r="A3216" t="s">
        <v>497</v>
      </c>
      <c r="B3216" s="2">
        <v>46203</v>
      </c>
      <c r="C3216" t="s">
        <v>497</v>
      </c>
      <c r="D3216" t="s">
        <v>112</v>
      </c>
      <c r="E3216" t="s">
        <v>9</v>
      </c>
      <c r="F3216" s="3">
        <v>-2790</v>
      </c>
      <c r="G3216" s="3">
        <v>-2790</v>
      </c>
      <c r="H3216" t="s">
        <v>3</v>
      </c>
      <c r="I3216" t="s">
        <v>3</v>
      </c>
      <c r="J3216" t="s">
        <v>501</v>
      </c>
      <c r="K3216" t="s">
        <v>13</v>
      </c>
      <c r="L3216" t="s">
        <v>21</v>
      </c>
      <c r="M3216" t="s">
        <v>114</v>
      </c>
      <c r="N3216" s="2">
        <v>46204</v>
      </c>
    </row>
    <row r="3217" spans="1:14" x14ac:dyDescent="0.25">
      <c r="A3217" t="s">
        <v>497</v>
      </c>
      <c r="B3217" s="2">
        <v>46234</v>
      </c>
      <c r="C3217" t="s">
        <v>497</v>
      </c>
      <c r="D3217" t="s">
        <v>112</v>
      </c>
      <c r="E3217" t="s">
        <v>9</v>
      </c>
      <c r="F3217" s="3">
        <v>45300</v>
      </c>
      <c r="G3217" s="3">
        <v>45300</v>
      </c>
      <c r="H3217" t="s">
        <v>3</v>
      </c>
      <c r="I3217" t="s">
        <v>3</v>
      </c>
      <c r="J3217" t="s">
        <v>319</v>
      </c>
      <c r="K3217" t="s">
        <v>13</v>
      </c>
      <c r="L3217" t="s">
        <v>21</v>
      </c>
      <c r="M3217" t="s">
        <v>114</v>
      </c>
      <c r="N3217" s="2">
        <v>46234</v>
      </c>
    </row>
    <row r="3218" spans="1:14" x14ac:dyDescent="0.25">
      <c r="A3218" t="s">
        <v>497</v>
      </c>
      <c r="B3218" s="2">
        <v>46234</v>
      </c>
      <c r="C3218" t="s">
        <v>497</v>
      </c>
      <c r="D3218" t="s">
        <v>112</v>
      </c>
      <c r="E3218" t="s">
        <v>9</v>
      </c>
      <c r="F3218" s="3">
        <v>600</v>
      </c>
      <c r="G3218" s="3">
        <v>600</v>
      </c>
      <c r="H3218" t="s">
        <v>3</v>
      </c>
      <c r="I3218" t="s">
        <v>3</v>
      </c>
      <c r="J3218" t="s">
        <v>373</v>
      </c>
      <c r="K3218" t="s">
        <v>13</v>
      </c>
      <c r="L3218" t="s">
        <v>21</v>
      </c>
      <c r="M3218" t="s">
        <v>114</v>
      </c>
      <c r="N3218" s="2">
        <v>46234</v>
      </c>
    </row>
    <row r="3219" spans="1:14" x14ac:dyDescent="0.25">
      <c r="A3219" t="s">
        <v>497</v>
      </c>
      <c r="B3219" s="2">
        <v>46234</v>
      </c>
      <c r="C3219" t="s">
        <v>497</v>
      </c>
      <c r="D3219" t="s">
        <v>112</v>
      </c>
      <c r="E3219" t="s">
        <v>9</v>
      </c>
      <c r="F3219" s="3">
        <v>2790</v>
      </c>
      <c r="G3219" s="3">
        <v>2790</v>
      </c>
      <c r="H3219" t="s">
        <v>3</v>
      </c>
      <c r="I3219" t="s">
        <v>3</v>
      </c>
      <c r="J3219" t="s">
        <v>502</v>
      </c>
      <c r="K3219" t="s">
        <v>13</v>
      </c>
      <c r="L3219" t="s">
        <v>21</v>
      </c>
      <c r="M3219" t="s">
        <v>114</v>
      </c>
      <c r="N3219" s="2">
        <v>46234</v>
      </c>
    </row>
    <row r="3220" spans="1:14" x14ac:dyDescent="0.25">
      <c r="A3220" s="4" t="s">
        <v>262</v>
      </c>
      <c r="B3220" s="5"/>
      <c r="C3220" s="4" t="s">
        <v>9</v>
      </c>
      <c r="D3220" s="4" t="s">
        <v>9</v>
      </c>
      <c r="E3220" s="4" t="s">
        <v>9</v>
      </c>
      <c r="F3220" s="6">
        <v>0</v>
      </c>
      <c r="G3220" s="6">
        <v>0</v>
      </c>
      <c r="H3220" s="4" t="s">
        <v>9</v>
      </c>
      <c r="I3220" s="4" t="s">
        <v>3</v>
      </c>
      <c r="J3220" s="4" t="s">
        <v>9</v>
      </c>
      <c r="K3220" s="4" t="s">
        <v>9</v>
      </c>
      <c r="L3220" s="4" t="s">
        <v>9</v>
      </c>
      <c r="M3220" s="4" t="s">
        <v>9</v>
      </c>
      <c r="N3220" s="5"/>
    </row>
    <row r="3221" spans="1:14" x14ac:dyDescent="0.25">
      <c r="A3221" t="s">
        <v>497</v>
      </c>
      <c r="B3221" s="2">
        <v>46234</v>
      </c>
      <c r="C3221" t="s">
        <v>497</v>
      </c>
      <c r="D3221" t="s">
        <v>112</v>
      </c>
      <c r="E3221" t="s">
        <v>9</v>
      </c>
      <c r="F3221" s="3">
        <v>-45300</v>
      </c>
      <c r="G3221" s="3">
        <v>-45300</v>
      </c>
      <c r="H3221" t="s">
        <v>3</v>
      </c>
      <c r="I3221" t="s">
        <v>3</v>
      </c>
      <c r="J3221" t="s">
        <v>319</v>
      </c>
      <c r="K3221" t="s">
        <v>13</v>
      </c>
      <c r="L3221" t="s">
        <v>22</v>
      </c>
      <c r="M3221" t="s">
        <v>114</v>
      </c>
      <c r="N3221" s="2">
        <v>46235</v>
      </c>
    </row>
    <row r="3222" spans="1:14" x14ac:dyDescent="0.25">
      <c r="A3222" t="s">
        <v>497</v>
      </c>
      <c r="B3222" s="2">
        <v>46234</v>
      </c>
      <c r="C3222" t="s">
        <v>497</v>
      </c>
      <c r="D3222" t="s">
        <v>112</v>
      </c>
      <c r="E3222" t="s">
        <v>9</v>
      </c>
      <c r="F3222" s="3">
        <v>-600</v>
      </c>
      <c r="G3222" s="3">
        <v>-600</v>
      </c>
      <c r="H3222" t="s">
        <v>3</v>
      </c>
      <c r="I3222" t="s">
        <v>3</v>
      </c>
      <c r="J3222" t="s">
        <v>373</v>
      </c>
      <c r="K3222" t="s">
        <v>13</v>
      </c>
      <c r="L3222" t="s">
        <v>22</v>
      </c>
      <c r="M3222" t="s">
        <v>114</v>
      </c>
      <c r="N3222" s="2">
        <v>46235</v>
      </c>
    </row>
    <row r="3223" spans="1:14" x14ac:dyDescent="0.25">
      <c r="A3223" t="s">
        <v>497</v>
      </c>
      <c r="B3223" s="2">
        <v>46234</v>
      </c>
      <c r="C3223" t="s">
        <v>497</v>
      </c>
      <c r="D3223" t="s">
        <v>112</v>
      </c>
      <c r="E3223" t="s">
        <v>9</v>
      </c>
      <c r="F3223" s="3">
        <v>-2790</v>
      </c>
      <c r="G3223" s="3">
        <v>-2790</v>
      </c>
      <c r="H3223" t="s">
        <v>3</v>
      </c>
      <c r="I3223" t="s">
        <v>3</v>
      </c>
      <c r="J3223" t="s">
        <v>502</v>
      </c>
      <c r="K3223" t="s">
        <v>13</v>
      </c>
      <c r="L3223" t="s">
        <v>22</v>
      </c>
      <c r="M3223" t="s">
        <v>114</v>
      </c>
      <c r="N3223" s="2">
        <v>46235</v>
      </c>
    </row>
    <row r="3224" spans="1:14" x14ac:dyDescent="0.25">
      <c r="A3224" t="s">
        <v>497</v>
      </c>
      <c r="B3224" s="2">
        <v>46265</v>
      </c>
      <c r="C3224" t="s">
        <v>497</v>
      </c>
      <c r="D3224" t="s">
        <v>112</v>
      </c>
      <c r="E3224" t="s">
        <v>9</v>
      </c>
      <c r="F3224" s="3">
        <v>45300</v>
      </c>
      <c r="G3224" s="3">
        <v>45300</v>
      </c>
      <c r="H3224" t="s">
        <v>3</v>
      </c>
      <c r="I3224" t="s">
        <v>3</v>
      </c>
      <c r="J3224" t="s">
        <v>322</v>
      </c>
      <c r="K3224" t="s">
        <v>13</v>
      </c>
      <c r="L3224" t="s">
        <v>22</v>
      </c>
      <c r="M3224" t="s">
        <v>114</v>
      </c>
      <c r="N3224" s="2">
        <v>46265</v>
      </c>
    </row>
    <row r="3225" spans="1:14" x14ac:dyDescent="0.25">
      <c r="A3225" t="s">
        <v>497</v>
      </c>
      <c r="B3225" s="2">
        <v>46265</v>
      </c>
      <c r="C3225" t="s">
        <v>497</v>
      </c>
      <c r="D3225" t="s">
        <v>112</v>
      </c>
      <c r="E3225" t="s">
        <v>9</v>
      </c>
      <c r="F3225" s="3">
        <v>600</v>
      </c>
      <c r="G3225" s="3">
        <v>600</v>
      </c>
      <c r="H3225" t="s">
        <v>3</v>
      </c>
      <c r="I3225" t="s">
        <v>3</v>
      </c>
      <c r="J3225" t="s">
        <v>430</v>
      </c>
      <c r="K3225" t="s">
        <v>13</v>
      </c>
      <c r="L3225" t="s">
        <v>22</v>
      </c>
      <c r="M3225" t="s">
        <v>114</v>
      </c>
      <c r="N3225" s="2">
        <v>46265</v>
      </c>
    </row>
    <row r="3226" spans="1:14" x14ac:dyDescent="0.25">
      <c r="A3226" t="s">
        <v>497</v>
      </c>
      <c r="B3226" s="2">
        <v>46265</v>
      </c>
      <c r="C3226" t="s">
        <v>497</v>
      </c>
      <c r="D3226" t="s">
        <v>112</v>
      </c>
      <c r="E3226" t="s">
        <v>9</v>
      </c>
      <c r="F3226" s="3">
        <v>2790</v>
      </c>
      <c r="G3226" s="3">
        <v>2790</v>
      </c>
      <c r="H3226" t="s">
        <v>3</v>
      </c>
      <c r="I3226" t="s">
        <v>3</v>
      </c>
      <c r="J3226" t="s">
        <v>503</v>
      </c>
      <c r="K3226" t="s">
        <v>13</v>
      </c>
      <c r="L3226" t="s">
        <v>22</v>
      </c>
      <c r="M3226" t="s">
        <v>114</v>
      </c>
      <c r="N3226" s="2">
        <v>46265</v>
      </c>
    </row>
    <row r="3227" spans="1:14" x14ac:dyDescent="0.25">
      <c r="A3227" s="4" t="s">
        <v>267</v>
      </c>
      <c r="B3227" s="5"/>
      <c r="C3227" s="4" t="s">
        <v>9</v>
      </c>
      <c r="D3227" s="4" t="s">
        <v>9</v>
      </c>
      <c r="E3227" s="4" t="s">
        <v>9</v>
      </c>
      <c r="F3227" s="6">
        <v>0</v>
      </c>
      <c r="G3227" s="6">
        <v>0</v>
      </c>
      <c r="H3227" s="4" t="s">
        <v>9</v>
      </c>
      <c r="I3227" s="4" t="s">
        <v>3</v>
      </c>
      <c r="J3227" s="4" t="s">
        <v>9</v>
      </c>
      <c r="K3227" s="4" t="s">
        <v>9</v>
      </c>
      <c r="L3227" s="4" t="s">
        <v>9</v>
      </c>
      <c r="M3227" s="4" t="s">
        <v>9</v>
      </c>
      <c r="N3227" s="5"/>
    </row>
    <row r="3228" spans="1:14" x14ac:dyDescent="0.25">
      <c r="A3228" t="s">
        <v>497</v>
      </c>
      <c r="B3228" s="2">
        <v>45965</v>
      </c>
      <c r="C3228" t="s">
        <v>497</v>
      </c>
      <c r="D3228" t="s">
        <v>301</v>
      </c>
      <c r="E3228" t="s">
        <v>9</v>
      </c>
      <c r="F3228" s="3">
        <v>3800</v>
      </c>
      <c r="G3228" s="3">
        <v>3800</v>
      </c>
      <c r="H3228" t="s">
        <v>3</v>
      </c>
      <c r="I3228" t="s">
        <v>3</v>
      </c>
      <c r="J3228" t="s">
        <v>9</v>
      </c>
      <c r="K3228" t="s">
        <v>9</v>
      </c>
      <c r="L3228" t="s">
        <v>8</v>
      </c>
      <c r="M3228" t="s">
        <v>302</v>
      </c>
      <c r="N3228" s="2">
        <v>45961</v>
      </c>
    </row>
    <row r="3229" spans="1:14" x14ac:dyDescent="0.25">
      <c r="A3229" t="s">
        <v>497</v>
      </c>
      <c r="B3229" s="2">
        <v>45961</v>
      </c>
      <c r="C3229" t="s">
        <v>497</v>
      </c>
      <c r="D3229" t="s">
        <v>301</v>
      </c>
      <c r="E3229" t="s">
        <v>9</v>
      </c>
      <c r="F3229" s="3">
        <v>-3800</v>
      </c>
      <c r="G3229" s="3">
        <v>-3800</v>
      </c>
      <c r="H3229" t="s">
        <v>3</v>
      </c>
      <c r="I3229" t="s">
        <v>3</v>
      </c>
      <c r="J3229" t="s">
        <v>10</v>
      </c>
      <c r="K3229" t="s">
        <v>5</v>
      </c>
      <c r="L3229" t="s">
        <v>8</v>
      </c>
      <c r="M3229" t="s">
        <v>302</v>
      </c>
      <c r="N3229" s="2">
        <v>45961</v>
      </c>
    </row>
    <row r="3230" spans="1:14" x14ac:dyDescent="0.25">
      <c r="A3230" s="4" t="s">
        <v>278</v>
      </c>
      <c r="B3230" s="5"/>
      <c r="C3230" s="4" t="s">
        <v>9</v>
      </c>
      <c r="D3230" s="4" t="s">
        <v>9</v>
      </c>
      <c r="E3230" s="4" t="s">
        <v>9</v>
      </c>
      <c r="F3230" s="6">
        <v>0</v>
      </c>
      <c r="G3230" s="6">
        <v>0</v>
      </c>
      <c r="H3230" s="4" t="s">
        <v>9</v>
      </c>
      <c r="I3230" s="4" t="s">
        <v>3</v>
      </c>
      <c r="J3230" s="4" t="s">
        <v>9</v>
      </c>
      <c r="K3230" s="4" t="s">
        <v>9</v>
      </c>
      <c r="L3230" s="4" t="s">
        <v>9</v>
      </c>
      <c r="M3230" s="4" t="s">
        <v>9</v>
      </c>
      <c r="N3230" s="5"/>
    </row>
    <row r="3231" spans="1:14" x14ac:dyDescent="0.25">
      <c r="A3231" t="s">
        <v>497</v>
      </c>
      <c r="B3231" s="2">
        <v>45993</v>
      </c>
      <c r="C3231" t="s">
        <v>497</v>
      </c>
      <c r="D3231" t="s">
        <v>301</v>
      </c>
      <c r="E3231" t="s">
        <v>9</v>
      </c>
      <c r="F3231" s="3">
        <v>1500</v>
      </c>
      <c r="G3231" s="3">
        <v>1500</v>
      </c>
      <c r="H3231" t="s">
        <v>3</v>
      </c>
      <c r="I3231" t="s">
        <v>3</v>
      </c>
      <c r="J3231" t="s">
        <v>9</v>
      </c>
      <c r="K3231" t="s">
        <v>9</v>
      </c>
      <c r="L3231" t="s">
        <v>11</v>
      </c>
      <c r="M3231" t="s">
        <v>302</v>
      </c>
      <c r="N3231" s="2">
        <v>45991</v>
      </c>
    </row>
    <row r="3232" spans="1:14" x14ac:dyDescent="0.25">
      <c r="A3232" t="s">
        <v>497</v>
      </c>
      <c r="B3232" s="2">
        <v>45991</v>
      </c>
      <c r="C3232" t="s">
        <v>497</v>
      </c>
      <c r="D3232" t="s">
        <v>301</v>
      </c>
      <c r="E3232" t="s">
        <v>9</v>
      </c>
      <c r="F3232" s="3">
        <v>-1500</v>
      </c>
      <c r="G3232" s="3">
        <v>-1500</v>
      </c>
      <c r="H3232" t="s">
        <v>3</v>
      </c>
      <c r="I3232" t="s">
        <v>3</v>
      </c>
      <c r="J3232" t="s">
        <v>10</v>
      </c>
      <c r="K3232" t="s">
        <v>5</v>
      </c>
      <c r="L3232" t="s">
        <v>11</v>
      </c>
      <c r="M3232" t="s">
        <v>302</v>
      </c>
      <c r="N3232" s="2">
        <v>45991</v>
      </c>
    </row>
    <row r="3233" spans="1:14" x14ac:dyDescent="0.25">
      <c r="A3233" s="4" t="s">
        <v>226</v>
      </c>
      <c r="B3233" s="5"/>
      <c r="C3233" s="4" t="s">
        <v>9</v>
      </c>
      <c r="D3233" s="4" t="s">
        <v>9</v>
      </c>
      <c r="E3233" s="4" t="s">
        <v>9</v>
      </c>
      <c r="F3233" s="6">
        <v>0</v>
      </c>
      <c r="G3233" s="6">
        <v>0</v>
      </c>
      <c r="H3233" s="4" t="s">
        <v>9</v>
      </c>
      <c r="I3233" s="4" t="s">
        <v>3</v>
      </c>
      <c r="J3233" s="4" t="s">
        <v>9</v>
      </c>
      <c r="K3233" s="4" t="s">
        <v>9</v>
      </c>
      <c r="L3233" s="4" t="s">
        <v>9</v>
      </c>
      <c r="M3233" s="4" t="s">
        <v>9</v>
      </c>
      <c r="N3233" s="5"/>
    </row>
    <row r="3234" spans="1:14" x14ac:dyDescent="0.25">
      <c r="A3234" t="s">
        <v>497</v>
      </c>
      <c r="B3234" s="2">
        <v>46028</v>
      </c>
      <c r="C3234" t="s">
        <v>497</v>
      </c>
      <c r="D3234" t="s">
        <v>301</v>
      </c>
      <c r="E3234" t="s">
        <v>9</v>
      </c>
      <c r="F3234" s="3">
        <v>12700</v>
      </c>
      <c r="G3234" s="3">
        <v>12700</v>
      </c>
      <c r="H3234" t="s">
        <v>3</v>
      </c>
      <c r="I3234" t="s">
        <v>3</v>
      </c>
      <c r="J3234" t="s">
        <v>9</v>
      </c>
      <c r="K3234" t="s">
        <v>9</v>
      </c>
      <c r="L3234" t="s">
        <v>12</v>
      </c>
      <c r="M3234" t="s">
        <v>302</v>
      </c>
      <c r="N3234" s="2">
        <v>46022</v>
      </c>
    </row>
    <row r="3235" spans="1:14" x14ac:dyDescent="0.25">
      <c r="A3235" t="s">
        <v>497</v>
      </c>
      <c r="B3235" s="2">
        <v>46022</v>
      </c>
      <c r="C3235" t="s">
        <v>497</v>
      </c>
      <c r="D3235" t="s">
        <v>301</v>
      </c>
      <c r="E3235" t="s">
        <v>9</v>
      </c>
      <c r="F3235" s="3">
        <v>-12700</v>
      </c>
      <c r="G3235" s="3">
        <v>-12700</v>
      </c>
      <c r="H3235" t="s">
        <v>3</v>
      </c>
      <c r="I3235" t="s">
        <v>3</v>
      </c>
      <c r="J3235" t="s">
        <v>10</v>
      </c>
      <c r="K3235" t="s">
        <v>5</v>
      </c>
      <c r="L3235" t="s">
        <v>12</v>
      </c>
      <c r="M3235" t="s">
        <v>302</v>
      </c>
      <c r="N3235" s="2">
        <v>46022</v>
      </c>
    </row>
    <row r="3236" spans="1:14" x14ac:dyDescent="0.25">
      <c r="A3236" s="4" t="s">
        <v>228</v>
      </c>
      <c r="B3236" s="5"/>
      <c r="C3236" s="4" t="s">
        <v>9</v>
      </c>
      <c r="D3236" s="4" t="s">
        <v>9</v>
      </c>
      <c r="E3236" s="4" t="s">
        <v>9</v>
      </c>
      <c r="F3236" s="6">
        <v>0</v>
      </c>
      <c r="G3236" s="6">
        <v>0</v>
      </c>
      <c r="H3236" s="4" t="s">
        <v>9</v>
      </c>
      <c r="I3236" s="4" t="s">
        <v>3</v>
      </c>
      <c r="J3236" s="4" t="s">
        <v>9</v>
      </c>
      <c r="K3236" s="4" t="s">
        <v>9</v>
      </c>
      <c r="L3236" s="4" t="s">
        <v>9</v>
      </c>
      <c r="M3236" s="4" t="s">
        <v>9</v>
      </c>
      <c r="N3236" s="5"/>
    </row>
    <row r="3237" spans="1:14" x14ac:dyDescent="0.25">
      <c r="A3237" s="4" t="s">
        <v>497</v>
      </c>
      <c r="B3237" s="5"/>
      <c r="C3237" s="4" t="s">
        <v>9</v>
      </c>
      <c r="D3237" s="4" t="s">
        <v>9</v>
      </c>
      <c r="E3237" s="4" t="s">
        <v>9</v>
      </c>
      <c r="F3237" s="6">
        <v>0</v>
      </c>
      <c r="G3237" s="6">
        <v>0</v>
      </c>
      <c r="H3237" s="4" t="s">
        <v>9</v>
      </c>
      <c r="I3237" s="4" t="s">
        <v>3</v>
      </c>
      <c r="J3237" s="4" t="s">
        <v>9</v>
      </c>
      <c r="K3237" s="4" t="s">
        <v>9</v>
      </c>
      <c r="L3237" s="4" t="s">
        <v>9</v>
      </c>
      <c r="M3237" s="4" t="s">
        <v>9</v>
      </c>
      <c r="N3237" s="5"/>
    </row>
    <row r="3238" spans="1:14" x14ac:dyDescent="0.25">
      <c r="A3238" t="s">
        <v>504</v>
      </c>
      <c r="B3238" s="2">
        <v>46056</v>
      </c>
      <c r="C3238" t="s">
        <v>504</v>
      </c>
      <c r="D3238" t="s">
        <v>112</v>
      </c>
      <c r="E3238" t="s">
        <v>9</v>
      </c>
      <c r="F3238" s="3">
        <v>-3050</v>
      </c>
      <c r="G3238" s="3">
        <v>-3050</v>
      </c>
      <c r="H3238" t="s">
        <v>3</v>
      </c>
      <c r="I3238" t="s">
        <v>3</v>
      </c>
      <c r="J3238" t="s">
        <v>9</v>
      </c>
      <c r="K3238" t="s">
        <v>9</v>
      </c>
      <c r="L3238" t="s">
        <v>14</v>
      </c>
      <c r="M3238" t="s">
        <v>114</v>
      </c>
      <c r="N3238" s="2">
        <v>46053</v>
      </c>
    </row>
    <row r="3239" spans="1:14" x14ac:dyDescent="0.25">
      <c r="A3239" t="s">
        <v>504</v>
      </c>
      <c r="B3239" s="2">
        <v>46022</v>
      </c>
      <c r="C3239" t="s">
        <v>504</v>
      </c>
      <c r="D3239" t="s">
        <v>112</v>
      </c>
      <c r="E3239" t="s">
        <v>9</v>
      </c>
      <c r="F3239" s="3">
        <v>-27652.5</v>
      </c>
      <c r="G3239" s="3">
        <v>-27652.5</v>
      </c>
      <c r="H3239" t="s">
        <v>3</v>
      </c>
      <c r="I3239" t="s">
        <v>3</v>
      </c>
      <c r="J3239" t="s">
        <v>298</v>
      </c>
      <c r="K3239" t="s">
        <v>13</v>
      </c>
      <c r="L3239" t="s">
        <v>14</v>
      </c>
      <c r="M3239" t="s">
        <v>114</v>
      </c>
      <c r="N3239" s="2">
        <v>46023</v>
      </c>
    </row>
    <row r="3240" spans="1:14" x14ac:dyDescent="0.25">
      <c r="A3240" t="s">
        <v>504</v>
      </c>
      <c r="B3240" s="2">
        <v>46023</v>
      </c>
      <c r="C3240" t="s">
        <v>504</v>
      </c>
      <c r="D3240" t="s">
        <v>112</v>
      </c>
      <c r="E3240" t="s">
        <v>9</v>
      </c>
      <c r="F3240" s="3">
        <v>27652.5</v>
      </c>
      <c r="G3240" s="3">
        <v>27652.5</v>
      </c>
      <c r="H3240" t="s">
        <v>3</v>
      </c>
      <c r="I3240" t="s">
        <v>3</v>
      </c>
      <c r="J3240" t="s">
        <v>298</v>
      </c>
      <c r="K3240" t="s">
        <v>13</v>
      </c>
      <c r="L3240" t="s">
        <v>14</v>
      </c>
      <c r="M3240" t="s">
        <v>114</v>
      </c>
      <c r="N3240" s="2">
        <v>46023</v>
      </c>
    </row>
    <row r="3241" spans="1:14" x14ac:dyDescent="0.25">
      <c r="A3241" t="s">
        <v>504</v>
      </c>
      <c r="B3241" s="2">
        <v>46053</v>
      </c>
      <c r="C3241" t="s">
        <v>504</v>
      </c>
      <c r="D3241" t="s">
        <v>112</v>
      </c>
      <c r="E3241" t="s">
        <v>9</v>
      </c>
      <c r="F3241" s="3">
        <v>3050</v>
      </c>
      <c r="G3241" s="3">
        <v>3050</v>
      </c>
      <c r="H3241" t="s">
        <v>3</v>
      </c>
      <c r="I3241" t="s">
        <v>3</v>
      </c>
      <c r="J3241" t="s">
        <v>300</v>
      </c>
      <c r="K3241" t="s">
        <v>13</v>
      </c>
      <c r="L3241" t="s">
        <v>14</v>
      </c>
      <c r="M3241" t="s">
        <v>114</v>
      </c>
      <c r="N3241" s="2">
        <v>46053</v>
      </c>
    </row>
    <row r="3242" spans="1:14" x14ac:dyDescent="0.25">
      <c r="A3242" s="4" t="s">
        <v>234</v>
      </c>
      <c r="B3242" s="5"/>
      <c r="C3242" s="4" t="s">
        <v>9</v>
      </c>
      <c r="D3242" s="4" t="s">
        <v>9</v>
      </c>
      <c r="E3242" s="4" t="s">
        <v>9</v>
      </c>
      <c r="F3242" s="6">
        <v>0</v>
      </c>
      <c r="G3242" s="6">
        <v>0</v>
      </c>
      <c r="H3242" s="4" t="s">
        <v>9</v>
      </c>
      <c r="I3242" s="4" t="s">
        <v>3</v>
      </c>
      <c r="J3242" s="4" t="s">
        <v>9</v>
      </c>
      <c r="K3242" s="4" t="s">
        <v>9</v>
      </c>
      <c r="L3242" s="4" t="s">
        <v>9</v>
      </c>
      <c r="M3242" s="4" t="s">
        <v>9</v>
      </c>
      <c r="N3242" s="5"/>
    </row>
    <row r="3243" spans="1:14" x14ac:dyDescent="0.25">
      <c r="A3243" t="s">
        <v>504</v>
      </c>
      <c r="B3243" s="2">
        <v>46084</v>
      </c>
      <c r="C3243" t="s">
        <v>504</v>
      </c>
      <c r="D3243" t="s">
        <v>112</v>
      </c>
      <c r="E3243" t="s">
        <v>9</v>
      </c>
      <c r="F3243" s="3">
        <v>-3860</v>
      </c>
      <c r="G3243" s="3">
        <v>-3860</v>
      </c>
      <c r="H3243" t="s">
        <v>3</v>
      </c>
      <c r="I3243" t="s">
        <v>3</v>
      </c>
      <c r="J3243" t="s">
        <v>9</v>
      </c>
      <c r="K3243" t="s">
        <v>9</v>
      </c>
      <c r="L3243" t="s">
        <v>15</v>
      </c>
      <c r="M3243" t="s">
        <v>114</v>
      </c>
      <c r="N3243" s="2">
        <v>46081</v>
      </c>
    </row>
    <row r="3244" spans="1:14" x14ac:dyDescent="0.25">
      <c r="A3244" t="s">
        <v>504</v>
      </c>
      <c r="B3244" s="2">
        <v>46054</v>
      </c>
      <c r="C3244" t="s">
        <v>504</v>
      </c>
      <c r="D3244" t="s">
        <v>112</v>
      </c>
      <c r="E3244" t="s">
        <v>9</v>
      </c>
      <c r="F3244" s="3">
        <v>-3050</v>
      </c>
      <c r="G3244" s="3">
        <v>-3050</v>
      </c>
      <c r="H3244" t="s">
        <v>3</v>
      </c>
      <c r="I3244" t="s">
        <v>3</v>
      </c>
      <c r="J3244" t="s">
        <v>300</v>
      </c>
      <c r="K3244" t="s">
        <v>13</v>
      </c>
      <c r="L3244" t="s">
        <v>15</v>
      </c>
      <c r="M3244" t="s">
        <v>114</v>
      </c>
      <c r="N3244" s="2">
        <v>46054</v>
      </c>
    </row>
    <row r="3245" spans="1:14" x14ac:dyDescent="0.25">
      <c r="A3245" t="s">
        <v>504</v>
      </c>
      <c r="B3245" s="2">
        <v>46054</v>
      </c>
      <c r="C3245" t="s">
        <v>504</v>
      </c>
      <c r="D3245" t="s">
        <v>112</v>
      </c>
      <c r="E3245" t="s">
        <v>9</v>
      </c>
      <c r="F3245" s="3">
        <v>3050</v>
      </c>
      <c r="G3245" s="3">
        <v>3050</v>
      </c>
      <c r="H3245" t="s">
        <v>3</v>
      </c>
      <c r="I3245" t="s">
        <v>3</v>
      </c>
      <c r="J3245" t="s">
        <v>300</v>
      </c>
      <c r="K3245" t="s">
        <v>13</v>
      </c>
      <c r="L3245" t="s">
        <v>15</v>
      </c>
      <c r="M3245" t="s">
        <v>114</v>
      </c>
      <c r="N3245" s="2">
        <v>46055</v>
      </c>
    </row>
    <row r="3246" spans="1:14" x14ac:dyDescent="0.25">
      <c r="A3246" t="s">
        <v>504</v>
      </c>
      <c r="B3246" s="2">
        <v>46054</v>
      </c>
      <c r="C3246" t="s">
        <v>504</v>
      </c>
      <c r="D3246" t="s">
        <v>112</v>
      </c>
      <c r="E3246" t="s">
        <v>9</v>
      </c>
      <c r="F3246" s="3">
        <v>-3050</v>
      </c>
      <c r="G3246" s="3">
        <v>-3050</v>
      </c>
      <c r="H3246" t="s">
        <v>3</v>
      </c>
      <c r="I3246" t="s">
        <v>3</v>
      </c>
      <c r="J3246" t="s">
        <v>300</v>
      </c>
      <c r="K3246" t="s">
        <v>13</v>
      </c>
      <c r="L3246" t="s">
        <v>15</v>
      </c>
      <c r="M3246" t="s">
        <v>114</v>
      </c>
      <c r="N3246" s="2">
        <v>46054</v>
      </c>
    </row>
    <row r="3247" spans="1:14" x14ac:dyDescent="0.25">
      <c r="A3247" t="s">
        <v>504</v>
      </c>
      <c r="B3247" s="2">
        <v>46081</v>
      </c>
      <c r="C3247" t="s">
        <v>504</v>
      </c>
      <c r="D3247" t="s">
        <v>112</v>
      </c>
      <c r="E3247" t="s">
        <v>9</v>
      </c>
      <c r="F3247" s="3">
        <v>6910</v>
      </c>
      <c r="G3247" s="3">
        <v>6910</v>
      </c>
      <c r="H3247" t="s">
        <v>3</v>
      </c>
      <c r="I3247" t="s">
        <v>3</v>
      </c>
      <c r="J3247" t="s">
        <v>304</v>
      </c>
      <c r="K3247" t="s">
        <v>13</v>
      </c>
      <c r="L3247" t="s">
        <v>15</v>
      </c>
      <c r="M3247" t="s">
        <v>114</v>
      </c>
      <c r="N3247" s="2">
        <v>46081</v>
      </c>
    </row>
    <row r="3248" spans="1:14" x14ac:dyDescent="0.25">
      <c r="A3248" s="4" t="s">
        <v>239</v>
      </c>
      <c r="B3248" s="5"/>
      <c r="C3248" s="4" t="s">
        <v>9</v>
      </c>
      <c r="D3248" s="4" t="s">
        <v>9</v>
      </c>
      <c r="E3248" s="4" t="s">
        <v>9</v>
      </c>
      <c r="F3248" s="6">
        <v>0</v>
      </c>
      <c r="G3248" s="6">
        <v>0</v>
      </c>
      <c r="H3248" s="4" t="s">
        <v>9</v>
      </c>
      <c r="I3248" s="4" t="s">
        <v>3</v>
      </c>
      <c r="J3248" s="4" t="s">
        <v>9</v>
      </c>
      <c r="K3248" s="4" t="s">
        <v>9</v>
      </c>
      <c r="L3248" s="4" t="s">
        <v>9</v>
      </c>
      <c r="M3248" s="4" t="s">
        <v>9</v>
      </c>
      <c r="N3248" s="5"/>
    </row>
    <row r="3249" spans="1:14" x14ac:dyDescent="0.25">
      <c r="A3249" t="s">
        <v>504</v>
      </c>
      <c r="B3249" s="2">
        <v>46115</v>
      </c>
      <c r="C3249" t="s">
        <v>504</v>
      </c>
      <c r="D3249" t="s">
        <v>112</v>
      </c>
      <c r="E3249" t="s">
        <v>9</v>
      </c>
      <c r="F3249" s="3">
        <v>-4600</v>
      </c>
      <c r="G3249" s="3">
        <v>-4600</v>
      </c>
      <c r="H3249" t="s">
        <v>3</v>
      </c>
      <c r="I3249" t="s">
        <v>3</v>
      </c>
      <c r="J3249" t="s">
        <v>9</v>
      </c>
      <c r="K3249" t="s">
        <v>9</v>
      </c>
      <c r="L3249" t="s">
        <v>16</v>
      </c>
      <c r="M3249" t="s">
        <v>114</v>
      </c>
      <c r="N3249" s="2">
        <v>46112</v>
      </c>
    </row>
    <row r="3250" spans="1:14" x14ac:dyDescent="0.25">
      <c r="A3250" t="s">
        <v>504</v>
      </c>
      <c r="B3250" s="2">
        <v>46081</v>
      </c>
      <c r="C3250" t="s">
        <v>504</v>
      </c>
      <c r="D3250" t="s">
        <v>112</v>
      </c>
      <c r="E3250" t="s">
        <v>9</v>
      </c>
      <c r="F3250" s="3">
        <v>-6910</v>
      </c>
      <c r="G3250" s="3">
        <v>-6910</v>
      </c>
      <c r="H3250" t="s">
        <v>3</v>
      </c>
      <c r="I3250" t="s">
        <v>3</v>
      </c>
      <c r="J3250" t="s">
        <v>304</v>
      </c>
      <c r="K3250" t="s">
        <v>13</v>
      </c>
      <c r="L3250" t="s">
        <v>16</v>
      </c>
      <c r="M3250" t="s">
        <v>114</v>
      </c>
      <c r="N3250" s="2">
        <v>46082</v>
      </c>
    </row>
    <row r="3251" spans="1:14" x14ac:dyDescent="0.25">
      <c r="A3251" t="s">
        <v>504</v>
      </c>
      <c r="B3251" s="2">
        <v>46112</v>
      </c>
      <c r="C3251" t="s">
        <v>504</v>
      </c>
      <c r="D3251" t="s">
        <v>112</v>
      </c>
      <c r="E3251" t="s">
        <v>9</v>
      </c>
      <c r="F3251" s="3">
        <v>11510</v>
      </c>
      <c r="G3251" s="3">
        <v>11510</v>
      </c>
      <c r="H3251" t="s">
        <v>3</v>
      </c>
      <c r="I3251" t="s">
        <v>3</v>
      </c>
      <c r="J3251" t="s">
        <v>307</v>
      </c>
      <c r="K3251" t="s">
        <v>13</v>
      </c>
      <c r="L3251" t="s">
        <v>16</v>
      </c>
      <c r="M3251" t="s">
        <v>114</v>
      </c>
      <c r="N3251" s="2">
        <v>46112</v>
      </c>
    </row>
    <row r="3252" spans="1:14" x14ac:dyDescent="0.25">
      <c r="A3252" s="4" t="s">
        <v>244</v>
      </c>
      <c r="B3252" s="5"/>
      <c r="C3252" s="4" t="s">
        <v>9</v>
      </c>
      <c r="D3252" s="4" t="s">
        <v>9</v>
      </c>
      <c r="E3252" s="4" t="s">
        <v>9</v>
      </c>
      <c r="F3252" s="6">
        <v>0</v>
      </c>
      <c r="G3252" s="6">
        <v>0</v>
      </c>
      <c r="H3252" s="4" t="s">
        <v>9</v>
      </c>
      <c r="I3252" s="4" t="s">
        <v>3</v>
      </c>
      <c r="J3252" s="4" t="s">
        <v>9</v>
      </c>
      <c r="K3252" s="4" t="s">
        <v>9</v>
      </c>
      <c r="L3252" s="4" t="s">
        <v>9</v>
      </c>
      <c r="M3252" s="4" t="s">
        <v>9</v>
      </c>
      <c r="N3252" s="5"/>
    </row>
    <row r="3253" spans="1:14" x14ac:dyDescent="0.25">
      <c r="A3253" t="s">
        <v>504</v>
      </c>
      <c r="B3253" s="2">
        <v>45810</v>
      </c>
      <c r="C3253" t="s">
        <v>504</v>
      </c>
      <c r="D3253" t="s">
        <v>112</v>
      </c>
      <c r="E3253" t="s">
        <v>9</v>
      </c>
      <c r="F3253" s="3">
        <v>-2100</v>
      </c>
      <c r="G3253" s="3">
        <v>-2100</v>
      </c>
      <c r="H3253" t="s">
        <v>3</v>
      </c>
      <c r="I3253" t="s">
        <v>3</v>
      </c>
      <c r="J3253" t="s">
        <v>9</v>
      </c>
      <c r="K3253" t="s">
        <v>9</v>
      </c>
      <c r="L3253" t="s">
        <v>18</v>
      </c>
      <c r="M3253" t="s">
        <v>114</v>
      </c>
      <c r="N3253" s="2">
        <v>45808</v>
      </c>
    </row>
    <row r="3254" spans="1:14" x14ac:dyDescent="0.25">
      <c r="A3254" t="s">
        <v>504</v>
      </c>
      <c r="B3254" s="2">
        <v>45808</v>
      </c>
      <c r="C3254" t="s">
        <v>504</v>
      </c>
      <c r="D3254" t="s">
        <v>112</v>
      </c>
      <c r="E3254" t="s">
        <v>9</v>
      </c>
      <c r="F3254" s="3">
        <v>2100</v>
      </c>
      <c r="G3254" s="3">
        <v>2100</v>
      </c>
      <c r="H3254" t="s">
        <v>3</v>
      </c>
      <c r="I3254" t="s">
        <v>3</v>
      </c>
      <c r="J3254" t="s">
        <v>311</v>
      </c>
      <c r="K3254" t="s">
        <v>5</v>
      </c>
      <c r="L3254" t="s">
        <v>18</v>
      </c>
      <c r="M3254" t="s">
        <v>114</v>
      </c>
      <c r="N3254" s="2">
        <v>45808</v>
      </c>
    </row>
    <row r="3255" spans="1:14" x14ac:dyDescent="0.25">
      <c r="A3255" s="4" t="s">
        <v>223</v>
      </c>
      <c r="B3255" s="5"/>
      <c r="C3255" s="4" t="s">
        <v>9</v>
      </c>
      <c r="D3255" s="4" t="s">
        <v>9</v>
      </c>
      <c r="E3255" s="4" t="s">
        <v>9</v>
      </c>
      <c r="F3255" s="6">
        <v>0</v>
      </c>
      <c r="G3255" s="6">
        <v>0</v>
      </c>
      <c r="H3255" s="4" t="s">
        <v>9</v>
      </c>
      <c r="I3255" s="4" t="s">
        <v>3</v>
      </c>
      <c r="J3255" s="4" t="s">
        <v>9</v>
      </c>
      <c r="K3255" s="4" t="s">
        <v>9</v>
      </c>
      <c r="L3255" s="4" t="s">
        <v>9</v>
      </c>
      <c r="M3255" s="4" t="s">
        <v>9</v>
      </c>
      <c r="N3255" s="5"/>
    </row>
    <row r="3256" spans="1:14" x14ac:dyDescent="0.25">
      <c r="A3256" t="s">
        <v>504</v>
      </c>
      <c r="B3256" s="2">
        <v>45839</v>
      </c>
      <c r="C3256" t="s">
        <v>504</v>
      </c>
      <c r="D3256" t="s">
        <v>112</v>
      </c>
      <c r="E3256" t="s">
        <v>9</v>
      </c>
      <c r="F3256" s="3">
        <v>-3750</v>
      </c>
      <c r="G3256" s="3">
        <v>-3750</v>
      </c>
      <c r="H3256" t="s">
        <v>3</v>
      </c>
      <c r="I3256" t="s">
        <v>3</v>
      </c>
      <c r="J3256" t="s">
        <v>9</v>
      </c>
      <c r="K3256" t="s">
        <v>9</v>
      </c>
      <c r="L3256" t="s">
        <v>19</v>
      </c>
      <c r="M3256" t="s">
        <v>114</v>
      </c>
      <c r="N3256" s="2">
        <v>45838</v>
      </c>
    </row>
    <row r="3257" spans="1:14" x14ac:dyDescent="0.25">
      <c r="A3257" t="s">
        <v>504</v>
      </c>
      <c r="B3257" s="2">
        <v>45808</v>
      </c>
      <c r="C3257" t="s">
        <v>504</v>
      </c>
      <c r="D3257" t="s">
        <v>112</v>
      </c>
      <c r="E3257" t="s">
        <v>9</v>
      </c>
      <c r="F3257" s="3">
        <v>-2100</v>
      </c>
      <c r="G3257" s="3">
        <v>-2100</v>
      </c>
      <c r="H3257" t="s">
        <v>3</v>
      </c>
      <c r="I3257" t="s">
        <v>3</v>
      </c>
      <c r="J3257" t="s">
        <v>311</v>
      </c>
      <c r="K3257" t="s">
        <v>5</v>
      </c>
      <c r="L3257" t="s">
        <v>19</v>
      </c>
      <c r="M3257" t="s">
        <v>114</v>
      </c>
      <c r="N3257" s="2">
        <v>45809</v>
      </c>
    </row>
    <row r="3258" spans="1:14" x14ac:dyDescent="0.25">
      <c r="A3258" t="s">
        <v>504</v>
      </c>
      <c r="B3258" s="2">
        <v>45838</v>
      </c>
      <c r="C3258" t="s">
        <v>504</v>
      </c>
      <c r="D3258" t="s">
        <v>112</v>
      </c>
      <c r="E3258" t="s">
        <v>9</v>
      </c>
      <c r="F3258" s="3">
        <v>5850</v>
      </c>
      <c r="G3258" s="3">
        <v>5850</v>
      </c>
      <c r="H3258" t="s">
        <v>3</v>
      </c>
      <c r="I3258" t="s">
        <v>3</v>
      </c>
      <c r="J3258" t="s">
        <v>314</v>
      </c>
      <c r="K3258" t="s">
        <v>5</v>
      </c>
      <c r="L3258" t="s">
        <v>19</v>
      </c>
      <c r="M3258" t="s">
        <v>114</v>
      </c>
      <c r="N3258" s="2">
        <v>45838</v>
      </c>
    </row>
    <row r="3259" spans="1:14" x14ac:dyDescent="0.25">
      <c r="A3259" s="4" t="s">
        <v>224</v>
      </c>
      <c r="B3259" s="5"/>
      <c r="C3259" s="4" t="s">
        <v>9</v>
      </c>
      <c r="D3259" s="4" t="s">
        <v>9</v>
      </c>
      <c r="E3259" s="4" t="s">
        <v>9</v>
      </c>
      <c r="F3259" s="6">
        <v>0</v>
      </c>
      <c r="G3259" s="6">
        <v>0</v>
      </c>
      <c r="H3259" s="4" t="s">
        <v>9</v>
      </c>
      <c r="I3259" s="4" t="s">
        <v>3</v>
      </c>
      <c r="J3259" s="4" t="s">
        <v>9</v>
      </c>
      <c r="K3259" s="4" t="s">
        <v>9</v>
      </c>
      <c r="L3259" s="4" t="s">
        <v>9</v>
      </c>
      <c r="M3259" s="4" t="s">
        <v>9</v>
      </c>
      <c r="N3259" s="5"/>
    </row>
    <row r="3260" spans="1:14" x14ac:dyDescent="0.25">
      <c r="A3260" t="s">
        <v>504</v>
      </c>
      <c r="B3260" s="2">
        <v>45870</v>
      </c>
      <c r="C3260" t="s">
        <v>504</v>
      </c>
      <c r="D3260" t="s">
        <v>112</v>
      </c>
      <c r="E3260" t="s">
        <v>9</v>
      </c>
      <c r="F3260" s="3">
        <v>-4374.5</v>
      </c>
      <c r="G3260" s="3">
        <v>-4374.5</v>
      </c>
      <c r="H3260" t="s">
        <v>3</v>
      </c>
      <c r="I3260" t="s">
        <v>3</v>
      </c>
      <c r="J3260" t="s">
        <v>9</v>
      </c>
      <c r="K3260" t="s">
        <v>9</v>
      </c>
      <c r="L3260" t="s">
        <v>21</v>
      </c>
      <c r="M3260" t="s">
        <v>114</v>
      </c>
      <c r="N3260" s="2">
        <v>45869</v>
      </c>
    </row>
    <row r="3261" spans="1:14" x14ac:dyDescent="0.25">
      <c r="A3261" t="s">
        <v>504</v>
      </c>
      <c r="B3261" s="2">
        <v>45838</v>
      </c>
      <c r="C3261" t="s">
        <v>504</v>
      </c>
      <c r="D3261" t="s">
        <v>112</v>
      </c>
      <c r="E3261" t="s">
        <v>9</v>
      </c>
      <c r="F3261" s="3">
        <v>-5850</v>
      </c>
      <c r="G3261" s="3">
        <v>-5850</v>
      </c>
      <c r="H3261" t="s">
        <v>3</v>
      </c>
      <c r="I3261" t="s">
        <v>3</v>
      </c>
      <c r="J3261" t="s">
        <v>314</v>
      </c>
      <c r="K3261" t="s">
        <v>5</v>
      </c>
      <c r="L3261" t="s">
        <v>21</v>
      </c>
      <c r="M3261" t="s">
        <v>114</v>
      </c>
      <c r="N3261" s="2">
        <v>45839</v>
      </c>
    </row>
    <row r="3262" spans="1:14" x14ac:dyDescent="0.25">
      <c r="A3262" t="s">
        <v>504</v>
      </c>
      <c r="B3262" s="2">
        <v>45869</v>
      </c>
      <c r="C3262" t="s">
        <v>504</v>
      </c>
      <c r="D3262" t="s">
        <v>112</v>
      </c>
      <c r="E3262" t="s">
        <v>9</v>
      </c>
      <c r="F3262" s="3">
        <v>10224.5</v>
      </c>
      <c r="G3262" s="3">
        <v>10224.5</v>
      </c>
      <c r="H3262" t="s">
        <v>3</v>
      </c>
      <c r="I3262" t="s">
        <v>3</v>
      </c>
      <c r="J3262" t="s">
        <v>317</v>
      </c>
      <c r="K3262" t="s">
        <v>5</v>
      </c>
      <c r="L3262" t="s">
        <v>21</v>
      </c>
      <c r="M3262" t="s">
        <v>114</v>
      </c>
      <c r="N3262" s="2">
        <v>45869</v>
      </c>
    </row>
    <row r="3263" spans="1:14" x14ac:dyDescent="0.25">
      <c r="A3263" s="4" t="s">
        <v>262</v>
      </c>
      <c r="B3263" s="5"/>
      <c r="C3263" s="4" t="s">
        <v>9</v>
      </c>
      <c r="D3263" s="4" t="s">
        <v>9</v>
      </c>
      <c r="E3263" s="4" t="s">
        <v>9</v>
      </c>
      <c r="F3263" s="6">
        <v>0</v>
      </c>
      <c r="G3263" s="6">
        <v>0</v>
      </c>
      <c r="H3263" s="4" t="s">
        <v>9</v>
      </c>
      <c r="I3263" s="4" t="s">
        <v>3</v>
      </c>
      <c r="J3263" s="4" t="s">
        <v>9</v>
      </c>
      <c r="K3263" s="4" t="s">
        <v>9</v>
      </c>
      <c r="L3263" s="4" t="s">
        <v>9</v>
      </c>
      <c r="M3263" s="4" t="s">
        <v>9</v>
      </c>
      <c r="N3263" s="5"/>
    </row>
    <row r="3264" spans="1:14" x14ac:dyDescent="0.25">
      <c r="A3264" t="s">
        <v>504</v>
      </c>
      <c r="B3264" s="2">
        <v>45901</v>
      </c>
      <c r="C3264" t="s">
        <v>504</v>
      </c>
      <c r="D3264" t="s">
        <v>112</v>
      </c>
      <c r="E3264" t="s">
        <v>9</v>
      </c>
      <c r="F3264" s="3">
        <v>-1050</v>
      </c>
      <c r="G3264" s="3">
        <v>-1050</v>
      </c>
      <c r="H3264" t="s">
        <v>3</v>
      </c>
      <c r="I3264" t="s">
        <v>3</v>
      </c>
      <c r="J3264" t="s">
        <v>9</v>
      </c>
      <c r="K3264" t="s">
        <v>9</v>
      </c>
      <c r="L3264" t="s">
        <v>22</v>
      </c>
      <c r="M3264" t="s">
        <v>114</v>
      </c>
      <c r="N3264" s="2">
        <v>45900</v>
      </c>
    </row>
    <row r="3265" spans="1:14" x14ac:dyDescent="0.25">
      <c r="A3265" t="s">
        <v>504</v>
      </c>
      <c r="B3265" s="2">
        <v>45869</v>
      </c>
      <c r="C3265" t="s">
        <v>504</v>
      </c>
      <c r="D3265" t="s">
        <v>112</v>
      </c>
      <c r="E3265" t="s">
        <v>9</v>
      </c>
      <c r="F3265" s="3">
        <v>-10224.5</v>
      </c>
      <c r="G3265" s="3">
        <v>-10224.5</v>
      </c>
      <c r="H3265" t="s">
        <v>3</v>
      </c>
      <c r="I3265" t="s">
        <v>3</v>
      </c>
      <c r="J3265" t="s">
        <v>317</v>
      </c>
      <c r="K3265" t="s">
        <v>5</v>
      </c>
      <c r="L3265" t="s">
        <v>22</v>
      </c>
      <c r="M3265" t="s">
        <v>114</v>
      </c>
      <c r="N3265" s="2">
        <v>45870</v>
      </c>
    </row>
    <row r="3266" spans="1:14" x14ac:dyDescent="0.25">
      <c r="A3266" t="s">
        <v>504</v>
      </c>
      <c r="B3266" s="2">
        <v>45900</v>
      </c>
      <c r="C3266" t="s">
        <v>504</v>
      </c>
      <c r="D3266" t="s">
        <v>112</v>
      </c>
      <c r="E3266" t="s">
        <v>9</v>
      </c>
      <c r="F3266" s="3">
        <v>11274.5</v>
      </c>
      <c r="G3266" s="3">
        <v>11274.5</v>
      </c>
      <c r="H3266" t="s">
        <v>3</v>
      </c>
      <c r="I3266" t="s">
        <v>3</v>
      </c>
      <c r="J3266" t="s">
        <v>320</v>
      </c>
      <c r="K3266" t="s">
        <v>5</v>
      </c>
      <c r="L3266" t="s">
        <v>22</v>
      </c>
      <c r="M3266" t="s">
        <v>114</v>
      </c>
      <c r="N3266" s="2">
        <v>45900</v>
      </c>
    </row>
    <row r="3267" spans="1:14" x14ac:dyDescent="0.25">
      <c r="A3267" t="s">
        <v>504</v>
      </c>
      <c r="B3267" s="2">
        <v>45900</v>
      </c>
      <c r="C3267" t="s">
        <v>504</v>
      </c>
      <c r="D3267" t="s">
        <v>112</v>
      </c>
      <c r="E3267" t="s">
        <v>9</v>
      </c>
      <c r="F3267" s="3">
        <v>-11274.5</v>
      </c>
      <c r="G3267" s="3">
        <v>-11274.5</v>
      </c>
      <c r="H3267" t="s">
        <v>3</v>
      </c>
      <c r="I3267" t="s">
        <v>3</v>
      </c>
      <c r="J3267" t="s">
        <v>320</v>
      </c>
      <c r="K3267" t="s">
        <v>5</v>
      </c>
      <c r="L3267" t="s">
        <v>22</v>
      </c>
      <c r="M3267" t="s">
        <v>114</v>
      </c>
      <c r="N3267" s="2">
        <v>45900</v>
      </c>
    </row>
    <row r="3268" spans="1:14" x14ac:dyDescent="0.25">
      <c r="A3268" t="s">
        <v>504</v>
      </c>
      <c r="B3268" s="2">
        <v>45900</v>
      </c>
      <c r="C3268" t="s">
        <v>504</v>
      </c>
      <c r="D3268" t="s">
        <v>112</v>
      </c>
      <c r="E3268" t="s">
        <v>9</v>
      </c>
      <c r="F3268" s="3">
        <v>10774.5</v>
      </c>
      <c r="G3268" s="3">
        <v>10774.5</v>
      </c>
      <c r="H3268" t="s">
        <v>3</v>
      </c>
      <c r="I3268" t="s">
        <v>3</v>
      </c>
      <c r="J3268" t="s">
        <v>320</v>
      </c>
      <c r="K3268" t="s">
        <v>5</v>
      </c>
      <c r="L3268" t="s">
        <v>22</v>
      </c>
      <c r="M3268" t="s">
        <v>114</v>
      </c>
      <c r="N3268" s="2">
        <v>45900</v>
      </c>
    </row>
    <row r="3269" spans="1:14" x14ac:dyDescent="0.25">
      <c r="A3269" t="s">
        <v>504</v>
      </c>
      <c r="B3269" s="2">
        <v>45900</v>
      </c>
      <c r="C3269" t="s">
        <v>504</v>
      </c>
      <c r="D3269" t="s">
        <v>112</v>
      </c>
      <c r="E3269" t="s">
        <v>9</v>
      </c>
      <c r="F3269" s="3">
        <v>11274.5</v>
      </c>
      <c r="G3269" s="3">
        <v>11274.5</v>
      </c>
      <c r="H3269" t="s">
        <v>3</v>
      </c>
      <c r="I3269" t="s">
        <v>3</v>
      </c>
      <c r="J3269" t="s">
        <v>320</v>
      </c>
      <c r="K3269" t="s">
        <v>5</v>
      </c>
      <c r="L3269" t="s">
        <v>22</v>
      </c>
      <c r="M3269" t="s">
        <v>114</v>
      </c>
      <c r="N3269" s="2">
        <v>45900</v>
      </c>
    </row>
    <row r="3270" spans="1:14" x14ac:dyDescent="0.25">
      <c r="A3270" t="s">
        <v>504</v>
      </c>
      <c r="B3270" s="2">
        <v>45900</v>
      </c>
      <c r="C3270" t="s">
        <v>504</v>
      </c>
      <c r="D3270" t="s">
        <v>112</v>
      </c>
      <c r="E3270" t="s">
        <v>9</v>
      </c>
      <c r="F3270" s="3">
        <v>-10774.5</v>
      </c>
      <c r="G3270" s="3">
        <v>-10774.5</v>
      </c>
      <c r="H3270" t="s">
        <v>3</v>
      </c>
      <c r="I3270" t="s">
        <v>3</v>
      </c>
      <c r="J3270" t="s">
        <v>320</v>
      </c>
      <c r="K3270" t="s">
        <v>5</v>
      </c>
      <c r="L3270" t="s">
        <v>22</v>
      </c>
      <c r="M3270" t="s">
        <v>114</v>
      </c>
      <c r="N3270" s="2">
        <v>45900</v>
      </c>
    </row>
    <row r="3271" spans="1:14" x14ac:dyDescent="0.25">
      <c r="A3271" s="4" t="s">
        <v>267</v>
      </c>
      <c r="B3271" s="5"/>
      <c r="C3271" s="4" t="s">
        <v>9</v>
      </c>
      <c r="D3271" s="4" t="s">
        <v>9</v>
      </c>
      <c r="E3271" s="4" t="s">
        <v>9</v>
      </c>
      <c r="F3271" s="6">
        <v>0</v>
      </c>
      <c r="G3271" s="6">
        <v>0</v>
      </c>
      <c r="H3271" s="4" t="s">
        <v>9</v>
      </c>
      <c r="I3271" s="4" t="s">
        <v>3</v>
      </c>
      <c r="J3271" s="4" t="s">
        <v>9</v>
      </c>
      <c r="K3271" s="4" t="s">
        <v>9</v>
      </c>
      <c r="L3271" s="4" t="s">
        <v>9</v>
      </c>
      <c r="M3271" s="4" t="s">
        <v>9</v>
      </c>
      <c r="N3271" s="5"/>
    </row>
    <row r="3272" spans="1:14" x14ac:dyDescent="0.25">
      <c r="A3272" t="s">
        <v>504</v>
      </c>
      <c r="B3272" s="2">
        <v>45932</v>
      </c>
      <c r="C3272" t="s">
        <v>504</v>
      </c>
      <c r="D3272" t="s">
        <v>112</v>
      </c>
      <c r="E3272" t="s">
        <v>9</v>
      </c>
      <c r="F3272" s="3">
        <v>-2919</v>
      </c>
      <c r="G3272" s="3">
        <v>-2919</v>
      </c>
      <c r="H3272" t="s">
        <v>3</v>
      </c>
      <c r="I3272" t="s">
        <v>3</v>
      </c>
      <c r="J3272" t="s">
        <v>9</v>
      </c>
      <c r="K3272" t="s">
        <v>9</v>
      </c>
      <c r="L3272" t="s">
        <v>6</v>
      </c>
      <c r="M3272" t="s">
        <v>114</v>
      </c>
      <c r="N3272" s="2">
        <v>45930</v>
      </c>
    </row>
    <row r="3273" spans="1:14" x14ac:dyDescent="0.25">
      <c r="A3273" t="s">
        <v>504</v>
      </c>
      <c r="B3273" s="2">
        <v>45900</v>
      </c>
      <c r="C3273" t="s">
        <v>504</v>
      </c>
      <c r="D3273" t="s">
        <v>112</v>
      </c>
      <c r="E3273" t="s">
        <v>9</v>
      </c>
      <c r="F3273" s="3">
        <v>-11274.5</v>
      </c>
      <c r="G3273" s="3">
        <v>-11274.5</v>
      </c>
      <c r="H3273" t="s">
        <v>3</v>
      </c>
      <c r="I3273" t="s">
        <v>3</v>
      </c>
      <c r="J3273" t="s">
        <v>320</v>
      </c>
      <c r="K3273" t="s">
        <v>5</v>
      </c>
      <c r="L3273" t="s">
        <v>6</v>
      </c>
      <c r="M3273" t="s">
        <v>114</v>
      </c>
      <c r="N3273" s="2">
        <v>45901</v>
      </c>
    </row>
    <row r="3274" spans="1:14" x14ac:dyDescent="0.25">
      <c r="A3274" t="s">
        <v>504</v>
      </c>
      <c r="B3274" s="2">
        <v>45900</v>
      </c>
      <c r="C3274" t="s">
        <v>504</v>
      </c>
      <c r="D3274" t="s">
        <v>112</v>
      </c>
      <c r="E3274" t="s">
        <v>9</v>
      </c>
      <c r="F3274" s="3">
        <v>11274.5</v>
      </c>
      <c r="G3274" s="3">
        <v>11274.5</v>
      </c>
      <c r="H3274" t="s">
        <v>3</v>
      </c>
      <c r="I3274" t="s">
        <v>3</v>
      </c>
      <c r="J3274" t="s">
        <v>320</v>
      </c>
      <c r="K3274" t="s">
        <v>5</v>
      </c>
      <c r="L3274" t="s">
        <v>6</v>
      </c>
      <c r="M3274" t="s">
        <v>114</v>
      </c>
      <c r="N3274" s="2">
        <v>45901</v>
      </c>
    </row>
    <row r="3275" spans="1:14" x14ac:dyDescent="0.25">
      <c r="A3275" t="s">
        <v>504</v>
      </c>
      <c r="B3275" s="2">
        <v>45900</v>
      </c>
      <c r="C3275" t="s">
        <v>504</v>
      </c>
      <c r="D3275" t="s">
        <v>112</v>
      </c>
      <c r="E3275" t="s">
        <v>9</v>
      </c>
      <c r="F3275" s="3">
        <v>-10774.5</v>
      </c>
      <c r="G3275" s="3">
        <v>-10774.5</v>
      </c>
      <c r="H3275" t="s">
        <v>3</v>
      </c>
      <c r="I3275" t="s">
        <v>3</v>
      </c>
      <c r="J3275" t="s">
        <v>320</v>
      </c>
      <c r="K3275" t="s">
        <v>5</v>
      </c>
      <c r="L3275" t="s">
        <v>6</v>
      </c>
      <c r="M3275" t="s">
        <v>114</v>
      </c>
      <c r="N3275" s="2">
        <v>45901</v>
      </c>
    </row>
    <row r="3276" spans="1:14" x14ac:dyDescent="0.25">
      <c r="A3276" t="s">
        <v>504</v>
      </c>
      <c r="B3276" s="2">
        <v>45900</v>
      </c>
      <c r="C3276" t="s">
        <v>504</v>
      </c>
      <c r="D3276" t="s">
        <v>112</v>
      </c>
      <c r="E3276" t="s">
        <v>9</v>
      </c>
      <c r="F3276" s="3">
        <v>10774.5</v>
      </c>
      <c r="G3276" s="3">
        <v>10774.5</v>
      </c>
      <c r="H3276" t="s">
        <v>3</v>
      </c>
      <c r="I3276" t="s">
        <v>3</v>
      </c>
      <c r="J3276" t="s">
        <v>320</v>
      </c>
      <c r="K3276" t="s">
        <v>5</v>
      </c>
      <c r="L3276" t="s">
        <v>6</v>
      </c>
      <c r="M3276" t="s">
        <v>114</v>
      </c>
      <c r="N3276" s="2">
        <v>45901</v>
      </c>
    </row>
    <row r="3277" spans="1:14" x14ac:dyDescent="0.25">
      <c r="A3277" t="s">
        <v>504</v>
      </c>
      <c r="B3277" s="2">
        <v>45900</v>
      </c>
      <c r="C3277" t="s">
        <v>504</v>
      </c>
      <c r="D3277" t="s">
        <v>112</v>
      </c>
      <c r="E3277" t="s">
        <v>9</v>
      </c>
      <c r="F3277" s="3">
        <v>-11274.5</v>
      </c>
      <c r="G3277" s="3">
        <v>-11274.5</v>
      </c>
      <c r="H3277" t="s">
        <v>3</v>
      </c>
      <c r="I3277" t="s">
        <v>3</v>
      </c>
      <c r="J3277" t="s">
        <v>320</v>
      </c>
      <c r="K3277" t="s">
        <v>5</v>
      </c>
      <c r="L3277" t="s">
        <v>6</v>
      </c>
      <c r="M3277" t="s">
        <v>114</v>
      </c>
      <c r="N3277" s="2">
        <v>45901</v>
      </c>
    </row>
    <row r="3278" spans="1:14" x14ac:dyDescent="0.25">
      <c r="A3278" t="s">
        <v>504</v>
      </c>
      <c r="B3278" s="2">
        <v>45930</v>
      </c>
      <c r="C3278" t="s">
        <v>504</v>
      </c>
      <c r="D3278" t="s">
        <v>112</v>
      </c>
      <c r="E3278" t="s">
        <v>9</v>
      </c>
      <c r="F3278" s="3">
        <v>14193.5</v>
      </c>
      <c r="G3278" s="3">
        <v>14193.5</v>
      </c>
      <c r="H3278" t="s">
        <v>3</v>
      </c>
      <c r="I3278" t="s">
        <v>3</v>
      </c>
      <c r="J3278" t="s">
        <v>323</v>
      </c>
      <c r="K3278" t="s">
        <v>5</v>
      </c>
      <c r="L3278" t="s">
        <v>6</v>
      </c>
      <c r="M3278" t="s">
        <v>114</v>
      </c>
      <c r="N3278" s="2">
        <v>45930</v>
      </c>
    </row>
    <row r="3279" spans="1:14" x14ac:dyDescent="0.25">
      <c r="A3279" s="4" t="s">
        <v>272</v>
      </c>
      <c r="B3279" s="5"/>
      <c r="C3279" s="4" t="s">
        <v>9</v>
      </c>
      <c r="D3279" s="4" t="s">
        <v>9</v>
      </c>
      <c r="E3279" s="4" t="s">
        <v>9</v>
      </c>
      <c r="F3279" s="6">
        <v>0</v>
      </c>
      <c r="G3279" s="6">
        <v>0</v>
      </c>
      <c r="H3279" s="4" t="s">
        <v>9</v>
      </c>
      <c r="I3279" s="4" t="s">
        <v>3</v>
      </c>
      <c r="J3279" s="4" t="s">
        <v>9</v>
      </c>
      <c r="K3279" s="4" t="s">
        <v>9</v>
      </c>
      <c r="L3279" s="4" t="s">
        <v>9</v>
      </c>
      <c r="M3279" s="4" t="s">
        <v>9</v>
      </c>
      <c r="N3279" s="5"/>
    </row>
    <row r="3280" spans="1:14" x14ac:dyDescent="0.25">
      <c r="A3280" t="s">
        <v>504</v>
      </c>
      <c r="B3280" s="2">
        <v>45965</v>
      </c>
      <c r="C3280" t="s">
        <v>504</v>
      </c>
      <c r="D3280" t="s">
        <v>112</v>
      </c>
      <c r="E3280" t="s">
        <v>9</v>
      </c>
      <c r="F3280" s="3">
        <v>-5800</v>
      </c>
      <c r="G3280" s="3">
        <v>-5800</v>
      </c>
      <c r="H3280" t="s">
        <v>3</v>
      </c>
      <c r="I3280" t="s">
        <v>3</v>
      </c>
      <c r="J3280" t="s">
        <v>9</v>
      </c>
      <c r="K3280" t="s">
        <v>9</v>
      </c>
      <c r="L3280" t="s">
        <v>8</v>
      </c>
      <c r="M3280" t="s">
        <v>114</v>
      </c>
      <c r="N3280" s="2">
        <v>45961</v>
      </c>
    </row>
    <row r="3281" spans="1:14" x14ac:dyDescent="0.25">
      <c r="A3281" t="s">
        <v>504</v>
      </c>
      <c r="B3281" s="2">
        <v>45930</v>
      </c>
      <c r="C3281" t="s">
        <v>504</v>
      </c>
      <c r="D3281" t="s">
        <v>112</v>
      </c>
      <c r="E3281" t="s">
        <v>9</v>
      </c>
      <c r="F3281" s="3">
        <v>-14193.5</v>
      </c>
      <c r="G3281" s="3">
        <v>-14193.5</v>
      </c>
      <c r="H3281" t="s">
        <v>3</v>
      </c>
      <c r="I3281" t="s">
        <v>3</v>
      </c>
      <c r="J3281" t="s">
        <v>323</v>
      </c>
      <c r="K3281" t="s">
        <v>5</v>
      </c>
      <c r="L3281" t="s">
        <v>8</v>
      </c>
      <c r="M3281" t="s">
        <v>114</v>
      </c>
      <c r="N3281" s="2">
        <v>45931</v>
      </c>
    </row>
    <row r="3282" spans="1:14" x14ac:dyDescent="0.25">
      <c r="A3282" t="s">
        <v>504</v>
      </c>
      <c r="B3282" s="2">
        <v>45961</v>
      </c>
      <c r="C3282" t="s">
        <v>504</v>
      </c>
      <c r="D3282" t="s">
        <v>112</v>
      </c>
      <c r="E3282" t="s">
        <v>9</v>
      </c>
      <c r="F3282" s="3">
        <v>19993.5</v>
      </c>
      <c r="G3282" s="3">
        <v>19993.5</v>
      </c>
      <c r="H3282" t="s">
        <v>3</v>
      </c>
      <c r="I3282" t="s">
        <v>3</v>
      </c>
      <c r="J3282" t="s">
        <v>325</v>
      </c>
      <c r="K3282" t="s">
        <v>5</v>
      </c>
      <c r="L3282" t="s">
        <v>8</v>
      </c>
      <c r="M3282" t="s">
        <v>114</v>
      </c>
      <c r="N3282" s="2">
        <v>45961</v>
      </c>
    </row>
    <row r="3283" spans="1:14" x14ac:dyDescent="0.25">
      <c r="A3283" s="4" t="s">
        <v>278</v>
      </c>
      <c r="B3283" s="5"/>
      <c r="C3283" s="4" t="s">
        <v>9</v>
      </c>
      <c r="D3283" s="4" t="s">
        <v>9</v>
      </c>
      <c r="E3283" s="4" t="s">
        <v>9</v>
      </c>
      <c r="F3283" s="6">
        <v>0</v>
      </c>
      <c r="G3283" s="6">
        <v>0</v>
      </c>
      <c r="H3283" s="4" t="s">
        <v>9</v>
      </c>
      <c r="I3283" s="4" t="s">
        <v>3</v>
      </c>
      <c r="J3283" s="4" t="s">
        <v>9</v>
      </c>
      <c r="K3283" s="4" t="s">
        <v>9</v>
      </c>
      <c r="L3283" s="4" t="s">
        <v>9</v>
      </c>
      <c r="M3283" s="4" t="s">
        <v>9</v>
      </c>
      <c r="N3283" s="5"/>
    </row>
    <row r="3284" spans="1:14" x14ac:dyDescent="0.25">
      <c r="A3284" t="s">
        <v>504</v>
      </c>
      <c r="B3284" s="2">
        <v>45993</v>
      </c>
      <c r="C3284" t="s">
        <v>504</v>
      </c>
      <c r="D3284" t="s">
        <v>112</v>
      </c>
      <c r="E3284" t="s">
        <v>9</v>
      </c>
      <c r="F3284" s="3">
        <v>-2900</v>
      </c>
      <c r="G3284" s="3">
        <v>-2900</v>
      </c>
      <c r="H3284" t="s">
        <v>3</v>
      </c>
      <c r="I3284" t="s">
        <v>3</v>
      </c>
      <c r="J3284" t="s">
        <v>9</v>
      </c>
      <c r="K3284" t="s">
        <v>9</v>
      </c>
      <c r="L3284" t="s">
        <v>11</v>
      </c>
      <c r="M3284" t="s">
        <v>114</v>
      </c>
      <c r="N3284" s="2">
        <v>45991</v>
      </c>
    </row>
    <row r="3285" spans="1:14" x14ac:dyDescent="0.25">
      <c r="A3285" t="s">
        <v>504</v>
      </c>
      <c r="B3285" s="2">
        <v>45961</v>
      </c>
      <c r="C3285" t="s">
        <v>504</v>
      </c>
      <c r="D3285" t="s">
        <v>112</v>
      </c>
      <c r="E3285" t="s">
        <v>9</v>
      </c>
      <c r="F3285" s="3">
        <v>-19993.5</v>
      </c>
      <c r="G3285" s="3">
        <v>-19993.5</v>
      </c>
      <c r="H3285" t="s">
        <v>3</v>
      </c>
      <c r="I3285" t="s">
        <v>3</v>
      </c>
      <c r="J3285" t="s">
        <v>325</v>
      </c>
      <c r="K3285" t="s">
        <v>5</v>
      </c>
      <c r="L3285" t="s">
        <v>11</v>
      </c>
      <c r="M3285" t="s">
        <v>114</v>
      </c>
      <c r="N3285" s="2">
        <v>45962</v>
      </c>
    </row>
    <row r="3286" spans="1:14" x14ac:dyDescent="0.25">
      <c r="A3286" t="s">
        <v>504</v>
      </c>
      <c r="B3286" s="2">
        <v>45991</v>
      </c>
      <c r="C3286" t="s">
        <v>504</v>
      </c>
      <c r="D3286" t="s">
        <v>112</v>
      </c>
      <c r="E3286" t="s">
        <v>9</v>
      </c>
      <c r="F3286" s="3">
        <v>22893.5</v>
      </c>
      <c r="G3286" s="3">
        <v>22893.5</v>
      </c>
      <c r="H3286" t="s">
        <v>3</v>
      </c>
      <c r="I3286" t="s">
        <v>3</v>
      </c>
      <c r="J3286" t="s">
        <v>328</v>
      </c>
      <c r="K3286" t="s">
        <v>5</v>
      </c>
      <c r="L3286" t="s">
        <v>11</v>
      </c>
      <c r="M3286" t="s">
        <v>114</v>
      </c>
      <c r="N3286" s="2">
        <v>45991</v>
      </c>
    </row>
    <row r="3287" spans="1:14" x14ac:dyDescent="0.25">
      <c r="A3287" s="4" t="s">
        <v>226</v>
      </c>
      <c r="B3287" s="5"/>
      <c r="C3287" s="4" t="s">
        <v>9</v>
      </c>
      <c r="D3287" s="4" t="s">
        <v>9</v>
      </c>
      <c r="E3287" s="4" t="s">
        <v>9</v>
      </c>
      <c r="F3287" s="6">
        <v>0</v>
      </c>
      <c r="G3287" s="6">
        <v>0</v>
      </c>
      <c r="H3287" s="4" t="s">
        <v>9</v>
      </c>
      <c r="I3287" s="4" t="s">
        <v>3</v>
      </c>
      <c r="J3287" s="4" t="s">
        <v>9</v>
      </c>
      <c r="K3287" s="4" t="s">
        <v>9</v>
      </c>
      <c r="L3287" s="4" t="s">
        <v>9</v>
      </c>
      <c r="M3287" s="4" t="s">
        <v>9</v>
      </c>
      <c r="N3287" s="5"/>
    </row>
    <row r="3288" spans="1:14" x14ac:dyDescent="0.25">
      <c r="A3288" t="s">
        <v>504</v>
      </c>
      <c r="B3288" s="2">
        <v>46028</v>
      </c>
      <c r="C3288" t="s">
        <v>504</v>
      </c>
      <c r="D3288" t="s">
        <v>112</v>
      </c>
      <c r="E3288" t="s">
        <v>9</v>
      </c>
      <c r="F3288" s="3">
        <v>-4759</v>
      </c>
      <c r="G3288" s="3">
        <v>-4759</v>
      </c>
      <c r="H3288" t="s">
        <v>3</v>
      </c>
      <c r="I3288" t="s">
        <v>3</v>
      </c>
      <c r="J3288" t="s">
        <v>9</v>
      </c>
      <c r="K3288" t="s">
        <v>9</v>
      </c>
      <c r="L3288" t="s">
        <v>12</v>
      </c>
      <c r="M3288" t="s">
        <v>114</v>
      </c>
      <c r="N3288" s="2">
        <v>46022</v>
      </c>
    </row>
    <row r="3289" spans="1:14" x14ac:dyDescent="0.25">
      <c r="A3289" t="s">
        <v>504</v>
      </c>
      <c r="B3289" s="2">
        <v>45991</v>
      </c>
      <c r="C3289" t="s">
        <v>504</v>
      </c>
      <c r="D3289" t="s">
        <v>112</v>
      </c>
      <c r="E3289" t="s">
        <v>9</v>
      </c>
      <c r="F3289" s="3">
        <v>-22893.5</v>
      </c>
      <c r="G3289" s="3">
        <v>-22893.5</v>
      </c>
      <c r="H3289" t="s">
        <v>3</v>
      </c>
      <c r="I3289" t="s">
        <v>3</v>
      </c>
      <c r="J3289" t="s">
        <v>328</v>
      </c>
      <c r="K3289" t="s">
        <v>5</v>
      </c>
      <c r="L3289" t="s">
        <v>12</v>
      </c>
      <c r="M3289" t="s">
        <v>114</v>
      </c>
      <c r="N3289" s="2">
        <v>45992</v>
      </c>
    </row>
    <row r="3290" spans="1:14" x14ac:dyDescent="0.25">
      <c r="A3290" t="s">
        <v>504</v>
      </c>
      <c r="B3290" s="2">
        <v>46022</v>
      </c>
      <c r="C3290" t="s">
        <v>504</v>
      </c>
      <c r="D3290" t="s">
        <v>112</v>
      </c>
      <c r="E3290" t="s">
        <v>9</v>
      </c>
      <c r="F3290" s="3">
        <v>27652.5</v>
      </c>
      <c r="G3290" s="3">
        <v>27652.5</v>
      </c>
      <c r="H3290" t="s">
        <v>3</v>
      </c>
      <c r="I3290" t="s">
        <v>3</v>
      </c>
      <c r="J3290" t="s">
        <v>298</v>
      </c>
      <c r="K3290" t="s">
        <v>5</v>
      </c>
      <c r="L3290" t="s">
        <v>12</v>
      </c>
      <c r="M3290" t="s">
        <v>114</v>
      </c>
      <c r="N3290" s="2">
        <v>46022</v>
      </c>
    </row>
    <row r="3291" spans="1:14" x14ac:dyDescent="0.25">
      <c r="A3291" t="s">
        <v>504</v>
      </c>
      <c r="B3291" s="2">
        <v>46022</v>
      </c>
      <c r="C3291" t="s">
        <v>504</v>
      </c>
      <c r="D3291" t="s">
        <v>112</v>
      </c>
      <c r="E3291" t="s">
        <v>9</v>
      </c>
      <c r="F3291" s="3">
        <v>27652.5</v>
      </c>
      <c r="G3291" s="3">
        <v>27652.5</v>
      </c>
      <c r="H3291" t="s">
        <v>3</v>
      </c>
      <c r="I3291" t="s">
        <v>3</v>
      </c>
      <c r="J3291" t="s">
        <v>298</v>
      </c>
      <c r="K3291" t="s">
        <v>5</v>
      </c>
      <c r="L3291" t="s">
        <v>12</v>
      </c>
      <c r="M3291" t="s">
        <v>114</v>
      </c>
      <c r="N3291" s="2">
        <v>46022</v>
      </c>
    </row>
    <row r="3292" spans="1:14" x14ac:dyDescent="0.25">
      <c r="A3292" t="s">
        <v>504</v>
      </c>
      <c r="B3292" s="2">
        <v>46022</v>
      </c>
      <c r="C3292" t="s">
        <v>504</v>
      </c>
      <c r="D3292" t="s">
        <v>112</v>
      </c>
      <c r="E3292" t="s">
        <v>9</v>
      </c>
      <c r="F3292" s="3">
        <v>-27652.5</v>
      </c>
      <c r="G3292" s="3">
        <v>-27652.5</v>
      </c>
      <c r="H3292" t="s">
        <v>3</v>
      </c>
      <c r="I3292" t="s">
        <v>3</v>
      </c>
      <c r="J3292" t="s">
        <v>298</v>
      </c>
      <c r="K3292" t="s">
        <v>5</v>
      </c>
      <c r="L3292" t="s">
        <v>12</v>
      </c>
      <c r="M3292" t="s">
        <v>114</v>
      </c>
      <c r="N3292" s="2">
        <v>46022</v>
      </c>
    </row>
    <row r="3293" spans="1:14" x14ac:dyDescent="0.25">
      <c r="A3293" s="4" t="s">
        <v>228</v>
      </c>
      <c r="B3293" s="5"/>
      <c r="C3293" s="4" t="s">
        <v>9</v>
      </c>
      <c r="D3293" s="4" t="s">
        <v>9</v>
      </c>
      <c r="E3293" s="4" t="s">
        <v>9</v>
      </c>
      <c r="F3293" s="6">
        <v>0</v>
      </c>
      <c r="G3293" s="6">
        <v>0</v>
      </c>
      <c r="H3293" s="4" t="s">
        <v>9</v>
      </c>
      <c r="I3293" s="4" t="s">
        <v>3</v>
      </c>
      <c r="J3293" s="4" t="s">
        <v>9</v>
      </c>
      <c r="K3293" s="4" t="s">
        <v>9</v>
      </c>
      <c r="L3293" s="4" t="s">
        <v>9</v>
      </c>
      <c r="M3293" s="4" t="s">
        <v>9</v>
      </c>
      <c r="N3293" s="5"/>
    </row>
    <row r="3294" spans="1:14" x14ac:dyDescent="0.25">
      <c r="A3294" s="4" t="s">
        <v>504</v>
      </c>
      <c r="B3294" s="5"/>
      <c r="C3294" s="4" t="s">
        <v>9</v>
      </c>
      <c r="D3294" s="4" t="s">
        <v>9</v>
      </c>
      <c r="E3294" s="4" t="s">
        <v>9</v>
      </c>
      <c r="F3294" s="6">
        <v>0</v>
      </c>
      <c r="G3294" s="6">
        <v>0</v>
      </c>
      <c r="H3294" s="4" t="s">
        <v>9</v>
      </c>
      <c r="I3294" s="4" t="s">
        <v>3</v>
      </c>
      <c r="J3294" s="4" t="s">
        <v>9</v>
      </c>
      <c r="K3294" s="4" t="s">
        <v>9</v>
      </c>
      <c r="L3294" s="4" t="s">
        <v>9</v>
      </c>
      <c r="M3294" s="4" t="s">
        <v>9</v>
      </c>
      <c r="N3294" s="5"/>
    </row>
    <row r="3295" spans="1:14" x14ac:dyDescent="0.25">
      <c r="A3295" t="s">
        <v>505</v>
      </c>
      <c r="B3295" s="2">
        <v>46056</v>
      </c>
      <c r="C3295" t="s">
        <v>505</v>
      </c>
      <c r="D3295" t="s">
        <v>112</v>
      </c>
      <c r="E3295" t="s">
        <v>9</v>
      </c>
      <c r="F3295" s="3">
        <v>-3300</v>
      </c>
      <c r="G3295" s="3">
        <v>-3300</v>
      </c>
      <c r="H3295" t="s">
        <v>3</v>
      </c>
      <c r="I3295" t="s">
        <v>3</v>
      </c>
      <c r="J3295" t="s">
        <v>9</v>
      </c>
      <c r="K3295" t="s">
        <v>9</v>
      </c>
      <c r="L3295" t="s">
        <v>14</v>
      </c>
      <c r="M3295" t="s">
        <v>114</v>
      </c>
      <c r="N3295" s="2">
        <v>46053</v>
      </c>
    </row>
    <row r="3296" spans="1:14" x14ac:dyDescent="0.25">
      <c r="A3296" t="s">
        <v>505</v>
      </c>
      <c r="B3296" s="2">
        <v>46056</v>
      </c>
      <c r="C3296" t="s">
        <v>505</v>
      </c>
      <c r="D3296" t="s">
        <v>301</v>
      </c>
      <c r="E3296" t="s">
        <v>9</v>
      </c>
      <c r="F3296" s="3">
        <v>3300</v>
      </c>
      <c r="G3296" s="3">
        <v>3300</v>
      </c>
      <c r="H3296" t="s">
        <v>3</v>
      </c>
      <c r="I3296" t="s">
        <v>3</v>
      </c>
      <c r="J3296" t="s">
        <v>9</v>
      </c>
      <c r="K3296" t="s">
        <v>9</v>
      </c>
      <c r="L3296" t="s">
        <v>14</v>
      </c>
      <c r="M3296" t="s">
        <v>302</v>
      </c>
      <c r="N3296" s="2">
        <v>46053</v>
      </c>
    </row>
    <row r="3297" spans="1:14" x14ac:dyDescent="0.25">
      <c r="A3297" t="s">
        <v>505</v>
      </c>
      <c r="B3297" s="2">
        <v>46022</v>
      </c>
      <c r="C3297" t="s">
        <v>505</v>
      </c>
      <c r="D3297" t="s">
        <v>112</v>
      </c>
      <c r="E3297" t="s">
        <v>9</v>
      </c>
      <c r="F3297" s="3">
        <v>-13150</v>
      </c>
      <c r="G3297" s="3">
        <v>-13150</v>
      </c>
      <c r="H3297" t="s">
        <v>3</v>
      </c>
      <c r="I3297" t="s">
        <v>3</v>
      </c>
      <c r="J3297" t="s">
        <v>298</v>
      </c>
      <c r="K3297" t="s">
        <v>13</v>
      </c>
      <c r="L3297" t="s">
        <v>14</v>
      </c>
      <c r="M3297" t="s">
        <v>114</v>
      </c>
      <c r="N3297" s="2">
        <v>46023</v>
      </c>
    </row>
    <row r="3298" spans="1:14" x14ac:dyDescent="0.25">
      <c r="A3298" t="s">
        <v>505</v>
      </c>
      <c r="B3298" s="2">
        <v>46023</v>
      </c>
      <c r="C3298" t="s">
        <v>505</v>
      </c>
      <c r="D3298" t="s">
        <v>112</v>
      </c>
      <c r="E3298" t="s">
        <v>9</v>
      </c>
      <c r="F3298" s="3">
        <v>13150</v>
      </c>
      <c r="G3298" s="3">
        <v>13150</v>
      </c>
      <c r="H3298" t="s">
        <v>3</v>
      </c>
      <c r="I3298" t="s">
        <v>3</v>
      </c>
      <c r="J3298" t="s">
        <v>298</v>
      </c>
      <c r="K3298" t="s">
        <v>13</v>
      </c>
      <c r="L3298" t="s">
        <v>14</v>
      </c>
      <c r="M3298" t="s">
        <v>114</v>
      </c>
      <c r="N3298" s="2">
        <v>46023</v>
      </c>
    </row>
    <row r="3299" spans="1:14" x14ac:dyDescent="0.25">
      <c r="A3299" t="s">
        <v>505</v>
      </c>
      <c r="B3299" s="2">
        <v>46053</v>
      </c>
      <c r="C3299" t="s">
        <v>505</v>
      </c>
      <c r="D3299" t="s">
        <v>112</v>
      </c>
      <c r="E3299" t="s">
        <v>9</v>
      </c>
      <c r="F3299" s="3">
        <v>3300</v>
      </c>
      <c r="G3299" s="3">
        <v>3300</v>
      </c>
      <c r="H3299" t="s">
        <v>3</v>
      </c>
      <c r="I3299" t="s">
        <v>3</v>
      </c>
      <c r="J3299" t="s">
        <v>300</v>
      </c>
      <c r="K3299" t="s">
        <v>13</v>
      </c>
      <c r="L3299" t="s">
        <v>14</v>
      </c>
      <c r="M3299" t="s">
        <v>114</v>
      </c>
      <c r="N3299" s="2">
        <v>46053</v>
      </c>
    </row>
    <row r="3300" spans="1:14" x14ac:dyDescent="0.25">
      <c r="A3300" t="s">
        <v>505</v>
      </c>
      <c r="B3300" s="2">
        <v>46053</v>
      </c>
      <c r="C3300" t="s">
        <v>505</v>
      </c>
      <c r="D3300" t="s">
        <v>301</v>
      </c>
      <c r="E3300" t="s">
        <v>9</v>
      </c>
      <c r="F3300" s="3">
        <v>-3300</v>
      </c>
      <c r="G3300" s="3">
        <v>-3300</v>
      </c>
      <c r="H3300" t="s">
        <v>3</v>
      </c>
      <c r="I3300" t="s">
        <v>3</v>
      </c>
      <c r="J3300" t="s">
        <v>10</v>
      </c>
      <c r="K3300" t="s">
        <v>13</v>
      </c>
      <c r="L3300" t="s">
        <v>14</v>
      </c>
      <c r="M3300" t="s">
        <v>302</v>
      </c>
      <c r="N3300" s="2">
        <v>46053</v>
      </c>
    </row>
    <row r="3301" spans="1:14" x14ac:dyDescent="0.25">
      <c r="A3301" s="4" t="s">
        <v>234</v>
      </c>
      <c r="B3301" s="5"/>
      <c r="C3301" s="4" t="s">
        <v>9</v>
      </c>
      <c r="D3301" s="4" t="s">
        <v>9</v>
      </c>
      <c r="E3301" s="4" t="s">
        <v>9</v>
      </c>
      <c r="F3301" s="6">
        <v>0</v>
      </c>
      <c r="G3301" s="6">
        <v>0</v>
      </c>
      <c r="H3301" s="4" t="s">
        <v>9</v>
      </c>
      <c r="I3301" s="4" t="s">
        <v>3</v>
      </c>
      <c r="J3301" s="4" t="s">
        <v>9</v>
      </c>
      <c r="K3301" s="4" t="s">
        <v>9</v>
      </c>
      <c r="L3301" s="4" t="s">
        <v>9</v>
      </c>
      <c r="M3301" s="4" t="s">
        <v>9</v>
      </c>
      <c r="N3301" s="5"/>
    </row>
    <row r="3302" spans="1:14" x14ac:dyDescent="0.25">
      <c r="A3302" t="s">
        <v>505</v>
      </c>
      <c r="B3302" s="2">
        <v>46084</v>
      </c>
      <c r="C3302" t="s">
        <v>505</v>
      </c>
      <c r="D3302" t="s">
        <v>112</v>
      </c>
      <c r="E3302" t="s">
        <v>9</v>
      </c>
      <c r="F3302" s="3">
        <v>-3100</v>
      </c>
      <c r="G3302" s="3">
        <v>-3100</v>
      </c>
      <c r="H3302" t="s">
        <v>3</v>
      </c>
      <c r="I3302" t="s">
        <v>3</v>
      </c>
      <c r="J3302" t="s">
        <v>9</v>
      </c>
      <c r="K3302" t="s">
        <v>9</v>
      </c>
      <c r="L3302" t="s">
        <v>15</v>
      </c>
      <c r="M3302" t="s">
        <v>114</v>
      </c>
      <c r="N3302" s="2">
        <v>46081</v>
      </c>
    </row>
    <row r="3303" spans="1:14" x14ac:dyDescent="0.25">
      <c r="A3303" t="s">
        <v>505</v>
      </c>
      <c r="B3303" s="2">
        <v>46084</v>
      </c>
      <c r="C3303" t="s">
        <v>505</v>
      </c>
      <c r="D3303" t="s">
        <v>301</v>
      </c>
      <c r="E3303" t="s">
        <v>9</v>
      </c>
      <c r="F3303" s="3">
        <v>3100</v>
      </c>
      <c r="G3303" s="3">
        <v>3100</v>
      </c>
      <c r="H3303" t="s">
        <v>3</v>
      </c>
      <c r="I3303" t="s">
        <v>3</v>
      </c>
      <c r="J3303" t="s">
        <v>9</v>
      </c>
      <c r="K3303" t="s">
        <v>9</v>
      </c>
      <c r="L3303" t="s">
        <v>15</v>
      </c>
      <c r="M3303" t="s">
        <v>302</v>
      </c>
      <c r="N3303" s="2">
        <v>46081</v>
      </c>
    </row>
    <row r="3304" spans="1:14" x14ac:dyDescent="0.25">
      <c r="A3304" t="s">
        <v>505</v>
      </c>
      <c r="B3304" s="2">
        <v>46054</v>
      </c>
      <c r="C3304" t="s">
        <v>505</v>
      </c>
      <c r="D3304" t="s">
        <v>112</v>
      </c>
      <c r="E3304" t="s">
        <v>9</v>
      </c>
      <c r="F3304" s="3">
        <v>-3300</v>
      </c>
      <c r="G3304" s="3">
        <v>-3300</v>
      </c>
      <c r="H3304" t="s">
        <v>3</v>
      </c>
      <c r="I3304" t="s">
        <v>3</v>
      </c>
      <c r="J3304" t="s">
        <v>300</v>
      </c>
      <c r="K3304" t="s">
        <v>13</v>
      </c>
      <c r="L3304" t="s">
        <v>15</v>
      </c>
      <c r="M3304" t="s">
        <v>114</v>
      </c>
      <c r="N3304" s="2">
        <v>46054</v>
      </c>
    </row>
    <row r="3305" spans="1:14" x14ac:dyDescent="0.25">
      <c r="A3305" t="s">
        <v>505</v>
      </c>
      <c r="B3305" s="2">
        <v>46054</v>
      </c>
      <c r="C3305" t="s">
        <v>505</v>
      </c>
      <c r="D3305" t="s">
        <v>112</v>
      </c>
      <c r="E3305" t="s">
        <v>9</v>
      </c>
      <c r="F3305" s="3">
        <v>3300</v>
      </c>
      <c r="G3305" s="3">
        <v>3300</v>
      </c>
      <c r="H3305" t="s">
        <v>3</v>
      </c>
      <c r="I3305" t="s">
        <v>3</v>
      </c>
      <c r="J3305" t="s">
        <v>300</v>
      </c>
      <c r="K3305" t="s">
        <v>13</v>
      </c>
      <c r="L3305" t="s">
        <v>15</v>
      </c>
      <c r="M3305" t="s">
        <v>114</v>
      </c>
      <c r="N3305" s="2">
        <v>46055</v>
      </c>
    </row>
    <row r="3306" spans="1:14" x14ac:dyDescent="0.25">
      <c r="A3306" t="s">
        <v>505</v>
      </c>
      <c r="B3306" s="2">
        <v>46054</v>
      </c>
      <c r="C3306" t="s">
        <v>505</v>
      </c>
      <c r="D3306" t="s">
        <v>112</v>
      </c>
      <c r="E3306" t="s">
        <v>9</v>
      </c>
      <c r="F3306" s="3">
        <v>-3300</v>
      </c>
      <c r="G3306" s="3">
        <v>-3300</v>
      </c>
      <c r="H3306" t="s">
        <v>3</v>
      </c>
      <c r="I3306" t="s">
        <v>3</v>
      </c>
      <c r="J3306" t="s">
        <v>300</v>
      </c>
      <c r="K3306" t="s">
        <v>13</v>
      </c>
      <c r="L3306" t="s">
        <v>15</v>
      </c>
      <c r="M3306" t="s">
        <v>114</v>
      </c>
      <c r="N3306" s="2">
        <v>46054</v>
      </c>
    </row>
    <row r="3307" spans="1:14" x14ac:dyDescent="0.25">
      <c r="A3307" t="s">
        <v>505</v>
      </c>
      <c r="B3307" s="2">
        <v>46081</v>
      </c>
      <c r="C3307" t="s">
        <v>505</v>
      </c>
      <c r="D3307" t="s">
        <v>301</v>
      </c>
      <c r="E3307" t="s">
        <v>9</v>
      </c>
      <c r="F3307" s="3">
        <v>-3100</v>
      </c>
      <c r="G3307" s="3">
        <v>-3100</v>
      </c>
      <c r="H3307" t="s">
        <v>3</v>
      </c>
      <c r="I3307" t="s">
        <v>3</v>
      </c>
      <c r="J3307" t="s">
        <v>10</v>
      </c>
      <c r="K3307" t="s">
        <v>13</v>
      </c>
      <c r="L3307" t="s">
        <v>15</v>
      </c>
      <c r="M3307" t="s">
        <v>302</v>
      </c>
      <c r="N3307" s="2">
        <v>46081</v>
      </c>
    </row>
    <row r="3308" spans="1:14" x14ac:dyDescent="0.25">
      <c r="A3308" t="s">
        <v>505</v>
      </c>
      <c r="B3308" s="2">
        <v>46081</v>
      </c>
      <c r="C3308" t="s">
        <v>505</v>
      </c>
      <c r="D3308" t="s">
        <v>112</v>
      </c>
      <c r="E3308" t="s">
        <v>9</v>
      </c>
      <c r="F3308" s="3">
        <v>5600</v>
      </c>
      <c r="G3308" s="3">
        <v>5600</v>
      </c>
      <c r="H3308" t="s">
        <v>3</v>
      </c>
      <c r="I3308" t="s">
        <v>3</v>
      </c>
      <c r="J3308" t="s">
        <v>304</v>
      </c>
      <c r="K3308" t="s">
        <v>13</v>
      </c>
      <c r="L3308" t="s">
        <v>15</v>
      </c>
      <c r="M3308" t="s">
        <v>114</v>
      </c>
      <c r="N3308" s="2">
        <v>46081</v>
      </c>
    </row>
    <row r="3309" spans="1:14" x14ac:dyDescent="0.25">
      <c r="A3309" t="s">
        <v>505</v>
      </c>
      <c r="B3309" s="2">
        <v>46081</v>
      </c>
      <c r="C3309" t="s">
        <v>505</v>
      </c>
      <c r="D3309" t="s">
        <v>112</v>
      </c>
      <c r="E3309" t="s">
        <v>9</v>
      </c>
      <c r="F3309" s="3">
        <v>800</v>
      </c>
      <c r="G3309" s="3">
        <v>800</v>
      </c>
      <c r="H3309" t="s">
        <v>3</v>
      </c>
      <c r="I3309" t="s">
        <v>3</v>
      </c>
      <c r="J3309" t="s">
        <v>393</v>
      </c>
      <c r="K3309" t="s">
        <v>13</v>
      </c>
      <c r="L3309" t="s">
        <v>15</v>
      </c>
      <c r="M3309" t="s">
        <v>114</v>
      </c>
      <c r="N3309" s="2">
        <v>46081</v>
      </c>
    </row>
    <row r="3310" spans="1:14" x14ac:dyDescent="0.25">
      <c r="A3310" s="4" t="s">
        <v>239</v>
      </c>
      <c r="B3310" s="5"/>
      <c r="C3310" s="4" t="s">
        <v>9</v>
      </c>
      <c r="D3310" s="4" t="s">
        <v>9</v>
      </c>
      <c r="E3310" s="4" t="s">
        <v>9</v>
      </c>
      <c r="F3310" s="6">
        <v>0</v>
      </c>
      <c r="G3310" s="6">
        <v>0</v>
      </c>
      <c r="H3310" s="4" t="s">
        <v>9</v>
      </c>
      <c r="I3310" s="4" t="s">
        <v>3</v>
      </c>
      <c r="J3310" s="4" t="s">
        <v>9</v>
      </c>
      <c r="K3310" s="4" t="s">
        <v>9</v>
      </c>
      <c r="L3310" s="4" t="s">
        <v>9</v>
      </c>
      <c r="M3310" s="4" t="s">
        <v>9</v>
      </c>
      <c r="N3310" s="5"/>
    </row>
    <row r="3311" spans="1:14" x14ac:dyDescent="0.25">
      <c r="A3311" t="s">
        <v>505</v>
      </c>
      <c r="B3311" s="2">
        <v>46115</v>
      </c>
      <c r="C3311" t="s">
        <v>505</v>
      </c>
      <c r="D3311" t="s">
        <v>112</v>
      </c>
      <c r="E3311" t="s">
        <v>9</v>
      </c>
      <c r="F3311" s="3">
        <v>-1100</v>
      </c>
      <c r="G3311" s="3">
        <v>-1100</v>
      </c>
      <c r="H3311" t="s">
        <v>3</v>
      </c>
      <c r="I3311" t="s">
        <v>3</v>
      </c>
      <c r="J3311" t="s">
        <v>9</v>
      </c>
      <c r="K3311" t="s">
        <v>9</v>
      </c>
      <c r="L3311" t="s">
        <v>16</v>
      </c>
      <c r="M3311" t="s">
        <v>114</v>
      </c>
      <c r="N3311" s="2">
        <v>46112</v>
      </c>
    </row>
    <row r="3312" spans="1:14" x14ac:dyDescent="0.25">
      <c r="A3312" t="s">
        <v>505</v>
      </c>
      <c r="B3312" s="2">
        <v>46115</v>
      </c>
      <c r="C3312" t="s">
        <v>505</v>
      </c>
      <c r="D3312" t="s">
        <v>301</v>
      </c>
      <c r="E3312" t="s">
        <v>9</v>
      </c>
      <c r="F3312" s="3">
        <v>1100</v>
      </c>
      <c r="G3312" s="3">
        <v>1100</v>
      </c>
      <c r="H3312" t="s">
        <v>3</v>
      </c>
      <c r="I3312" t="s">
        <v>3</v>
      </c>
      <c r="J3312" t="s">
        <v>9</v>
      </c>
      <c r="K3312" t="s">
        <v>9</v>
      </c>
      <c r="L3312" t="s">
        <v>16</v>
      </c>
      <c r="M3312" t="s">
        <v>302</v>
      </c>
      <c r="N3312" s="2">
        <v>46112</v>
      </c>
    </row>
    <row r="3313" spans="1:14" x14ac:dyDescent="0.25">
      <c r="A3313" t="s">
        <v>505</v>
      </c>
      <c r="B3313" s="2">
        <v>46081</v>
      </c>
      <c r="C3313" t="s">
        <v>505</v>
      </c>
      <c r="D3313" t="s">
        <v>112</v>
      </c>
      <c r="E3313" t="s">
        <v>9</v>
      </c>
      <c r="F3313" s="3">
        <v>-5600</v>
      </c>
      <c r="G3313" s="3">
        <v>-5600</v>
      </c>
      <c r="H3313" t="s">
        <v>3</v>
      </c>
      <c r="I3313" t="s">
        <v>3</v>
      </c>
      <c r="J3313" t="s">
        <v>304</v>
      </c>
      <c r="K3313" t="s">
        <v>13</v>
      </c>
      <c r="L3313" t="s">
        <v>16</v>
      </c>
      <c r="M3313" t="s">
        <v>114</v>
      </c>
      <c r="N3313" s="2">
        <v>46082</v>
      </c>
    </row>
    <row r="3314" spans="1:14" x14ac:dyDescent="0.25">
      <c r="A3314" t="s">
        <v>505</v>
      </c>
      <c r="B3314" s="2">
        <v>46081</v>
      </c>
      <c r="C3314" t="s">
        <v>505</v>
      </c>
      <c r="D3314" t="s">
        <v>112</v>
      </c>
      <c r="E3314" t="s">
        <v>9</v>
      </c>
      <c r="F3314" s="3">
        <v>-800</v>
      </c>
      <c r="G3314" s="3">
        <v>-800</v>
      </c>
      <c r="H3314" t="s">
        <v>3</v>
      </c>
      <c r="I3314" t="s">
        <v>3</v>
      </c>
      <c r="J3314" t="s">
        <v>393</v>
      </c>
      <c r="K3314" t="s">
        <v>13</v>
      </c>
      <c r="L3314" t="s">
        <v>16</v>
      </c>
      <c r="M3314" t="s">
        <v>114</v>
      </c>
      <c r="N3314" s="2">
        <v>46082</v>
      </c>
    </row>
    <row r="3315" spans="1:14" x14ac:dyDescent="0.25">
      <c r="A3315" t="s">
        <v>505</v>
      </c>
      <c r="B3315" s="2">
        <v>46112</v>
      </c>
      <c r="C3315" t="s">
        <v>505</v>
      </c>
      <c r="D3315" t="s">
        <v>112</v>
      </c>
      <c r="E3315" t="s">
        <v>9</v>
      </c>
      <c r="F3315" s="3">
        <v>6700</v>
      </c>
      <c r="G3315" s="3">
        <v>6700</v>
      </c>
      <c r="H3315" t="s">
        <v>3</v>
      </c>
      <c r="I3315" t="s">
        <v>3</v>
      </c>
      <c r="J3315" t="s">
        <v>307</v>
      </c>
      <c r="K3315" t="s">
        <v>13</v>
      </c>
      <c r="L3315" t="s">
        <v>16</v>
      </c>
      <c r="M3315" t="s">
        <v>114</v>
      </c>
      <c r="N3315" s="2">
        <v>46112</v>
      </c>
    </row>
    <row r="3316" spans="1:14" x14ac:dyDescent="0.25">
      <c r="A3316" t="s">
        <v>505</v>
      </c>
      <c r="B3316" s="2">
        <v>46112</v>
      </c>
      <c r="C3316" t="s">
        <v>505</v>
      </c>
      <c r="D3316" t="s">
        <v>112</v>
      </c>
      <c r="E3316" t="s">
        <v>9</v>
      </c>
      <c r="F3316" s="3">
        <v>800</v>
      </c>
      <c r="G3316" s="3">
        <v>800</v>
      </c>
      <c r="H3316" t="s">
        <v>3</v>
      </c>
      <c r="I3316" t="s">
        <v>3</v>
      </c>
      <c r="J3316" t="s">
        <v>395</v>
      </c>
      <c r="K3316" t="s">
        <v>13</v>
      </c>
      <c r="L3316" t="s">
        <v>16</v>
      </c>
      <c r="M3316" t="s">
        <v>114</v>
      </c>
      <c r="N3316" s="2">
        <v>46112</v>
      </c>
    </row>
    <row r="3317" spans="1:14" x14ac:dyDescent="0.25">
      <c r="A3317" t="s">
        <v>505</v>
      </c>
      <c r="B3317" s="2">
        <v>46112</v>
      </c>
      <c r="C3317" t="s">
        <v>505</v>
      </c>
      <c r="D3317" t="s">
        <v>301</v>
      </c>
      <c r="E3317" t="s">
        <v>9</v>
      </c>
      <c r="F3317" s="3">
        <v>-1100</v>
      </c>
      <c r="G3317" s="3">
        <v>-1100</v>
      </c>
      <c r="H3317" t="s">
        <v>3</v>
      </c>
      <c r="I3317" t="s">
        <v>3</v>
      </c>
      <c r="J3317" t="s">
        <v>10</v>
      </c>
      <c r="K3317" t="s">
        <v>13</v>
      </c>
      <c r="L3317" t="s">
        <v>16</v>
      </c>
      <c r="M3317" t="s">
        <v>302</v>
      </c>
      <c r="N3317" s="2">
        <v>46112</v>
      </c>
    </row>
    <row r="3318" spans="1:14" x14ac:dyDescent="0.25">
      <c r="A3318" s="4" t="s">
        <v>244</v>
      </c>
      <c r="B3318" s="5"/>
      <c r="C3318" s="4" t="s">
        <v>9</v>
      </c>
      <c r="D3318" s="4" t="s">
        <v>9</v>
      </c>
      <c r="E3318" s="4" t="s">
        <v>9</v>
      </c>
      <c r="F3318" s="6">
        <v>0</v>
      </c>
      <c r="G3318" s="6">
        <v>0</v>
      </c>
      <c r="H3318" s="4" t="s">
        <v>9</v>
      </c>
      <c r="I3318" s="4" t="s">
        <v>3</v>
      </c>
      <c r="J3318" s="4" t="s">
        <v>9</v>
      </c>
      <c r="K3318" s="4" t="s">
        <v>9</v>
      </c>
      <c r="L3318" s="4" t="s">
        <v>9</v>
      </c>
      <c r="M3318" s="4" t="s">
        <v>9</v>
      </c>
      <c r="N3318" s="5"/>
    </row>
    <row r="3319" spans="1:14" x14ac:dyDescent="0.25">
      <c r="A3319" t="s">
        <v>505</v>
      </c>
      <c r="B3319" s="2">
        <v>46147</v>
      </c>
      <c r="C3319" t="s">
        <v>505</v>
      </c>
      <c r="D3319" t="s">
        <v>112</v>
      </c>
      <c r="E3319" t="s">
        <v>9</v>
      </c>
      <c r="F3319" s="3">
        <v>-9400</v>
      </c>
      <c r="G3319" s="3">
        <v>-9400</v>
      </c>
      <c r="H3319" t="s">
        <v>3</v>
      </c>
      <c r="I3319" t="s">
        <v>3</v>
      </c>
      <c r="J3319" t="s">
        <v>9</v>
      </c>
      <c r="K3319" t="s">
        <v>9</v>
      </c>
      <c r="L3319" t="s">
        <v>17</v>
      </c>
      <c r="M3319" t="s">
        <v>114</v>
      </c>
      <c r="N3319" s="2">
        <v>46142</v>
      </c>
    </row>
    <row r="3320" spans="1:14" x14ac:dyDescent="0.25">
      <c r="A3320" t="s">
        <v>505</v>
      </c>
      <c r="B3320" s="2">
        <v>46147</v>
      </c>
      <c r="C3320" t="s">
        <v>505</v>
      </c>
      <c r="D3320" t="s">
        <v>301</v>
      </c>
      <c r="E3320" t="s">
        <v>9</v>
      </c>
      <c r="F3320" s="3">
        <v>9400</v>
      </c>
      <c r="G3320" s="3">
        <v>9400</v>
      </c>
      <c r="H3320" t="s">
        <v>3</v>
      </c>
      <c r="I3320" t="s">
        <v>3</v>
      </c>
      <c r="J3320" t="s">
        <v>9</v>
      </c>
      <c r="K3320" t="s">
        <v>9</v>
      </c>
      <c r="L3320" t="s">
        <v>17</v>
      </c>
      <c r="M3320" t="s">
        <v>302</v>
      </c>
      <c r="N3320" s="2">
        <v>46142</v>
      </c>
    </row>
    <row r="3321" spans="1:14" x14ac:dyDescent="0.25">
      <c r="A3321" t="s">
        <v>505</v>
      </c>
      <c r="B3321" s="2">
        <v>46112</v>
      </c>
      <c r="C3321" t="s">
        <v>505</v>
      </c>
      <c r="D3321" t="s">
        <v>112</v>
      </c>
      <c r="E3321" t="s">
        <v>9</v>
      </c>
      <c r="F3321" s="3">
        <v>-6700</v>
      </c>
      <c r="G3321" s="3">
        <v>-6700</v>
      </c>
      <c r="H3321" t="s">
        <v>3</v>
      </c>
      <c r="I3321" t="s">
        <v>3</v>
      </c>
      <c r="J3321" t="s">
        <v>307</v>
      </c>
      <c r="K3321" t="s">
        <v>13</v>
      </c>
      <c r="L3321" t="s">
        <v>17</v>
      </c>
      <c r="M3321" t="s">
        <v>114</v>
      </c>
      <c r="N3321" s="2">
        <v>46113</v>
      </c>
    </row>
    <row r="3322" spans="1:14" x14ac:dyDescent="0.25">
      <c r="A3322" t="s">
        <v>505</v>
      </c>
      <c r="B3322" s="2">
        <v>46112</v>
      </c>
      <c r="C3322" t="s">
        <v>505</v>
      </c>
      <c r="D3322" t="s">
        <v>112</v>
      </c>
      <c r="E3322" t="s">
        <v>9</v>
      </c>
      <c r="F3322" s="3">
        <v>-800</v>
      </c>
      <c r="G3322" s="3">
        <v>-800</v>
      </c>
      <c r="H3322" t="s">
        <v>3</v>
      </c>
      <c r="I3322" t="s">
        <v>3</v>
      </c>
      <c r="J3322" t="s">
        <v>395</v>
      </c>
      <c r="K3322" t="s">
        <v>13</v>
      </c>
      <c r="L3322" t="s">
        <v>17</v>
      </c>
      <c r="M3322" t="s">
        <v>114</v>
      </c>
      <c r="N3322" s="2">
        <v>46113</v>
      </c>
    </row>
    <row r="3323" spans="1:14" x14ac:dyDescent="0.25">
      <c r="A3323" t="s">
        <v>505</v>
      </c>
      <c r="B3323" s="2">
        <v>46142</v>
      </c>
      <c r="C3323" t="s">
        <v>505</v>
      </c>
      <c r="D3323" t="s">
        <v>112</v>
      </c>
      <c r="E3323" t="s">
        <v>9</v>
      </c>
      <c r="F3323" s="3">
        <v>9600</v>
      </c>
      <c r="G3323" s="3">
        <v>9600</v>
      </c>
      <c r="H3323" t="s">
        <v>3</v>
      </c>
      <c r="I3323" t="s">
        <v>3</v>
      </c>
      <c r="J3323" t="s">
        <v>310</v>
      </c>
      <c r="K3323" t="s">
        <v>13</v>
      </c>
      <c r="L3323" t="s">
        <v>17</v>
      </c>
      <c r="M3323" t="s">
        <v>114</v>
      </c>
      <c r="N3323" s="2">
        <v>46142</v>
      </c>
    </row>
    <row r="3324" spans="1:14" x14ac:dyDescent="0.25">
      <c r="A3324" t="s">
        <v>505</v>
      </c>
      <c r="B3324" s="2">
        <v>46142</v>
      </c>
      <c r="C3324" t="s">
        <v>505</v>
      </c>
      <c r="D3324" t="s">
        <v>112</v>
      </c>
      <c r="E3324" t="s">
        <v>9</v>
      </c>
      <c r="F3324" s="3">
        <v>7300</v>
      </c>
      <c r="G3324" s="3">
        <v>7300</v>
      </c>
      <c r="H3324" t="s">
        <v>3</v>
      </c>
      <c r="I3324" t="s">
        <v>3</v>
      </c>
      <c r="J3324" t="s">
        <v>423</v>
      </c>
      <c r="K3324" t="s">
        <v>13</v>
      </c>
      <c r="L3324" t="s">
        <v>17</v>
      </c>
      <c r="M3324" t="s">
        <v>114</v>
      </c>
      <c r="N3324" s="2">
        <v>46142</v>
      </c>
    </row>
    <row r="3325" spans="1:14" x14ac:dyDescent="0.25">
      <c r="A3325" t="s">
        <v>505</v>
      </c>
      <c r="B3325" s="2">
        <v>46142</v>
      </c>
      <c r="C3325" t="s">
        <v>505</v>
      </c>
      <c r="D3325" t="s">
        <v>301</v>
      </c>
      <c r="E3325" t="s">
        <v>9</v>
      </c>
      <c r="F3325" s="3">
        <v>-9400</v>
      </c>
      <c r="G3325" s="3">
        <v>-9400</v>
      </c>
      <c r="H3325" t="s">
        <v>3</v>
      </c>
      <c r="I3325" t="s">
        <v>3</v>
      </c>
      <c r="J3325" t="s">
        <v>10</v>
      </c>
      <c r="K3325" t="s">
        <v>13</v>
      </c>
      <c r="L3325" t="s">
        <v>17</v>
      </c>
      <c r="M3325" t="s">
        <v>302</v>
      </c>
      <c r="N3325" s="2">
        <v>46142</v>
      </c>
    </row>
    <row r="3326" spans="1:14" x14ac:dyDescent="0.25">
      <c r="A3326" s="4" t="s">
        <v>249</v>
      </c>
      <c r="B3326" s="5"/>
      <c r="C3326" s="4" t="s">
        <v>9</v>
      </c>
      <c r="D3326" s="4" t="s">
        <v>9</v>
      </c>
      <c r="E3326" s="4" t="s">
        <v>9</v>
      </c>
      <c r="F3326" s="6">
        <v>0</v>
      </c>
      <c r="G3326" s="6">
        <v>0</v>
      </c>
      <c r="H3326" s="4" t="s">
        <v>9</v>
      </c>
      <c r="I3326" s="4" t="s">
        <v>3</v>
      </c>
      <c r="J3326" s="4" t="s">
        <v>9</v>
      </c>
      <c r="K3326" s="4" t="s">
        <v>9</v>
      </c>
      <c r="L3326" s="4" t="s">
        <v>9</v>
      </c>
      <c r="M3326" s="4" t="s">
        <v>9</v>
      </c>
      <c r="N3326" s="5"/>
    </row>
    <row r="3327" spans="1:14" x14ac:dyDescent="0.25">
      <c r="A3327" t="s">
        <v>505</v>
      </c>
      <c r="B3327" s="2">
        <v>46175</v>
      </c>
      <c r="C3327" t="s">
        <v>505</v>
      </c>
      <c r="D3327" t="s">
        <v>112</v>
      </c>
      <c r="E3327" t="s">
        <v>9</v>
      </c>
      <c r="F3327" s="3">
        <v>-3400</v>
      </c>
      <c r="G3327" s="3">
        <v>-3400</v>
      </c>
      <c r="H3327" t="s">
        <v>3</v>
      </c>
      <c r="I3327" t="s">
        <v>3</v>
      </c>
      <c r="J3327" t="s">
        <v>9</v>
      </c>
      <c r="K3327" t="s">
        <v>9</v>
      </c>
      <c r="L3327" t="s">
        <v>18</v>
      </c>
      <c r="M3327" t="s">
        <v>114</v>
      </c>
      <c r="N3327" s="2">
        <v>46173</v>
      </c>
    </row>
    <row r="3328" spans="1:14" x14ac:dyDescent="0.25">
      <c r="A3328" t="s">
        <v>505</v>
      </c>
      <c r="B3328" s="2">
        <v>46175</v>
      </c>
      <c r="C3328" t="s">
        <v>505</v>
      </c>
      <c r="D3328" t="s">
        <v>301</v>
      </c>
      <c r="E3328" t="s">
        <v>9</v>
      </c>
      <c r="F3328" s="3">
        <v>3400</v>
      </c>
      <c r="G3328" s="3">
        <v>3400</v>
      </c>
      <c r="H3328" t="s">
        <v>3</v>
      </c>
      <c r="I3328" t="s">
        <v>3</v>
      </c>
      <c r="J3328" t="s">
        <v>9</v>
      </c>
      <c r="K3328" t="s">
        <v>9</v>
      </c>
      <c r="L3328" t="s">
        <v>18</v>
      </c>
      <c r="M3328" t="s">
        <v>302</v>
      </c>
      <c r="N3328" s="2">
        <v>46173</v>
      </c>
    </row>
    <row r="3329" spans="1:14" x14ac:dyDescent="0.25">
      <c r="A3329" t="s">
        <v>505</v>
      </c>
      <c r="B3329" s="2">
        <v>46142</v>
      </c>
      <c r="C3329" t="s">
        <v>505</v>
      </c>
      <c r="D3329" t="s">
        <v>112</v>
      </c>
      <c r="E3329" t="s">
        <v>9</v>
      </c>
      <c r="F3329" s="3">
        <v>-9600</v>
      </c>
      <c r="G3329" s="3">
        <v>-9600</v>
      </c>
      <c r="H3329" t="s">
        <v>3</v>
      </c>
      <c r="I3329" t="s">
        <v>3</v>
      </c>
      <c r="J3329" t="s">
        <v>310</v>
      </c>
      <c r="K3329" t="s">
        <v>13</v>
      </c>
      <c r="L3329" t="s">
        <v>18</v>
      </c>
      <c r="M3329" t="s">
        <v>114</v>
      </c>
      <c r="N3329" s="2">
        <v>46143</v>
      </c>
    </row>
    <row r="3330" spans="1:14" x14ac:dyDescent="0.25">
      <c r="A3330" t="s">
        <v>505</v>
      </c>
      <c r="B3330" s="2">
        <v>46142</v>
      </c>
      <c r="C3330" t="s">
        <v>505</v>
      </c>
      <c r="D3330" t="s">
        <v>112</v>
      </c>
      <c r="E3330" t="s">
        <v>9</v>
      </c>
      <c r="F3330" s="3">
        <v>-7300</v>
      </c>
      <c r="G3330" s="3">
        <v>-7300</v>
      </c>
      <c r="H3330" t="s">
        <v>3</v>
      </c>
      <c r="I3330" t="s">
        <v>3</v>
      </c>
      <c r="J3330" t="s">
        <v>423</v>
      </c>
      <c r="K3330" t="s">
        <v>13</v>
      </c>
      <c r="L3330" t="s">
        <v>18</v>
      </c>
      <c r="M3330" t="s">
        <v>114</v>
      </c>
      <c r="N3330" s="2">
        <v>46143</v>
      </c>
    </row>
    <row r="3331" spans="1:14" x14ac:dyDescent="0.25">
      <c r="A3331" t="s">
        <v>505</v>
      </c>
      <c r="B3331" s="2">
        <v>46173</v>
      </c>
      <c r="C3331" t="s">
        <v>505</v>
      </c>
      <c r="D3331" t="s">
        <v>112</v>
      </c>
      <c r="E3331" t="s">
        <v>9</v>
      </c>
      <c r="F3331" s="3">
        <v>11350</v>
      </c>
      <c r="G3331" s="3">
        <v>11350</v>
      </c>
      <c r="H3331" t="s">
        <v>3</v>
      </c>
      <c r="I3331" t="s">
        <v>3</v>
      </c>
      <c r="J3331" t="s">
        <v>313</v>
      </c>
      <c r="K3331" t="s">
        <v>13</v>
      </c>
      <c r="L3331" t="s">
        <v>18</v>
      </c>
      <c r="M3331" t="s">
        <v>114</v>
      </c>
      <c r="N3331" s="2">
        <v>46173</v>
      </c>
    </row>
    <row r="3332" spans="1:14" x14ac:dyDescent="0.25">
      <c r="A3332" t="s">
        <v>505</v>
      </c>
      <c r="B3332" s="2">
        <v>46173</v>
      </c>
      <c r="C3332" t="s">
        <v>505</v>
      </c>
      <c r="D3332" t="s">
        <v>112</v>
      </c>
      <c r="E3332" t="s">
        <v>9</v>
      </c>
      <c r="F3332" s="3">
        <v>8950</v>
      </c>
      <c r="G3332" s="3">
        <v>8950</v>
      </c>
      <c r="H3332" t="s">
        <v>3</v>
      </c>
      <c r="I3332" t="s">
        <v>3</v>
      </c>
      <c r="J3332" t="s">
        <v>427</v>
      </c>
      <c r="K3332" t="s">
        <v>13</v>
      </c>
      <c r="L3332" t="s">
        <v>18</v>
      </c>
      <c r="M3332" t="s">
        <v>114</v>
      </c>
      <c r="N3332" s="2">
        <v>46173</v>
      </c>
    </row>
    <row r="3333" spans="1:14" x14ac:dyDescent="0.25">
      <c r="A3333" t="s">
        <v>505</v>
      </c>
      <c r="B3333" s="2">
        <v>46173</v>
      </c>
      <c r="C3333" t="s">
        <v>505</v>
      </c>
      <c r="D3333" t="s">
        <v>301</v>
      </c>
      <c r="E3333" t="s">
        <v>9</v>
      </c>
      <c r="F3333" s="3">
        <v>-3400</v>
      </c>
      <c r="G3333" s="3">
        <v>-3400</v>
      </c>
      <c r="H3333" t="s">
        <v>3</v>
      </c>
      <c r="I3333" t="s">
        <v>3</v>
      </c>
      <c r="J3333" t="s">
        <v>10</v>
      </c>
      <c r="K3333" t="s">
        <v>13</v>
      </c>
      <c r="L3333" t="s">
        <v>18</v>
      </c>
      <c r="M3333" t="s">
        <v>302</v>
      </c>
      <c r="N3333" s="2">
        <v>46173</v>
      </c>
    </row>
    <row r="3334" spans="1:14" x14ac:dyDescent="0.25">
      <c r="A3334" s="4" t="s">
        <v>223</v>
      </c>
      <c r="B3334" s="5"/>
      <c r="C3334" s="4" t="s">
        <v>9</v>
      </c>
      <c r="D3334" s="4" t="s">
        <v>9</v>
      </c>
      <c r="E3334" s="4" t="s">
        <v>9</v>
      </c>
      <c r="F3334" s="6">
        <v>0</v>
      </c>
      <c r="G3334" s="6">
        <v>0</v>
      </c>
      <c r="H3334" s="4" t="s">
        <v>9</v>
      </c>
      <c r="I3334" s="4" t="s">
        <v>3</v>
      </c>
      <c r="J3334" s="4" t="s">
        <v>9</v>
      </c>
      <c r="K3334" s="4" t="s">
        <v>9</v>
      </c>
      <c r="L3334" s="4" t="s">
        <v>9</v>
      </c>
      <c r="M3334" s="4" t="s">
        <v>9</v>
      </c>
      <c r="N3334" s="5"/>
    </row>
    <row r="3335" spans="1:14" x14ac:dyDescent="0.25">
      <c r="A3335" t="s">
        <v>505</v>
      </c>
      <c r="B3335" s="2">
        <v>45839</v>
      </c>
      <c r="C3335" t="s">
        <v>505</v>
      </c>
      <c r="D3335" t="s">
        <v>112</v>
      </c>
      <c r="E3335" t="s">
        <v>9</v>
      </c>
      <c r="F3335" s="3">
        <v>-1000</v>
      </c>
      <c r="G3335" s="3">
        <v>-1000</v>
      </c>
      <c r="H3335" t="s">
        <v>3</v>
      </c>
      <c r="I3335" t="s">
        <v>3</v>
      </c>
      <c r="J3335" t="s">
        <v>9</v>
      </c>
      <c r="K3335" t="s">
        <v>9</v>
      </c>
      <c r="L3335" t="s">
        <v>19</v>
      </c>
      <c r="M3335" t="s">
        <v>114</v>
      </c>
      <c r="N3335" s="2">
        <v>45838</v>
      </c>
    </row>
    <row r="3336" spans="1:14" x14ac:dyDescent="0.25">
      <c r="A3336" t="s">
        <v>505</v>
      </c>
      <c r="B3336" s="2">
        <v>46205</v>
      </c>
      <c r="C3336" t="s">
        <v>505</v>
      </c>
      <c r="D3336" t="s">
        <v>112</v>
      </c>
      <c r="E3336" t="s">
        <v>9</v>
      </c>
      <c r="F3336" s="3">
        <v>-6175.28</v>
      </c>
      <c r="G3336" s="3">
        <v>-6175.28</v>
      </c>
      <c r="H3336" t="s">
        <v>3</v>
      </c>
      <c r="I3336" t="s">
        <v>3</v>
      </c>
      <c r="J3336" t="s">
        <v>9</v>
      </c>
      <c r="K3336" t="s">
        <v>9</v>
      </c>
      <c r="L3336" t="s">
        <v>19</v>
      </c>
      <c r="M3336" t="s">
        <v>114</v>
      </c>
      <c r="N3336" s="2">
        <v>46203</v>
      </c>
    </row>
    <row r="3337" spans="1:14" x14ac:dyDescent="0.25">
      <c r="A3337" t="s">
        <v>505</v>
      </c>
      <c r="B3337" s="2">
        <v>46205</v>
      </c>
      <c r="C3337" t="s">
        <v>505</v>
      </c>
      <c r="D3337" t="s">
        <v>301</v>
      </c>
      <c r="E3337" t="s">
        <v>9</v>
      </c>
      <c r="F3337" s="3">
        <v>6175.28</v>
      </c>
      <c r="G3337" s="3">
        <v>6175.28</v>
      </c>
      <c r="H3337" t="s">
        <v>3</v>
      </c>
      <c r="I3337" t="s">
        <v>3</v>
      </c>
      <c r="J3337" t="s">
        <v>9</v>
      </c>
      <c r="K3337" t="s">
        <v>9</v>
      </c>
      <c r="L3337" t="s">
        <v>19</v>
      </c>
      <c r="M3337" t="s">
        <v>302</v>
      </c>
      <c r="N3337" s="2">
        <v>46203</v>
      </c>
    </row>
    <row r="3338" spans="1:14" x14ac:dyDescent="0.25">
      <c r="A3338" t="s">
        <v>505</v>
      </c>
      <c r="B3338" s="2">
        <v>45838</v>
      </c>
      <c r="C3338" t="s">
        <v>505</v>
      </c>
      <c r="D3338" t="s">
        <v>112</v>
      </c>
      <c r="E3338" t="s">
        <v>9</v>
      </c>
      <c r="F3338" s="3">
        <v>1000</v>
      </c>
      <c r="G3338" s="3">
        <v>1000</v>
      </c>
      <c r="H3338" t="s">
        <v>3</v>
      </c>
      <c r="I3338" t="s">
        <v>3</v>
      </c>
      <c r="J3338" t="s">
        <v>314</v>
      </c>
      <c r="K3338" t="s">
        <v>5</v>
      </c>
      <c r="L3338" t="s">
        <v>19</v>
      </c>
      <c r="M3338" t="s">
        <v>114</v>
      </c>
      <c r="N3338" s="2">
        <v>45838</v>
      </c>
    </row>
    <row r="3339" spans="1:14" x14ac:dyDescent="0.25">
      <c r="A3339" t="s">
        <v>505</v>
      </c>
      <c r="B3339" s="2">
        <v>46173</v>
      </c>
      <c r="C3339" t="s">
        <v>505</v>
      </c>
      <c r="D3339" t="s">
        <v>112</v>
      </c>
      <c r="E3339" t="s">
        <v>9</v>
      </c>
      <c r="F3339" s="3">
        <v>-11350</v>
      </c>
      <c r="G3339" s="3">
        <v>-11350</v>
      </c>
      <c r="H3339" t="s">
        <v>3</v>
      </c>
      <c r="I3339" t="s">
        <v>3</v>
      </c>
      <c r="J3339" t="s">
        <v>313</v>
      </c>
      <c r="K3339" t="s">
        <v>13</v>
      </c>
      <c r="L3339" t="s">
        <v>19</v>
      </c>
      <c r="M3339" t="s">
        <v>114</v>
      </c>
      <c r="N3339" s="2">
        <v>46174</v>
      </c>
    </row>
    <row r="3340" spans="1:14" x14ac:dyDescent="0.25">
      <c r="A3340" t="s">
        <v>505</v>
      </c>
      <c r="B3340" s="2">
        <v>46173</v>
      </c>
      <c r="C3340" t="s">
        <v>505</v>
      </c>
      <c r="D3340" t="s">
        <v>112</v>
      </c>
      <c r="E3340" t="s">
        <v>9</v>
      </c>
      <c r="F3340" s="3">
        <v>-8950</v>
      </c>
      <c r="G3340" s="3">
        <v>-8950</v>
      </c>
      <c r="H3340" t="s">
        <v>3</v>
      </c>
      <c r="I3340" t="s">
        <v>3</v>
      </c>
      <c r="J3340" t="s">
        <v>427</v>
      </c>
      <c r="K3340" t="s">
        <v>13</v>
      </c>
      <c r="L3340" t="s">
        <v>19</v>
      </c>
      <c r="M3340" t="s">
        <v>114</v>
      </c>
      <c r="N3340" s="2">
        <v>46174</v>
      </c>
    </row>
    <row r="3341" spans="1:14" x14ac:dyDescent="0.25">
      <c r="A3341" t="s">
        <v>505</v>
      </c>
      <c r="B3341" s="2">
        <v>46203</v>
      </c>
      <c r="C3341" t="s">
        <v>505</v>
      </c>
      <c r="D3341" t="s">
        <v>112</v>
      </c>
      <c r="E3341" t="s">
        <v>9</v>
      </c>
      <c r="F3341" s="3">
        <v>13175.28</v>
      </c>
      <c r="G3341" s="3">
        <v>13175.28</v>
      </c>
      <c r="H3341" t="s">
        <v>3</v>
      </c>
      <c r="I3341" t="s">
        <v>3</v>
      </c>
      <c r="J3341" t="s">
        <v>316</v>
      </c>
      <c r="K3341" t="s">
        <v>13</v>
      </c>
      <c r="L3341" t="s">
        <v>19</v>
      </c>
      <c r="M3341" t="s">
        <v>114</v>
      </c>
      <c r="N3341" s="2">
        <v>46203</v>
      </c>
    </row>
    <row r="3342" spans="1:14" x14ac:dyDescent="0.25">
      <c r="A3342" t="s">
        <v>505</v>
      </c>
      <c r="B3342" s="2">
        <v>46203</v>
      </c>
      <c r="C3342" t="s">
        <v>505</v>
      </c>
      <c r="D3342" t="s">
        <v>112</v>
      </c>
      <c r="E3342" t="s">
        <v>9</v>
      </c>
      <c r="F3342" s="3">
        <v>13300</v>
      </c>
      <c r="G3342" s="3">
        <v>13300</v>
      </c>
      <c r="H3342" t="s">
        <v>3</v>
      </c>
      <c r="I3342" t="s">
        <v>3</v>
      </c>
      <c r="J3342" t="s">
        <v>428</v>
      </c>
      <c r="K3342" t="s">
        <v>13</v>
      </c>
      <c r="L3342" t="s">
        <v>19</v>
      </c>
      <c r="M3342" t="s">
        <v>114</v>
      </c>
      <c r="N3342" s="2">
        <v>46203</v>
      </c>
    </row>
    <row r="3343" spans="1:14" x14ac:dyDescent="0.25">
      <c r="A3343" t="s">
        <v>505</v>
      </c>
      <c r="B3343" s="2">
        <v>46203</v>
      </c>
      <c r="C3343" t="s">
        <v>505</v>
      </c>
      <c r="D3343" t="s">
        <v>301</v>
      </c>
      <c r="E3343" t="s">
        <v>9</v>
      </c>
      <c r="F3343" s="3">
        <v>-6175.28</v>
      </c>
      <c r="G3343" s="3">
        <v>-6175.28</v>
      </c>
      <c r="H3343" t="s">
        <v>3</v>
      </c>
      <c r="I3343" t="s">
        <v>3</v>
      </c>
      <c r="J3343" t="s">
        <v>10</v>
      </c>
      <c r="K3343" t="s">
        <v>13</v>
      </c>
      <c r="L3343" t="s">
        <v>19</v>
      </c>
      <c r="M3343" t="s">
        <v>302</v>
      </c>
      <c r="N3343" s="2">
        <v>46203</v>
      </c>
    </row>
    <row r="3344" spans="1:14" x14ac:dyDescent="0.25">
      <c r="A3344" s="4" t="s">
        <v>224</v>
      </c>
      <c r="B3344" s="5"/>
      <c r="C3344" s="4" t="s">
        <v>9</v>
      </c>
      <c r="D3344" s="4" t="s">
        <v>9</v>
      </c>
      <c r="E3344" s="4" t="s">
        <v>9</v>
      </c>
      <c r="F3344" s="6">
        <v>0</v>
      </c>
      <c r="G3344" s="6">
        <v>0</v>
      </c>
      <c r="H3344" s="4" t="s">
        <v>9</v>
      </c>
      <c r="I3344" s="4" t="s">
        <v>3</v>
      </c>
      <c r="J3344" s="4" t="s">
        <v>9</v>
      </c>
      <c r="K3344" s="4" t="s">
        <v>9</v>
      </c>
      <c r="L3344" s="4" t="s">
        <v>9</v>
      </c>
      <c r="M3344" s="4" t="s">
        <v>9</v>
      </c>
      <c r="N3344" s="5"/>
    </row>
    <row r="3345" spans="1:14" x14ac:dyDescent="0.25">
      <c r="A3345" t="s">
        <v>505</v>
      </c>
      <c r="B3345" s="2">
        <v>45870</v>
      </c>
      <c r="C3345" t="s">
        <v>505</v>
      </c>
      <c r="D3345" t="s">
        <v>112</v>
      </c>
      <c r="E3345" t="s">
        <v>9</v>
      </c>
      <c r="F3345" s="3">
        <v>-4450</v>
      </c>
      <c r="G3345" s="3">
        <v>-4450</v>
      </c>
      <c r="H3345" t="s">
        <v>3</v>
      </c>
      <c r="I3345" t="s">
        <v>3</v>
      </c>
      <c r="J3345" t="s">
        <v>9</v>
      </c>
      <c r="K3345" t="s">
        <v>9</v>
      </c>
      <c r="L3345" t="s">
        <v>21</v>
      </c>
      <c r="M3345" t="s">
        <v>114</v>
      </c>
      <c r="N3345" s="2">
        <v>45869</v>
      </c>
    </row>
    <row r="3346" spans="1:14" x14ac:dyDescent="0.25">
      <c r="A3346" t="s">
        <v>505</v>
      </c>
      <c r="B3346" s="2">
        <v>46239</v>
      </c>
      <c r="C3346" t="s">
        <v>505</v>
      </c>
      <c r="D3346" t="s">
        <v>112</v>
      </c>
      <c r="E3346" t="s">
        <v>9</v>
      </c>
      <c r="F3346" s="3">
        <v>-3774.72</v>
      </c>
      <c r="G3346" s="3">
        <v>-3774.72</v>
      </c>
      <c r="H3346" t="s">
        <v>3</v>
      </c>
      <c r="I3346" t="s">
        <v>3</v>
      </c>
      <c r="J3346" t="s">
        <v>9</v>
      </c>
      <c r="K3346" t="s">
        <v>9</v>
      </c>
      <c r="L3346" t="s">
        <v>21</v>
      </c>
      <c r="M3346" t="s">
        <v>114</v>
      </c>
      <c r="N3346" s="2">
        <v>46234</v>
      </c>
    </row>
    <row r="3347" spans="1:14" x14ac:dyDescent="0.25">
      <c r="A3347" t="s">
        <v>505</v>
      </c>
      <c r="B3347" s="2">
        <v>46239</v>
      </c>
      <c r="C3347" t="s">
        <v>505</v>
      </c>
      <c r="D3347" t="s">
        <v>301</v>
      </c>
      <c r="E3347" t="s">
        <v>9</v>
      </c>
      <c r="F3347" s="3">
        <v>3774.72</v>
      </c>
      <c r="G3347" s="3">
        <v>3774.72</v>
      </c>
      <c r="H3347" t="s">
        <v>3</v>
      </c>
      <c r="I3347" t="s">
        <v>3</v>
      </c>
      <c r="J3347" t="s">
        <v>9</v>
      </c>
      <c r="K3347" t="s">
        <v>9</v>
      </c>
      <c r="L3347" t="s">
        <v>21</v>
      </c>
      <c r="M3347" t="s">
        <v>302</v>
      </c>
      <c r="N3347" s="2">
        <v>46234</v>
      </c>
    </row>
    <row r="3348" spans="1:14" x14ac:dyDescent="0.25">
      <c r="A3348" t="s">
        <v>505</v>
      </c>
      <c r="B3348" s="2">
        <v>45838</v>
      </c>
      <c r="C3348" t="s">
        <v>505</v>
      </c>
      <c r="D3348" t="s">
        <v>112</v>
      </c>
      <c r="E3348" t="s">
        <v>9</v>
      </c>
      <c r="F3348" s="3">
        <v>-1000</v>
      </c>
      <c r="G3348" s="3">
        <v>-1000</v>
      </c>
      <c r="H3348" t="s">
        <v>3</v>
      </c>
      <c r="I3348" t="s">
        <v>3</v>
      </c>
      <c r="J3348" t="s">
        <v>314</v>
      </c>
      <c r="K3348" t="s">
        <v>5</v>
      </c>
      <c r="L3348" t="s">
        <v>21</v>
      </c>
      <c r="M3348" t="s">
        <v>114</v>
      </c>
      <c r="N3348" s="2">
        <v>45839</v>
      </c>
    </row>
    <row r="3349" spans="1:14" x14ac:dyDescent="0.25">
      <c r="A3349" t="s">
        <v>505</v>
      </c>
      <c r="B3349" s="2">
        <v>45869</v>
      </c>
      <c r="C3349" t="s">
        <v>505</v>
      </c>
      <c r="D3349" t="s">
        <v>112</v>
      </c>
      <c r="E3349" t="s">
        <v>9</v>
      </c>
      <c r="F3349" s="3">
        <v>5450</v>
      </c>
      <c r="G3349" s="3">
        <v>5450</v>
      </c>
      <c r="H3349" t="s">
        <v>3</v>
      </c>
      <c r="I3349" t="s">
        <v>3</v>
      </c>
      <c r="J3349" t="s">
        <v>317</v>
      </c>
      <c r="K3349" t="s">
        <v>5</v>
      </c>
      <c r="L3349" t="s">
        <v>21</v>
      </c>
      <c r="M3349" t="s">
        <v>114</v>
      </c>
      <c r="N3349" s="2">
        <v>45869</v>
      </c>
    </row>
    <row r="3350" spans="1:14" x14ac:dyDescent="0.25">
      <c r="A3350" t="s">
        <v>505</v>
      </c>
      <c r="B3350" s="2">
        <v>46203</v>
      </c>
      <c r="C3350" t="s">
        <v>505</v>
      </c>
      <c r="D3350" t="s">
        <v>112</v>
      </c>
      <c r="E3350" t="s">
        <v>9</v>
      </c>
      <c r="F3350" s="3">
        <v>-13175.28</v>
      </c>
      <c r="G3350" s="3">
        <v>-13175.28</v>
      </c>
      <c r="H3350" t="s">
        <v>3</v>
      </c>
      <c r="I3350" t="s">
        <v>3</v>
      </c>
      <c r="J3350" t="s">
        <v>316</v>
      </c>
      <c r="K3350" t="s">
        <v>13</v>
      </c>
      <c r="L3350" t="s">
        <v>21</v>
      </c>
      <c r="M3350" t="s">
        <v>114</v>
      </c>
      <c r="N3350" s="2">
        <v>46204</v>
      </c>
    </row>
    <row r="3351" spans="1:14" x14ac:dyDescent="0.25">
      <c r="A3351" t="s">
        <v>505</v>
      </c>
      <c r="B3351" s="2">
        <v>46203</v>
      </c>
      <c r="C3351" t="s">
        <v>505</v>
      </c>
      <c r="D3351" t="s">
        <v>112</v>
      </c>
      <c r="E3351" t="s">
        <v>9</v>
      </c>
      <c r="F3351" s="3">
        <v>-13300</v>
      </c>
      <c r="G3351" s="3">
        <v>-13300</v>
      </c>
      <c r="H3351" t="s">
        <v>3</v>
      </c>
      <c r="I3351" t="s">
        <v>3</v>
      </c>
      <c r="J3351" t="s">
        <v>428</v>
      </c>
      <c r="K3351" t="s">
        <v>13</v>
      </c>
      <c r="L3351" t="s">
        <v>21</v>
      </c>
      <c r="M3351" t="s">
        <v>114</v>
      </c>
      <c r="N3351" s="2">
        <v>46204</v>
      </c>
    </row>
    <row r="3352" spans="1:14" x14ac:dyDescent="0.25">
      <c r="A3352" t="s">
        <v>505</v>
      </c>
      <c r="B3352" s="2">
        <v>46234</v>
      </c>
      <c r="C3352" t="s">
        <v>505</v>
      </c>
      <c r="D3352" t="s">
        <v>301</v>
      </c>
      <c r="E3352" t="s">
        <v>9</v>
      </c>
      <c r="F3352" s="3">
        <v>-3774.72</v>
      </c>
      <c r="G3352" s="3">
        <v>-3774.72</v>
      </c>
      <c r="H3352" t="s">
        <v>3</v>
      </c>
      <c r="I3352" t="s">
        <v>3</v>
      </c>
      <c r="J3352" t="s">
        <v>10</v>
      </c>
      <c r="K3352" t="s">
        <v>13</v>
      </c>
      <c r="L3352" t="s">
        <v>21</v>
      </c>
      <c r="M3352" t="s">
        <v>302</v>
      </c>
      <c r="N3352" s="2">
        <v>46234</v>
      </c>
    </row>
    <row r="3353" spans="1:14" x14ac:dyDescent="0.25">
      <c r="A3353" t="s">
        <v>505</v>
      </c>
      <c r="B3353" s="2">
        <v>46234</v>
      </c>
      <c r="C3353" t="s">
        <v>505</v>
      </c>
      <c r="D3353" t="s">
        <v>112</v>
      </c>
      <c r="E3353" t="s">
        <v>9</v>
      </c>
      <c r="F3353" s="3">
        <v>16550</v>
      </c>
      <c r="G3353" s="3">
        <v>16550</v>
      </c>
      <c r="H3353" t="s">
        <v>3</v>
      </c>
      <c r="I3353" t="s">
        <v>3</v>
      </c>
      <c r="J3353" t="s">
        <v>319</v>
      </c>
      <c r="K3353" t="s">
        <v>13</v>
      </c>
      <c r="L3353" t="s">
        <v>21</v>
      </c>
      <c r="M3353" t="s">
        <v>114</v>
      </c>
      <c r="N3353" s="2">
        <v>46234</v>
      </c>
    </row>
    <row r="3354" spans="1:14" x14ac:dyDescent="0.25">
      <c r="A3354" t="s">
        <v>505</v>
      </c>
      <c r="B3354" s="2">
        <v>46234</v>
      </c>
      <c r="C3354" t="s">
        <v>505</v>
      </c>
      <c r="D3354" t="s">
        <v>112</v>
      </c>
      <c r="E3354" t="s">
        <v>9</v>
      </c>
      <c r="F3354" s="3">
        <v>13700</v>
      </c>
      <c r="G3354" s="3">
        <v>13700</v>
      </c>
      <c r="H3354" t="s">
        <v>3</v>
      </c>
      <c r="I3354" t="s">
        <v>3</v>
      </c>
      <c r="J3354" t="s">
        <v>429</v>
      </c>
      <c r="K3354" t="s">
        <v>13</v>
      </c>
      <c r="L3354" t="s">
        <v>21</v>
      </c>
      <c r="M3354" t="s">
        <v>114</v>
      </c>
      <c r="N3354" s="2">
        <v>46234</v>
      </c>
    </row>
    <row r="3355" spans="1:14" x14ac:dyDescent="0.25">
      <c r="A3355" s="4" t="s">
        <v>262</v>
      </c>
      <c r="B3355" s="5"/>
      <c r="C3355" s="4" t="s">
        <v>9</v>
      </c>
      <c r="D3355" s="4" t="s">
        <v>9</v>
      </c>
      <c r="E3355" s="4" t="s">
        <v>9</v>
      </c>
      <c r="F3355" s="6">
        <v>0</v>
      </c>
      <c r="G3355" s="6">
        <v>0</v>
      </c>
      <c r="H3355" s="4" t="s">
        <v>9</v>
      </c>
      <c r="I3355" s="4" t="s">
        <v>3</v>
      </c>
      <c r="J3355" s="4" t="s">
        <v>9</v>
      </c>
      <c r="K3355" s="4" t="s">
        <v>9</v>
      </c>
      <c r="L3355" s="4" t="s">
        <v>9</v>
      </c>
      <c r="M3355" s="4" t="s">
        <v>9</v>
      </c>
      <c r="N3355" s="5"/>
    </row>
    <row r="3356" spans="1:14" x14ac:dyDescent="0.25">
      <c r="A3356" t="s">
        <v>505</v>
      </c>
      <c r="B3356" s="2">
        <v>45901</v>
      </c>
      <c r="C3356" t="s">
        <v>505</v>
      </c>
      <c r="D3356" t="s">
        <v>112</v>
      </c>
      <c r="E3356" t="s">
        <v>9</v>
      </c>
      <c r="F3356" s="3">
        <v>-900</v>
      </c>
      <c r="G3356" s="3">
        <v>-900</v>
      </c>
      <c r="H3356" t="s">
        <v>3</v>
      </c>
      <c r="I3356" t="s">
        <v>3</v>
      </c>
      <c r="J3356" t="s">
        <v>9</v>
      </c>
      <c r="K3356" t="s">
        <v>9</v>
      </c>
      <c r="L3356" t="s">
        <v>22</v>
      </c>
      <c r="M3356" t="s">
        <v>114</v>
      </c>
      <c r="N3356" s="2">
        <v>45900</v>
      </c>
    </row>
    <row r="3357" spans="1:14" x14ac:dyDescent="0.25">
      <c r="A3357" t="s">
        <v>505</v>
      </c>
      <c r="B3357" s="2">
        <v>46267</v>
      </c>
      <c r="C3357" t="s">
        <v>505</v>
      </c>
      <c r="D3357" t="s">
        <v>112</v>
      </c>
      <c r="E3357" t="s">
        <v>9</v>
      </c>
      <c r="F3357" s="3">
        <v>-14668</v>
      </c>
      <c r="G3357" s="3">
        <v>-14668</v>
      </c>
      <c r="H3357" t="s">
        <v>3</v>
      </c>
      <c r="I3357" t="s">
        <v>3</v>
      </c>
      <c r="J3357" t="s">
        <v>9</v>
      </c>
      <c r="K3357" t="s">
        <v>9</v>
      </c>
      <c r="L3357" t="s">
        <v>22</v>
      </c>
      <c r="M3357" t="s">
        <v>114</v>
      </c>
      <c r="N3357" s="2">
        <v>46265</v>
      </c>
    </row>
    <row r="3358" spans="1:14" x14ac:dyDescent="0.25">
      <c r="A3358" t="s">
        <v>505</v>
      </c>
      <c r="B3358" s="2">
        <v>46267</v>
      </c>
      <c r="C3358" t="s">
        <v>505</v>
      </c>
      <c r="D3358" t="s">
        <v>301</v>
      </c>
      <c r="E3358" t="s">
        <v>9</v>
      </c>
      <c r="F3358" s="3">
        <v>14668</v>
      </c>
      <c r="G3358" s="3">
        <v>14668</v>
      </c>
      <c r="H3358" t="s">
        <v>3</v>
      </c>
      <c r="I3358" t="s">
        <v>3</v>
      </c>
      <c r="J3358" t="s">
        <v>9</v>
      </c>
      <c r="K3358" t="s">
        <v>9</v>
      </c>
      <c r="L3358" t="s">
        <v>22</v>
      </c>
      <c r="M3358" t="s">
        <v>302</v>
      </c>
      <c r="N3358" s="2">
        <v>46265</v>
      </c>
    </row>
    <row r="3359" spans="1:14" x14ac:dyDescent="0.25">
      <c r="A3359" t="s">
        <v>505</v>
      </c>
      <c r="B3359" s="2">
        <v>45869</v>
      </c>
      <c r="C3359" t="s">
        <v>505</v>
      </c>
      <c r="D3359" t="s">
        <v>112</v>
      </c>
      <c r="E3359" t="s">
        <v>9</v>
      </c>
      <c r="F3359" s="3">
        <v>-5450</v>
      </c>
      <c r="G3359" s="3">
        <v>-5450</v>
      </c>
      <c r="H3359" t="s">
        <v>3</v>
      </c>
      <c r="I3359" t="s">
        <v>3</v>
      </c>
      <c r="J3359" t="s">
        <v>317</v>
      </c>
      <c r="K3359" t="s">
        <v>5</v>
      </c>
      <c r="L3359" t="s">
        <v>22</v>
      </c>
      <c r="M3359" t="s">
        <v>114</v>
      </c>
      <c r="N3359" s="2">
        <v>45870</v>
      </c>
    </row>
    <row r="3360" spans="1:14" x14ac:dyDescent="0.25">
      <c r="A3360" t="s">
        <v>505</v>
      </c>
      <c r="B3360" s="2">
        <v>45900</v>
      </c>
      <c r="C3360" t="s">
        <v>505</v>
      </c>
      <c r="D3360" t="s">
        <v>112</v>
      </c>
      <c r="E3360" t="s">
        <v>9</v>
      </c>
      <c r="F3360" s="3">
        <v>6350</v>
      </c>
      <c r="G3360" s="3">
        <v>6350</v>
      </c>
      <c r="H3360" t="s">
        <v>3</v>
      </c>
      <c r="I3360" t="s">
        <v>3</v>
      </c>
      <c r="J3360" t="s">
        <v>320</v>
      </c>
      <c r="K3360" t="s">
        <v>5</v>
      </c>
      <c r="L3360" t="s">
        <v>22</v>
      </c>
      <c r="M3360" t="s">
        <v>114</v>
      </c>
      <c r="N3360" s="2">
        <v>45900</v>
      </c>
    </row>
    <row r="3361" spans="1:14" x14ac:dyDescent="0.25">
      <c r="A3361" t="s">
        <v>505</v>
      </c>
      <c r="B3361" s="2">
        <v>45900</v>
      </c>
      <c r="C3361" t="s">
        <v>505</v>
      </c>
      <c r="D3361" t="s">
        <v>112</v>
      </c>
      <c r="E3361" t="s">
        <v>9</v>
      </c>
      <c r="F3361" s="3">
        <v>-6350</v>
      </c>
      <c r="G3361" s="3">
        <v>-6350</v>
      </c>
      <c r="H3361" t="s">
        <v>3</v>
      </c>
      <c r="I3361" t="s">
        <v>3</v>
      </c>
      <c r="J3361" t="s">
        <v>320</v>
      </c>
      <c r="K3361" t="s">
        <v>5</v>
      </c>
      <c r="L3361" t="s">
        <v>22</v>
      </c>
      <c r="M3361" t="s">
        <v>114</v>
      </c>
      <c r="N3361" s="2">
        <v>45900</v>
      </c>
    </row>
    <row r="3362" spans="1:14" x14ac:dyDescent="0.25">
      <c r="A3362" t="s">
        <v>505</v>
      </c>
      <c r="B3362" s="2">
        <v>45900</v>
      </c>
      <c r="C3362" t="s">
        <v>505</v>
      </c>
      <c r="D3362" t="s">
        <v>112</v>
      </c>
      <c r="E3362" t="s">
        <v>9</v>
      </c>
      <c r="F3362" s="3">
        <v>6350</v>
      </c>
      <c r="G3362" s="3">
        <v>6350</v>
      </c>
      <c r="H3362" t="s">
        <v>3</v>
      </c>
      <c r="I3362" t="s">
        <v>3</v>
      </c>
      <c r="J3362" t="s">
        <v>320</v>
      </c>
      <c r="K3362" t="s">
        <v>5</v>
      </c>
      <c r="L3362" t="s">
        <v>22</v>
      </c>
      <c r="M3362" t="s">
        <v>114</v>
      </c>
      <c r="N3362" s="2">
        <v>45900</v>
      </c>
    </row>
    <row r="3363" spans="1:14" x14ac:dyDescent="0.25">
      <c r="A3363" t="s">
        <v>505</v>
      </c>
      <c r="B3363" s="2">
        <v>45900</v>
      </c>
      <c r="C3363" t="s">
        <v>505</v>
      </c>
      <c r="D3363" t="s">
        <v>112</v>
      </c>
      <c r="E3363" t="s">
        <v>9</v>
      </c>
      <c r="F3363" s="3">
        <v>6350</v>
      </c>
      <c r="G3363" s="3">
        <v>6350</v>
      </c>
      <c r="H3363" t="s">
        <v>3</v>
      </c>
      <c r="I3363" t="s">
        <v>3</v>
      </c>
      <c r="J3363" t="s">
        <v>320</v>
      </c>
      <c r="K3363" t="s">
        <v>5</v>
      </c>
      <c r="L3363" t="s">
        <v>22</v>
      </c>
      <c r="M3363" t="s">
        <v>114</v>
      </c>
      <c r="N3363" s="2">
        <v>45900</v>
      </c>
    </row>
    <row r="3364" spans="1:14" x14ac:dyDescent="0.25">
      <c r="A3364" t="s">
        <v>505</v>
      </c>
      <c r="B3364" s="2">
        <v>45900</v>
      </c>
      <c r="C3364" t="s">
        <v>505</v>
      </c>
      <c r="D3364" t="s">
        <v>112</v>
      </c>
      <c r="E3364" t="s">
        <v>9</v>
      </c>
      <c r="F3364" s="3">
        <v>-6350</v>
      </c>
      <c r="G3364" s="3">
        <v>-6350</v>
      </c>
      <c r="H3364" t="s">
        <v>3</v>
      </c>
      <c r="I3364" t="s">
        <v>3</v>
      </c>
      <c r="J3364" t="s">
        <v>320</v>
      </c>
      <c r="K3364" t="s">
        <v>5</v>
      </c>
      <c r="L3364" t="s">
        <v>22</v>
      </c>
      <c r="M3364" t="s">
        <v>114</v>
      </c>
      <c r="N3364" s="2">
        <v>45900</v>
      </c>
    </row>
    <row r="3365" spans="1:14" x14ac:dyDescent="0.25">
      <c r="A3365" t="s">
        <v>505</v>
      </c>
      <c r="B3365" s="2">
        <v>46234</v>
      </c>
      <c r="C3365" t="s">
        <v>505</v>
      </c>
      <c r="D3365" t="s">
        <v>112</v>
      </c>
      <c r="E3365" t="s">
        <v>9</v>
      </c>
      <c r="F3365" s="3">
        <v>-16550</v>
      </c>
      <c r="G3365" s="3">
        <v>-16550</v>
      </c>
      <c r="H3365" t="s">
        <v>3</v>
      </c>
      <c r="I3365" t="s">
        <v>3</v>
      </c>
      <c r="J3365" t="s">
        <v>319</v>
      </c>
      <c r="K3365" t="s">
        <v>13</v>
      </c>
      <c r="L3365" t="s">
        <v>22</v>
      </c>
      <c r="M3365" t="s">
        <v>114</v>
      </c>
      <c r="N3365" s="2">
        <v>46235</v>
      </c>
    </row>
    <row r="3366" spans="1:14" x14ac:dyDescent="0.25">
      <c r="A3366" t="s">
        <v>505</v>
      </c>
      <c r="B3366" s="2">
        <v>46234</v>
      </c>
      <c r="C3366" t="s">
        <v>505</v>
      </c>
      <c r="D3366" t="s">
        <v>112</v>
      </c>
      <c r="E3366" t="s">
        <v>9</v>
      </c>
      <c r="F3366" s="3">
        <v>-13700</v>
      </c>
      <c r="G3366" s="3">
        <v>-13700</v>
      </c>
      <c r="H3366" t="s">
        <v>3</v>
      </c>
      <c r="I3366" t="s">
        <v>3</v>
      </c>
      <c r="J3366" t="s">
        <v>429</v>
      </c>
      <c r="K3366" t="s">
        <v>13</v>
      </c>
      <c r="L3366" t="s">
        <v>22</v>
      </c>
      <c r="M3366" t="s">
        <v>114</v>
      </c>
      <c r="N3366" s="2">
        <v>46235</v>
      </c>
    </row>
    <row r="3367" spans="1:14" x14ac:dyDescent="0.25">
      <c r="A3367" t="s">
        <v>505</v>
      </c>
      <c r="B3367" s="2">
        <v>46265</v>
      </c>
      <c r="C3367" t="s">
        <v>505</v>
      </c>
      <c r="D3367" t="s">
        <v>112</v>
      </c>
      <c r="E3367" t="s">
        <v>9</v>
      </c>
      <c r="F3367" s="3">
        <v>17550</v>
      </c>
      <c r="G3367" s="3">
        <v>17550</v>
      </c>
      <c r="H3367" t="s">
        <v>3</v>
      </c>
      <c r="I3367" t="s">
        <v>3</v>
      </c>
      <c r="J3367" t="s">
        <v>322</v>
      </c>
      <c r="K3367" t="s">
        <v>13</v>
      </c>
      <c r="L3367" t="s">
        <v>22</v>
      </c>
      <c r="M3367" t="s">
        <v>114</v>
      </c>
      <c r="N3367" s="2">
        <v>46265</v>
      </c>
    </row>
    <row r="3368" spans="1:14" x14ac:dyDescent="0.25">
      <c r="A3368" t="s">
        <v>505</v>
      </c>
      <c r="B3368" s="2">
        <v>46265</v>
      </c>
      <c r="C3368" t="s">
        <v>505</v>
      </c>
      <c r="D3368" t="s">
        <v>112</v>
      </c>
      <c r="E3368" t="s">
        <v>9</v>
      </c>
      <c r="F3368" s="3">
        <v>15500</v>
      </c>
      <c r="G3368" s="3">
        <v>15500</v>
      </c>
      <c r="H3368" t="s">
        <v>3</v>
      </c>
      <c r="I3368" t="s">
        <v>3</v>
      </c>
      <c r="J3368" t="s">
        <v>431</v>
      </c>
      <c r="K3368" t="s">
        <v>13</v>
      </c>
      <c r="L3368" t="s">
        <v>22</v>
      </c>
      <c r="M3368" t="s">
        <v>114</v>
      </c>
      <c r="N3368" s="2">
        <v>46265</v>
      </c>
    </row>
    <row r="3369" spans="1:14" x14ac:dyDescent="0.25">
      <c r="A3369" t="s">
        <v>505</v>
      </c>
      <c r="B3369" s="2">
        <v>46265</v>
      </c>
      <c r="C3369" t="s">
        <v>505</v>
      </c>
      <c r="D3369" t="s">
        <v>112</v>
      </c>
      <c r="E3369" t="s">
        <v>9</v>
      </c>
      <c r="F3369" s="3">
        <v>11868</v>
      </c>
      <c r="G3369" s="3">
        <v>11868</v>
      </c>
      <c r="H3369" t="s">
        <v>3</v>
      </c>
      <c r="I3369" t="s">
        <v>3</v>
      </c>
      <c r="J3369" t="s">
        <v>506</v>
      </c>
      <c r="K3369" t="s">
        <v>13</v>
      </c>
      <c r="L3369" t="s">
        <v>22</v>
      </c>
      <c r="M3369" t="s">
        <v>114</v>
      </c>
      <c r="N3369" s="2">
        <v>46265</v>
      </c>
    </row>
    <row r="3370" spans="1:14" x14ac:dyDescent="0.25">
      <c r="A3370" t="s">
        <v>505</v>
      </c>
      <c r="B3370" s="2">
        <v>46265</v>
      </c>
      <c r="C3370" t="s">
        <v>505</v>
      </c>
      <c r="D3370" t="s">
        <v>301</v>
      </c>
      <c r="E3370" t="s">
        <v>9</v>
      </c>
      <c r="F3370" s="3">
        <v>-14668</v>
      </c>
      <c r="G3370" s="3">
        <v>-14668</v>
      </c>
      <c r="H3370" t="s">
        <v>3</v>
      </c>
      <c r="I3370" t="s">
        <v>3</v>
      </c>
      <c r="J3370" t="s">
        <v>10</v>
      </c>
      <c r="K3370" t="s">
        <v>13</v>
      </c>
      <c r="L3370" t="s">
        <v>22</v>
      </c>
      <c r="M3370" t="s">
        <v>302</v>
      </c>
      <c r="N3370" s="2">
        <v>46265</v>
      </c>
    </row>
    <row r="3371" spans="1:14" x14ac:dyDescent="0.25">
      <c r="A3371" s="4" t="s">
        <v>267</v>
      </c>
      <c r="B3371" s="5"/>
      <c r="C3371" s="4" t="s">
        <v>9</v>
      </c>
      <c r="D3371" s="4" t="s">
        <v>9</v>
      </c>
      <c r="E3371" s="4" t="s">
        <v>9</v>
      </c>
      <c r="F3371" s="6">
        <v>0</v>
      </c>
      <c r="G3371" s="6">
        <v>0</v>
      </c>
      <c r="H3371" s="4" t="s">
        <v>9</v>
      </c>
      <c r="I3371" s="4" t="s">
        <v>3</v>
      </c>
      <c r="J3371" s="4" t="s">
        <v>9</v>
      </c>
      <c r="K3371" s="4" t="s">
        <v>9</v>
      </c>
      <c r="L3371" s="4" t="s">
        <v>9</v>
      </c>
      <c r="M3371" s="4" t="s">
        <v>9</v>
      </c>
      <c r="N3371" s="5"/>
    </row>
    <row r="3372" spans="1:14" x14ac:dyDescent="0.25">
      <c r="A3372" t="s">
        <v>505</v>
      </c>
      <c r="B3372" s="2">
        <v>45932</v>
      </c>
      <c r="C3372" t="s">
        <v>505</v>
      </c>
      <c r="D3372" t="s">
        <v>112</v>
      </c>
      <c r="E3372" t="s">
        <v>9</v>
      </c>
      <c r="F3372" s="3">
        <v>-3850</v>
      </c>
      <c r="G3372" s="3">
        <v>-3850</v>
      </c>
      <c r="H3372" t="s">
        <v>3</v>
      </c>
      <c r="I3372" t="s">
        <v>3</v>
      </c>
      <c r="J3372" t="s">
        <v>9</v>
      </c>
      <c r="K3372" t="s">
        <v>9</v>
      </c>
      <c r="L3372" t="s">
        <v>6</v>
      </c>
      <c r="M3372" t="s">
        <v>114</v>
      </c>
      <c r="N3372" s="2">
        <v>45930</v>
      </c>
    </row>
    <row r="3373" spans="1:14" x14ac:dyDescent="0.25">
      <c r="A3373" t="s">
        <v>505</v>
      </c>
      <c r="B3373" s="2">
        <v>45900</v>
      </c>
      <c r="C3373" t="s">
        <v>505</v>
      </c>
      <c r="D3373" t="s">
        <v>112</v>
      </c>
      <c r="E3373" t="s">
        <v>9</v>
      </c>
      <c r="F3373" s="3">
        <v>-6350</v>
      </c>
      <c r="G3373" s="3">
        <v>-6350</v>
      </c>
      <c r="H3373" t="s">
        <v>3</v>
      </c>
      <c r="I3373" t="s">
        <v>3</v>
      </c>
      <c r="J3373" t="s">
        <v>320</v>
      </c>
      <c r="K3373" t="s">
        <v>5</v>
      </c>
      <c r="L3373" t="s">
        <v>6</v>
      </c>
      <c r="M3373" t="s">
        <v>114</v>
      </c>
      <c r="N3373" s="2">
        <v>45901</v>
      </c>
    </row>
    <row r="3374" spans="1:14" x14ac:dyDescent="0.25">
      <c r="A3374" t="s">
        <v>505</v>
      </c>
      <c r="B3374" s="2">
        <v>45900</v>
      </c>
      <c r="C3374" t="s">
        <v>505</v>
      </c>
      <c r="D3374" t="s">
        <v>112</v>
      </c>
      <c r="E3374" t="s">
        <v>9</v>
      </c>
      <c r="F3374" s="3">
        <v>6350</v>
      </c>
      <c r="G3374" s="3">
        <v>6350</v>
      </c>
      <c r="H3374" t="s">
        <v>3</v>
      </c>
      <c r="I3374" t="s">
        <v>3</v>
      </c>
      <c r="J3374" t="s">
        <v>320</v>
      </c>
      <c r="K3374" t="s">
        <v>5</v>
      </c>
      <c r="L3374" t="s">
        <v>6</v>
      </c>
      <c r="M3374" t="s">
        <v>114</v>
      </c>
      <c r="N3374" s="2">
        <v>45901</v>
      </c>
    </row>
    <row r="3375" spans="1:14" x14ac:dyDescent="0.25">
      <c r="A3375" t="s">
        <v>505</v>
      </c>
      <c r="B3375" s="2">
        <v>45900</v>
      </c>
      <c r="C3375" t="s">
        <v>505</v>
      </c>
      <c r="D3375" t="s">
        <v>112</v>
      </c>
      <c r="E3375" t="s">
        <v>9</v>
      </c>
      <c r="F3375" s="3">
        <v>-6350</v>
      </c>
      <c r="G3375" s="3">
        <v>-6350</v>
      </c>
      <c r="H3375" t="s">
        <v>3</v>
      </c>
      <c r="I3375" t="s">
        <v>3</v>
      </c>
      <c r="J3375" t="s">
        <v>320</v>
      </c>
      <c r="K3375" t="s">
        <v>5</v>
      </c>
      <c r="L3375" t="s">
        <v>6</v>
      </c>
      <c r="M3375" t="s">
        <v>114</v>
      </c>
      <c r="N3375" s="2">
        <v>45901</v>
      </c>
    </row>
    <row r="3376" spans="1:14" x14ac:dyDescent="0.25">
      <c r="A3376" t="s">
        <v>505</v>
      </c>
      <c r="B3376" s="2">
        <v>45900</v>
      </c>
      <c r="C3376" t="s">
        <v>505</v>
      </c>
      <c r="D3376" t="s">
        <v>112</v>
      </c>
      <c r="E3376" t="s">
        <v>9</v>
      </c>
      <c r="F3376" s="3">
        <v>6350</v>
      </c>
      <c r="G3376" s="3">
        <v>6350</v>
      </c>
      <c r="H3376" t="s">
        <v>3</v>
      </c>
      <c r="I3376" t="s">
        <v>3</v>
      </c>
      <c r="J3376" t="s">
        <v>320</v>
      </c>
      <c r="K3376" t="s">
        <v>5</v>
      </c>
      <c r="L3376" t="s">
        <v>6</v>
      </c>
      <c r="M3376" t="s">
        <v>114</v>
      </c>
      <c r="N3376" s="2">
        <v>45901</v>
      </c>
    </row>
    <row r="3377" spans="1:14" x14ac:dyDescent="0.25">
      <c r="A3377" t="s">
        <v>505</v>
      </c>
      <c r="B3377" s="2">
        <v>45900</v>
      </c>
      <c r="C3377" t="s">
        <v>505</v>
      </c>
      <c r="D3377" t="s">
        <v>112</v>
      </c>
      <c r="E3377" t="s">
        <v>9</v>
      </c>
      <c r="F3377" s="3">
        <v>-6350</v>
      </c>
      <c r="G3377" s="3">
        <v>-6350</v>
      </c>
      <c r="H3377" t="s">
        <v>3</v>
      </c>
      <c r="I3377" t="s">
        <v>3</v>
      </c>
      <c r="J3377" t="s">
        <v>320</v>
      </c>
      <c r="K3377" t="s">
        <v>5</v>
      </c>
      <c r="L3377" t="s">
        <v>6</v>
      </c>
      <c r="M3377" t="s">
        <v>114</v>
      </c>
      <c r="N3377" s="2">
        <v>45901</v>
      </c>
    </row>
    <row r="3378" spans="1:14" x14ac:dyDescent="0.25">
      <c r="A3378" t="s">
        <v>505</v>
      </c>
      <c r="B3378" s="2">
        <v>45930</v>
      </c>
      <c r="C3378" t="s">
        <v>505</v>
      </c>
      <c r="D3378" t="s">
        <v>112</v>
      </c>
      <c r="E3378" t="s">
        <v>9</v>
      </c>
      <c r="F3378" s="3">
        <v>10200</v>
      </c>
      <c r="G3378" s="3">
        <v>10200</v>
      </c>
      <c r="H3378" t="s">
        <v>3</v>
      </c>
      <c r="I3378" t="s">
        <v>3</v>
      </c>
      <c r="J3378" t="s">
        <v>323</v>
      </c>
      <c r="K3378" t="s">
        <v>5</v>
      </c>
      <c r="L3378" t="s">
        <v>6</v>
      </c>
      <c r="M3378" t="s">
        <v>114</v>
      </c>
      <c r="N3378" s="2">
        <v>45930</v>
      </c>
    </row>
    <row r="3379" spans="1:14" x14ac:dyDescent="0.25">
      <c r="A3379" s="4" t="s">
        <v>272</v>
      </c>
      <c r="B3379" s="5"/>
      <c r="C3379" s="4" t="s">
        <v>9</v>
      </c>
      <c r="D3379" s="4" t="s">
        <v>9</v>
      </c>
      <c r="E3379" s="4" t="s">
        <v>9</v>
      </c>
      <c r="F3379" s="6">
        <v>0</v>
      </c>
      <c r="G3379" s="6">
        <v>0</v>
      </c>
      <c r="H3379" s="4" t="s">
        <v>9</v>
      </c>
      <c r="I3379" s="4" t="s">
        <v>3</v>
      </c>
      <c r="J3379" s="4" t="s">
        <v>9</v>
      </c>
      <c r="K3379" s="4" t="s">
        <v>9</v>
      </c>
      <c r="L3379" s="4" t="s">
        <v>9</v>
      </c>
      <c r="M3379" s="4" t="s">
        <v>9</v>
      </c>
      <c r="N3379" s="5"/>
    </row>
    <row r="3380" spans="1:14" x14ac:dyDescent="0.25">
      <c r="A3380" t="s">
        <v>505</v>
      </c>
      <c r="B3380" s="2">
        <v>45965</v>
      </c>
      <c r="C3380" t="s">
        <v>505</v>
      </c>
      <c r="D3380" t="s">
        <v>112</v>
      </c>
      <c r="E3380" t="s">
        <v>9</v>
      </c>
      <c r="F3380" s="3">
        <v>-750</v>
      </c>
      <c r="G3380" s="3">
        <v>-750</v>
      </c>
      <c r="H3380" t="s">
        <v>3</v>
      </c>
      <c r="I3380" t="s">
        <v>3</v>
      </c>
      <c r="J3380" t="s">
        <v>9</v>
      </c>
      <c r="K3380" t="s">
        <v>9</v>
      </c>
      <c r="L3380" t="s">
        <v>8</v>
      </c>
      <c r="M3380" t="s">
        <v>114</v>
      </c>
      <c r="N3380" s="2">
        <v>45961</v>
      </c>
    </row>
    <row r="3381" spans="1:14" x14ac:dyDescent="0.25">
      <c r="A3381" t="s">
        <v>505</v>
      </c>
      <c r="B3381" s="2">
        <v>45965</v>
      </c>
      <c r="C3381" t="s">
        <v>505</v>
      </c>
      <c r="D3381" t="s">
        <v>301</v>
      </c>
      <c r="E3381" t="s">
        <v>9</v>
      </c>
      <c r="F3381" s="3">
        <v>10950</v>
      </c>
      <c r="G3381" s="3">
        <v>10950</v>
      </c>
      <c r="H3381" t="s">
        <v>3</v>
      </c>
      <c r="I3381" t="s">
        <v>3</v>
      </c>
      <c r="J3381" t="s">
        <v>9</v>
      </c>
      <c r="K3381" t="s">
        <v>9</v>
      </c>
      <c r="L3381" t="s">
        <v>8</v>
      </c>
      <c r="M3381" t="s">
        <v>302</v>
      </c>
      <c r="N3381" s="2">
        <v>45961</v>
      </c>
    </row>
    <row r="3382" spans="1:14" x14ac:dyDescent="0.25">
      <c r="A3382" t="s">
        <v>505</v>
      </c>
      <c r="B3382" s="2">
        <v>45930</v>
      </c>
      <c r="C3382" t="s">
        <v>505</v>
      </c>
      <c r="D3382" t="s">
        <v>112</v>
      </c>
      <c r="E3382" t="s">
        <v>9</v>
      </c>
      <c r="F3382" s="3">
        <v>-10200</v>
      </c>
      <c r="G3382" s="3">
        <v>-10200</v>
      </c>
      <c r="H3382" t="s">
        <v>3</v>
      </c>
      <c r="I3382" t="s">
        <v>3</v>
      </c>
      <c r="J3382" t="s">
        <v>323</v>
      </c>
      <c r="K3382" t="s">
        <v>5</v>
      </c>
      <c r="L3382" t="s">
        <v>8</v>
      </c>
      <c r="M3382" t="s">
        <v>114</v>
      </c>
      <c r="N3382" s="2">
        <v>45931</v>
      </c>
    </row>
    <row r="3383" spans="1:14" x14ac:dyDescent="0.25">
      <c r="A3383" t="s">
        <v>505</v>
      </c>
      <c r="B3383" s="2">
        <v>45961</v>
      </c>
      <c r="C3383" t="s">
        <v>505</v>
      </c>
      <c r="D3383" t="s">
        <v>112</v>
      </c>
      <c r="E3383" t="s">
        <v>9</v>
      </c>
      <c r="F3383" s="3">
        <v>10950</v>
      </c>
      <c r="G3383" s="3">
        <v>10950</v>
      </c>
      <c r="H3383" t="s">
        <v>3</v>
      </c>
      <c r="I3383" t="s">
        <v>3</v>
      </c>
      <c r="J3383" t="s">
        <v>325</v>
      </c>
      <c r="K3383" t="s">
        <v>5</v>
      </c>
      <c r="L3383" t="s">
        <v>8</v>
      </c>
      <c r="M3383" t="s">
        <v>114</v>
      </c>
      <c r="N3383" s="2">
        <v>45961</v>
      </c>
    </row>
    <row r="3384" spans="1:14" x14ac:dyDescent="0.25">
      <c r="A3384" t="s">
        <v>505</v>
      </c>
      <c r="B3384" s="2">
        <v>45961</v>
      </c>
      <c r="C3384" t="s">
        <v>505</v>
      </c>
      <c r="D3384" t="s">
        <v>301</v>
      </c>
      <c r="E3384" t="s">
        <v>9</v>
      </c>
      <c r="F3384" s="3">
        <v>-10950</v>
      </c>
      <c r="G3384" s="3">
        <v>-10950</v>
      </c>
      <c r="H3384" t="s">
        <v>3</v>
      </c>
      <c r="I3384" t="s">
        <v>3</v>
      </c>
      <c r="J3384" t="s">
        <v>10</v>
      </c>
      <c r="K3384" t="s">
        <v>5</v>
      </c>
      <c r="L3384" t="s">
        <v>8</v>
      </c>
      <c r="M3384" t="s">
        <v>302</v>
      </c>
      <c r="N3384" s="2">
        <v>45961</v>
      </c>
    </row>
    <row r="3385" spans="1:14" x14ac:dyDescent="0.25">
      <c r="A3385" s="4" t="s">
        <v>278</v>
      </c>
      <c r="B3385" s="5"/>
      <c r="C3385" s="4" t="s">
        <v>9</v>
      </c>
      <c r="D3385" s="4" t="s">
        <v>9</v>
      </c>
      <c r="E3385" s="4" t="s">
        <v>9</v>
      </c>
      <c r="F3385" s="6">
        <v>0</v>
      </c>
      <c r="G3385" s="6">
        <v>0</v>
      </c>
      <c r="H3385" s="4" t="s">
        <v>9</v>
      </c>
      <c r="I3385" s="4" t="s">
        <v>3</v>
      </c>
      <c r="J3385" s="4" t="s">
        <v>9</v>
      </c>
      <c r="K3385" s="4" t="s">
        <v>9</v>
      </c>
      <c r="L3385" s="4" t="s">
        <v>9</v>
      </c>
      <c r="M3385" s="4" t="s">
        <v>9</v>
      </c>
      <c r="N3385" s="5"/>
    </row>
    <row r="3386" spans="1:14" x14ac:dyDescent="0.25">
      <c r="A3386" t="s">
        <v>505</v>
      </c>
      <c r="B3386" s="2">
        <v>45993</v>
      </c>
      <c r="C3386" t="s">
        <v>505</v>
      </c>
      <c r="D3386" t="s">
        <v>112</v>
      </c>
      <c r="E3386" t="s">
        <v>9</v>
      </c>
      <c r="F3386" s="3">
        <v>-1400</v>
      </c>
      <c r="G3386" s="3">
        <v>-1400</v>
      </c>
      <c r="H3386" t="s">
        <v>3</v>
      </c>
      <c r="I3386" t="s">
        <v>3</v>
      </c>
      <c r="J3386" t="s">
        <v>9</v>
      </c>
      <c r="K3386" t="s">
        <v>9</v>
      </c>
      <c r="L3386" t="s">
        <v>11</v>
      </c>
      <c r="M3386" t="s">
        <v>114</v>
      </c>
      <c r="N3386" s="2">
        <v>45991</v>
      </c>
    </row>
    <row r="3387" spans="1:14" x14ac:dyDescent="0.25">
      <c r="A3387" t="s">
        <v>505</v>
      </c>
      <c r="B3387" s="2">
        <v>45993</v>
      </c>
      <c r="C3387" t="s">
        <v>505</v>
      </c>
      <c r="D3387" t="s">
        <v>301</v>
      </c>
      <c r="E3387" t="s">
        <v>9</v>
      </c>
      <c r="F3387" s="3">
        <v>1400</v>
      </c>
      <c r="G3387" s="3">
        <v>1400</v>
      </c>
      <c r="H3387" t="s">
        <v>3</v>
      </c>
      <c r="I3387" t="s">
        <v>3</v>
      </c>
      <c r="J3387" t="s">
        <v>9</v>
      </c>
      <c r="K3387" t="s">
        <v>9</v>
      </c>
      <c r="L3387" t="s">
        <v>11</v>
      </c>
      <c r="M3387" t="s">
        <v>302</v>
      </c>
      <c r="N3387" s="2">
        <v>45991</v>
      </c>
    </row>
    <row r="3388" spans="1:14" x14ac:dyDescent="0.25">
      <c r="A3388" t="s">
        <v>505</v>
      </c>
      <c r="B3388" s="2">
        <v>45961</v>
      </c>
      <c r="C3388" t="s">
        <v>505</v>
      </c>
      <c r="D3388" t="s">
        <v>112</v>
      </c>
      <c r="E3388" t="s">
        <v>9</v>
      </c>
      <c r="F3388" s="3">
        <v>-10950</v>
      </c>
      <c r="G3388" s="3">
        <v>-10950</v>
      </c>
      <c r="H3388" t="s">
        <v>3</v>
      </c>
      <c r="I3388" t="s">
        <v>3</v>
      </c>
      <c r="J3388" t="s">
        <v>325</v>
      </c>
      <c r="K3388" t="s">
        <v>5</v>
      </c>
      <c r="L3388" t="s">
        <v>11</v>
      </c>
      <c r="M3388" t="s">
        <v>114</v>
      </c>
      <c r="N3388" s="2">
        <v>45962</v>
      </c>
    </row>
    <row r="3389" spans="1:14" x14ac:dyDescent="0.25">
      <c r="A3389" t="s">
        <v>505</v>
      </c>
      <c r="B3389" s="2">
        <v>45991</v>
      </c>
      <c r="C3389" t="s">
        <v>505</v>
      </c>
      <c r="D3389" t="s">
        <v>112</v>
      </c>
      <c r="E3389" t="s">
        <v>9</v>
      </c>
      <c r="F3389" s="3">
        <v>12350</v>
      </c>
      <c r="G3389" s="3">
        <v>12350</v>
      </c>
      <c r="H3389" t="s">
        <v>3</v>
      </c>
      <c r="I3389" t="s">
        <v>3</v>
      </c>
      <c r="J3389" t="s">
        <v>328</v>
      </c>
      <c r="K3389" t="s">
        <v>5</v>
      </c>
      <c r="L3389" t="s">
        <v>11</v>
      </c>
      <c r="M3389" t="s">
        <v>114</v>
      </c>
      <c r="N3389" s="2">
        <v>45991</v>
      </c>
    </row>
    <row r="3390" spans="1:14" x14ac:dyDescent="0.25">
      <c r="A3390" t="s">
        <v>505</v>
      </c>
      <c r="B3390" s="2">
        <v>45991</v>
      </c>
      <c r="C3390" t="s">
        <v>505</v>
      </c>
      <c r="D3390" t="s">
        <v>301</v>
      </c>
      <c r="E3390" t="s">
        <v>9</v>
      </c>
      <c r="F3390" s="3">
        <v>-1400</v>
      </c>
      <c r="G3390" s="3">
        <v>-1400</v>
      </c>
      <c r="H3390" t="s">
        <v>3</v>
      </c>
      <c r="I3390" t="s">
        <v>3</v>
      </c>
      <c r="J3390" t="s">
        <v>10</v>
      </c>
      <c r="K3390" t="s">
        <v>5</v>
      </c>
      <c r="L3390" t="s">
        <v>11</v>
      </c>
      <c r="M3390" t="s">
        <v>302</v>
      </c>
      <c r="N3390" s="2">
        <v>45991</v>
      </c>
    </row>
    <row r="3391" spans="1:14" x14ac:dyDescent="0.25">
      <c r="A3391" s="4" t="s">
        <v>226</v>
      </c>
      <c r="B3391" s="5"/>
      <c r="C3391" s="4" t="s">
        <v>9</v>
      </c>
      <c r="D3391" s="4" t="s">
        <v>9</v>
      </c>
      <c r="E3391" s="4" t="s">
        <v>9</v>
      </c>
      <c r="F3391" s="6">
        <v>0</v>
      </c>
      <c r="G3391" s="6">
        <v>0</v>
      </c>
      <c r="H3391" s="4" t="s">
        <v>9</v>
      </c>
      <c r="I3391" s="4" t="s">
        <v>3</v>
      </c>
      <c r="J3391" s="4" t="s">
        <v>9</v>
      </c>
      <c r="K3391" s="4" t="s">
        <v>9</v>
      </c>
      <c r="L3391" s="4" t="s">
        <v>9</v>
      </c>
      <c r="M3391" s="4" t="s">
        <v>9</v>
      </c>
      <c r="N3391" s="5"/>
    </row>
    <row r="3392" spans="1:14" x14ac:dyDescent="0.25">
      <c r="A3392" t="s">
        <v>505</v>
      </c>
      <c r="B3392" s="2">
        <v>46028</v>
      </c>
      <c r="C3392" t="s">
        <v>505</v>
      </c>
      <c r="D3392" t="s">
        <v>112</v>
      </c>
      <c r="E3392" t="s">
        <v>9</v>
      </c>
      <c r="F3392" s="3">
        <v>-800</v>
      </c>
      <c r="G3392" s="3">
        <v>-800</v>
      </c>
      <c r="H3392" t="s">
        <v>3</v>
      </c>
      <c r="I3392" t="s">
        <v>3</v>
      </c>
      <c r="J3392" t="s">
        <v>9</v>
      </c>
      <c r="K3392" t="s">
        <v>9</v>
      </c>
      <c r="L3392" t="s">
        <v>12</v>
      </c>
      <c r="M3392" t="s">
        <v>114</v>
      </c>
      <c r="N3392" s="2">
        <v>46022</v>
      </c>
    </row>
    <row r="3393" spans="1:14" x14ac:dyDescent="0.25">
      <c r="A3393" t="s">
        <v>505</v>
      </c>
      <c r="B3393" s="2">
        <v>46028</v>
      </c>
      <c r="C3393" t="s">
        <v>505</v>
      </c>
      <c r="D3393" t="s">
        <v>301</v>
      </c>
      <c r="E3393" t="s">
        <v>9</v>
      </c>
      <c r="F3393" s="3">
        <v>800</v>
      </c>
      <c r="G3393" s="3">
        <v>800</v>
      </c>
      <c r="H3393" t="s">
        <v>3</v>
      </c>
      <c r="I3393" t="s">
        <v>3</v>
      </c>
      <c r="J3393" t="s">
        <v>9</v>
      </c>
      <c r="K3393" t="s">
        <v>9</v>
      </c>
      <c r="L3393" t="s">
        <v>12</v>
      </c>
      <c r="M3393" t="s">
        <v>302</v>
      </c>
      <c r="N3393" s="2">
        <v>46022</v>
      </c>
    </row>
    <row r="3394" spans="1:14" x14ac:dyDescent="0.25">
      <c r="A3394" t="s">
        <v>505</v>
      </c>
      <c r="B3394" s="2">
        <v>45991</v>
      </c>
      <c r="C3394" t="s">
        <v>505</v>
      </c>
      <c r="D3394" t="s">
        <v>112</v>
      </c>
      <c r="E3394" t="s">
        <v>9</v>
      </c>
      <c r="F3394" s="3">
        <v>-12350</v>
      </c>
      <c r="G3394" s="3">
        <v>-12350</v>
      </c>
      <c r="H3394" t="s">
        <v>3</v>
      </c>
      <c r="I3394" t="s">
        <v>3</v>
      </c>
      <c r="J3394" t="s">
        <v>328</v>
      </c>
      <c r="K3394" t="s">
        <v>5</v>
      </c>
      <c r="L3394" t="s">
        <v>12</v>
      </c>
      <c r="M3394" t="s">
        <v>114</v>
      </c>
      <c r="N3394" s="2">
        <v>45992</v>
      </c>
    </row>
    <row r="3395" spans="1:14" x14ac:dyDescent="0.25">
      <c r="A3395" t="s">
        <v>505</v>
      </c>
      <c r="B3395" s="2">
        <v>46022</v>
      </c>
      <c r="C3395" t="s">
        <v>505</v>
      </c>
      <c r="D3395" t="s">
        <v>112</v>
      </c>
      <c r="E3395" t="s">
        <v>9</v>
      </c>
      <c r="F3395" s="3">
        <v>13150</v>
      </c>
      <c r="G3395" s="3">
        <v>13150</v>
      </c>
      <c r="H3395" t="s">
        <v>3</v>
      </c>
      <c r="I3395" t="s">
        <v>3</v>
      </c>
      <c r="J3395" t="s">
        <v>298</v>
      </c>
      <c r="K3395" t="s">
        <v>5</v>
      </c>
      <c r="L3395" t="s">
        <v>12</v>
      </c>
      <c r="M3395" t="s">
        <v>114</v>
      </c>
      <c r="N3395" s="2">
        <v>46022</v>
      </c>
    </row>
    <row r="3396" spans="1:14" x14ac:dyDescent="0.25">
      <c r="A3396" t="s">
        <v>505</v>
      </c>
      <c r="B3396" s="2">
        <v>46022</v>
      </c>
      <c r="C3396" t="s">
        <v>505</v>
      </c>
      <c r="D3396" t="s">
        <v>301</v>
      </c>
      <c r="E3396" t="s">
        <v>9</v>
      </c>
      <c r="F3396" s="3">
        <v>-800</v>
      </c>
      <c r="G3396" s="3">
        <v>-800</v>
      </c>
      <c r="H3396" t="s">
        <v>3</v>
      </c>
      <c r="I3396" t="s">
        <v>3</v>
      </c>
      <c r="J3396" t="s">
        <v>10</v>
      </c>
      <c r="K3396" t="s">
        <v>5</v>
      </c>
      <c r="L3396" t="s">
        <v>12</v>
      </c>
      <c r="M3396" t="s">
        <v>302</v>
      </c>
      <c r="N3396" s="2">
        <v>46022</v>
      </c>
    </row>
    <row r="3397" spans="1:14" x14ac:dyDescent="0.25">
      <c r="A3397" t="s">
        <v>505</v>
      </c>
      <c r="B3397" s="2">
        <v>46022</v>
      </c>
      <c r="C3397" t="s">
        <v>505</v>
      </c>
      <c r="D3397" t="s">
        <v>112</v>
      </c>
      <c r="E3397" t="s">
        <v>9</v>
      </c>
      <c r="F3397" s="3">
        <v>13150</v>
      </c>
      <c r="G3397" s="3">
        <v>13150</v>
      </c>
      <c r="H3397" t="s">
        <v>3</v>
      </c>
      <c r="I3397" t="s">
        <v>3</v>
      </c>
      <c r="J3397" t="s">
        <v>298</v>
      </c>
      <c r="K3397" t="s">
        <v>5</v>
      </c>
      <c r="L3397" t="s">
        <v>12</v>
      </c>
      <c r="M3397" t="s">
        <v>114</v>
      </c>
      <c r="N3397" s="2">
        <v>46022</v>
      </c>
    </row>
    <row r="3398" spans="1:14" x14ac:dyDescent="0.25">
      <c r="A3398" t="s">
        <v>505</v>
      </c>
      <c r="B3398" s="2">
        <v>46022</v>
      </c>
      <c r="C3398" t="s">
        <v>505</v>
      </c>
      <c r="D3398" t="s">
        <v>112</v>
      </c>
      <c r="E3398" t="s">
        <v>9</v>
      </c>
      <c r="F3398" s="3">
        <v>-13150</v>
      </c>
      <c r="G3398" s="3">
        <v>-13150</v>
      </c>
      <c r="H3398" t="s">
        <v>3</v>
      </c>
      <c r="I3398" t="s">
        <v>3</v>
      </c>
      <c r="J3398" t="s">
        <v>298</v>
      </c>
      <c r="K3398" t="s">
        <v>5</v>
      </c>
      <c r="L3398" t="s">
        <v>12</v>
      </c>
      <c r="M3398" t="s">
        <v>114</v>
      </c>
      <c r="N3398" s="2">
        <v>46022</v>
      </c>
    </row>
    <row r="3399" spans="1:14" x14ac:dyDescent="0.25">
      <c r="A3399" s="4" t="s">
        <v>228</v>
      </c>
      <c r="B3399" s="5"/>
      <c r="C3399" s="4" t="s">
        <v>9</v>
      </c>
      <c r="D3399" s="4" t="s">
        <v>9</v>
      </c>
      <c r="E3399" s="4" t="s">
        <v>9</v>
      </c>
      <c r="F3399" s="6">
        <v>0</v>
      </c>
      <c r="G3399" s="6">
        <v>0</v>
      </c>
      <c r="H3399" s="4" t="s">
        <v>9</v>
      </c>
      <c r="I3399" s="4" t="s">
        <v>3</v>
      </c>
      <c r="J3399" s="4" t="s">
        <v>9</v>
      </c>
      <c r="K3399" s="4" t="s">
        <v>9</v>
      </c>
      <c r="L3399" s="4" t="s">
        <v>9</v>
      </c>
      <c r="M3399" s="4" t="s">
        <v>9</v>
      </c>
      <c r="N3399" s="5"/>
    </row>
    <row r="3400" spans="1:14" x14ac:dyDescent="0.25">
      <c r="A3400" s="4" t="s">
        <v>505</v>
      </c>
      <c r="B3400" s="5"/>
      <c r="C3400" s="4" t="s">
        <v>9</v>
      </c>
      <c r="D3400" s="4" t="s">
        <v>9</v>
      </c>
      <c r="E3400" s="4" t="s">
        <v>9</v>
      </c>
      <c r="F3400" s="6">
        <v>0</v>
      </c>
      <c r="G3400" s="6">
        <v>0</v>
      </c>
      <c r="H3400" s="4" t="s">
        <v>9</v>
      </c>
      <c r="I3400" s="4" t="s">
        <v>3</v>
      </c>
      <c r="J3400" s="4" t="s">
        <v>9</v>
      </c>
      <c r="K3400" s="4" t="s">
        <v>9</v>
      </c>
      <c r="L3400" s="4" t="s">
        <v>9</v>
      </c>
      <c r="M3400" s="4" t="s">
        <v>9</v>
      </c>
      <c r="N3400" s="5"/>
    </row>
    <row r="3401" spans="1:14" x14ac:dyDescent="0.25">
      <c r="A3401" t="s">
        <v>507</v>
      </c>
      <c r="B3401" s="2">
        <v>46084</v>
      </c>
      <c r="C3401" t="s">
        <v>507</v>
      </c>
      <c r="D3401" t="s">
        <v>33</v>
      </c>
      <c r="E3401" t="s">
        <v>9</v>
      </c>
      <c r="F3401" s="3">
        <v>1155</v>
      </c>
      <c r="G3401" s="3">
        <v>1155</v>
      </c>
      <c r="H3401" t="s">
        <v>3</v>
      </c>
      <c r="I3401" t="s">
        <v>3</v>
      </c>
      <c r="J3401" t="s">
        <v>9</v>
      </c>
      <c r="K3401" t="s">
        <v>9</v>
      </c>
      <c r="L3401" t="s">
        <v>15</v>
      </c>
      <c r="M3401" t="s">
        <v>35</v>
      </c>
      <c r="N3401" s="2">
        <v>46081</v>
      </c>
    </row>
    <row r="3402" spans="1:14" x14ac:dyDescent="0.25">
      <c r="A3402" t="s">
        <v>507</v>
      </c>
      <c r="B3402" s="2">
        <v>46065</v>
      </c>
      <c r="C3402" t="s">
        <v>507</v>
      </c>
      <c r="D3402" t="s">
        <v>33</v>
      </c>
      <c r="E3402" t="s">
        <v>9</v>
      </c>
      <c r="F3402" s="3">
        <v>-1155</v>
      </c>
      <c r="G3402" s="3">
        <v>-1155</v>
      </c>
      <c r="H3402" t="s">
        <v>3</v>
      </c>
      <c r="I3402" t="s">
        <v>3</v>
      </c>
      <c r="J3402" t="s">
        <v>9</v>
      </c>
      <c r="K3402" t="s">
        <v>13</v>
      </c>
      <c r="L3402" t="s">
        <v>15</v>
      </c>
      <c r="M3402" t="s">
        <v>35</v>
      </c>
      <c r="N3402" s="2">
        <v>46065</v>
      </c>
    </row>
    <row r="3403" spans="1:14" x14ac:dyDescent="0.25">
      <c r="A3403" s="4" t="s">
        <v>239</v>
      </c>
      <c r="B3403" s="5"/>
      <c r="C3403" s="4" t="s">
        <v>9</v>
      </c>
      <c r="D3403" s="4" t="s">
        <v>9</v>
      </c>
      <c r="E3403" s="4" t="s">
        <v>9</v>
      </c>
      <c r="F3403" s="6">
        <v>0</v>
      </c>
      <c r="G3403" s="6">
        <v>0</v>
      </c>
      <c r="H3403" s="4" t="s">
        <v>9</v>
      </c>
      <c r="I3403" s="4" t="s">
        <v>3</v>
      </c>
      <c r="J3403" s="4" t="s">
        <v>9</v>
      </c>
      <c r="K3403" s="4" t="s">
        <v>9</v>
      </c>
      <c r="L3403" s="4" t="s">
        <v>9</v>
      </c>
      <c r="M3403" s="4" t="s">
        <v>9</v>
      </c>
      <c r="N3403" s="5"/>
    </row>
    <row r="3404" spans="1:14" x14ac:dyDescent="0.25">
      <c r="A3404" t="s">
        <v>507</v>
      </c>
      <c r="B3404" s="2">
        <v>46175</v>
      </c>
      <c r="C3404" t="s">
        <v>507</v>
      </c>
      <c r="D3404" t="s">
        <v>33</v>
      </c>
      <c r="E3404" t="s">
        <v>9</v>
      </c>
      <c r="F3404" s="3">
        <v>1995</v>
      </c>
      <c r="G3404" s="3">
        <v>1995</v>
      </c>
      <c r="H3404" t="s">
        <v>3</v>
      </c>
      <c r="I3404" t="s">
        <v>3</v>
      </c>
      <c r="J3404" t="s">
        <v>9</v>
      </c>
      <c r="K3404" t="s">
        <v>9</v>
      </c>
      <c r="L3404" t="s">
        <v>18</v>
      </c>
      <c r="M3404" t="s">
        <v>35</v>
      </c>
      <c r="N3404" s="2">
        <v>46173</v>
      </c>
    </row>
    <row r="3405" spans="1:14" x14ac:dyDescent="0.25">
      <c r="A3405" t="s">
        <v>507</v>
      </c>
      <c r="B3405" s="2">
        <v>46161</v>
      </c>
      <c r="C3405" t="s">
        <v>507</v>
      </c>
      <c r="D3405" t="s">
        <v>33</v>
      </c>
      <c r="E3405" t="s">
        <v>9</v>
      </c>
      <c r="F3405" s="3">
        <v>-1995</v>
      </c>
      <c r="G3405" s="3">
        <v>-1995</v>
      </c>
      <c r="H3405" t="s">
        <v>3</v>
      </c>
      <c r="I3405" t="s">
        <v>3</v>
      </c>
      <c r="J3405" t="s">
        <v>9</v>
      </c>
      <c r="K3405" t="s">
        <v>13</v>
      </c>
      <c r="L3405" t="s">
        <v>18</v>
      </c>
      <c r="M3405" t="s">
        <v>35</v>
      </c>
      <c r="N3405" s="2">
        <v>46161</v>
      </c>
    </row>
    <row r="3406" spans="1:14" x14ac:dyDescent="0.25">
      <c r="A3406" s="4" t="s">
        <v>223</v>
      </c>
      <c r="B3406" s="5"/>
      <c r="C3406" s="4" t="s">
        <v>9</v>
      </c>
      <c r="D3406" s="4" t="s">
        <v>9</v>
      </c>
      <c r="E3406" s="4" t="s">
        <v>9</v>
      </c>
      <c r="F3406" s="6">
        <v>0</v>
      </c>
      <c r="G3406" s="6">
        <v>0</v>
      </c>
      <c r="H3406" s="4" t="s">
        <v>9</v>
      </c>
      <c r="I3406" s="4" t="s">
        <v>3</v>
      </c>
      <c r="J3406" s="4" t="s">
        <v>9</v>
      </c>
      <c r="K3406" s="4" t="s">
        <v>9</v>
      </c>
      <c r="L3406" s="4" t="s">
        <v>9</v>
      </c>
      <c r="M3406" s="4" t="s">
        <v>9</v>
      </c>
      <c r="N3406" s="5"/>
    </row>
    <row r="3407" spans="1:14" x14ac:dyDescent="0.25">
      <c r="A3407" t="s">
        <v>507</v>
      </c>
      <c r="B3407" s="2">
        <v>45870</v>
      </c>
      <c r="C3407" t="s">
        <v>507</v>
      </c>
      <c r="D3407" t="s">
        <v>33</v>
      </c>
      <c r="E3407" t="s">
        <v>9</v>
      </c>
      <c r="F3407" s="3">
        <v>8541</v>
      </c>
      <c r="G3407" s="3">
        <v>8541</v>
      </c>
      <c r="H3407" t="s">
        <v>3</v>
      </c>
      <c r="I3407" t="s">
        <v>3</v>
      </c>
      <c r="J3407" t="s">
        <v>9</v>
      </c>
      <c r="K3407" t="s">
        <v>9</v>
      </c>
      <c r="L3407" t="s">
        <v>21</v>
      </c>
      <c r="M3407" t="s">
        <v>35</v>
      </c>
      <c r="N3407" s="2">
        <v>45869</v>
      </c>
    </row>
    <row r="3408" spans="1:14" x14ac:dyDescent="0.25">
      <c r="A3408" t="s">
        <v>507</v>
      </c>
      <c r="B3408" s="2">
        <v>45849</v>
      </c>
      <c r="C3408" t="s">
        <v>507</v>
      </c>
      <c r="D3408" t="s">
        <v>33</v>
      </c>
      <c r="E3408" t="s">
        <v>9</v>
      </c>
      <c r="F3408" s="3">
        <v>-8541</v>
      </c>
      <c r="G3408" s="3">
        <v>-8541</v>
      </c>
      <c r="H3408" t="s">
        <v>3</v>
      </c>
      <c r="I3408" t="s">
        <v>3</v>
      </c>
      <c r="J3408" t="s">
        <v>9</v>
      </c>
      <c r="K3408" t="s">
        <v>5</v>
      </c>
      <c r="L3408" t="s">
        <v>21</v>
      </c>
      <c r="M3408" t="s">
        <v>35</v>
      </c>
      <c r="N3408" s="2">
        <v>45849</v>
      </c>
    </row>
    <row r="3409" spans="1:14" x14ac:dyDescent="0.25">
      <c r="A3409" s="4" t="s">
        <v>262</v>
      </c>
      <c r="B3409" s="5"/>
      <c r="C3409" s="4" t="s">
        <v>9</v>
      </c>
      <c r="D3409" s="4" t="s">
        <v>9</v>
      </c>
      <c r="E3409" s="4" t="s">
        <v>9</v>
      </c>
      <c r="F3409" s="6">
        <v>0</v>
      </c>
      <c r="G3409" s="6">
        <v>0</v>
      </c>
      <c r="H3409" s="4" t="s">
        <v>9</v>
      </c>
      <c r="I3409" s="4" t="s">
        <v>3</v>
      </c>
      <c r="J3409" s="4" t="s">
        <v>9</v>
      </c>
      <c r="K3409" s="4" t="s">
        <v>9</v>
      </c>
      <c r="L3409" s="4" t="s">
        <v>9</v>
      </c>
      <c r="M3409" s="4" t="s">
        <v>9</v>
      </c>
      <c r="N3409" s="5"/>
    </row>
    <row r="3410" spans="1:14" x14ac:dyDescent="0.25">
      <c r="A3410" t="s">
        <v>507</v>
      </c>
      <c r="B3410" s="2">
        <v>45901</v>
      </c>
      <c r="C3410" t="s">
        <v>507</v>
      </c>
      <c r="D3410" t="s">
        <v>33</v>
      </c>
      <c r="E3410" t="s">
        <v>9</v>
      </c>
      <c r="F3410" s="3">
        <v>3780</v>
      </c>
      <c r="G3410" s="3">
        <v>3780</v>
      </c>
      <c r="H3410" t="s">
        <v>3</v>
      </c>
      <c r="I3410" t="s">
        <v>3</v>
      </c>
      <c r="J3410" t="s">
        <v>9</v>
      </c>
      <c r="K3410" t="s">
        <v>9</v>
      </c>
      <c r="L3410" t="s">
        <v>22</v>
      </c>
      <c r="M3410" t="s">
        <v>35</v>
      </c>
      <c r="N3410" s="2">
        <v>45900</v>
      </c>
    </row>
    <row r="3411" spans="1:14" x14ac:dyDescent="0.25">
      <c r="A3411" t="s">
        <v>507</v>
      </c>
      <c r="B3411" s="2">
        <v>46267</v>
      </c>
      <c r="C3411" t="s">
        <v>507</v>
      </c>
      <c r="D3411" t="s">
        <v>33</v>
      </c>
      <c r="E3411" t="s">
        <v>9</v>
      </c>
      <c r="F3411" s="3">
        <v>1365</v>
      </c>
      <c r="G3411" s="3">
        <v>1365</v>
      </c>
      <c r="H3411" t="s">
        <v>3</v>
      </c>
      <c r="I3411" t="s">
        <v>3</v>
      </c>
      <c r="J3411" t="s">
        <v>9</v>
      </c>
      <c r="K3411" t="s">
        <v>9</v>
      </c>
      <c r="L3411" t="s">
        <v>22</v>
      </c>
      <c r="M3411" t="s">
        <v>35</v>
      </c>
      <c r="N3411" s="2">
        <v>46265</v>
      </c>
    </row>
    <row r="3412" spans="1:14" x14ac:dyDescent="0.25">
      <c r="A3412" t="s">
        <v>507</v>
      </c>
      <c r="B3412" s="2">
        <v>45888</v>
      </c>
      <c r="C3412" t="s">
        <v>507</v>
      </c>
      <c r="D3412" t="s">
        <v>33</v>
      </c>
      <c r="E3412" t="s">
        <v>9</v>
      </c>
      <c r="F3412" s="3">
        <v>-3780</v>
      </c>
      <c r="G3412" s="3">
        <v>-3780</v>
      </c>
      <c r="H3412" t="s">
        <v>3</v>
      </c>
      <c r="I3412" t="s">
        <v>3</v>
      </c>
      <c r="J3412" t="s">
        <v>9</v>
      </c>
      <c r="K3412" t="s">
        <v>5</v>
      </c>
      <c r="L3412" t="s">
        <v>22</v>
      </c>
      <c r="M3412" t="s">
        <v>35</v>
      </c>
      <c r="N3412" s="2">
        <v>45888</v>
      </c>
    </row>
    <row r="3413" spans="1:14" x14ac:dyDescent="0.25">
      <c r="A3413" t="s">
        <v>507</v>
      </c>
      <c r="B3413" s="2">
        <v>46254</v>
      </c>
      <c r="C3413" t="s">
        <v>507</v>
      </c>
      <c r="D3413" t="s">
        <v>33</v>
      </c>
      <c r="E3413" t="s">
        <v>9</v>
      </c>
      <c r="F3413" s="3">
        <v>-1365</v>
      </c>
      <c r="G3413" s="3">
        <v>-1365</v>
      </c>
      <c r="H3413" t="s">
        <v>3</v>
      </c>
      <c r="I3413" t="s">
        <v>3</v>
      </c>
      <c r="J3413" t="s">
        <v>9</v>
      </c>
      <c r="K3413" t="s">
        <v>13</v>
      </c>
      <c r="L3413" t="s">
        <v>22</v>
      </c>
      <c r="M3413" t="s">
        <v>35</v>
      </c>
      <c r="N3413" s="2">
        <v>46254</v>
      </c>
    </row>
    <row r="3414" spans="1:14" x14ac:dyDescent="0.25">
      <c r="A3414" s="4" t="s">
        <v>267</v>
      </c>
      <c r="B3414" s="5"/>
      <c r="C3414" s="4" t="s">
        <v>9</v>
      </c>
      <c r="D3414" s="4" t="s">
        <v>9</v>
      </c>
      <c r="E3414" s="4" t="s">
        <v>9</v>
      </c>
      <c r="F3414" s="6">
        <v>0</v>
      </c>
      <c r="G3414" s="6">
        <v>0</v>
      </c>
      <c r="H3414" s="4" t="s">
        <v>9</v>
      </c>
      <c r="I3414" s="4" t="s">
        <v>3</v>
      </c>
      <c r="J3414" s="4" t="s">
        <v>9</v>
      </c>
      <c r="K3414" s="4" t="s">
        <v>9</v>
      </c>
      <c r="L3414" s="4" t="s">
        <v>9</v>
      </c>
      <c r="M3414" s="4" t="s">
        <v>9</v>
      </c>
      <c r="N3414" s="5"/>
    </row>
    <row r="3415" spans="1:14" x14ac:dyDescent="0.25">
      <c r="A3415" t="s">
        <v>507</v>
      </c>
      <c r="B3415" s="2">
        <v>45932</v>
      </c>
      <c r="C3415" t="s">
        <v>507</v>
      </c>
      <c r="D3415" t="s">
        <v>33</v>
      </c>
      <c r="E3415" t="s">
        <v>9</v>
      </c>
      <c r="F3415" s="3">
        <v>15839</v>
      </c>
      <c r="G3415" s="3">
        <v>15839</v>
      </c>
      <c r="H3415" t="s">
        <v>3</v>
      </c>
      <c r="I3415" t="s">
        <v>3</v>
      </c>
      <c r="J3415" t="s">
        <v>9</v>
      </c>
      <c r="K3415" t="s">
        <v>9</v>
      </c>
      <c r="L3415" t="s">
        <v>6</v>
      </c>
      <c r="M3415" t="s">
        <v>35</v>
      </c>
      <c r="N3415" s="2">
        <v>45930</v>
      </c>
    </row>
    <row r="3416" spans="1:14" x14ac:dyDescent="0.25">
      <c r="A3416" t="s">
        <v>507</v>
      </c>
      <c r="B3416" s="2">
        <v>45910</v>
      </c>
      <c r="C3416" t="s">
        <v>507</v>
      </c>
      <c r="D3416" t="s">
        <v>33</v>
      </c>
      <c r="E3416" t="s">
        <v>9</v>
      </c>
      <c r="F3416" s="3">
        <v>-15839</v>
      </c>
      <c r="G3416" s="3">
        <v>-15839</v>
      </c>
      <c r="H3416" t="s">
        <v>3</v>
      </c>
      <c r="I3416" t="s">
        <v>3</v>
      </c>
      <c r="J3416" t="s">
        <v>9</v>
      </c>
      <c r="K3416" t="s">
        <v>5</v>
      </c>
      <c r="L3416" t="s">
        <v>6</v>
      </c>
      <c r="M3416" t="s">
        <v>35</v>
      </c>
      <c r="N3416" s="2">
        <v>45910</v>
      </c>
    </row>
    <row r="3417" spans="1:14" x14ac:dyDescent="0.25">
      <c r="A3417" s="4" t="s">
        <v>272</v>
      </c>
      <c r="B3417" s="5"/>
      <c r="C3417" s="4" t="s">
        <v>9</v>
      </c>
      <c r="D3417" s="4" t="s">
        <v>9</v>
      </c>
      <c r="E3417" s="4" t="s">
        <v>9</v>
      </c>
      <c r="F3417" s="6">
        <v>0</v>
      </c>
      <c r="G3417" s="6">
        <v>0</v>
      </c>
      <c r="H3417" s="4" t="s">
        <v>9</v>
      </c>
      <c r="I3417" s="4" t="s">
        <v>3</v>
      </c>
      <c r="J3417" s="4" t="s">
        <v>9</v>
      </c>
      <c r="K3417" s="4" t="s">
        <v>9</v>
      </c>
      <c r="L3417" s="4" t="s">
        <v>9</v>
      </c>
      <c r="M3417" s="4" t="s">
        <v>9</v>
      </c>
      <c r="N3417" s="5"/>
    </row>
    <row r="3418" spans="1:14" x14ac:dyDescent="0.25">
      <c r="A3418" t="s">
        <v>507</v>
      </c>
      <c r="B3418" s="2">
        <v>45965</v>
      </c>
      <c r="C3418" t="s">
        <v>507</v>
      </c>
      <c r="D3418" t="s">
        <v>33</v>
      </c>
      <c r="E3418" t="s">
        <v>9</v>
      </c>
      <c r="F3418" s="3">
        <v>3675</v>
      </c>
      <c r="G3418" s="3">
        <v>3675</v>
      </c>
      <c r="H3418" t="s">
        <v>3</v>
      </c>
      <c r="I3418" t="s">
        <v>3</v>
      </c>
      <c r="J3418" t="s">
        <v>9</v>
      </c>
      <c r="K3418" t="s">
        <v>9</v>
      </c>
      <c r="L3418" t="s">
        <v>8</v>
      </c>
      <c r="M3418" t="s">
        <v>35</v>
      </c>
      <c r="N3418" s="2">
        <v>45961</v>
      </c>
    </row>
    <row r="3419" spans="1:14" x14ac:dyDescent="0.25">
      <c r="A3419" t="s">
        <v>507</v>
      </c>
      <c r="B3419" s="2">
        <v>45947</v>
      </c>
      <c r="C3419" t="s">
        <v>507</v>
      </c>
      <c r="D3419" t="s">
        <v>33</v>
      </c>
      <c r="E3419" t="s">
        <v>9</v>
      </c>
      <c r="F3419" s="3">
        <v>-3675</v>
      </c>
      <c r="G3419" s="3">
        <v>-3675</v>
      </c>
      <c r="H3419" t="s">
        <v>3</v>
      </c>
      <c r="I3419" t="s">
        <v>3</v>
      </c>
      <c r="J3419" t="s">
        <v>9</v>
      </c>
      <c r="K3419" t="s">
        <v>5</v>
      </c>
      <c r="L3419" t="s">
        <v>8</v>
      </c>
      <c r="M3419" t="s">
        <v>35</v>
      </c>
      <c r="N3419" s="2">
        <v>45947</v>
      </c>
    </row>
    <row r="3420" spans="1:14" x14ac:dyDescent="0.25">
      <c r="A3420" s="4" t="s">
        <v>278</v>
      </c>
      <c r="B3420" s="5"/>
      <c r="C3420" s="4" t="s">
        <v>9</v>
      </c>
      <c r="D3420" s="4" t="s">
        <v>9</v>
      </c>
      <c r="E3420" s="4" t="s">
        <v>9</v>
      </c>
      <c r="F3420" s="6">
        <v>0</v>
      </c>
      <c r="G3420" s="6">
        <v>0</v>
      </c>
      <c r="H3420" s="4" t="s">
        <v>9</v>
      </c>
      <c r="I3420" s="4" t="s">
        <v>3</v>
      </c>
      <c r="J3420" s="4" t="s">
        <v>9</v>
      </c>
      <c r="K3420" s="4" t="s">
        <v>9</v>
      </c>
      <c r="L3420" s="4" t="s">
        <v>9</v>
      </c>
      <c r="M3420" s="4" t="s">
        <v>9</v>
      </c>
      <c r="N3420" s="5"/>
    </row>
    <row r="3421" spans="1:14" x14ac:dyDescent="0.25">
      <c r="A3421" t="s">
        <v>507</v>
      </c>
      <c r="B3421" s="2">
        <v>45993</v>
      </c>
      <c r="C3421" t="s">
        <v>507</v>
      </c>
      <c r="D3421" t="s">
        <v>33</v>
      </c>
      <c r="E3421" t="s">
        <v>9</v>
      </c>
      <c r="F3421" s="3">
        <v>2310</v>
      </c>
      <c r="G3421" s="3">
        <v>2310</v>
      </c>
      <c r="H3421" t="s">
        <v>3</v>
      </c>
      <c r="I3421" t="s">
        <v>3</v>
      </c>
      <c r="J3421" t="s">
        <v>9</v>
      </c>
      <c r="K3421" t="s">
        <v>9</v>
      </c>
      <c r="L3421" t="s">
        <v>11</v>
      </c>
      <c r="M3421" t="s">
        <v>35</v>
      </c>
      <c r="N3421" s="2">
        <v>45991</v>
      </c>
    </row>
    <row r="3422" spans="1:14" x14ac:dyDescent="0.25">
      <c r="A3422" t="s">
        <v>507</v>
      </c>
      <c r="B3422" s="2">
        <v>45979</v>
      </c>
      <c r="C3422" t="s">
        <v>507</v>
      </c>
      <c r="D3422" t="s">
        <v>33</v>
      </c>
      <c r="E3422" t="s">
        <v>9</v>
      </c>
      <c r="F3422" s="3">
        <v>-2310</v>
      </c>
      <c r="G3422" s="3">
        <v>-2310</v>
      </c>
      <c r="H3422" t="s">
        <v>3</v>
      </c>
      <c r="I3422" t="s">
        <v>3</v>
      </c>
      <c r="J3422" t="s">
        <v>9</v>
      </c>
      <c r="K3422" t="s">
        <v>5</v>
      </c>
      <c r="L3422" t="s">
        <v>11</v>
      </c>
      <c r="M3422" t="s">
        <v>35</v>
      </c>
      <c r="N3422" s="2">
        <v>45979</v>
      </c>
    </row>
    <row r="3423" spans="1:14" x14ac:dyDescent="0.25">
      <c r="A3423" s="4" t="s">
        <v>226</v>
      </c>
      <c r="B3423" s="5"/>
      <c r="C3423" s="4" t="s">
        <v>9</v>
      </c>
      <c r="D3423" s="4" t="s">
        <v>9</v>
      </c>
      <c r="E3423" s="4" t="s">
        <v>9</v>
      </c>
      <c r="F3423" s="6">
        <v>0</v>
      </c>
      <c r="G3423" s="6">
        <v>0</v>
      </c>
      <c r="H3423" s="4" t="s">
        <v>9</v>
      </c>
      <c r="I3423" s="4" t="s">
        <v>3</v>
      </c>
      <c r="J3423" s="4" t="s">
        <v>9</v>
      </c>
      <c r="K3423" s="4" t="s">
        <v>9</v>
      </c>
      <c r="L3423" s="4" t="s">
        <v>9</v>
      </c>
      <c r="M3423" s="4" t="s">
        <v>9</v>
      </c>
      <c r="N3423" s="5"/>
    </row>
    <row r="3424" spans="1:14" x14ac:dyDescent="0.25">
      <c r="A3424" t="s">
        <v>507</v>
      </c>
      <c r="B3424" s="2">
        <v>46028</v>
      </c>
      <c r="C3424" t="s">
        <v>507</v>
      </c>
      <c r="D3424" t="s">
        <v>33</v>
      </c>
      <c r="E3424" t="s">
        <v>9</v>
      </c>
      <c r="F3424" s="3">
        <v>7140</v>
      </c>
      <c r="G3424" s="3">
        <v>7140</v>
      </c>
      <c r="H3424" t="s">
        <v>3</v>
      </c>
      <c r="I3424" t="s">
        <v>3</v>
      </c>
      <c r="J3424" t="s">
        <v>9</v>
      </c>
      <c r="K3424" t="s">
        <v>9</v>
      </c>
      <c r="L3424" t="s">
        <v>12</v>
      </c>
      <c r="M3424" t="s">
        <v>35</v>
      </c>
      <c r="N3424" s="2">
        <v>46022</v>
      </c>
    </row>
    <row r="3425" spans="1:14" x14ac:dyDescent="0.25">
      <c r="A3425" t="s">
        <v>507</v>
      </c>
      <c r="B3425" s="2">
        <v>46007</v>
      </c>
      <c r="C3425" t="s">
        <v>507</v>
      </c>
      <c r="D3425" t="s">
        <v>33</v>
      </c>
      <c r="E3425" t="s">
        <v>9</v>
      </c>
      <c r="F3425" s="3">
        <v>-7140</v>
      </c>
      <c r="G3425" s="3">
        <v>-7140</v>
      </c>
      <c r="H3425" t="s">
        <v>3</v>
      </c>
      <c r="I3425" t="s">
        <v>3</v>
      </c>
      <c r="J3425" t="s">
        <v>9</v>
      </c>
      <c r="K3425" t="s">
        <v>5</v>
      </c>
      <c r="L3425" t="s">
        <v>12</v>
      </c>
      <c r="M3425" t="s">
        <v>35</v>
      </c>
      <c r="N3425" s="2">
        <v>46007</v>
      </c>
    </row>
    <row r="3426" spans="1:14" x14ac:dyDescent="0.25">
      <c r="A3426" s="4" t="s">
        <v>228</v>
      </c>
      <c r="B3426" s="5"/>
      <c r="C3426" s="4" t="s">
        <v>9</v>
      </c>
      <c r="D3426" s="4" t="s">
        <v>9</v>
      </c>
      <c r="E3426" s="4" t="s">
        <v>9</v>
      </c>
      <c r="F3426" s="6">
        <v>0</v>
      </c>
      <c r="G3426" s="6">
        <v>0</v>
      </c>
      <c r="H3426" s="4" t="s">
        <v>9</v>
      </c>
      <c r="I3426" s="4" t="s">
        <v>3</v>
      </c>
      <c r="J3426" s="4" t="s">
        <v>9</v>
      </c>
      <c r="K3426" s="4" t="s">
        <v>9</v>
      </c>
      <c r="L3426" s="4" t="s">
        <v>9</v>
      </c>
      <c r="M3426" s="4" t="s">
        <v>9</v>
      </c>
      <c r="N3426" s="5"/>
    </row>
    <row r="3427" spans="1:14" x14ac:dyDescent="0.25">
      <c r="A3427" s="4" t="s">
        <v>507</v>
      </c>
      <c r="B3427" s="5"/>
      <c r="C3427" s="4" t="s">
        <v>9</v>
      </c>
      <c r="D3427" s="4" t="s">
        <v>9</v>
      </c>
      <c r="E3427" s="4" t="s">
        <v>9</v>
      </c>
      <c r="F3427" s="6">
        <v>0</v>
      </c>
      <c r="G3427" s="6">
        <v>0</v>
      </c>
      <c r="H3427" s="4" t="s">
        <v>9</v>
      </c>
      <c r="I3427" s="4" t="s">
        <v>3</v>
      </c>
      <c r="J3427" s="4" t="s">
        <v>9</v>
      </c>
      <c r="K3427" s="4" t="s">
        <v>9</v>
      </c>
      <c r="L3427" s="4" t="s">
        <v>9</v>
      </c>
      <c r="M3427" s="4" t="s">
        <v>9</v>
      </c>
      <c r="N3427" s="5"/>
    </row>
    <row r="3428" spans="1:14" x14ac:dyDescent="0.25">
      <c r="A3428" t="s">
        <v>508</v>
      </c>
      <c r="B3428" s="2">
        <v>46056</v>
      </c>
      <c r="C3428" t="s">
        <v>508</v>
      </c>
      <c r="D3428" t="s">
        <v>112</v>
      </c>
      <c r="E3428" t="s">
        <v>9</v>
      </c>
      <c r="F3428" s="3">
        <v>-1100</v>
      </c>
      <c r="G3428" s="3">
        <v>-1100</v>
      </c>
      <c r="H3428" t="s">
        <v>3</v>
      </c>
      <c r="I3428" t="s">
        <v>3</v>
      </c>
      <c r="J3428" t="s">
        <v>9</v>
      </c>
      <c r="K3428" t="s">
        <v>9</v>
      </c>
      <c r="L3428" t="s">
        <v>14</v>
      </c>
      <c r="M3428" t="s">
        <v>114</v>
      </c>
      <c r="N3428" s="2">
        <v>46053</v>
      </c>
    </row>
    <row r="3429" spans="1:14" x14ac:dyDescent="0.25">
      <c r="A3429" t="s">
        <v>508</v>
      </c>
      <c r="B3429" s="2">
        <v>46022</v>
      </c>
      <c r="C3429" t="s">
        <v>508</v>
      </c>
      <c r="D3429" t="s">
        <v>112</v>
      </c>
      <c r="E3429" t="s">
        <v>9</v>
      </c>
      <c r="F3429" s="3">
        <v>-25000</v>
      </c>
      <c r="G3429" s="3">
        <v>-25000</v>
      </c>
      <c r="H3429" t="s">
        <v>3</v>
      </c>
      <c r="I3429" t="s">
        <v>3</v>
      </c>
      <c r="J3429" t="s">
        <v>298</v>
      </c>
      <c r="K3429" t="s">
        <v>13</v>
      </c>
      <c r="L3429" t="s">
        <v>14</v>
      </c>
      <c r="M3429" t="s">
        <v>114</v>
      </c>
      <c r="N3429" s="2">
        <v>46023</v>
      </c>
    </row>
    <row r="3430" spans="1:14" x14ac:dyDescent="0.25">
      <c r="A3430" t="s">
        <v>508</v>
      </c>
      <c r="B3430" s="2">
        <v>46023</v>
      </c>
      <c r="C3430" t="s">
        <v>508</v>
      </c>
      <c r="D3430" t="s">
        <v>112</v>
      </c>
      <c r="E3430" t="s">
        <v>9</v>
      </c>
      <c r="F3430" s="3">
        <v>25000</v>
      </c>
      <c r="G3430" s="3">
        <v>25000</v>
      </c>
      <c r="H3430" t="s">
        <v>3</v>
      </c>
      <c r="I3430" t="s">
        <v>3</v>
      </c>
      <c r="J3430" t="s">
        <v>298</v>
      </c>
      <c r="K3430" t="s">
        <v>13</v>
      </c>
      <c r="L3430" t="s">
        <v>14</v>
      </c>
      <c r="M3430" t="s">
        <v>114</v>
      </c>
      <c r="N3430" s="2">
        <v>46023</v>
      </c>
    </row>
    <row r="3431" spans="1:14" x14ac:dyDescent="0.25">
      <c r="A3431" t="s">
        <v>508</v>
      </c>
      <c r="B3431" s="2">
        <v>46053</v>
      </c>
      <c r="C3431" t="s">
        <v>508</v>
      </c>
      <c r="D3431" t="s">
        <v>112</v>
      </c>
      <c r="E3431" t="s">
        <v>9</v>
      </c>
      <c r="F3431" s="3">
        <v>1100</v>
      </c>
      <c r="G3431" s="3">
        <v>1100</v>
      </c>
      <c r="H3431" t="s">
        <v>3</v>
      </c>
      <c r="I3431" t="s">
        <v>3</v>
      </c>
      <c r="J3431" t="s">
        <v>300</v>
      </c>
      <c r="K3431" t="s">
        <v>13</v>
      </c>
      <c r="L3431" t="s">
        <v>14</v>
      </c>
      <c r="M3431" t="s">
        <v>114</v>
      </c>
      <c r="N3431" s="2">
        <v>46053</v>
      </c>
    </row>
    <row r="3432" spans="1:14" x14ac:dyDescent="0.25">
      <c r="A3432" s="4" t="s">
        <v>234</v>
      </c>
      <c r="B3432" s="5"/>
      <c r="C3432" s="4" t="s">
        <v>9</v>
      </c>
      <c r="D3432" s="4" t="s">
        <v>9</v>
      </c>
      <c r="E3432" s="4" t="s">
        <v>9</v>
      </c>
      <c r="F3432" s="6">
        <v>0</v>
      </c>
      <c r="G3432" s="6">
        <v>0</v>
      </c>
      <c r="H3432" s="4" t="s">
        <v>9</v>
      </c>
      <c r="I3432" s="4" t="s">
        <v>3</v>
      </c>
      <c r="J3432" s="4" t="s">
        <v>9</v>
      </c>
      <c r="K3432" s="4" t="s">
        <v>9</v>
      </c>
      <c r="L3432" s="4" t="s">
        <v>9</v>
      </c>
      <c r="M3432" s="4" t="s">
        <v>9</v>
      </c>
      <c r="N3432" s="5"/>
    </row>
    <row r="3433" spans="1:14" x14ac:dyDescent="0.25">
      <c r="A3433" t="s">
        <v>508</v>
      </c>
      <c r="B3433" s="2">
        <v>46084</v>
      </c>
      <c r="C3433" t="s">
        <v>508</v>
      </c>
      <c r="D3433" t="s">
        <v>112</v>
      </c>
      <c r="E3433" t="s">
        <v>9</v>
      </c>
      <c r="F3433" s="3">
        <v>-400</v>
      </c>
      <c r="G3433" s="3">
        <v>-400</v>
      </c>
      <c r="H3433" t="s">
        <v>3</v>
      </c>
      <c r="I3433" t="s">
        <v>3</v>
      </c>
      <c r="J3433" t="s">
        <v>9</v>
      </c>
      <c r="K3433" t="s">
        <v>9</v>
      </c>
      <c r="L3433" t="s">
        <v>15</v>
      </c>
      <c r="M3433" t="s">
        <v>114</v>
      </c>
      <c r="N3433" s="2">
        <v>46081</v>
      </c>
    </row>
    <row r="3434" spans="1:14" x14ac:dyDescent="0.25">
      <c r="A3434" t="s">
        <v>508</v>
      </c>
      <c r="B3434" s="2">
        <v>46054</v>
      </c>
      <c r="C3434" t="s">
        <v>508</v>
      </c>
      <c r="D3434" t="s">
        <v>112</v>
      </c>
      <c r="E3434" t="s">
        <v>9</v>
      </c>
      <c r="F3434" s="3">
        <v>-1100</v>
      </c>
      <c r="G3434" s="3">
        <v>-1100</v>
      </c>
      <c r="H3434" t="s">
        <v>3</v>
      </c>
      <c r="I3434" t="s">
        <v>3</v>
      </c>
      <c r="J3434" t="s">
        <v>300</v>
      </c>
      <c r="K3434" t="s">
        <v>13</v>
      </c>
      <c r="L3434" t="s">
        <v>15</v>
      </c>
      <c r="M3434" t="s">
        <v>114</v>
      </c>
      <c r="N3434" s="2">
        <v>46054</v>
      </c>
    </row>
    <row r="3435" spans="1:14" x14ac:dyDescent="0.25">
      <c r="A3435" t="s">
        <v>508</v>
      </c>
      <c r="B3435" s="2">
        <v>46054</v>
      </c>
      <c r="C3435" t="s">
        <v>508</v>
      </c>
      <c r="D3435" t="s">
        <v>112</v>
      </c>
      <c r="E3435" t="s">
        <v>9</v>
      </c>
      <c r="F3435" s="3">
        <v>1100</v>
      </c>
      <c r="G3435" s="3">
        <v>1100</v>
      </c>
      <c r="H3435" t="s">
        <v>3</v>
      </c>
      <c r="I3435" t="s">
        <v>3</v>
      </c>
      <c r="J3435" t="s">
        <v>300</v>
      </c>
      <c r="K3435" t="s">
        <v>13</v>
      </c>
      <c r="L3435" t="s">
        <v>15</v>
      </c>
      <c r="M3435" t="s">
        <v>114</v>
      </c>
      <c r="N3435" s="2">
        <v>46055</v>
      </c>
    </row>
    <row r="3436" spans="1:14" x14ac:dyDescent="0.25">
      <c r="A3436" t="s">
        <v>508</v>
      </c>
      <c r="B3436" s="2">
        <v>46054</v>
      </c>
      <c r="C3436" t="s">
        <v>508</v>
      </c>
      <c r="D3436" t="s">
        <v>112</v>
      </c>
      <c r="E3436" t="s">
        <v>9</v>
      </c>
      <c r="F3436" s="3">
        <v>-1100</v>
      </c>
      <c r="G3436" s="3">
        <v>-1100</v>
      </c>
      <c r="H3436" t="s">
        <v>3</v>
      </c>
      <c r="I3436" t="s">
        <v>3</v>
      </c>
      <c r="J3436" t="s">
        <v>300</v>
      </c>
      <c r="K3436" t="s">
        <v>13</v>
      </c>
      <c r="L3436" t="s">
        <v>15</v>
      </c>
      <c r="M3436" t="s">
        <v>114</v>
      </c>
      <c r="N3436" s="2">
        <v>46054</v>
      </c>
    </row>
    <row r="3437" spans="1:14" x14ac:dyDescent="0.25">
      <c r="A3437" t="s">
        <v>508</v>
      </c>
      <c r="B3437" s="2">
        <v>46081</v>
      </c>
      <c r="C3437" t="s">
        <v>508</v>
      </c>
      <c r="D3437" t="s">
        <v>112</v>
      </c>
      <c r="E3437" t="s">
        <v>9</v>
      </c>
      <c r="F3437" s="3">
        <v>1500</v>
      </c>
      <c r="G3437" s="3">
        <v>1500</v>
      </c>
      <c r="H3437" t="s">
        <v>3</v>
      </c>
      <c r="I3437" t="s">
        <v>3</v>
      </c>
      <c r="J3437" t="s">
        <v>304</v>
      </c>
      <c r="K3437" t="s">
        <v>13</v>
      </c>
      <c r="L3437" t="s">
        <v>15</v>
      </c>
      <c r="M3437" t="s">
        <v>114</v>
      </c>
      <c r="N3437" s="2">
        <v>46081</v>
      </c>
    </row>
    <row r="3438" spans="1:14" x14ac:dyDescent="0.25">
      <c r="A3438" s="4" t="s">
        <v>239</v>
      </c>
      <c r="B3438" s="5"/>
      <c r="C3438" s="4" t="s">
        <v>9</v>
      </c>
      <c r="D3438" s="4" t="s">
        <v>9</v>
      </c>
      <c r="E3438" s="4" t="s">
        <v>9</v>
      </c>
      <c r="F3438" s="6">
        <v>0</v>
      </c>
      <c r="G3438" s="6">
        <v>0</v>
      </c>
      <c r="H3438" s="4" t="s">
        <v>9</v>
      </c>
      <c r="I3438" s="4" t="s">
        <v>3</v>
      </c>
      <c r="J3438" s="4" t="s">
        <v>9</v>
      </c>
      <c r="K3438" s="4" t="s">
        <v>9</v>
      </c>
      <c r="L3438" s="4" t="s">
        <v>9</v>
      </c>
      <c r="M3438" s="4" t="s">
        <v>9</v>
      </c>
      <c r="N3438" s="5"/>
    </row>
    <row r="3439" spans="1:14" x14ac:dyDescent="0.25">
      <c r="A3439" t="s">
        <v>508</v>
      </c>
      <c r="B3439" s="2">
        <v>46115</v>
      </c>
      <c r="C3439" t="s">
        <v>508</v>
      </c>
      <c r="D3439" t="s">
        <v>112</v>
      </c>
      <c r="E3439" t="s">
        <v>9</v>
      </c>
      <c r="F3439" s="3">
        <v>-400</v>
      </c>
      <c r="G3439" s="3">
        <v>-400</v>
      </c>
      <c r="H3439" t="s">
        <v>3</v>
      </c>
      <c r="I3439" t="s">
        <v>3</v>
      </c>
      <c r="J3439" t="s">
        <v>9</v>
      </c>
      <c r="K3439" t="s">
        <v>9</v>
      </c>
      <c r="L3439" t="s">
        <v>16</v>
      </c>
      <c r="M3439" t="s">
        <v>114</v>
      </c>
      <c r="N3439" s="2">
        <v>46112</v>
      </c>
    </row>
    <row r="3440" spans="1:14" x14ac:dyDescent="0.25">
      <c r="A3440" t="s">
        <v>508</v>
      </c>
      <c r="B3440" s="2">
        <v>46081</v>
      </c>
      <c r="C3440" t="s">
        <v>508</v>
      </c>
      <c r="D3440" t="s">
        <v>112</v>
      </c>
      <c r="E3440" t="s">
        <v>9</v>
      </c>
      <c r="F3440" s="3">
        <v>-1500</v>
      </c>
      <c r="G3440" s="3">
        <v>-1500</v>
      </c>
      <c r="H3440" t="s">
        <v>3</v>
      </c>
      <c r="I3440" t="s">
        <v>3</v>
      </c>
      <c r="J3440" t="s">
        <v>304</v>
      </c>
      <c r="K3440" t="s">
        <v>13</v>
      </c>
      <c r="L3440" t="s">
        <v>16</v>
      </c>
      <c r="M3440" t="s">
        <v>114</v>
      </c>
      <c r="N3440" s="2">
        <v>46082</v>
      </c>
    </row>
    <row r="3441" spans="1:14" x14ac:dyDescent="0.25">
      <c r="A3441" t="s">
        <v>508</v>
      </c>
      <c r="B3441" s="2">
        <v>46112</v>
      </c>
      <c r="C3441" t="s">
        <v>508</v>
      </c>
      <c r="D3441" t="s">
        <v>112</v>
      </c>
      <c r="E3441" t="s">
        <v>9</v>
      </c>
      <c r="F3441" s="3">
        <v>1900</v>
      </c>
      <c r="G3441" s="3">
        <v>1900</v>
      </c>
      <c r="H3441" t="s">
        <v>3</v>
      </c>
      <c r="I3441" t="s">
        <v>3</v>
      </c>
      <c r="J3441" t="s">
        <v>307</v>
      </c>
      <c r="K3441" t="s">
        <v>13</v>
      </c>
      <c r="L3441" t="s">
        <v>16</v>
      </c>
      <c r="M3441" t="s">
        <v>114</v>
      </c>
      <c r="N3441" s="2">
        <v>46112</v>
      </c>
    </row>
    <row r="3442" spans="1:14" x14ac:dyDescent="0.25">
      <c r="A3442" s="4" t="s">
        <v>244</v>
      </c>
      <c r="B3442" s="5"/>
      <c r="C3442" s="4" t="s">
        <v>9</v>
      </c>
      <c r="D3442" s="4" t="s">
        <v>9</v>
      </c>
      <c r="E3442" s="4" t="s">
        <v>9</v>
      </c>
      <c r="F3442" s="6">
        <v>0</v>
      </c>
      <c r="G3442" s="6">
        <v>0</v>
      </c>
      <c r="H3442" s="4" t="s">
        <v>9</v>
      </c>
      <c r="I3442" s="4" t="s">
        <v>3</v>
      </c>
      <c r="J3442" s="4" t="s">
        <v>9</v>
      </c>
      <c r="K3442" s="4" t="s">
        <v>9</v>
      </c>
      <c r="L3442" s="4" t="s">
        <v>9</v>
      </c>
      <c r="M3442" s="4" t="s">
        <v>9</v>
      </c>
      <c r="N3442" s="5"/>
    </row>
    <row r="3443" spans="1:14" x14ac:dyDescent="0.25">
      <c r="A3443" t="s">
        <v>508</v>
      </c>
      <c r="B3443" s="2">
        <v>46147</v>
      </c>
      <c r="C3443" t="s">
        <v>508</v>
      </c>
      <c r="D3443" t="s">
        <v>112</v>
      </c>
      <c r="E3443" t="s">
        <v>9</v>
      </c>
      <c r="F3443" s="3">
        <v>-1100</v>
      </c>
      <c r="G3443" s="3">
        <v>-1100</v>
      </c>
      <c r="H3443" t="s">
        <v>3</v>
      </c>
      <c r="I3443" t="s">
        <v>3</v>
      </c>
      <c r="J3443" t="s">
        <v>9</v>
      </c>
      <c r="K3443" t="s">
        <v>9</v>
      </c>
      <c r="L3443" t="s">
        <v>17</v>
      </c>
      <c r="M3443" t="s">
        <v>114</v>
      </c>
      <c r="N3443" s="2">
        <v>46142</v>
      </c>
    </row>
    <row r="3444" spans="1:14" x14ac:dyDescent="0.25">
      <c r="A3444" t="s">
        <v>508</v>
      </c>
      <c r="B3444" s="2">
        <v>46112</v>
      </c>
      <c r="C3444" t="s">
        <v>508</v>
      </c>
      <c r="D3444" t="s">
        <v>112</v>
      </c>
      <c r="E3444" t="s">
        <v>9</v>
      </c>
      <c r="F3444" s="3">
        <v>-1900</v>
      </c>
      <c r="G3444" s="3">
        <v>-1900</v>
      </c>
      <c r="H3444" t="s">
        <v>3</v>
      </c>
      <c r="I3444" t="s">
        <v>3</v>
      </c>
      <c r="J3444" t="s">
        <v>307</v>
      </c>
      <c r="K3444" t="s">
        <v>13</v>
      </c>
      <c r="L3444" t="s">
        <v>17</v>
      </c>
      <c r="M3444" t="s">
        <v>114</v>
      </c>
      <c r="N3444" s="2">
        <v>46113</v>
      </c>
    </row>
    <row r="3445" spans="1:14" x14ac:dyDescent="0.25">
      <c r="A3445" t="s">
        <v>508</v>
      </c>
      <c r="B3445" s="2">
        <v>46142</v>
      </c>
      <c r="C3445" t="s">
        <v>508</v>
      </c>
      <c r="D3445" t="s">
        <v>112</v>
      </c>
      <c r="E3445" t="s">
        <v>9</v>
      </c>
      <c r="F3445" s="3">
        <v>3000</v>
      </c>
      <c r="G3445" s="3">
        <v>3000</v>
      </c>
      <c r="H3445" t="s">
        <v>3</v>
      </c>
      <c r="I3445" t="s">
        <v>3</v>
      </c>
      <c r="J3445" t="s">
        <v>310</v>
      </c>
      <c r="K3445" t="s">
        <v>13</v>
      </c>
      <c r="L3445" t="s">
        <v>17</v>
      </c>
      <c r="M3445" t="s">
        <v>114</v>
      </c>
      <c r="N3445" s="2">
        <v>46142</v>
      </c>
    </row>
    <row r="3446" spans="1:14" x14ac:dyDescent="0.25">
      <c r="A3446" s="4" t="s">
        <v>249</v>
      </c>
      <c r="B3446" s="5"/>
      <c r="C3446" s="4" t="s">
        <v>9</v>
      </c>
      <c r="D3446" s="4" t="s">
        <v>9</v>
      </c>
      <c r="E3446" s="4" t="s">
        <v>9</v>
      </c>
      <c r="F3446" s="6">
        <v>0</v>
      </c>
      <c r="G3446" s="6">
        <v>0</v>
      </c>
      <c r="H3446" s="4" t="s">
        <v>9</v>
      </c>
      <c r="I3446" s="4" t="s">
        <v>3</v>
      </c>
      <c r="J3446" s="4" t="s">
        <v>9</v>
      </c>
      <c r="K3446" s="4" t="s">
        <v>9</v>
      </c>
      <c r="L3446" s="4" t="s">
        <v>9</v>
      </c>
      <c r="M3446" s="4" t="s">
        <v>9</v>
      </c>
      <c r="N3446" s="5"/>
    </row>
    <row r="3447" spans="1:14" x14ac:dyDescent="0.25">
      <c r="A3447" t="s">
        <v>508</v>
      </c>
      <c r="B3447" s="2">
        <v>46142</v>
      </c>
      <c r="C3447" t="s">
        <v>508</v>
      </c>
      <c r="D3447" t="s">
        <v>112</v>
      </c>
      <c r="E3447" t="s">
        <v>9</v>
      </c>
      <c r="F3447" s="3">
        <v>-3000</v>
      </c>
      <c r="G3447" s="3">
        <v>-3000</v>
      </c>
      <c r="H3447" t="s">
        <v>3</v>
      </c>
      <c r="I3447" t="s">
        <v>3</v>
      </c>
      <c r="J3447" t="s">
        <v>310</v>
      </c>
      <c r="K3447" t="s">
        <v>13</v>
      </c>
      <c r="L3447" t="s">
        <v>18</v>
      </c>
      <c r="M3447" t="s">
        <v>114</v>
      </c>
      <c r="N3447" s="2">
        <v>46143</v>
      </c>
    </row>
    <row r="3448" spans="1:14" x14ac:dyDescent="0.25">
      <c r="A3448" t="s">
        <v>508</v>
      </c>
      <c r="B3448" s="2">
        <v>46173</v>
      </c>
      <c r="C3448" t="s">
        <v>508</v>
      </c>
      <c r="D3448" t="s">
        <v>112</v>
      </c>
      <c r="E3448" t="s">
        <v>9</v>
      </c>
      <c r="F3448" s="3">
        <v>3000</v>
      </c>
      <c r="G3448" s="3">
        <v>3000</v>
      </c>
      <c r="H3448" t="s">
        <v>3</v>
      </c>
      <c r="I3448" t="s">
        <v>3</v>
      </c>
      <c r="J3448" t="s">
        <v>313</v>
      </c>
      <c r="K3448" t="s">
        <v>13</v>
      </c>
      <c r="L3448" t="s">
        <v>18</v>
      </c>
      <c r="M3448" t="s">
        <v>114</v>
      </c>
      <c r="N3448" s="2">
        <v>46173</v>
      </c>
    </row>
    <row r="3449" spans="1:14" x14ac:dyDescent="0.25">
      <c r="A3449" s="4" t="s">
        <v>223</v>
      </c>
      <c r="B3449" s="5"/>
      <c r="C3449" s="4" t="s">
        <v>9</v>
      </c>
      <c r="D3449" s="4" t="s">
        <v>9</v>
      </c>
      <c r="E3449" s="4" t="s">
        <v>9</v>
      </c>
      <c r="F3449" s="6">
        <v>0</v>
      </c>
      <c r="G3449" s="6">
        <v>0</v>
      </c>
      <c r="H3449" s="4" t="s">
        <v>9</v>
      </c>
      <c r="I3449" s="4" t="s">
        <v>3</v>
      </c>
      <c r="J3449" s="4" t="s">
        <v>9</v>
      </c>
      <c r="K3449" s="4" t="s">
        <v>9</v>
      </c>
      <c r="L3449" s="4" t="s">
        <v>9</v>
      </c>
      <c r="M3449" s="4" t="s">
        <v>9</v>
      </c>
      <c r="N3449" s="5"/>
    </row>
    <row r="3450" spans="1:14" x14ac:dyDescent="0.25">
      <c r="A3450" t="s">
        <v>508</v>
      </c>
      <c r="B3450" s="2">
        <v>45839</v>
      </c>
      <c r="C3450" t="s">
        <v>508</v>
      </c>
      <c r="D3450" t="s">
        <v>112</v>
      </c>
      <c r="E3450" t="s">
        <v>9</v>
      </c>
      <c r="F3450" s="3">
        <v>-6500</v>
      </c>
      <c r="G3450" s="3">
        <v>-6500</v>
      </c>
      <c r="H3450" t="s">
        <v>3</v>
      </c>
      <c r="I3450" t="s">
        <v>3</v>
      </c>
      <c r="J3450" t="s">
        <v>9</v>
      </c>
      <c r="K3450" t="s">
        <v>9</v>
      </c>
      <c r="L3450" t="s">
        <v>19</v>
      </c>
      <c r="M3450" t="s">
        <v>114</v>
      </c>
      <c r="N3450" s="2">
        <v>45838</v>
      </c>
    </row>
    <row r="3451" spans="1:14" x14ac:dyDescent="0.25">
      <c r="A3451" t="s">
        <v>508</v>
      </c>
      <c r="B3451" s="2">
        <v>45839</v>
      </c>
      <c r="C3451" t="s">
        <v>508</v>
      </c>
      <c r="D3451" t="s">
        <v>99</v>
      </c>
      <c r="E3451" t="s">
        <v>9</v>
      </c>
      <c r="F3451" s="3">
        <v>-1634</v>
      </c>
      <c r="G3451" s="3">
        <v>-1634</v>
      </c>
      <c r="H3451" t="s">
        <v>3</v>
      </c>
      <c r="I3451" t="s">
        <v>3</v>
      </c>
      <c r="J3451" t="s">
        <v>9</v>
      </c>
      <c r="K3451" t="s">
        <v>9</v>
      </c>
      <c r="L3451" t="s">
        <v>19</v>
      </c>
      <c r="M3451" t="s">
        <v>102</v>
      </c>
      <c r="N3451" s="2">
        <v>45838</v>
      </c>
    </row>
    <row r="3452" spans="1:14" x14ac:dyDescent="0.25">
      <c r="A3452" t="s">
        <v>508</v>
      </c>
      <c r="B3452" s="2">
        <v>46205</v>
      </c>
      <c r="C3452" t="s">
        <v>508</v>
      </c>
      <c r="D3452" t="s">
        <v>112</v>
      </c>
      <c r="E3452" t="s">
        <v>9</v>
      </c>
      <c r="F3452" s="3">
        <v>-900</v>
      </c>
      <c r="G3452" s="3">
        <v>-900</v>
      </c>
      <c r="H3452" t="s">
        <v>3</v>
      </c>
      <c r="I3452" t="s">
        <v>3</v>
      </c>
      <c r="J3452" t="s">
        <v>9</v>
      </c>
      <c r="K3452" t="s">
        <v>9</v>
      </c>
      <c r="L3452" t="s">
        <v>19</v>
      </c>
      <c r="M3452" t="s">
        <v>114</v>
      </c>
      <c r="N3452" s="2">
        <v>46203</v>
      </c>
    </row>
    <row r="3453" spans="1:14" x14ac:dyDescent="0.25">
      <c r="A3453" t="s">
        <v>508</v>
      </c>
      <c r="B3453" s="2">
        <v>45838</v>
      </c>
      <c r="C3453" t="s">
        <v>508</v>
      </c>
      <c r="D3453" t="s">
        <v>99</v>
      </c>
      <c r="E3453" t="s">
        <v>9</v>
      </c>
      <c r="F3453" s="3">
        <v>1634</v>
      </c>
      <c r="G3453" s="3">
        <v>1634</v>
      </c>
      <c r="H3453" t="s">
        <v>3</v>
      </c>
      <c r="I3453" t="s">
        <v>3</v>
      </c>
      <c r="J3453" t="s">
        <v>509</v>
      </c>
      <c r="K3453" t="s">
        <v>5</v>
      </c>
      <c r="L3453" t="s">
        <v>19</v>
      </c>
      <c r="M3453" t="s">
        <v>102</v>
      </c>
      <c r="N3453" s="2">
        <v>45838</v>
      </c>
    </row>
    <row r="3454" spans="1:14" x14ac:dyDescent="0.25">
      <c r="A3454" t="s">
        <v>508</v>
      </c>
      <c r="B3454" s="2">
        <v>45838</v>
      </c>
      <c r="C3454" t="s">
        <v>508</v>
      </c>
      <c r="D3454" t="s">
        <v>112</v>
      </c>
      <c r="E3454" t="s">
        <v>9</v>
      </c>
      <c r="F3454" s="3">
        <v>6500</v>
      </c>
      <c r="G3454" s="3">
        <v>6500</v>
      </c>
      <c r="H3454" t="s">
        <v>3</v>
      </c>
      <c r="I3454" t="s">
        <v>3</v>
      </c>
      <c r="J3454" t="s">
        <v>314</v>
      </c>
      <c r="K3454" t="s">
        <v>5</v>
      </c>
      <c r="L3454" t="s">
        <v>19</v>
      </c>
      <c r="M3454" t="s">
        <v>114</v>
      </c>
      <c r="N3454" s="2">
        <v>45838</v>
      </c>
    </row>
    <row r="3455" spans="1:14" x14ac:dyDescent="0.25">
      <c r="A3455" t="s">
        <v>508</v>
      </c>
      <c r="B3455" s="2">
        <v>46173</v>
      </c>
      <c r="C3455" t="s">
        <v>508</v>
      </c>
      <c r="D3455" t="s">
        <v>112</v>
      </c>
      <c r="E3455" t="s">
        <v>9</v>
      </c>
      <c r="F3455" s="3">
        <v>-3000</v>
      </c>
      <c r="G3455" s="3">
        <v>-3000</v>
      </c>
      <c r="H3455" t="s">
        <v>3</v>
      </c>
      <c r="I3455" t="s">
        <v>3</v>
      </c>
      <c r="J3455" t="s">
        <v>313</v>
      </c>
      <c r="K3455" t="s">
        <v>13</v>
      </c>
      <c r="L3455" t="s">
        <v>19</v>
      </c>
      <c r="M3455" t="s">
        <v>114</v>
      </c>
      <c r="N3455" s="2">
        <v>46174</v>
      </c>
    </row>
    <row r="3456" spans="1:14" x14ac:dyDescent="0.25">
      <c r="A3456" t="s">
        <v>508</v>
      </c>
      <c r="B3456" s="2">
        <v>46203</v>
      </c>
      <c r="C3456" t="s">
        <v>508</v>
      </c>
      <c r="D3456" t="s">
        <v>112</v>
      </c>
      <c r="E3456" t="s">
        <v>9</v>
      </c>
      <c r="F3456" s="3">
        <v>3900</v>
      </c>
      <c r="G3456" s="3">
        <v>3900</v>
      </c>
      <c r="H3456" t="s">
        <v>3</v>
      </c>
      <c r="I3456" t="s">
        <v>3</v>
      </c>
      <c r="J3456" t="s">
        <v>316</v>
      </c>
      <c r="K3456" t="s">
        <v>13</v>
      </c>
      <c r="L3456" t="s">
        <v>19</v>
      </c>
      <c r="M3456" t="s">
        <v>114</v>
      </c>
      <c r="N3456" s="2">
        <v>46203</v>
      </c>
    </row>
    <row r="3457" spans="1:14" x14ac:dyDescent="0.25">
      <c r="A3457" s="4" t="s">
        <v>224</v>
      </c>
      <c r="B3457" s="5"/>
      <c r="C3457" s="4" t="s">
        <v>9</v>
      </c>
      <c r="D3457" s="4" t="s">
        <v>9</v>
      </c>
      <c r="E3457" s="4" t="s">
        <v>9</v>
      </c>
      <c r="F3457" s="6">
        <v>0</v>
      </c>
      <c r="G3457" s="6">
        <v>0</v>
      </c>
      <c r="H3457" s="4" t="s">
        <v>9</v>
      </c>
      <c r="I3457" s="4" t="s">
        <v>3</v>
      </c>
      <c r="J3457" s="4" t="s">
        <v>9</v>
      </c>
      <c r="K3457" s="4" t="s">
        <v>9</v>
      </c>
      <c r="L3457" s="4" t="s">
        <v>9</v>
      </c>
      <c r="M3457" s="4" t="s">
        <v>9</v>
      </c>
      <c r="N3457" s="5"/>
    </row>
    <row r="3458" spans="1:14" x14ac:dyDescent="0.25">
      <c r="A3458" t="s">
        <v>508</v>
      </c>
      <c r="B3458" s="2">
        <v>45870</v>
      </c>
      <c r="C3458" t="s">
        <v>508</v>
      </c>
      <c r="D3458" t="s">
        <v>112</v>
      </c>
      <c r="E3458" t="s">
        <v>9</v>
      </c>
      <c r="F3458" s="3">
        <v>-3600</v>
      </c>
      <c r="G3458" s="3">
        <v>-3600</v>
      </c>
      <c r="H3458" t="s">
        <v>3</v>
      </c>
      <c r="I3458" t="s">
        <v>3</v>
      </c>
      <c r="J3458" t="s">
        <v>9</v>
      </c>
      <c r="K3458" t="s">
        <v>9</v>
      </c>
      <c r="L3458" t="s">
        <v>21</v>
      </c>
      <c r="M3458" t="s">
        <v>114</v>
      </c>
      <c r="N3458" s="2">
        <v>45869</v>
      </c>
    </row>
    <row r="3459" spans="1:14" x14ac:dyDescent="0.25">
      <c r="A3459" t="s">
        <v>508</v>
      </c>
      <c r="B3459" s="2">
        <v>45870</v>
      </c>
      <c r="C3459" t="s">
        <v>508</v>
      </c>
      <c r="D3459" t="s">
        <v>99</v>
      </c>
      <c r="E3459" t="s">
        <v>9</v>
      </c>
      <c r="F3459" s="3">
        <v>-3397</v>
      </c>
      <c r="G3459" s="3">
        <v>-3397</v>
      </c>
      <c r="H3459" t="s">
        <v>3</v>
      </c>
      <c r="I3459" t="s">
        <v>3</v>
      </c>
      <c r="J3459" t="s">
        <v>9</v>
      </c>
      <c r="K3459" t="s">
        <v>9</v>
      </c>
      <c r="L3459" t="s">
        <v>21</v>
      </c>
      <c r="M3459" t="s">
        <v>102</v>
      </c>
      <c r="N3459" s="2">
        <v>45869</v>
      </c>
    </row>
    <row r="3460" spans="1:14" x14ac:dyDescent="0.25">
      <c r="A3460" t="s">
        <v>508</v>
      </c>
      <c r="B3460" s="2">
        <v>46239</v>
      </c>
      <c r="C3460" t="s">
        <v>508</v>
      </c>
      <c r="D3460" t="s">
        <v>112</v>
      </c>
      <c r="E3460" t="s">
        <v>9</v>
      </c>
      <c r="F3460" s="3">
        <v>-400</v>
      </c>
      <c r="G3460" s="3">
        <v>-400</v>
      </c>
      <c r="H3460" t="s">
        <v>3</v>
      </c>
      <c r="I3460" t="s">
        <v>3</v>
      </c>
      <c r="J3460" t="s">
        <v>9</v>
      </c>
      <c r="K3460" t="s">
        <v>9</v>
      </c>
      <c r="L3460" t="s">
        <v>21</v>
      </c>
      <c r="M3460" t="s">
        <v>114</v>
      </c>
      <c r="N3460" s="2">
        <v>46234</v>
      </c>
    </row>
    <row r="3461" spans="1:14" x14ac:dyDescent="0.25">
      <c r="A3461" t="s">
        <v>508</v>
      </c>
      <c r="B3461" s="2">
        <v>45838</v>
      </c>
      <c r="C3461" t="s">
        <v>508</v>
      </c>
      <c r="D3461" t="s">
        <v>112</v>
      </c>
      <c r="E3461" t="s">
        <v>9</v>
      </c>
      <c r="F3461" s="3">
        <v>-6500</v>
      </c>
      <c r="G3461" s="3">
        <v>-6500</v>
      </c>
      <c r="H3461" t="s">
        <v>3</v>
      </c>
      <c r="I3461" t="s">
        <v>3</v>
      </c>
      <c r="J3461" t="s">
        <v>314</v>
      </c>
      <c r="K3461" t="s">
        <v>5</v>
      </c>
      <c r="L3461" t="s">
        <v>21</v>
      </c>
      <c r="M3461" t="s">
        <v>114</v>
      </c>
      <c r="N3461" s="2">
        <v>45839</v>
      </c>
    </row>
    <row r="3462" spans="1:14" x14ac:dyDescent="0.25">
      <c r="A3462" t="s">
        <v>508</v>
      </c>
      <c r="B3462" s="2">
        <v>45869</v>
      </c>
      <c r="C3462" t="s">
        <v>508</v>
      </c>
      <c r="D3462" t="s">
        <v>99</v>
      </c>
      <c r="E3462" t="s">
        <v>9</v>
      </c>
      <c r="F3462" s="3">
        <v>3397</v>
      </c>
      <c r="G3462" s="3">
        <v>3397</v>
      </c>
      <c r="H3462" t="s">
        <v>3</v>
      </c>
      <c r="I3462" t="s">
        <v>3</v>
      </c>
      <c r="J3462" t="s">
        <v>510</v>
      </c>
      <c r="K3462" t="s">
        <v>5</v>
      </c>
      <c r="L3462" t="s">
        <v>21</v>
      </c>
      <c r="M3462" t="s">
        <v>102</v>
      </c>
      <c r="N3462" s="2">
        <v>45869</v>
      </c>
    </row>
    <row r="3463" spans="1:14" x14ac:dyDescent="0.25">
      <c r="A3463" t="s">
        <v>508</v>
      </c>
      <c r="B3463" s="2">
        <v>45869</v>
      </c>
      <c r="C3463" t="s">
        <v>508</v>
      </c>
      <c r="D3463" t="s">
        <v>112</v>
      </c>
      <c r="E3463" t="s">
        <v>9</v>
      </c>
      <c r="F3463" s="3">
        <v>10100</v>
      </c>
      <c r="G3463" s="3">
        <v>10100</v>
      </c>
      <c r="H3463" t="s">
        <v>3</v>
      </c>
      <c r="I3463" t="s">
        <v>3</v>
      </c>
      <c r="J3463" t="s">
        <v>317</v>
      </c>
      <c r="K3463" t="s">
        <v>5</v>
      </c>
      <c r="L3463" t="s">
        <v>21</v>
      </c>
      <c r="M3463" t="s">
        <v>114</v>
      </c>
      <c r="N3463" s="2">
        <v>45869</v>
      </c>
    </row>
    <row r="3464" spans="1:14" x14ac:dyDescent="0.25">
      <c r="A3464" t="s">
        <v>508</v>
      </c>
      <c r="B3464" s="2">
        <v>46203</v>
      </c>
      <c r="C3464" t="s">
        <v>508</v>
      </c>
      <c r="D3464" t="s">
        <v>112</v>
      </c>
      <c r="E3464" t="s">
        <v>9</v>
      </c>
      <c r="F3464" s="3">
        <v>-3900</v>
      </c>
      <c r="G3464" s="3">
        <v>-3900</v>
      </c>
      <c r="H3464" t="s">
        <v>3</v>
      </c>
      <c r="I3464" t="s">
        <v>3</v>
      </c>
      <c r="J3464" t="s">
        <v>316</v>
      </c>
      <c r="K3464" t="s">
        <v>13</v>
      </c>
      <c r="L3464" t="s">
        <v>21</v>
      </c>
      <c r="M3464" t="s">
        <v>114</v>
      </c>
      <c r="N3464" s="2">
        <v>46204</v>
      </c>
    </row>
    <row r="3465" spans="1:14" x14ac:dyDescent="0.25">
      <c r="A3465" t="s">
        <v>508</v>
      </c>
      <c r="B3465" s="2">
        <v>46234</v>
      </c>
      <c r="C3465" t="s">
        <v>508</v>
      </c>
      <c r="D3465" t="s">
        <v>112</v>
      </c>
      <c r="E3465" t="s">
        <v>9</v>
      </c>
      <c r="F3465" s="3">
        <v>4300</v>
      </c>
      <c r="G3465" s="3">
        <v>4300</v>
      </c>
      <c r="H3465" t="s">
        <v>3</v>
      </c>
      <c r="I3465" t="s">
        <v>3</v>
      </c>
      <c r="J3465" t="s">
        <v>319</v>
      </c>
      <c r="K3465" t="s">
        <v>13</v>
      </c>
      <c r="L3465" t="s">
        <v>21</v>
      </c>
      <c r="M3465" t="s">
        <v>114</v>
      </c>
      <c r="N3465" s="2">
        <v>46234</v>
      </c>
    </row>
    <row r="3466" spans="1:14" x14ac:dyDescent="0.25">
      <c r="A3466" s="4" t="s">
        <v>262</v>
      </c>
      <c r="B3466" s="5"/>
      <c r="C3466" s="4" t="s">
        <v>9</v>
      </c>
      <c r="D3466" s="4" t="s">
        <v>9</v>
      </c>
      <c r="E3466" s="4" t="s">
        <v>9</v>
      </c>
      <c r="F3466" s="6">
        <v>0</v>
      </c>
      <c r="G3466" s="6">
        <v>0</v>
      </c>
      <c r="H3466" s="4" t="s">
        <v>9</v>
      </c>
      <c r="I3466" s="4" t="s">
        <v>3</v>
      </c>
      <c r="J3466" s="4" t="s">
        <v>9</v>
      </c>
      <c r="K3466" s="4" t="s">
        <v>9</v>
      </c>
      <c r="L3466" s="4" t="s">
        <v>9</v>
      </c>
      <c r="M3466" s="4" t="s">
        <v>9</v>
      </c>
      <c r="N3466" s="5"/>
    </row>
    <row r="3467" spans="1:14" x14ac:dyDescent="0.25">
      <c r="A3467" t="s">
        <v>508</v>
      </c>
      <c r="B3467" s="2">
        <v>45901</v>
      </c>
      <c r="C3467" t="s">
        <v>508</v>
      </c>
      <c r="D3467" t="s">
        <v>112</v>
      </c>
      <c r="E3467" t="s">
        <v>9</v>
      </c>
      <c r="F3467" s="3">
        <v>-2400</v>
      </c>
      <c r="G3467" s="3">
        <v>-2400</v>
      </c>
      <c r="H3467" t="s">
        <v>3</v>
      </c>
      <c r="I3467" t="s">
        <v>3</v>
      </c>
      <c r="J3467" t="s">
        <v>9</v>
      </c>
      <c r="K3467" t="s">
        <v>9</v>
      </c>
      <c r="L3467" t="s">
        <v>22</v>
      </c>
      <c r="M3467" t="s">
        <v>114</v>
      </c>
      <c r="N3467" s="2">
        <v>45900</v>
      </c>
    </row>
    <row r="3468" spans="1:14" x14ac:dyDescent="0.25">
      <c r="A3468" t="s">
        <v>508</v>
      </c>
      <c r="B3468" s="2">
        <v>45901</v>
      </c>
      <c r="C3468" t="s">
        <v>508</v>
      </c>
      <c r="D3468" t="s">
        <v>99</v>
      </c>
      <c r="E3468" t="s">
        <v>9</v>
      </c>
      <c r="F3468" s="3">
        <v>-9288</v>
      </c>
      <c r="G3468" s="3">
        <v>-9288</v>
      </c>
      <c r="H3468" t="s">
        <v>3</v>
      </c>
      <c r="I3468" t="s">
        <v>3</v>
      </c>
      <c r="J3468" t="s">
        <v>9</v>
      </c>
      <c r="K3468" t="s">
        <v>9</v>
      </c>
      <c r="L3468" t="s">
        <v>22</v>
      </c>
      <c r="M3468" t="s">
        <v>102</v>
      </c>
      <c r="N3468" s="2">
        <v>45900</v>
      </c>
    </row>
    <row r="3469" spans="1:14" x14ac:dyDescent="0.25">
      <c r="A3469" t="s">
        <v>508</v>
      </c>
      <c r="B3469" s="2">
        <v>46267</v>
      </c>
      <c r="C3469" t="s">
        <v>508</v>
      </c>
      <c r="D3469" t="s">
        <v>112</v>
      </c>
      <c r="E3469" t="s">
        <v>9</v>
      </c>
      <c r="F3469" s="3">
        <v>-32422.5</v>
      </c>
      <c r="G3469" s="3">
        <v>-32422.5</v>
      </c>
      <c r="H3469" t="s">
        <v>3</v>
      </c>
      <c r="I3469" t="s">
        <v>3</v>
      </c>
      <c r="J3469" t="s">
        <v>9</v>
      </c>
      <c r="K3469" t="s">
        <v>9</v>
      </c>
      <c r="L3469" t="s">
        <v>22</v>
      </c>
      <c r="M3469" t="s">
        <v>114</v>
      </c>
      <c r="N3469" s="2">
        <v>46265</v>
      </c>
    </row>
    <row r="3470" spans="1:14" x14ac:dyDescent="0.25">
      <c r="A3470" t="s">
        <v>508</v>
      </c>
      <c r="B3470" s="2">
        <v>45869</v>
      </c>
      <c r="C3470" t="s">
        <v>508</v>
      </c>
      <c r="D3470" t="s">
        <v>112</v>
      </c>
      <c r="E3470" t="s">
        <v>9</v>
      </c>
      <c r="F3470" s="3">
        <v>-10100</v>
      </c>
      <c r="G3470" s="3">
        <v>-10100</v>
      </c>
      <c r="H3470" t="s">
        <v>3</v>
      </c>
      <c r="I3470" t="s">
        <v>3</v>
      </c>
      <c r="J3470" t="s">
        <v>317</v>
      </c>
      <c r="K3470" t="s">
        <v>5</v>
      </c>
      <c r="L3470" t="s">
        <v>22</v>
      </c>
      <c r="M3470" t="s">
        <v>114</v>
      </c>
      <c r="N3470" s="2">
        <v>45870</v>
      </c>
    </row>
    <row r="3471" spans="1:14" x14ac:dyDescent="0.25">
      <c r="A3471" t="s">
        <v>508</v>
      </c>
      <c r="B3471" s="2">
        <v>45900</v>
      </c>
      <c r="C3471" t="s">
        <v>508</v>
      </c>
      <c r="D3471" t="s">
        <v>99</v>
      </c>
      <c r="E3471" t="s">
        <v>9</v>
      </c>
      <c r="F3471" s="3">
        <v>9288</v>
      </c>
      <c r="G3471" s="3">
        <v>9288</v>
      </c>
      <c r="H3471" t="s">
        <v>3</v>
      </c>
      <c r="I3471" t="s">
        <v>3</v>
      </c>
      <c r="J3471" t="s">
        <v>510</v>
      </c>
      <c r="K3471" t="s">
        <v>5</v>
      </c>
      <c r="L3471" t="s">
        <v>22</v>
      </c>
      <c r="M3471" t="s">
        <v>102</v>
      </c>
      <c r="N3471" s="2">
        <v>45900</v>
      </c>
    </row>
    <row r="3472" spans="1:14" x14ac:dyDescent="0.25">
      <c r="A3472" t="s">
        <v>508</v>
      </c>
      <c r="B3472" s="2">
        <v>45900</v>
      </c>
      <c r="C3472" t="s">
        <v>508</v>
      </c>
      <c r="D3472" t="s">
        <v>112</v>
      </c>
      <c r="E3472" t="s">
        <v>9</v>
      </c>
      <c r="F3472" s="3">
        <v>12500</v>
      </c>
      <c r="G3472" s="3">
        <v>12500</v>
      </c>
      <c r="H3472" t="s">
        <v>3</v>
      </c>
      <c r="I3472" t="s">
        <v>3</v>
      </c>
      <c r="J3472" t="s">
        <v>320</v>
      </c>
      <c r="K3472" t="s">
        <v>5</v>
      </c>
      <c r="L3472" t="s">
        <v>22</v>
      </c>
      <c r="M3472" t="s">
        <v>114</v>
      </c>
      <c r="N3472" s="2">
        <v>45900</v>
      </c>
    </row>
    <row r="3473" spans="1:14" x14ac:dyDescent="0.25">
      <c r="A3473" t="s">
        <v>508</v>
      </c>
      <c r="B3473" s="2">
        <v>45900</v>
      </c>
      <c r="C3473" t="s">
        <v>508</v>
      </c>
      <c r="D3473" t="s">
        <v>112</v>
      </c>
      <c r="E3473" t="s">
        <v>9</v>
      </c>
      <c r="F3473" s="3">
        <v>-12500</v>
      </c>
      <c r="G3473" s="3">
        <v>-12500</v>
      </c>
      <c r="H3473" t="s">
        <v>3</v>
      </c>
      <c r="I3473" t="s">
        <v>3</v>
      </c>
      <c r="J3473" t="s">
        <v>320</v>
      </c>
      <c r="K3473" t="s">
        <v>5</v>
      </c>
      <c r="L3473" t="s">
        <v>22</v>
      </c>
      <c r="M3473" t="s">
        <v>114</v>
      </c>
      <c r="N3473" s="2">
        <v>45900</v>
      </c>
    </row>
    <row r="3474" spans="1:14" x14ac:dyDescent="0.25">
      <c r="A3474" t="s">
        <v>508</v>
      </c>
      <c r="B3474" s="2">
        <v>45900</v>
      </c>
      <c r="C3474" t="s">
        <v>508</v>
      </c>
      <c r="D3474" t="s">
        <v>112</v>
      </c>
      <c r="E3474" t="s">
        <v>9</v>
      </c>
      <c r="F3474" s="3">
        <v>12500</v>
      </c>
      <c r="G3474" s="3">
        <v>12500</v>
      </c>
      <c r="H3474" t="s">
        <v>3</v>
      </c>
      <c r="I3474" t="s">
        <v>3</v>
      </c>
      <c r="J3474" t="s">
        <v>320</v>
      </c>
      <c r="K3474" t="s">
        <v>5</v>
      </c>
      <c r="L3474" t="s">
        <v>22</v>
      </c>
      <c r="M3474" t="s">
        <v>114</v>
      </c>
      <c r="N3474" s="2">
        <v>45900</v>
      </c>
    </row>
    <row r="3475" spans="1:14" x14ac:dyDescent="0.25">
      <c r="A3475" t="s">
        <v>508</v>
      </c>
      <c r="B3475" s="2">
        <v>45900</v>
      </c>
      <c r="C3475" t="s">
        <v>508</v>
      </c>
      <c r="D3475" t="s">
        <v>112</v>
      </c>
      <c r="E3475" t="s">
        <v>9</v>
      </c>
      <c r="F3475" s="3">
        <v>12500</v>
      </c>
      <c r="G3475" s="3">
        <v>12500</v>
      </c>
      <c r="H3475" t="s">
        <v>3</v>
      </c>
      <c r="I3475" t="s">
        <v>3</v>
      </c>
      <c r="J3475" t="s">
        <v>320</v>
      </c>
      <c r="K3475" t="s">
        <v>5</v>
      </c>
      <c r="L3475" t="s">
        <v>22</v>
      </c>
      <c r="M3475" t="s">
        <v>114</v>
      </c>
      <c r="N3475" s="2">
        <v>45900</v>
      </c>
    </row>
    <row r="3476" spans="1:14" x14ac:dyDescent="0.25">
      <c r="A3476" t="s">
        <v>508</v>
      </c>
      <c r="B3476" s="2">
        <v>45900</v>
      </c>
      <c r="C3476" t="s">
        <v>508</v>
      </c>
      <c r="D3476" t="s">
        <v>112</v>
      </c>
      <c r="E3476" t="s">
        <v>9</v>
      </c>
      <c r="F3476" s="3">
        <v>-12500</v>
      </c>
      <c r="G3476" s="3">
        <v>-12500</v>
      </c>
      <c r="H3476" t="s">
        <v>3</v>
      </c>
      <c r="I3476" t="s">
        <v>3</v>
      </c>
      <c r="J3476" t="s">
        <v>320</v>
      </c>
      <c r="K3476" t="s">
        <v>5</v>
      </c>
      <c r="L3476" t="s">
        <v>22</v>
      </c>
      <c r="M3476" t="s">
        <v>114</v>
      </c>
      <c r="N3476" s="2">
        <v>45900</v>
      </c>
    </row>
    <row r="3477" spans="1:14" x14ac:dyDescent="0.25">
      <c r="A3477" t="s">
        <v>508</v>
      </c>
      <c r="B3477" s="2">
        <v>46234</v>
      </c>
      <c r="C3477" t="s">
        <v>508</v>
      </c>
      <c r="D3477" t="s">
        <v>112</v>
      </c>
      <c r="E3477" t="s">
        <v>9</v>
      </c>
      <c r="F3477" s="3">
        <v>-4300</v>
      </c>
      <c r="G3477" s="3">
        <v>-4300</v>
      </c>
      <c r="H3477" t="s">
        <v>3</v>
      </c>
      <c r="I3477" t="s">
        <v>3</v>
      </c>
      <c r="J3477" t="s">
        <v>319</v>
      </c>
      <c r="K3477" t="s">
        <v>13</v>
      </c>
      <c r="L3477" t="s">
        <v>22</v>
      </c>
      <c r="M3477" t="s">
        <v>114</v>
      </c>
      <c r="N3477" s="2">
        <v>46235</v>
      </c>
    </row>
    <row r="3478" spans="1:14" x14ac:dyDescent="0.25">
      <c r="A3478" t="s">
        <v>508</v>
      </c>
      <c r="B3478" s="2">
        <v>46265</v>
      </c>
      <c r="C3478" t="s">
        <v>508</v>
      </c>
      <c r="D3478" t="s">
        <v>112</v>
      </c>
      <c r="E3478" t="s">
        <v>9</v>
      </c>
      <c r="F3478" s="3">
        <v>4300</v>
      </c>
      <c r="G3478" s="3">
        <v>4300</v>
      </c>
      <c r="H3478" t="s">
        <v>3</v>
      </c>
      <c r="I3478" t="s">
        <v>3</v>
      </c>
      <c r="J3478" t="s">
        <v>322</v>
      </c>
      <c r="K3478" t="s">
        <v>13</v>
      </c>
      <c r="L3478" t="s">
        <v>22</v>
      </c>
      <c r="M3478" t="s">
        <v>114</v>
      </c>
      <c r="N3478" s="2">
        <v>46265</v>
      </c>
    </row>
    <row r="3479" spans="1:14" x14ac:dyDescent="0.25">
      <c r="A3479" t="s">
        <v>508</v>
      </c>
      <c r="B3479" s="2">
        <v>46265</v>
      </c>
      <c r="C3479" t="s">
        <v>508</v>
      </c>
      <c r="D3479" t="s">
        <v>112</v>
      </c>
      <c r="E3479" t="s">
        <v>9</v>
      </c>
      <c r="F3479" s="3">
        <v>32422.5</v>
      </c>
      <c r="G3479" s="3">
        <v>32422.5</v>
      </c>
      <c r="H3479" t="s">
        <v>3</v>
      </c>
      <c r="I3479" t="s">
        <v>3</v>
      </c>
      <c r="J3479" t="s">
        <v>511</v>
      </c>
      <c r="K3479" t="s">
        <v>13</v>
      </c>
      <c r="L3479" t="s">
        <v>22</v>
      </c>
      <c r="M3479" t="s">
        <v>114</v>
      </c>
      <c r="N3479" s="2">
        <v>46265</v>
      </c>
    </row>
    <row r="3480" spans="1:14" x14ac:dyDescent="0.25">
      <c r="A3480" s="4" t="s">
        <v>267</v>
      </c>
      <c r="B3480" s="5"/>
      <c r="C3480" s="4" t="s">
        <v>9</v>
      </c>
      <c r="D3480" s="4" t="s">
        <v>9</v>
      </c>
      <c r="E3480" s="4" t="s">
        <v>9</v>
      </c>
      <c r="F3480" s="6">
        <v>0</v>
      </c>
      <c r="G3480" s="6">
        <v>0</v>
      </c>
      <c r="H3480" s="4" t="s">
        <v>9</v>
      </c>
      <c r="I3480" s="4" t="s">
        <v>3</v>
      </c>
      <c r="J3480" s="4" t="s">
        <v>9</v>
      </c>
      <c r="K3480" s="4" t="s">
        <v>9</v>
      </c>
      <c r="L3480" s="4" t="s">
        <v>9</v>
      </c>
      <c r="M3480" s="4" t="s">
        <v>9</v>
      </c>
      <c r="N3480" s="5"/>
    </row>
    <row r="3481" spans="1:14" x14ac:dyDescent="0.25">
      <c r="A3481" t="s">
        <v>508</v>
      </c>
      <c r="B3481" s="2">
        <v>45932</v>
      </c>
      <c r="C3481" t="s">
        <v>508</v>
      </c>
      <c r="D3481" t="s">
        <v>112</v>
      </c>
      <c r="E3481" t="s">
        <v>9</v>
      </c>
      <c r="F3481" s="3">
        <v>-3500</v>
      </c>
      <c r="G3481" s="3">
        <v>-3500</v>
      </c>
      <c r="H3481" t="s">
        <v>3</v>
      </c>
      <c r="I3481" t="s">
        <v>3</v>
      </c>
      <c r="J3481" t="s">
        <v>9</v>
      </c>
      <c r="K3481" t="s">
        <v>9</v>
      </c>
      <c r="L3481" t="s">
        <v>6</v>
      </c>
      <c r="M3481" t="s">
        <v>114</v>
      </c>
      <c r="N3481" s="2">
        <v>45930</v>
      </c>
    </row>
    <row r="3482" spans="1:14" x14ac:dyDescent="0.25">
      <c r="A3482" t="s">
        <v>508</v>
      </c>
      <c r="B3482" s="2">
        <v>45900</v>
      </c>
      <c r="C3482" t="s">
        <v>508</v>
      </c>
      <c r="D3482" t="s">
        <v>112</v>
      </c>
      <c r="E3482" t="s">
        <v>9</v>
      </c>
      <c r="F3482" s="3">
        <v>-12500</v>
      </c>
      <c r="G3482" s="3">
        <v>-12500</v>
      </c>
      <c r="H3482" t="s">
        <v>3</v>
      </c>
      <c r="I3482" t="s">
        <v>3</v>
      </c>
      <c r="J3482" t="s">
        <v>320</v>
      </c>
      <c r="K3482" t="s">
        <v>5</v>
      </c>
      <c r="L3482" t="s">
        <v>6</v>
      </c>
      <c r="M3482" t="s">
        <v>114</v>
      </c>
      <c r="N3482" s="2">
        <v>45901</v>
      </c>
    </row>
    <row r="3483" spans="1:14" x14ac:dyDescent="0.25">
      <c r="A3483" t="s">
        <v>508</v>
      </c>
      <c r="B3483" s="2">
        <v>45900</v>
      </c>
      <c r="C3483" t="s">
        <v>508</v>
      </c>
      <c r="D3483" t="s">
        <v>112</v>
      </c>
      <c r="E3483" t="s">
        <v>9</v>
      </c>
      <c r="F3483" s="3">
        <v>12500</v>
      </c>
      <c r="G3483" s="3">
        <v>12500</v>
      </c>
      <c r="H3483" t="s">
        <v>3</v>
      </c>
      <c r="I3483" t="s">
        <v>3</v>
      </c>
      <c r="J3483" t="s">
        <v>320</v>
      </c>
      <c r="K3483" t="s">
        <v>5</v>
      </c>
      <c r="L3483" t="s">
        <v>6</v>
      </c>
      <c r="M3483" t="s">
        <v>114</v>
      </c>
      <c r="N3483" s="2">
        <v>45901</v>
      </c>
    </row>
    <row r="3484" spans="1:14" x14ac:dyDescent="0.25">
      <c r="A3484" t="s">
        <v>508</v>
      </c>
      <c r="B3484" s="2">
        <v>45900</v>
      </c>
      <c r="C3484" t="s">
        <v>508</v>
      </c>
      <c r="D3484" t="s">
        <v>112</v>
      </c>
      <c r="E3484" t="s">
        <v>9</v>
      </c>
      <c r="F3484" s="3">
        <v>-12500</v>
      </c>
      <c r="G3484" s="3">
        <v>-12500</v>
      </c>
      <c r="H3484" t="s">
        <v>3</v>
      </c>
      <c r="I3484" t="s">
        <v>3</v>
      </c>
      <c r="J3484" t="s">
        <v>320</v>
      </c>
      <c r="K3484" t="s">
        <v>5</v>
      </c>
      <c r="L3484" t="s">
        <v>6</v>
      </c>
      <c r="M3484" t="s">
        <v>114</v>
      </c>
      <c r="N3484" s="2">
        <v>45901</v>
      </c>
    </row>
    <row r="3485" spans="1:14" x14ac:dyDescent="0.25">
      <c r="A3485" t="s">
        <v>508</v>
      </c>
      <c r="B3485" s="2">
        <v>45900</v>
      </c>
      <c r="C3485" t="s">
        <v>508</v>
      </c>
      <c r="D3485" t="s">
        <v>112</v>
      </c>
      <c r="E3485" t="s">
        <v>9</v>
      </c>
      <c r="F3485" s="3">
        <v>12500</v>
      </c>
      <c r="G3485" s="3">
        <v>12500</v>
      </c>
      <c r="H3485" t="s">
        <v>3</v>
      </c>
      <c r="I3485" t="s">
        <v>3</v>
      </c>
      <c r="J3485" t="s">
        <v>320</v>
      </c>
      <c r="K3485" t="s">
        <v>5</v>
      </c>
      <c r="L3485" t="s">
        <v>6</v>
      </c>
      <c r="M3485" t="s">
        <v>114</v>
      </c>
      <c r="N3485" s="2">
        <v>45901</v>
      </c>
    </row>
    <row r="3486" spans="1:14" x14ac:dyDescent="0.25">
      <c r="A3486" t="s">
        <v>508</v>
      </c>
      <c r="B3486" s="2">
        <v>45900</v>
      </c>
      <c r="C3486" t="s">
        <v>508</v>
      </c>
      <c r="D3486" t="s">
        <v>112</v>
      </c>
      <c r="E3486" t="s">
        <v>9</v>
      </c>
      <c r="F3486" s="3">
        <v>-12500</v>
      </c>
      <c r="G3486" s="3">
        <v>-12500</v>
      </c>
      <c r="H3486" t="s">
        <v>3</v>
      </c>
      <c r="I3486" t="s">
        <v>3</v>
      </c>
      <c r="J3486" t="s">
        <v>320</v>
      </c>
      <c r="K3486" t="s">
        <v>5</v>
      </c>
      <c r="L3486" t="s">
        <v>6</v>
      </c>
      <c r="M3486" t="s">
        <v>114</v>
      </c>
      <c r="N3486" s="2">
        <v>45901</v>
      </c>
    </row>
    <row r="3487" spans="1:14" x14ac:dyDescent="0.25">
      <c r="A3487" t="s">
        <v>508</v>
      </c>
      <c r="B3487" s="2">
        <v>45930</v>
      </c>
      <c r="C3487" t="s">
        <v>508</v>
      </c>
      <c r="D3487" t="s">
        <v>112</v>
      </c>
      <c r="E3487" t="s">
        <v>9</v>
      </c>
      <c r="F3487" s="3">
        <v>16000</v>
      </c>
      <c r="G3487" s="3">
        <v>16000</v>
      </c>
      <c r="H3487" t="s">
        <v>3</v>
      </c>
      <c r="I3487" t="s">
        <v>3</v>
      </c>
      <c r="J3487" t="s">
        <v>323</v>
      </c>
      <c r="K3487" t="s">
        <v>5</v>
      </c>
      <c r="L3487" t="s">
        <v>6</v>
      </c>
      <c r="M3487" t="s">
        <v>114</v>
      </c>
      <c r="N3487" s="2">
        <v>45930</v>
      </c>
    </row>
    <row r="3488" spans="1:14" x14ac:dyDescent="0.25">
      <c r="A3488" s="4" t="s">
        <v>272</v>
      </c>
      <c r="B3488" s="5"/>
      <c r="C3488" s="4" t="s">
        <v>9</v>
      </c>
      <c r="D3488" s="4" t="s">
        <v>9</v>
      </c>
      <c r="E3488" s="4" t="s">
        <v>9</v>
      </c>
      <c r="F3488" s="6">
        <v>0</v>
      </c>
      <c r="G3488" s="6">
        <v>0</v>
      </c>
      <c r="H3488" s="4" t="s">
        <v>9</v>
      </c>
      <c r="I3488" s="4" t="s">
        <v>3</v>
      </c>
      <c r="J3488" s="4" t="s">
        <v>9</v>
      </c>
      <c r="K3488" s="4" t="s">
        <v>9</v>
      </c>
      <c r="L3488" s="4" t="s">
        <v>9</v>
      </c>
      <c r="M3488" s="4" t="s">
        <v>9</v>
      </c>
      <c r="N3488" s="5"/>
    </row>
    <row r="3489" spans="1:14" x14ac:dyDescent="0.25">
      <c r="A3489" t="s">
        <v>508</v>
      </c>
      <c r="B3489" s="2">
        <v>45965</v>
      </c>
      <c r="C3489" t="s">
        <v>508</v>
      </c>
      <c r="D3489" t="s">
        <v>112</v>
      </c>
      <c r="E3489" t="s">
        <v>9</v>
      </c>
      <c r="F3489" s="3">
        <v>-2200</v>
      </c>
      <c r="G3489" s="3">
        <v>-2200</v>
      </c>
      <c r="H3489" t="s">
        <v>3</v>
      </c>
      <c r="I3489" t="s">
        <v>3</v>
      </c>
      <c r="J3489" t="s">
        <v>9</v>
      </c>
      <c r="K3489" t="s">
        <v>9</v>
      </c>
      <c r="L3489" t="s">
        <v>8</v>
      </c>
      <c r="M3489" t="s">
        <v>114</v>
      </c>
      <c r="N3489" s="2">
        <v>45961</v>
      </c>
    </row>
    <row r="3490" spans="1:14" x14ac:dyDescent="0.25">
      <c r="A3490" t="s">
        <v>508</v>
      </c>
      <c r="B3490" s="2">
        <v>45930</v>
      </c>
      <c r="C3490" t="s">
        <v>508</v>
      </c>
      <c r="D3490" t="s">
        <v>112</v>
      </c>
      <c r="E3490" t="s">
        <v>9</v>
      </c>
      <c r="F3490" s="3">
        <v>-16000</v>
      </c>
      <c r="G3490" s="3">
        <v>-16000</v>
      </c>
      <c r="H3490" t="s">
        <v>3</v>
      </c>
      <c r="I3490" t="s">
        <v>3</v>
      </c>
      <c r="J3490" t="s">
        <v>323</v>
      </c>
      <c r="K3490" t="s">
        <v>5</v>
      </c>
      <c r="L3490" t="s">
        <v>8</v>
      </c>
      <c r="M3490" t="s">
        <v>114</v>
      </c>
      <c r="N3490" s="2">
        <v>45931</v>
      </c>
    </row>
    <row r="3491" spans="1:14" x14ac:dyDescent="0.25">
      <c r="A3491" t="s">
        <v>508</v>
      </c>
      <c r="B3491" s="2">
        <v>45961</v>
      </c>
      <c r="C3491" t="s">
        <v>508</v>
      </c>
      <c r="D3491" t="s">
        <v>112</v>
      </c>
      <c r="E3491" t="s">
        <v>9</v>
      </c>
      <c r="F3491" s="3">
        <v>18200</v>
      </c>
      <c r="G3491" s="3">
        <v>18200</v>
      </c>
      <c r="H3491" t="s">
        <v>3</v>
      </c>
      <c r="I3491" t="s">
        <v>3</v>
      </c>
      <c r="J3491" t="s">
        <v>325</v>
      </c>
      <c r="K3491" t="s">
        <v>5</v>
      </c>
      <c r="L3491" t="s">
        <v>8</v>
      </c>
      <c r="M3491" t="s">
        <v>114</v>
      </c>
      <c r="N3491" s="2">
        <v>45961</v>
      </c>
    </row>
    <row r="3492" spans="1:14" x14ac:dyDescent="0.25">
      <c r="A3492" s="4" t="s">
        <v>278</v>
      </c>
      <c r="B3492" s="5"/>
      <c r="C3492" s="4" t="s">
        <v>9</v>
      </c>
      <c r="D3492" s="4" t="s">
        <v>9</v>
      </c>
      <c r="E3492" s="4" t="s">
        <v>9</v>
      </c>
      <c r="F3492" s="6">
        <v>0</v>
      </c>
      <c r="G3492" s="6">
        <v>0</v>
      </c>
      <c r="H3492" s="4" t="s">
        <v>9</v>
      </c>
      <c r="I3492" s="4" t="s">
        <v>3</v>
      </c>
      <c r="J3492" s="4" t="s">
        <v>9</v>
      </c>
      <c r="K3492" s="4" t="s">
        <v>9</v>
      </c>
      <c r="L3492" s="4" t="s">
        <v>9</v>
      </c>
      <c r="M3492" s="4" t="s">
        <v>9</v>
      </c>
      <c r="N3492" s="5"/>
    </row>
    <row r="3493" spans="1:14" x14ac:dyDescent="0.25">
      <c r="A3493" t="s">
        <v>508</v>
      </c>
      <c r="B3493" s="2">
        <v>45993</v>
      </c>
      <c r="C3493" t="s">
        <v>508</v>
      </c>
      <c r="D3493" t="s">
        <v>112</v>
      </c>
      <c r="E3493" t="s">
        <v>9</v>
      </c>
      <c r="F3493" s="3">
        <v>-4300</v>
      </c>
      <c r="G3493" s="3">
        <v>-4300</v>
      </c>
      <c r="H3493" t="s">
        <v>3</v>
      </c>
      <c r="I3493" t="s">
        <v>3</v>
      </c>
      <c r="J3493" t="s">
        <v>9</v>
      </c>
      <c r="K3493" t="s">
        <v>9</v>
      </c>
      <c r="L3493" t="s">
        <v>11</v>
      </c>
      <c r="M3493" t="s">
        <v>114</v>
      </c>
      <c r="N3493" s="2">
        <v>45991</v>
      </c>
    </row>
    <row r="3494" spans="1:14" x14ac:dyDescent="0.25">
      <c r="A3494" t="s">
        <v>508</v>
      </c>
      <c r="B3494" s="2">
        <v>45961</v>
      </c>
      <c r="C3494" t="s">
        <v>508</v>
      </c>
      <c r="D3494" t="s">
        <v>112</v>
      </c>
      <c r="E3494" t="s">
        <v>9</v>
      </c>
      <c r="F3494" s="3">
        <v>-18200</v>
      </c>
      <c r="G3494" s="3">
        <v>-18200</v>
      </c>
      <c r="H3494" t="s">
        <v>3</v>
      </c>
      <c r="I3494" t="s">
        <v>3</v>
      </c>
      <c r="J3494" t="s">
        <v>325</v>
      </c>
      <c r="K3494" t="s">
        <v>5</v>
      </c>
      <c r="L3494" t="s">
        <v>11</v>
      </c>
      <c r="M3494" t="s">
        <v>114</v>
      </c>
      <c r="N3494" s="2">
        <v>45962</v>
      </c>
    </row>
    <row r="3495" spans="1:14" x14ac:dyDescent="0.25">
      <c r="A3495" t="s">
        <v>508</v>
      </c>
      <c r="B3495" s="2">
        <v>45991</v>
      </c>
      <c r="C3495" t="s">
        <v>508</v>
      </c>
      <c r="D3495" t="s">
        <v>112</v>
      </c>
      <c r="E3495" t="s">
        <v>9</v>
      </c>
      <c r="F3495" s="3">
        <v>22500</v>
      </c>
      <c r="G3495" s="3">
        <v>22500</v>
      </c>
      <c r="H3495" t="s">
        <v>3</v>
      </c>
      <c r="I3495" t="s">
        <v>3</v>
      </c>
      <c r="J3495" t="s">
        <v>328</v>
      </c>
      <c r="K3495" t="s">
        <v>5</v>
      </c>
      <c r="L3495" t="s">
        <v>11</v>
      </c>
      <c r="M3495" t="s">
        <v>114</v>
      </c>
      <c r="N3495" s="2">
        <v>45991</v>
      </c>
    </row>
    <row r="3496" spans="1:14" x14ac:dyDescent="0.25">
      <c r="A3496" s="4" t="s">
        <v>226</v>
      </c>
      <c r="B3496" s="5"/>
      <c r="C3496" s="4" t="s">
        <v>9</v>
      </c>
      <c r="D3496" s="4" t="s">
        <v>9</v>
      </c>
      <c r="E3496" s="4" t="s">
        <v>9</v>
      </c>
      <c r="F3496" s="6">
        <v>0</v>
      </c>
      <c r="G3496" s="6">
        <v>0</v>
      </c>
      <c r="H3496" s="4" t="s">
        <v>9</v>
      </c>
      <c r="I3496" s="4" t="s">
        <v>3</v>
      </c>
      <c r="J3496" s="4" t="s">
        <v>9</v>
      </c>
      <c r="K3496" s="4" t="s">
        <v>9</v>
      </c>
      <c r="L3496" s="4" t="s">
        <v>9</v>
      </c>
      <c r="M3496" s="4" t="s">
        <v>9</v>
      </c>
      <c r="N3496" s="5"/>
    </row>
    <row r="3497" spans="1:14" x14ac:dyDescent="0.25">
      <c r="A3497" t="s">
        <v>508</v>
      </c>
      <c r="B3497" s="2">
        <v>46028</v>
      </c>
      <c r="C3497" t="s">
        <v>508</v>
      </c>
      <c r="D3497" t="s">
        <v>112</v>
      </c>
      <c r="E3497" t="s">
        <v>9</v>
      </c>
      <c r="F3497" s="3">
        <v>-2500</v>
      </c>
      <c r="G3497" s="3">
        <v>-2500</v>
      </c>
      <c r="H3497" t="s">
        <v>3</v>
      </c>
      <c r="I3497" t="s">
        <v>3</v>
      </c>
      <c r="J3497" t="s">
        <v>9</v>
      </c>
      <c r="K3497" t="s">
        <v>9</v>
      </c>
      <c r="L3497" t="s">
        <v>12</v>
      </c>
      <c r="M3497" t="s">
        <v>114</v>
      </c>
      <c r="N3497" s="2">
        <v>46022</v>
      </c>
    </row>
    <row r="3498" spans="1:14" x14ac:dyDescent="0.25">
      <c r="A3498" t="s">
        <v>508</v>
      </c>
      <c r="B3498" s="2">
        <v>45991</v>
      </c>
      <c r="C3498" t="s">
        <v>508</v>
      </c>
      <c r="D3498" t="s">
        <v>112</v>
      </c>
      <c r="E3498" t="s">
        <v>9</v>
      </c>
      <c r="F3498" s="3">
        <v>-22500</v>
      </c>
      <c r="G3498" s="3">
        <v>-22500</v>
      </c>
      <c r="H3498" t="s">
        <v>3</v>
      </c>
      <c r="I3498" t="s">
        <v>3</v>
      </c>
      <c r="J3498" t="s">
        <v>328</v>
      </c>
      <c r="K3498" t="s">
        <v>5</v>
      </c>
      <c r="L3498" t="s">
        <v>12</v>
      </c>
      <c r="M3498" t="s">
        <v>114</v>
      </c>
      <c r="N3498" s="2">
        <v>45992</v>
      </c>
    </row>
    <row r="3499" spans="1:14" x14ac:dyDescent="0.25">
      <c r="A3499" t="s">
        <v>508</v>
      </c>
      <c r="B3499" s="2">
        <v>46022</v>
      </c>
      <c r="C3499" t="s">
        <v>508</v>
      </c>
      <c r="D3499" t="s">
        <v>112</v>
      </c>
      <c r="E3499" t="s">
        <v>9</v>
      </c>
      <c r="F3499" s="3">
        <v>25000</v>
      </c>
      <c r="G3499" s="3">
        <v>25000</v>
      </c>
      <c r="H3499" t="s">
        <v>3</v>
      </c>
      <c r="I3499" t="s">
        <v>3</v>
      </c>
      <c r="J3499" t="s">
        <v>298</v>
      </c>
      <c r="K3499" t="s">
        <v>5</v>
      </c>
      <c r="L3499" t="s">
        <v>12</v>
      </c>
      <c r="M3499" t="s">
        <v>114</v>
      </c>
      <c r="N3499" s="2">
        <v>46022</v>
      </c>
    </row>
    <row r="3500" spans="1:14" x14ac:dyDescent="0.25">
      <c r="A3500" t="s">
        <v>508</v>
      </c>
      <c r="B3500" s="2">
        <v>46022</v>
      </c>
      <c r="C3500" t="s">
        <v>508</v>
      </c>
      <c r="D3500" t="s">
        <v>112</v>
      </c>
      <c r="E3500" t="s">
        <v>9</v>
      </c>
      <c r="F3500" s="3">
        <v>25000</v>
      </c>
      <c r="G3500" s="3">
        <v>25000</v>
      </c>
      <c r="H3500" t="s">
        <v>3</v>
      </c>
      <c r="I3500" t="s">
        <v>3</v>
      </c>
      <c r="J3500" t="s">
        <v>298</v>
      </c>
      <c r="K3500" t="s">
        <v>5</v>
      </c>
      <c r="L3500" t="s">
        <v>12</v>
      </c>
      <c r="M3500" t="s">
        <v>114</v>
      </c>
      <c r="N3500" s="2">
        <v>46022</v>
      </c>
    </row>
    <row r="3501" spans="1:14" x14ac:dyDescent="0.25">
      <c r="A3501" t="s">
        <v>508</v>
      </c>
      <c r="B3501" s="2">
        <v>46022</v>
      </c>
      <c r="C3501" t="s">
        <v>508</v>
      </c>
      <c r="D3501" t="s">
        <v>112</v>
      </c>
      <c r="E3501" t="s">
        <v>9</v>
      </c>
      <c r="F3501" s="3">
        <v>-25000</v>
      </c>
      <c r="G3501" s="3">
        <v>-25000</v>
      </c>
      <c r="H3501" t="s">
        <v>3</v>
      </c>
      <c r="I3501" t="s">
        <v>3</v>
      </c>
      <c r="J3501" t="s">
        <v>298</v>
      </c>
      <c r="K3501" t="s">
        <v>5</v>
      </c>
      <c r="L3501" t="s">
        <v>12</v>
      </c>
      <c r="M3501" t="s">
        <v>114</v>
      </c>
      <c r="N3501" s="2">
        <v>46022</v>
      </c>
    </row>
    <row r="3502" spans="1:14" x14ac:dyDescent="0.25">
      <c r="A3502" s="4" t="s">
        <v>228</v>
      </c>
      <c r="B3502" s="5"/>
      <c r="C3502" s="4" t="s">
        <v>9</v>
      </c>
      <c r="D3502" s="4" t="s">
        <v>9</v>
      </c>
      <c r="E3502" s="4" t="s">
        <v>9</v>
      </c>
      <c r="F3502" s="6">
        <v>0</v>
      </c>
      <c r="G3502" s="6">
        <v>0</v>
      </c>
      <c r="H3502" s="4" t="s">
        <v>9</v>
      </c>
      <c r="I3502" s="4" t="s">
        <v>3</v>
      </c>
      <c r="J3502" s="4" t="s">
        <v>9</v>
      </c>
      <c r="K3502" s="4" t="s">
        <v>9</v>
      </c>
      <c r="L3502" s="4" t="s">
        <v>9</v>
      </c>
      <c r="M3502" s="4" t="s">
        <v>9</v>
      </c>
      <c r="N3502" s="5"/>
    </row>
    <row r="3503" spans="1:14" x14ac:dyDescent="0.25">
      <c r="A3503" s="4" t="s">
        <v>508</v>
      </c>
      <c r="B3503" s="5"/>
      <c r="C3503" s="4" t="s">
        <v>9</v>
      </c>
      <c r="D3503" s="4" t="s">
        <v>9</v>
      </c>
      <c r="E3503" s="4" t="s">
        <v>9</v>
      </c>
      <c r="F3503" s="6">
        <v>0</v>
      </c>
      <c r="G3503" s="6">
        <v>0</v>
      </c>
      <c r="H3503" s="4" t="s">
        <v>9</v>
      </c>
      <c r="I3503" s="4" t="s">
        <v>3</v>
      </c>
      <c r="J3503" s="4" t="s">
        <v>9</v>
      </c>
      <c r="K3503" s="4" t="s">
        <v>9</v>
      </c>
      <c r="L3503" s="4" t="s">
        <v>9</v>
      </c>
      <c r="M3503" s="4" t="s">
        <v>9</v>
      </c>
      <c r="N3503" s="5"/>
    </row>
    <row r="3504" spans="1:14" x14ac:dyDescent="0.25">
      <c r="A3504" t="s">
        <v>512</v>
      </c>
      <c r="B3504" s="2">
        <v>46028</v>
      </c>
      <c r="C3504" t="s">
        <v>512</v>
      </c>
      <c r="D3504" t="s">
        <v>33</v>
      </c>
      <c r="E3504" t="s">
        <v>9</v>
      </c>
      <c r="F3504" s="3">
        <v>37385</v>
      </c>
      <c r="G3504" s="3">
        <v>37385</v>
      </c>
      <c r="H3504" t="s">
        <v>3</v>
      </c>
      <c r="I3504" t="s">
        <v>3</v>
      </c>
      <c r="J3504" t="s">
        <v>9</v>
      </c>
      <c r="K3504" t="s">
        <v>9</v>
      </c>
      <c r="L3504" t="s">
        <v>12</v>
      </c>
      <c r="M3504" t="s">
        <v>35</v>
      </c>
      <c r="N3504" s="2">
        <v>46022</v>
      </c>
    </row>
    <row r="3505" spans="1:14" x14ac:dyDescent="0.25">
      <c r="A3505" t="s">
        <v>512</v>
      </c>
      <c r="B3505" s="2">
        <v>46007</v>
      </c>
      <c r="C3505" t="s">
        <v>512</v>
      </c>
      <c r="D3505" t="s">
        <v>33</v>
      </c>
      <c r="E3505" t="s">
        <v>9</v>
      </c>
      <c r="F3505" s="3">
        <v>-37385</v>
      </c>
      <c r="G3505" s="3">
        <v>-37385</v>
      </c>
      <c r="H3505" t="s">
        <v>3</v>
      </c>
      <c r="I3505" t="s">
        <v>3</v>
      </c>
      <c r="J3505" t="s">
        <v>9</v>
      </c>
      <c r="K3505" t="s">
        <v>5</v>
      </c>
      <c r="L3505" t="s">
        <v>12</v>
      </c>
      <c r="M3505" t="s">
        <v>35</v>
      </c>
      <c r="N3505" s="2">
        <v>46007</v>
      </c>
    </row>
    <row r="3506" spans="1:14" x14ac:dyDescent="0.25">
      <c r="A3506" s="4" t="s">
        <v>228</v>
      </c>
      <c r="B3506" s="5"/>
      <c r="C3506" s="4" t="s">
        <v>9</v>
      </c>
      <c r="D3506" s="4" t="s">
        <v>9</v>
      </c>
      <c r="E3506" s="4" t="s">
        <v>9</v>
      </c>
      <c r="F3506" s="6">
        <v>0</v>
      </c>
      <c r="G3506" s="6">
        <v>0</v>
      </c>
      <c r="H3506" s="4" t="s">
        <v>9</v>
      </c>
      <c r="I3506" s="4" t="s">
        <v>3</v>
      </c>
      <c r="J3506" s="4" t="s">
        <v>9</v>
      </c>
      <c r="K3506" s="4" t="s">
        <v>9</v>
      </c>
      <c r="L3506" s="4" t="s">
        <v>9</v>
      </c>
      <c r="M3506" s="4" t="s">
        <v>9</v>
      </c>
      <c r="N3506" s="5"/>
    </row>
    <row r="3507" spans="1:14" x14ac:dyDescent="0.25">
      <c r="A3507" s="4" t="s">
        <v>512</v>
      </c>
      <c r="B3507" s="5"/>
      <c r="C3507" s="4" t="s">
        <v>9</v>
      </c>
      <c r="D3507" s="4" t="s">
        <v>9</v>
      </c>
      <c r="E3507" s="4" t="s">
        <v>9</v>
      </c>
      <c r="F3507" s="6">
        <v>0</v>
      </c>
      <c r="G3507" s="6">
        <v>0</v>
      </c>
      <c r="H3507" s="4" t="s">
        <v>9</v>
      </c>
      <c r="I3507" s="4" t="s">
        <v>3</v>
      </c>
      <c r="J3507" s="4" t="s">
        <v>9</v>
      </c>
      <c r="K3507" s="4" t="s">
        <v>9</v>
      </c>
      <c r="L3507" s="4" t="s">
        <v>9</v>
      </c>
      <c r="M3507" s="4" t="s">
        <v>9</v>
      </c>
      <c r="N3507" s="5"/>
    </row>
    <row r="3508" spans="1:14" x14ac:dyDescent="0.25">
      <c r="A3508" t="s">
        <v>513</v>
      </c>
      <c r="B3508" s="2">
        <v>46022</v>
      </c>
      <c r="C3508" t="s">
        <v>513</v>
      </c>
      <c r="D3508" t="s">
        <v>112</v>
      </c>
      <c r="E3508" t="s">
        <v>9</v>
      </c>
      <c r="F3508" s="3">
        <v>-22200</v>
      </c>
      <c r="G3508" s="3">
        <v>-22200</v>
      </c>
      <c r="H3508" t="s">
        <v>3</v>
      </c>
      <c r="I3508" t="s">
        <v>3</v>
      </c>
      <c r="J3508" t="s">
        <v>298</v>
      </c>
      <c r="K3508" t="s">
        <v>13</v>
      </c>
      <c r="L3508" t="s">
        <v>14</v>
      </c>
      <c r="M3508" t="s">
        <v>114</v>
      </c>
      <c r="N3508" s="2">
        <v>46023</v>
      </c>
    </row>
    <row r="3509" spans="1:14" x14ac:dyDescent="0.25">
      <c r="A3509" t="s">
        <v>513</v>
      </c>
      <c r="B3509" s="2">
        <v>46022</v>
      </c>
      <c r="C3509" t="s">
        <v>513</v>
      </c>
      <c r="D3509" t="s">
        <v>112</v>
      </c>
      <c r="E3509" t="s">
        <v>9</v>
      </c>
      <c r="F3509" s="3">
        <v>-2400</v>
      </c>
      <c r="G3509" s="3">
        <v>-2400</v>
      </c>
      <c r="H3509" t="s">
        <v>3</v>
      </c>
      <c r="I3509" t="s">
        <v>3</v>
      </c>
      <c r="J3509" t="s">
        <v>299</v>
      </c>
      <c r="K3509" t="s">
        <v>13</v>
      </c>
      <c r="L3509" t="s">
        <v>14</v>
      </c>
      <c r="M3509" t="s">
        <v>114</v>
      </c>
      <c r="N3509" s="2">
        <v>46023</v>
      </c>
    </row>
    <row r="3510" spans="1:14" x14ac:dyDescent="0.25">
      <c r="A3510" t="s">
        <v>513</v>
      </c>
      <c r="B3510" s="2">
        <v>46022</v>
      </c>
      <c r="C3510" t="s">
        <v>513</v>
      </c>
      <c r="D3510" t="s">
        <v>112</v>
      </c>
      <c r="E3510" t="s">
        <v>9</v>
      </c>
      <c r="F3510" s="3">
        <v>-7300</v>
      </c>
      <c r="G3510" s="3">
        <v>-7300</v>
      </c>
      <c r="H3510" t="s">
        <v>3</v>
      </c>
      <c r="I3510" t="s">
        <v>3</v>
      </c>
      <c r="J3510" t="s">
        <v>381</v>
      </c>
      <c r="K3510" t="s">
        <v>13</v>
      </c>
      <c r="L3510" t="s">
        <v>14</v>
      </c>
      <c r="M3510" t="s">
        <v>114</v>
      </c>
      <c r="N3510" s="2">
        <v>46023</v>
      </c>
    </row>
    <row r="3511" spans="1:14" x14ac:dyDescent="0.25">
      <c r="A3511" t="s">
        <v>513</v>
      </c>
      <c r="B3511" s="2">
        <v>46023</v>
      </c>
      <c r="C3511" t="s">
        <v>513</v>
      </c>
      <c r="D3511" t="s">
        <v>112</v>
      </c>
      <c r="E3511" t="s">
        <v>9</v>
      </c>
      <c r="F3511" s="3">
        <v>22200</v>
      </c>
      <c r="G3511" s="3">
        <v>22200</v>
      </c>
      <c r="H3511" t="s">
        <v>3</v>
      </c>
      <c r="I3511" t="s">
        <v>3</v>
      </c>
      <c r="J3511" t="s">
        <v>298</v>
      </c>
      <c r="K3511" t="s">
        <v>13</v>
      </c>
      <c r="L3511" t="s">
        <v>14</v>
      </c>
      <c r="M3511" t="s">
        <v>114</v>
      </c>
      <c r="N3511" s="2">
        <v>46023</v>
      </c>
    </row>
    <row r="3512" spans="1:14" x14ac:dyDescent="0.25">
      <c r="A3512" t="s">
        <v>513</v>
      </c>
      <c r="B3512" s="2">
        <v>46023</v>
      </c>
      <c r="C3512" t="s">
        <v>513</v>
      </c>
      <c r="D3512" t="s">
        <v>112</v>
      </c>
      <c r="E3512" t="s">
        <v>9</v>
      </c>
      <c r="F3512" s="3">
        <v>2400</v>
      </c>
      <c r="G3512" s="3">
        <v>2400</v>
      </c>
      <c r="H3512" t="s">
        <v>3</v>
      </c>
      <c r="I3512" t="s">
        <v>3</v>
      </c>
      <c r="J3512" t="s">
        <v>299</v>
      </c>
      <c r="K3512" t="s">
        <v>13</v>
      </c>
      <c r="L3512" t="s">
        <v>14</v>
      </c>
      <c r="M3512" t="s">
        <v>114</v>
      </c>
      <c r="N3512" s="2">
        <v>46023</v>
      </c>
    </row>
    <row r="3513" spans="1:14" x14ac:dyDescent="0.25">
      <c r="A3513" t="s">
        <v>513</v>
      </c>
      <c r="B3513" s="2">
        <v>46023</v>
      </c>
      <c r="C3513" t="s">
        <v>513</v>
      </c>
      <c r="D3513" t="s">
        <v>112</v>
      </c>
      <c r="E3513" t="s">
        <v>9</v>
      </c>
      <c r="F3513" s="3">
        <v>7300</v>
      </c>
      <c r="G3513" s="3">
        <v>7300</v>
      </c>
      <c r="H3513" t="s">
        <v>3</v>
      </c>
      <c r="I3513" t="s">
        <v>3</v>
      </c>
      <c r="J3513" t="s">
        <v>381</v>
      </c>
      <c r="K3513" t="s">
        <v>13</v>
      </c>
      <c r="L3513" t="s">
        <v>14</v>
      </c>
      <c r="M3513" t="s">
        <v>114</v>
      </c>
      <c r="N3513" s="2">
        <v>46023</v>
      </c>
    </row>
    <row r="3514" spans="1:14" x14ac:dyDescent="0.25">
      <c r="A3514" s="4" t="s">
        <v>234</v>
      </c>
      <c r="B3514" s="5"/>
      <c r="C3514" s="4" t="s">
        <v>9</v>
      </c>
      <c r="D3514" s="4" t="s">
        <v>9</v>
      </c>
      <c r="E3514" s="4" t="s">
        <v>9</v>
      </c>
      <c r="F3514" s="6">
        <v>0</v>
      </c>
      <c r="G3514" s="6">
        <v>0</v>
      </c>
      <c r="H3514" s="4" t="s">
        <v>9</v>
      </c>
      <c r="I3514" s="4" t="s">
        <v>3</v>
      </c>
      <c r="J3514" s="4" t="s">
        <v>9</v>
      </c>
      <c r="K3514" s="4" t="s">
        <v>9</v>
      </c>
      <c r="L3514" s="4" t="s">
        <v>9</v>
      </c>
      <c r="M3514" s="4" t="s">
        <v>9</v>
      </c>
      <c r="N3514" s="5"/>
    </row>
    <row r="3515" spans="1:14" x14ac:dyDescent="0.25">
      <c r="A3515" t="s">
        <v>513</v>
      </c>
      <c r="B3515" s="2">
        <v>45839</v>
      </c>
      <c r="C3515" t="s">
        <v>513</v>
      </c>
      <c r="D3515" t="s">
        <v>112</v>
      </c>
      <c r="E3515" t="s">
        <v>9</v>
      </c>
      <c r="F3515" s="3">
        <v>-16950</v>
      </c>
      <c r="G3515" s="3">
        <v>-16950</v>
      </c>
      <c r="H3515" t="s">
        <v>3</v>
      </c>
      <c r="I3515" t="s">
        <v>3</v>
      </c>
      <c r="J3515" t="s">
        <v>9</v>
      </c>
      <c r="K3515" t="s">
        <v>9</v>
      </c>
      <c r="L3515" t="s">
        <v>19</v>
      </c>
      <c r="M3515" t="s">
        <v>114</v>
      </c>
      <c r="N3515" s="2">
        <v>45838</v>
      </c>
    </row>
    <row r="3516" spans="1:14" x14ac:dyDescent="0.25">
      <c r="A3516" t="s">
        <v>513</v>
      </c>
      <c r="B3516" s="2">
        <v>45838</v>
      </c>
      <c r="C3516" t="s">
        <v>513</v>
      </c>
      <c r="D3516" t="s">
        <v>112</v>
      </c>
      <c r="E3516" t="s">
        <v>9</v>
      </c>
      <c r="F3516" s="3">
        <v>14850</v>
      </c>
      <c r="G3516" s="3">
        <v>14850</v>
      </c>
      <c r="H3516" t="s">
        <v>3</v>
      </c>
      <c r="I3516" t="s">
        <v>3</v>
      </c>
      <c r="J3516" t="s">
        <v>314</v>
      </c>
      <c r="K3516" t="s">
        <v>5</v>
      </c>
      <c r="L3516" t="s">
        <v>19</v>
      </c>
      <c r="M3516" t="s">
        <v>114</v>
      </c>
      <c r="N3516" s="2">
        <v>45838</v>
      </c>
    </row>
    <row r="3517" spans="1:14" x14ac:dyDescent="0.25">
      <c r="A3517" t="s">
        <v>513</v>
      </c>
      <c r="B3517" s="2">
        <v>45838</v>
      </c>
      <c r="C3517" t="s">
        <v>513</v>
      </c>
      <c r="D3517" t="s">
        <v>112</v>
      </c>
      <c r="E3517" t="s">
        <v>9</v>
      </c>
      <c r="F3517" s="3">
        <v>2100</v>
      </c>
      <c r="G3517" s="3">
        <v>2100</v>
      </c>
      <c r="H3517" t="s">
        <v>3</v>
      </c>
      <c r="I3517" t="s">
        <v>3</v>
      </c>
      <c r="J3517" t="s">
        <v>398</v>
      </c>
      <c r="K3517" t="s">
        <v>5</v>
      </c>
      <c r="L3517" t="s">
        <v>19</v>
      </c>
      <c r="M3517" t="s">
        <v>114</v>
      </c>
      <c r="N3517" s="2">
        <v>45838</v>
      </c>
    </row>
    <row r="3518" spans="1:14" x14ac:dyDescent="0.25">
      <c r="A3518" s="4" t="s">
        <v>224</v>
      </c>
      <c r="B3518" s="5"/>
      <c r="C3518" s="4" t="s">
        <v>9</v>
      </c>
      <c r="D3518" s="4" t="s">
        <v>9</v>
      </c>
      <c r="E3518" s="4" t="s">
        <v>9</v>
      </c>
      <c r="F3518" s="6">
        <v>0</v>
      </c>
      <c r="G3518" s="6">
        <v>0</v>
      </c>
      <c r="H3518" s="4" t="s">
        <v>9</v>
      </c>
      <c r="I3518" s="4" t="s">
        <v>3</v>
      </c>
      <c r="J3518" s="4" t="s">
        <v>9</v>
      </c>
      <c r="K3518" s="4" t="s">
        <v>9</v>
      </c>
      <c r="L3518" s="4" t="s">
        <v>9</v>
      </c>
      <c r="M3518" s="4" t="s">
        <v>9</v>
      </c>
      <c r="N3518" s="5"/>
    </row>
    <row r="3519" spans="1:14" x14ac:dyDescent="0.25">
      <c r="A3519" t="s">
        <v>513</v>
      </c>
      <c r="B3519" s="2">
        <v>45870</v>
      </c>
      <c r="C3519" t="s">
        <v>513</v>
      </c>
      <c r="D3519" t="s">
        <v>112</v>
      </c>
      <c r="E3519" t="s">
        <v>9</v>
      </c>
      <c r="F3519" s="3">
        <v>-5200</v>
      </c>
      <c r="G3519" s="3">
        <v>-5200</v>
      </c>
      <c r="H3519" t="s">
        <v>3</v>
      </c>
      <c r="I3519" t="s">
        <v>3</v>
      </c>
      <c r="J3519" t="s">
        <v>9</v>
      </c>
      <c r="K3519" t="s">
        <v>9</v>
      </c>
      <c r="L3519" t="s">
        <v>21</v>
      </c>
      <c r="M3519" t="s">
        <v>114</v>
      </c>
      <c r="N3519" s="2">
        <v>45869</v>
      </c>
    </row>
    <row r="3520" spans="1:14" x14ac:dyDescent="0.25">
      <c r="A3520" t="s">
        <v>513</v>
      </c>
      <c r="B3520" s="2">
        <v>45838</v>
      </c>
      <c r="C3520" t="s">
        <v>513</v>
      </c>
      <c r="D3520" t="s">
        <v>112</v>
      </c>
      <c r="E3520" t="s">
        <v>9</v>
      </c>
      <c r="F3520" s="3">
        <v>-14850</v>
      </c>
      <c r="G3520" s="3">
        <v>-14850</v>
      </c>
      <c r="H3520" t="s">
        <v>3</v>
      </c>
      <c r="I3520" t="s">
        <v>3</v>
      </c>
      <c r="J3520" t="s">
        <v>314</v>
      </c>
      <c r="K3520" t="s">
        <v>5</v>
      </c>
      <c r="L3520" t="s">
        <v>21</v>
      </c>
      <c r="M3520" t="s">
        <v>114</v>
      </c>
      <c r="N3520" s="2">
        <v>45839</v>
      </c>
    </row>
    <row r="3521" spans="1:14" x14ac:dyDescent="0.25">
      <c r="A3521" t="s">
        <v>513</v>
      </c>
      <c r="B3521" s="2">
        <v>45838</v>
      </c>
      <c r="C3521" t="s">
        <v>513</v>
      </c>
      <c r="D3521" t="s">
        <v>112</v>
      </c>
      <c r="E3521" t="s">
        <v>9</v>
      </c>
      <c r="F3521" s="3">
        <v>-2100</v>
      </c>
      <c r="G3521" s="3">
        <v>-2100</v>
      </c>
      <c r="H3521" t="s">
        <v>3</v>
      </c>
      <c r="I3521" t="s">
        <v>3</v>
      </c>
      <c r="J3521" t="s">
        <v>398</v>
      </c>
      <c r="K3521" t="s">
        <v>5</v>
      </c>
      <c r="L3521" t="s">
        <v>21</v>
      </c>
      <c r="M3521" t="s">
        <v>114</v>
      </c>
      <c r="N3521" s="2">
        <v>45839</v>
      </c>
    </row>
    <row r="3522" spans="1:14" x14ac:dyDescent="0.25">
      <c r="A3522" t="s">
        <v>513</v>
      </c>
      <c r="B3522" s="2">
        <v>45869</v>
      </c>
      <c r="C3522" t="s">
        <v>513</v>
      </c>
      <c r="D3522" t="s">
        <v>112</v>
      </c>
      <c r="E3522" t="s">
        <v>9</v>
      </c>
      <c r="F3522" s="3">
        <v>19400</v>
      </c>
      <c r="G3522" s="3">
        <v>19400</v>
      </c>
      <c r="H3522" t="s">
        <v>3</v>
      </c>
      <c r="I3522" t="s">
        <v>3</v>
      </c>
      <c r="J3522" t="s">
        <v>317</v>
      </c>
      <c r="K3522" t="s">
        <v>5</v>
      </c>
      <c r="L3522" t="s">
        <v>21</v>
      </c>
      <c r="M3522" t="s">
        <v>114</v>
      </c>
      <c r="N3522" s="2">
        <v>45869</v>
      </c>
    </row>
    <row r="3523" spans="1:14" x14ac:dyDescent="0.25">
      <c r="A3523" t="s">
        <v>513</v>
      </c>
      <c r="B3523" s="2">
        <v>45869</v>
      </c>
      <c r="C3523" t="s">
        <v>513</v>
      </c>
      <c r="D3523" t="s">
        <v>112</v>
      </c>
      <c r="E3523" t="s">
        <v>9</v>
      </c>
      <c r="F3523" s="3">
        <v>2750</v>
      </c>
      <c r="G3523" s="3">
        <v>2750</v>
      </c>
      <c r="H3523" t="s">
        <v>3</v>
      </c>
      <c r="I3523" t="s">
        <v>3</v>
      </c>
      <c r="J3523" t="s">
        <v>382</v>
      </c>
      <c r="K3523" t="s">
        <v>5</v>
      </c>
      <c r="L3523" t="s">
        <v>21</v>
      </c>
      <c r="M3523" t="s">
        <v>114</v>
      </c>
      <c r="N3523" s="2">
        <v>45869</v>
      </c>
    </row>
    <row r="3524" spans="1:14" x14ac:dyDescent="0.25">
      <c r="A3524" s="4" t="s">
        <v>262</v>
      </c>
      <c r="B3524" s="5"/>
      <c r="C3524" s="4" t="s">
        <v>9</v>
      </c>
      <c r="D3524" s="4" t="s">
        <v>9</v>
      </c>
      <c r="E3524" s="4" t="s">
        <v>9</v>
      </c>
      <c r="F3524" s="6">
        <v>0</v>
      </c>
      <c r="G3524" s="6">
        <v>0</v>
      </c>
      <c r="H3524" s="4" t="s">
        <v>9</v>
      </c>
      <c r="I3524" s="4" t="s">
        <v>3</v>
      </c>
      <c r="J3524" s="4" t="s">
        <v>9</v>
      </c>
      <c r="K3524" s="4" t="s">
        <v>9</v>
      </c>
      <c r="L3524" s="4" t="s">
        <v>9</v>
      </c>
      <c r="M3524" s="4" t="s">
        <v>9</v>
      </c>
      <c r="N3524" s="5"/>
    </row>
    <row r="3525" spans="1:14" x14ac:dyDescent="0.25">
      <c r="A3525" t="s">
        <v>513</v>
      </c>
      <c r="B3525" s="2">
        <v>45869</v>
      </c>
      <c r="C3525" t="s">
        <v>513</v>
      </c>
      <c r="D3525" t="s">
        <v>112</v>
      </c>
      <c r="E3525" t="s">
        <v>9</v>
      </c>
      <c r="F3525" s="3">
        <v>-19400</v>
      </c>
      <c r="G3525" s="3">
        <v>-19400</v>
      </c>
      <c r="H3525" t="s">
        <v>3</v>
      </c>
      <c r="I3525" t="s">
        <v>3</v>
      </c>
      <c r="J3525" t="s">
        <v>317</v>
      </c>
      <c r="K3525" t="s">
        <v>5</v>
      </c>
      <c r="L3525" t="s">
        <v>22</v>
      </c>
      <c r="M3525" t="s">
        <v>114</v>
      </c>
      <c r="N3525" s="2">
        <v>45870</v>
      </c>
    </row>
    <row r="3526" spans="1:14" x14ac:dyDescent="0.25">
      <c r="A3526" t="s">
        <v>513</v>
      </c>
      <c r="B3526" s="2">
        <v>45869</v>
      </c>
      <c r="C3526" t="s">
        <v>513</v>
      </c>
      <c r="D3526" t="s">
        <v>112</v>
      </c>
      <c r="E3526" t="s">
        <v>9</v>
      </c>
      <c r="F3526" s="3">
        <v>-2750</v>
      </c>
      <c r="G3526" s="3">
        <v>-2750</v>
      </c>
      <c r="H3526" t="s">
        <v>3</v>
      </c>
      <c r="I3526" t="s">
        <v>3</v>
      </c>
      <c r="J3526" t="s">
        <v>382</v>
      </c>
      <c r="K3526" t="s">
        <v>5</v>
      </c>
      <c r="L3526" t="s">
        <v>22</v>
      </c>
      <c r="M3526" t="s">
        <v>114</v>
      </c>
      <c r="N3526" s="2">
        <v>45870</v>
      </c>
    </row>
    <row r="3527" spans="1:14" x14ac:dyDescent="0.25">
      <c r="A3527" t="s">
        <v>513</v>
      </c>
      <c r="B3527" s="2">
        <v>45900</v>
      </c>
      <c r="C3527" t="s">
        <v>513</v>
      </c>
      <c r="D3527" t="s">
        <v>112</v>
      </c>
      <c r="E3527" t="s">
        <v>9</v>
      </c>
      <c r="F3527" s="3">
        <v>19400</v>
      </c>
      <c r="G3527" s="3">
        <v>19400</v>
      </c>
      <c r="H3527" t="s">
        <v>3</v>
      </c>
      <c r="I3527" t="s">
        <v>3</v>
      </c>
      <c r="J3527" t="s">
        <v>320</v>
      </c>
      <c r="K3527" t="s">
        <v>5</v>
      </c>
      <c r="L3527" t="s">
        <v>22</v>
      </c>
      <c r="M3527" t="s">
        <v>114</v>
      </c>
      <c r="N3527" s="2">
        <v>45900</v>
      </c>
    </row>
    <row r="3528" spans="1:14" x14ac:dyDescent="0.25">
      <c r="A3528" t="s">
        <v>513</v>
      </c>
      <c r="B3528" s="2">
        <v>45900</v>
      </c>
      <c r="C3528" t="s">
        <v>513</v>
      </c>
      <c r="D3528" t="s">
        <v>112</v>
      </c>
      <c r="E3528" t="s">
        <v>9</v>
      </c>
      <c r="F3528" s="3">
        <v>2750</v>
      </c>
      <c r="G3528" s="3">
        <v>2750</v>
      </c>
      <c r="H3528" t="s">
        <v>3</v>
      </c>
      <c r="I3528" t="s">
        <v>3</v>
      </c>
      <c r="J3528" t="s">
        <v>383</v>
      </c>
      <c r="K3528" t="s">
        <v>5</v>
      </c>
      <c r="L3528" t="s">
        <v>22</v>
      </c>
      <c r="M3528" t="s">
        <v>114</v>
      </c>
      <c r="N3528" s="2">
        <v>45900</v>
      </c>
    </row>
    <row r="3529" spans="1:14" x14ac:dyDescent="0.25">
      <c r="A3529" t="s">
        <v>513</v>
      </c>
      <c r="B3529" s="2">
        <v>45900</v>
      </c>
      <c r="C3529" t="s">
        <v>513</v>
      </c>
      <c r="D3529" t="s">
        <v>112</v>
      </c>
      <c r="E3529" t="s">
        <v>9</v>
      </c>
      <c r="F3529" s="3">
        <v>-19400</v>
      </c>
      <c r="G3529" s="3">
        <v>-19400</v>
      </c>
      <c r="H3529" t="s">
        <v>3</v>
      </c>
      <c r="I3529" t="s">
        <v>3</v>
      </c>
      <c r="J3529" t="s">
        <v>320</v>
      </c>
      <c r="K3529" t="s">
        <v>5</v>
      </c>
      <c r="L3529" t="s">
        <v>22</v>
      </c>
      <c r="M3529" t="s">
        <v>114</v>
      </c>
      <c r="N3529" s="2">
        <v>45900</v>
      </c>
    </row>
    <row r="3530" spans="1:14" x14ac:dyDescent="0.25">
      <c r="A3530" t="s">
        <v>513</v>
      </c>
      <c r="B3530" s="2">
        <v>45900</v>
      </c>
      <c r="C3530" t="s">
        <v>513</v>
      </c>
      <c r="D3530" t="s">
        <v>112</v>
      </c>
      <c r="E3530" t="s">
        <v>9</v>
      </c>
      <c r="F3530" s="3">
        <v>-2750</v>
      </c>
      <c r="G3530" s="3">
        <v>-2750</v>
      </c>
      <c r="H3530" t="s">
        <v>3</v>
      </c>
      <c r="I3530" t="s">
        <v>3</v>
      </c>
      <c r="J3530" t="s">
        <v>383</v>
      </c>
      <c r="K3530" t="s">
        <v>5</v>
      </c>
      <c r="L3530" t="s">
        <v>22</v>
      </c>
      <c r="M3530" t="s">
        <v>114</v>
      </c>
      <c r="N3530" s="2">
        <v>45900</v>
      </c>
    </row>
    <row r="3531" spans="1:14" x14ac:dyDescent="0.25">
      <c r="A3531" t="s">
        <v>513</v>
      </c>
      <c r="B3531" s="2">
        <v>45900</v>
      </c>
      <c r="C3531" t="s">
        <v>513</v>
      </c>
      <c r="D3531" t="s">
        <v>112</v>
      </c>
      <c r="E3531" t="s">
        <v>9</v>
      </c>
      <c r="F3531" s="3">
        <v>19400</v>
      </c>
      <c r="G3531" s="3">
        <v>19400</v>
      </c>
      <c r="H3531" t="s">
        <v>3</v>
      </c>
      <c r="I3531" t="s">
        <v>3</v>
      </c>
      <c r="J3531" t="s">
        <v>320</v>
      </c>
      <c r="K3531" t="s">
        <v>5</v>
      </c>
      <c r="L3531" t="s">
        <v>22</v>
      </c>
      <c r="M3531" t="s">
        <v>114</v>
      </c>
      <c r="N3531" s="2">
        <v>45900</v>
      </c>
    </row>
    <row r="3532" spans="1:14" x14ac:dyDescent="0.25">
      <c r="A3532" t="s">
        <v>513</v>
      </c>
      <c r="B3532" s="2">
        <v>45900</v>
      </c>
      <c r="C3532" t="s">
        <v>513</v>
      </c>
      <c r="D3532" t="s">
        <v>112</v>
      </c>
      <c r="E3532" t="s">
        <v>9</v>
      </c>
      <c r="F3532" s="3">
        <v>2750</v>
      </c>
      <c r="G3532" s="3">
        <v>2750</v>
      </c>
      <c r="H3532" t="s">
        <v>3</v>
      </c>
      <c r="I3532" t="s">
        <v>3</v>
      </c>
      <c r="J3532" t="s">
        <v>383</v>
      </c>
      <c r="K3532" t="s">
        <v>5</v>
      </c>
      <c r="L3532" t="s">
        <v>22</v>
      </c>
      <c r="M3532" t="s">
        <v>114</v>
      </c>
      <c r="N3532" s="2">
        <v>45900</v>
      </c>
    </row>
    <row r="3533" spans="1:14" x14ac:dyDescent="0.25">
      <c r="A3533" t="s">
        <v>513</v>
      </c>
      <c r="B3533" s="2">
        <v>45900</v>
      </c>
      <c r="C3533" t="s">
        <v>513</v>
      </c>
      <c r="D3533" t="s">
        <v>112</v>
      </c>
      <c r="E3533" t="s">
        <v>9</v>
      </c>
      <c r="F3533" s="3">
        <v>19400</v>
      </c>
      <c r="G3533" s="3">
        <v>19400</v>
      </c>
      <c r="H3533" t="s">
        <v>3</v>
      </c>
      <c r="I3533" t="s">
        <v>3</v>
      </c>
      <c r="J3533" t="s">
        <v>320</v>
      </c>
      <c r="K3533" t="s">
        <v>5</v>
      </c>
      <c r="L3533" t="s">
        <v>22</v>
      </c>
      <c r="M3533" t="s">
        <v>114</v>
      </c>
      <c r="N3533" s="2">
        <v>45900</v>
      </c>
    </row>
    <row r="3534" spans="1:14" x14ac:dyDescent="0.25">
      <c r="A3534" t="s">
        <v>513</v>
      </c>
      <c r="B3534" s="2">
        <v>45900</v>
      </c>
      <c r="C3534" t="s">
        <v>513</v>
      </c>
      <c r="D3534" t="s">
        <v>112</v>
      </c>
      <c r="E3534" t="s">
        <v>9</v>
      </c>
      <c r="F3534" s="3">
        <v>2750</v>
      </c>
      <c r="G3534" s="3">
        <v>2750</v>
      </c>
      <c r="H3534" t="s">
        <v>3</v>
      </c>
      <c r="I3534" t="s">
        <v>3</v>
      </c>
      <c r="J3534" t="s">
        <v>383</v>
      </c>
      <c r="K3534" t="s">
        <v>5</v>
      </c>
      <c r="L3534" t="s">
        <v>22</v>
      </c>
      <c r="M3534" t="s">
        <v>114</v>
      </c>
      <c r="N3534" s="2">
        <v>45900</v>
      </c>
    </row>
    <row r="3535" spans="1:14" x14ac:dyDescent="0.25">
      <c r="A3535" t="s">
        <v>513</v>
      </c>
      <c r="B3535" s="2">
        <v>45900</v>
      </c>
      <c r="C3535" t="s">
        <v>513</v>
      </c>
      <c r="D3535" t="s">
        <v>112</v>
      </c>
      <c r="E3535" t="s">
        <v>9</v>
      </c>
      <c r="F3535" s="3">
        <v>-19400</v>
      </c>
      <c r="G3535" s="3">
        <v>-19400</v>
      </c>
      <c r="H3535" t="s">
        <v>3</v>
      </c>
      <c r="I3535" t="s">
        <v>3</v>
      </c>
      <c r="J3535" t="s">
        <v>320</v>
      </c>
      <c r="K3535" t="s">
        <v>5</v>
      </c>
      <c r="L3535" t="s">
        <v>22</v>
      </c>
      <c r="M3535" t="s">
        <v>114</v>
      </c>
      <c r="N3535" s="2">
        <v>45900</v>
      </c>
    </row>
    <row r="3536" spans="1:14" x14ac:dyDescent="0.25">
      <c r="A3536" t="s">
        <v>513</v>
      </c>
      <c r="B3536" s="2">
        <v>45900</v>
      </c>
      <c r="C3536" t="s">
        <v>513</v>
      </c>
      <c r="D3536" t="s">
        <v>112</v>
      </c>
      <c r="E3536" t="s">
        <v>9</v>
      </c>
      <c r="F3536" s="3">
        <v>-2750</v>
      </c>
      <c r="G3536" s="3">
        <v>-2750</v>
      </c>
      <c r="H3536" t="s">
        <v>3</v>
      </c>
      <c r="I3536" t="s">
        <v>3</v>
      </c>
      <c r="J3536" t="s">
        <v>383</v>
      </c>
      <c r="K3536" t="s">
        <v>5</v>
      </c>
      <c r="L3536" t="s">
        <v>22</v>
      </c>
      <c r="M3536" t="s">
        <v>114</v>
      </c>
      <c r="N3536" s="2">
        <v>45900</v>
      </c>
    </row>
    <row r="3537" spans="1:14" x14ac:dyDescent="0.25">
      <c r="A3537" s="4" t="s">
        <v>267</v>
      </c>
      <c r="B3537" s="5"/>
      <c r="C3537" s="4" t="s">
        <v>9</v>
      </c>
      <c r="D3537" s="4" t="s">
        <v>9</v>
      </c>
      <c r="E3537" s="4" t="s">
        <v>9</v>
      </c>
      <c r="F3537" s="6">
        <v>0</v>
      </c>
      <c r="G3537" s="6">
        <v>0</v>
      </c>
      <c r="H3537" s="4" t="s">
        <v>9</v>
      </c>
      <c r="I3537" s="4" t="s">
        <v>3</v>
      </c>
      <c r="J3537" s="4" t="s">
        <v>9</v>
      </c>
      <c r="K3537" s="4" t="s">
        <v>9</v>
      </c>
      <c r="L3537" s="4" t="s">
        <v>9</v>
      </c>
      <c r="M3537" s="4" t="s">
        <v>9</v>
      </c>
      <c r="N3537" s="5"/>
    </row>
    <row r="3538" spans="1:14" x14ac:dyDescent="0.25">
      <c r="A3538" t="s">
        <v>513</v>
      </c>
      <c r="B3538" s="2">
        <v>45932</v>
      </c>
      <c r="C3538" t="s">
        <v>513</v>
      </c>
      <c r="D3538" t="s">
        <v>112</v>
      </c>
      <c r="E3538" t="s">
        <v>9</v>
      </c>
      <c r="F3538" s="3">
        <v>-2950</v>
      </c>
      <c r="G3538" s="3">
        <v>-2950</v>
      </c>
      <c r="H3538" t="s">
        <v>3</v>
      </c>
      <c r="I3538" t="s">
        <v>3</v>
      </c>
      <c r="J3538" t="s">
        <v>9</v>
      </c>
      <c r="K3538" t="s">
        <v>9</v>
      </c>
      <c r="L3538" t="s">
        <v>6</v>
      </c>
      <c r="M3538" t="s">
        <v>114</v>
      </c>
      <c r="N3538" s="2">
        <v>45930</v>
      </c>
    </row>
    <row r="3539" spans="1:14" x14ac:dyDescent="0.25">
      <c r="A3539" t="s">
        <v>513</v>
      </c>
      <c r="B3539" s="2">
        <v>45900</v>
      </c>
      <c r="C3539" t="s">
        <v>513</v>
      </c>
      <c r="D3539" t="s">
        <v>112</v>
      </c>
      <c r="E3539" t="s">
        <v>9</v>
      </c>
      <c r="F3539" s="3">
        <v>-19400</v>
      </c>
      <c r="G3539" s="3">
        <v>-19400</v>
      </c>
      <c r="H3539" t="s">
        <v>3</v>
      </c>
      <c r="I3539" t="s">
        <v>3</v>
      </c>
      <c r="J3539" t="s">
        <v>320</v>
      </c>
      <c r="K3539" t="s">
        <v>5</v>
      </c>
      <c r="L3539" t="s">
        <v>6</v>
      </c>
      <c r="M3539" t="s">
        <v>114</v>
      </c>
      <c r="N3539" s="2">
        <v>45901</v>
      </c>
    </row>
    <row r="3540" spans="1:14" x14ac:dyDescent="0.25">
      <c r="A3540" t="s">
        <v>513</v>
      </c>
      <c r="B3540" s="2">
        <v>45900</v>
      </c>
      <c r="C3540" t="s">
        <v>513</v>
      </c>
      <c r="D3540" t="s">
        <v>112</v>
      </c>
      <c r="E3540" t="s">
        <v>9</v>
      </c>
      <c r="F3540" s="3">
        <v>-2750</v>
      </c>
      <c r="G3540" s="3">
        <v>-2750</v>
      </c>
      <c r="H3540" t="s">
        <v>3</v>
      </c>
      <c r="I3540" t="s">
        <v>3</v>
      </c>
      <c r="J3540" t="s">
        <v>383</v>
      </c>
      <c r="K3540" t="s">
        <v>5</v>
      </c>
      <c r="L3540" t="s">
        <v>6</v>
      </c>
      <c r="M3540" t="s">
        <v>114</v>
      </c>
      <c r="N3540" s="2">
        <v>45901</v>
      </c>
    </row>
    <row r="3541" spans="1:14" x14ac:dyDescent="0.25">
      <c r="A3541" t="s">
        <v>513</v>
      </c>
      <c r="B3541" s="2">
        <v>45900</v>
      </c>
      <c r="C3541" t="s">
        <v>513</v>
      </c>
      <c r="D3541" t="s">
        <v>112</v>
      </c>
      <c r="E3541" t="s">
        <v>9</v>
      </c>
      <c r="F3541" s="3">
        <v>19400</v>
      </c>
      <c r="G3541" s="3">
        <v>19400</v>
      </c>
      <c r="H3541" t="s">
        <v>3</v>
      </c>
      <c r="I3541" t="s">
        <v>3</v>
      </c>
      <c r="J3541" t="s">
        <v>320</v>
      </c>
      <c r="K3541" t="s">
        <v>5</v>
      </c>
      <c r="L3541" t="s">
        <v>6</v>
      </c>
      <c r="M3541" t="s">
        <v>114</v>
      </c>
      <c r="N3541" s="2">
        <v>45901</v>
      </c>
    </row>
    <row r="3542" spans="1:14" x14ac:dyDescent="0.25">
      <c r="A3542" t="s">
        <v>513</v>
      </c>
      <c r="B3542" s="2">
        <v>45900</v>
      </c>
      <c r="C3542" t="s">
        <v>513</v>
      </c>
      <c r="D3542" t="s">
        <v>112</v>
      </c>
      <c r="E3542" t="s">
        <v>9</v>
      </c>
      <c r="F3542" s="3">
        <v>2750</v>
      </c>
      <c r="G3542" s="3">
        <v>2750</v>
      </c>
      <c r="H3542" t="s">
        <v>3</v>
      </c>
      <c r="I3542" t="s">
        <v>3</v>
      </c>
      <c r="J3542" t="s">
        <v>383</v>
      </c>
      <c r="K3542" t="s">
        <v>5</v>
      </c>
      <c r="L3542" t="s">
        <v>6</v>
      </c>
      <c r="M3542" t="s">
        <v>114</v>
      </c>
      <c r="N3542" s="2">
        <v>45901</v>
      </c>
    </row>
    <row r="3543" spans="1:14" x14ac:dyDescent="0.25">
      <c r="A3543" t="s">
        <v>513</v>
      </c>
      <c r="B3543" s="2">
        <v>45900</v>
      </c>
      <c r="C3543" t="s">
        <v>513</v>
      </c>
      <c r="D3543" t="s">
        <v>112</v>
      </c>
      <c r="E3543" t="s">
        <v>9</v>
      </c>
      <c r="F3543" s="3">
        <v>-19400</v>
      </c>
      <c r="G3543" s="3">
        <v>-19400</v>
      </c>
      <c r="H3543" t="s">
        <v>3</v>
      </c>
      <c r="I3543" t="s">
        <v>3</v>
      </c>
      <c r="J3543" t="s">
        <v>320</v>
      </c>
      <c r="K3543" t="s">
        <v>5</v>
      </c>
      <c r="L3543" t="s">
        <v>6</v>
      </c>
      <c r="M3543" t="s">
        <v>114</v>
      </c>
      <c r="N3543" s="2">
        <v>45901</v>
      </c>
    </row>
    <row r="3544" spans="1:14" x14ac:dyDescent="0.25">
      <c r="A3544" t="s">
        <v>513</v>
      </c>
      <c r="B3544" s="2">
        <v>45900</v>
      </c>
      <c r="C3544" t="s">
        <v>513</v>
      </c>
      <c r="D3544" t="s">
        <v>112</v>
      </c>
      <c r="E3544" t="s">
        <v>9</v>
      </c>
      <c r="F3544" s="3">
        <v>-2750</v>
      </c>
      <c r="G3544" s="3">
        <v>-2750</v>
      </c>
      <c r="H3544" t="s">
        <v>3</v>
      </c>
      <c r="I3544" t="s">
        <v>3</v>
      </c>
      <c r="J3544" t="s">
        <v>383</v>
      </c>
      <c r="K3544" t="s">
        <v>5</v>
      </c>
      <c r="L3544" t="s">
        <v>6</v>
      </c>
      <c r="M3544" t="s">
        <v>114</v>
      </c>
      <c r="N3544" s="2">
        <v>45901</v>
      </c>
    </row>
    <row r="3545" spans="1:14" x14ac:dyDescent="0.25">
      <c r="A3545" t="s">
        <v>513</v>
      </c>
      <c r="B3545" s="2">
        <v>45900</v>
      </c>
      <c r="C3545" t="s">
        <v>513</v>
      </c>
      <c r="D3545" t="s">
        <v>112</v>
      </c>
      <c r="E3545" t="s">
        <v>9</v>
      </c>
      <c r="F3545" s="3">
        <v>19400</v>
      </c>
      <c r="G3545" s="3">
        <v>19400</v>
      </c>
      <c r="H3545" t="s">
        <v>3</v>
      </c>
      <c r="I3545" t="s">
        <v>3</v>
      </c>
      <c r="J3545" t="s">
        <v>320</v>
      </c>
      <c r="K3545" t="s">
        <v>5</v>
      </c>
      <c r="L3545" t="s">
        <v>6</v>
      </c>
      <c r="M3545" t="s">
        <v>114</v>
      </c>
      <c r="N3545" s="2">
        <v>45901</v>
      </c>
    </row>
    <row r="3546" spans="1:14" x14ac:dyDescent="0.25">
      <c r="A3546" t="s">
        <v>513</v>
      </c>
      <c r="B3546" s="2">
        <v>45900</v>
      </c>
      <c r="C3546" t="s">
        <v>513</v>
      </c>
      <c r="D3546" t="s">
        <v>112</v>
      </c>
      <c r="E3546" t="s">
        <v>9</v>
      </c>
      <c r="F3546" s="3">
        <v>2750</v>
      </c>
      <c r="G3546" s="3">
        <v>2750</v>
      </c>
      <c r="H3546" t="s">
        <v>3</v>
      </c>
      <c r="I3546" t="s">
        <v>3</v>
      </c>
      <c r="J3546" t="s">
        <v>383</v>
      </c>
      <c r="K3546" t="s">
        <v>5</v>
      </c>
      <c r="L3546" t="s">
        <v>6</v>
      </c>
      <c r="M3546" t="s">
        <v>114</v>
      </c>
      <c r="N3546" s="2">
        <v>45901</v>
      </c>
    </row>
    <row r="3547" spans="1:14" x14ac:dyDescent="0.25">
      <c r="A3547" t="s">
        <v>513</v>
      </c>
      <c r="B3547" s="2">
        <v>45900</v>
      </c>
      <c r="C3547" t="s">
        <v>513</v>
      </c>
      <c r="D3547" t="s">
        <v>112</v>
      </c>
      <c r="E3547" t="s">
        <v>9</v>
      </c>
      <c r="F3547" s="3">
        <v>-19400</v>
      </c>
      <c r="G3547" s="3">
        <v>-19400</v>
      </c>
      <c r="H3547" t="s">
        <v>3</v>
      </c>
      <c r="I3547" t="s">
        <v>3</v>
      </c>
      <c r="J3547" t="s">
        <v>320</v>
      </c>
      <c r="K3547" t="s">
        <v>5</v>
      </c>
      <c r="L3547" t="s">
        <v>6</v>
      </c>
      <c r="M3547" t="s">
        <v>114</v>
      </c>
      <c r="N3547" s="2">
        <v>45901</v>
      </c>
    </row>
    <row r="3548" spans="1:14" x14ac:dyDescent="0.25">
      <c r="A3548" t="s">
        <v>513</v>
      </c>
      <c r="B3548" s="2">
        <v>45900</v>
      </c>
      <c r="C3548" t="s">
        <v>513</v>
      </c>
      <c r="D3548" t="s">
        <v>112</v>
      </c>
      <c r="E3548" t="s">
        <v>9</v>
      </c>
      <c r="F3548" s="3">
        <v>-2750</v>
      </c>
      <c r="G3548" s="3">
        <v>-2750</v>
      </c>
      <c r="H3548" t="s">
        <v>3</v>
      </c>
      <c r="I3548" t="s">
        <v>3</v>
      </c>
      <c r="J3548" t="s">
        <v>383</v>
      </c>
      <c r="K3548" t="s">
        <v>5</v>
      </c>
      <c r="L3548" t="s">
        <v>6</v>
      </c>
      <c r="M3548" t="s">
        <v>114</v>
      </c>
      <c r="N3548" s="2">
        <v>45901</v>
      </c>
    </row>
    <row r="3549" spans="1:14" x14ac:dyDescent="0.25">
      <c r="A3549" t="s">
        <v>513</v>
      </c>
      <c r="B3549" s="2">
        <v>45930</v>
      </c>
      <c r="C3549" t="s">
        <v>513</v>
      </c>
      <c r="D3549" t="s">
        <v>112</v>
      </c>
      <c r="E3549" t="s">
        <v>9</v>
      </c>
      <c r="F3549" s="3">
        <v>22200</v>
      </c>
      <c r="G3549" s="3">
        <v>22200</v>
      </c>
      <c r="H3549" t="s">
        <v>3</v>
      </c>
      <c r="I3549" t="s">
        <v>3</v>
      </c>
      <c r="J3549" t="s">
        <v>323</v>
      </c>
      <c r="K3549" t="s">
        <v>5</v>
      </c>
      <c r="L3549" t="s">
        <v>6</v>
      </c>
      <c r="M3549" t="s">
        <v>114</v>
      </c>
      <c r="N3549" s="2">
        <v>45930</v>
      </c>
    </row>
    <row r="3550" spans="1:14" x14ac:dyDescent="0.25">
      <c r="A3550" t="s">
        <v>513</v>
      </c>
      <c r="B3550" s="2">
        <v>45930</v>
      </c>
      <c r="C3550" t="s">
        <v>513</v>
      </c>
      <c r="D3550" t="s">
        <v>112</v>
      </c>
      <c r="E3550" t="s">
        <v>9</v>
      </c>
      <c r="F3550" s="3">
        <v>2900</v>
      </c>
      <c r="G3550" s="3">
        <v>2900</v>
      </c>
      <c r="H3550" t="s">
        <v>3</v>
      </c>
      <c r="I3550" t="s">
        <v>3</v>
      </c>
      <c r="J3550" t="s">
        <v>384</v>
      </c>
      <c r="K3550" t="s">
        <v>5</v>
      </c>
      <c r="L3550" t="s">
        <v>6</v>
      </c>
      <c r="M3550" t="s">
        <v>114</v>
      </c>
      <c r="N3550" s="2">
        <v>45930</v>
      </c>
    </row>
    <row r="3551" spans="1:14" x14ac:dyDescent="0.25">
      <c r="A3551" s="4" t="s">
        <v>272</v>
      </c>
      <c r="B3551" s="5"/>
      <c r="C3551" s="4" t="s">
        <v>9</v>
      </c>
      <c r="D3551" s="4" t="s">
        <v>9</v>
      </c>
      <c r="E3551" s="4" t="s">
        <v>9</v>
      </c>
      <c r="F3551" s="6">
        <v>0</v>
      </c>
      <c r="G3551" s="6">
        <v>0</v>
      </c>
      <c r="H3551" s="4" t="s">
        <v>9</v>
      </c>
      <c r="I3551" s="4" t="s">
        <v>3</v>
      </c>
      <c r="J3551" s="4" t="s">
        <v>9</v>
      </c>
      <c r="K3551" s="4" t="s">
        <v>9</v>
      </c>
      <c r="L3551" s="4" t="s">
        <v>9</v>
      </c>
      <c r="M3551" s="4" t="s">
        <v>9</v>
      </c>
      <c r="N3551" s="5"/>
    </row>
    <row r="3552" spans="1:14" x14ac:dyDescent="0.25">
      <c r="A3552" t="s">
        <v>513</v>
      </c>
      <c r="B3552" s="2">
        <v>45930</v>
      </c>
      <c r="C3552" t="s">
        <v>513</v>
      </c>
      <c r="D3552" t="s">
        <v>112</v>
      </c>
      <c r="E3552" t="s">
        <v>9</v>
      </c>
      <c r="F3552" s="3">
        <v>-22200</v>
      </c>
      <c r="G3552" s="3">
        <v>-22200</v>
      </c>
      <c r="H3552" t="s">
        <v>3</v>
      </c>
      <c r="I3552" t="s">
        <v>3</v>
      </c>
      <c r="J3552" t="s">
        <v>323</v>
      </c>
      <c r="K3552" t="s">
        <v>5</v>
      </c>
      <c r="L3552" t="s">
        <v>8</v>
      </c>
      <c r="M3552" t="s">
        <v>114</v>
      </c>
      <c r="N3552" s="2">
        <v>45931</v>
      </c>
    </row>
    <row r="3553" spans="1:14" x14ac:dyDescent="0.25">
      <c r="A3553" t="s">
        <v>513</v>
      </c>
      <c r="B3553" s="2">
        <v>45930</v>
      </c>
      <c r="C3553" t="s">
        <v>513</v>
      </c>
      <c r="D3553" t="s">
        <v>112</v>
      </c>
      <c r="E3553" t="s">
        <v>9</v>
      </c>
      <c r="F3553" s="3">
        <v>-2900</v>
      </c>
      <c r="G3553" s="3">
        <v>-2900</v>
      </c>
      <c r="H3553" t="s">
        <v>3</v>
      </c>
      <c r="I3553" t="s">
        <v>3</v>
      </c>
      <c r="J3553" t="s">
        <v>384</v>
      </c>
      <c r="K3553" t="s">
        <v>5</v>
      </c>
      <c r="L3553" t="s">
        <v>8</v>
      </c>
      <c r="M3553" t="s">
        <v>114</v>
      </c>
      <c r="N3553" s="2">
        <v>45931</v>
      </c>
    </row>
    <row r="3554" spans="1:14" x14ac:dyDescent="0.25">
      <c r="A3554" t="s">
        <v>513</v>
      </c>
      <c r="B3554" s="2">
        <v>45961</v>
      </c>
      <c r="C3554" t="s">
        <v>513</v>
      </c>
      <c r="D3554" t="s">
        <v>112</v>
      </c>
      <c r="E3554" t="s">
        <v>9</v>
      </c>
      <c r="F3554" s="3">
        <v>22200</v>
      </c>
      <c r="G3554" s="3">
        <v>22200</v>
      </c>
      <c r="H3554" t="s">
        <v>3</v>
      </c>
      <c r="I3554" t="s">
        <v>3</v>
      </c>
      <c r="J3554" t="s">
        <v>325</v>
      </c>
      <c r="K3554" t="s">
        <v>5</v>
      </c>
      <c r="L3554" t="s">
        <v>8</v>
      </c>
      <c r="M3554" t="s">
        <v>114</v>
      </c>
      <c r="N3554" s="2">
        <v>45961</v>
      </c>
    </row>
    <row r="3555" spans="1:14" x14ac:dyDescent="0.25">
      <c r="A3555" t="s">
        <v>513</v>
      </c>
      <c r="B3555" s="2">
        <v>45961</v>
      </c>
      <c r="C3555" t="s">
        <v>513</v>
      </c>
      <c r="D3555" t="s">
        <v>112</v>
      </c>
      <c r="E3555" t="s">
        <v>9</v>
      </c>
      <c r="F3555" s="3">
        <v>2900</v>
      </c>
      <c r="G3555" s="3">
        <v>2900</v>
      </c>
      <c r="H3555" t="s">
        <v>3</v>
      </c>
      <c r="I3555" t="s">
        <v>3</v>
      </c>
      <c r="J3555" t="s">
        <v>385</v>
      </c>
      <c r="K3555" t="s">
        <v>5</v>
      </c>
      <c r="L3555" t="s">
        <v>8</v>
      </c>
      <c r="M3555" t="s">
        <v>114</v>
      </c>
      <c r="N3555" s="2">
        <v>45961</v>
      </c>
    </row>
    <row r="3556" spans="1:14" x14ac:dyDescent="0.25">
      <c r="A3556" s="4" t="s">
        <v>278</v>
      </c>
      <c r="B3556" s="5"/>
      <c r="C3556" s="4" t="s">
        <v>9</v>
      </c>
      <c r="D3556" s="4" t="s">
        <v>9</v>
      </c>
      <c r="E3556" s="4" t="s">
        <v>9</v>
      </c>
      <c r="F3556" s="6">
        <v>0</v>
      </c>
      <c r="G3556" s="6">
        <v>0</v>
      </c>
      <c r="H3556" s="4" t="s">
        <v>9</v>
      </c>
      <c r="I3556" s="4" t="s">
        <v>3</v>
      </c>
      <c r="J3556" s="4" t="s">
        <v>9</v>
      </c>
      <c r="K3556" s="4" t="s">
        <v>9</v>
      </c>
      <c r="L3556" s="4" t="s">
        <v>9</v>
      </c>
      <c r="M3556" s="4" t="s">
        <v>9</v>
      </c>
      <c r="N3556" s="5"/>
    </row>
    <row r="3557" spans="1:14" x14ac:dyDescent="0.25">
      <c r="A3557" t="s">
        <v>513</v>
      </c>
      <c r="B3557" s="2">
        <v>45961</v>
      </c>
      <c r="C3557" t="s">
        <v>513</v>
      </c>
      <c r="D3557" t="s">
        <v>112</v>
      </c>
      <c r="E3557" t="s">
        <v>9</v>
      </c>
      <c r="F3557" s="3">
        <v>-22200</v>
      </c>
      <c r="G3557" s="3">
        <v>-22200</v>
      </c>
      <c r="H3557" t="s">
        <v>3</v>
      </c>
      <c r="I3557" t="s">
        <v>3</v>
      </c>
      <c r="J3557" t="s">
        <v>325</v>
      </c>
      <c r="K3557" t="s">
        <v>5</v>
      </c>
      <c r="L3557" t="s">
        <v>11</v>
      </c>
      <c r="M3557" t="s">
        <v>114</v>
      </c>
      <c r="N3557" s="2">
        <v>45962</v>
      </c>
    </row>
    <row r="3558" spans="1:14" x14ac:dyDescent="0.25">
      <c r="A3558" t="s">
        <v>513</v>
      </c>
      <c r="B3558" s="2">
        <v>45961</v>
      </c>
      <c r="C3558" t="s">
        <v>513</v>
      </c>
      <c r="D3558" t="s">
        <v>112</v>
      </c>
      <c r="E3558" t="s">
        <v>9</v>
      </c>
      <c r="F3558" s="3">
        <v>-2900</v>
      </c>
      <c r="G3558" s="3">
        <v>-2900</v>
      </c>
      <c r="H3558" t="s">
        <v>3</v>
      </c>
      <c r="I3558" t="s">
        <v>3</v>
      </c>
      <c r="J3558" t="s">
        <v>385</v>
      </c>
      <c r="K3558" t="s">
        <v>5</v>
      </c>
      <c r="L3558" t="s">
        <v>11</v>
      </c>
      <c r="M3558" t="s">
        <v>114</v>
      </c>
      <c r="N3558" s="2">
        <v>45962</v>
      </c>
    </row>
    <row r="3559" spans="1:14" x14ac:dyDescent="0.25">
      <c r="A3559" t="s">
        <v>513</v>
      </c>
      <c r="B3559" s="2">
        <v>45991</v>
      </c>
      <c r="C3559" t="s">
        <v>513</v>
      </c>
      <c r="D3559" t="s">
        <v>112</v>
      </c>
      <c r="E3559" t="s">
        <v>9</v>
      </c>
      <c r="F3559" s="3">
        <v>22200</v>
      </c>
      <c r="G3559" s="3">
        <v>22200</v>
      </c>
      <c r="H3559" t="s">
        <v>3</v>
      </c>
      <c r="I3559" t="s">
        <v>3</v>
      </c>
      <c r="J3559" t="s">
        <v>328</v>
      </c>
      <c r="K3559" t="s">
        <v>5</v>
      </c>
      <c r="L3559" t="s">
        <v>11</v>
      </c>
      <c r="M3559" t="s">
        <v>114</v>
      </c>
      <c r="N3559" s="2">
        <v>45991</v>
      </c>
    </row>
    <row r="3560" spans="1:14" x14ac:dyDescent="0.25">
      <c r="A3560" t="s">
        <v>513</v>
      </c>
      <c r="B3560" s="2">
        <v>45991</v>
      </c>
      <c r="C3560" t="s">
        <v>513</v>
      </c>
      <c r="D3560" t="s">
        <v>112</v>
      </c>
      <c r="E3560" t="s">
        <v>9</v>
      </c>
      <c r="F3560" s="3">
        <v>2900</v>
      </c>
      <c r="G3560" s="3">
        <v>2900</v>
      </c>
      <c r="H3560" t="s">
        <v>3</v>
      </c>
      <c r="I3560" t="s">
        <v>3</v>
      </c>
      <c r="J3560" t="s">
        <v>387</v>
      </c>
      <c r="K3560" t="s">
        <v>5</v>
      </c>
      <c r="L3560" t="s">
        <v>11</v>
      </c>
      <c r="M3560" t="s">
        <v>114</v>
      </c>
      <c r="N3560" s="2">
        <v>45991</v>
      </c>
    </row>
    <row r="3561" spans="1:14" x14ac:dyDescent="0.25">
      <c r="A3561" s="4" t="s">
        <v>226</v>
      </c>
      <c r="B3561" s="5"/>
      <c r="C3561" s="4" t="s">
        <v>9</v>
      </c>
      <c r="D3561" s="4" t="s">
        <v>9</v>
      </c>
      <c r="E3561" s="4" t="s">
        <v>9</v>
      </c>
      <c r="F3561" s="6">
        <v>0</v>
      </c>
      <c r="G3561" s="6">
        <v>0</v>
      </c>
      <c r="H3561" s="4" t="s">
        <v>9</v>
      </c>
      <c r="I3561" s="4" t="s">
        <v>3</v>
      </c>
      <c r="J3561" s="4" t="s">
        <v>9</v>
      </c>
      <c r="K3561" s="4" t="s">
        <v>9</v>
      </c>
      <c r="L3561" s="4" t="s">
        <v>9</v>
      </c>
      <c r="M3561" s="4" t="s">
        <v>9</v>
      </c>
      <c r="N3561" s="5"/>
    </row>
    <row r="3562" spans="1:14" x14ac:dyDescent="0.25">
      <c r="A3562" t="s">
        <v>513</v>
      </c>
      <c r="B3562" s="2">
        <v>46028</v>
      </c>
      <c r="C3562" t="s">
        <v>513</v>
      </c>
      <c r="D3562" t="s">
        <v>112</v>
      </c>
      <c r="E3562" t="s">
        <v>9</v>
      </c>
      <c r="F3562" s="3">
        <v>-6800</v>
      </c>
      <c r="G3562" s="3">
        <v>-6800</v>
      </c>
      <c r="H3562" t="s">
        <v>3</v>
      </c>
      <c r="I3562" t="s">
        <v>3</v>
      </c>
      <c r="J3562" t="s">
        <v>9</v>
      </c>
      <c r="K3562" t="s">
        <v>9</v>
      </c>
      <c r="L3562" t="s">
        <v>12</v>
      </c>
      <c r="M3562" t="s">
        <v>114</v>
      </c>
      <c r="N3562" s="2">
        <v>46022</v>
      </c>
    </row>
    <row r="3563" spans="1:14" x14ac:dyDescent="0.25">
      <c r="A3563" t="s">
        <v>513</v>
      </c>
      <c r="B3563" s="2">
        <v>45991</v>
      </c>
      <c r="C3563" t="s">
        <v>513</v>
      </c>
      <c r="D3563" t="s">
        <v>112</v>
      </c>
      <c r="E3563" t="s">
        <v>9</v>
      </c>
      <c r="F3563" s="3">
        <v>-22200</v>
      </c>
      <c r="G3563" s="3">
        <v>-22200</v>
      </c>
      <c r="H3563" t="s">
        <v>3</v>
      </c>
      <c r="I3563" t="s">
        <v>3</v>
      </c>
      <c r="J3563" t="s">
        <v>328</v>
      </c>
      <c r="K3563" t="s">
        <v>5</v>
      </c>
      <c r="L3563" t="s">
        <v>12</v>
      </c>
      <c r="M3563" t="s">
        <v>114</v>
      </c>
      <c r="N3563" s="2">
        <v>45992</v>
      </c>
    </row>
    <row r="3564" spans="1:14" x14ac:dyDescent="0.25">
      <c r="A3564" t="s">
        <v>513</v>
      </c>
      <c r="B3564" s="2">
        <v>45991</v>
      </c>
      <c r="C3564" t="s">
        <v>513</v>
      </c>
      <c r="D3564" t="s">
        <v>112</v>
      </c>
      <c r="E3564" t="s">
        <v>9</v>
      </c>
      <c r="F3564" s="3">
        <v>-2900</v>
      </c>
      <c r="G3564" s="3">
        <v>-2900</v>
      </c>
      <c r="H3564" t="s">
        <v>3</v>
      </c>
      <c r="I3564" t="s">
        <v>3</v>
      </c>
      <c r="J3564" t="s">
        <v>387</v>
      </c>
      <c r="K3564" t="s">
        <v>5</v>
      </c>
      <c r="L3564" t="s">
        <v>12</v>
      </c>
      <c r="M3564" t="s">
        <v>114</v>
      </c>
      <c r="N3564" s="2">
        <v>45992</v>
      </c>
    </row>
    <row r="3565" spans="1:14" x14ac:dyDescent="0.25">
      <c r="A3565" t="s">
        <v>513</v>
      </c>
      <c r="B3565" s="2">
        <v>46022</v>
      </c>
      <c r="C3565" t="s">
        <v>513</v>
      </c>
      <c r="D3565" t="s">
        <v>112</v>
      </c>
      <c r="E3565" t="s">
        <v>9</v>
      </c>
      <c r="F3565" s="3">
        <v>22200</v>
      </c>
      <c r="G3565" s="3">
        <v>22200</v>
      </c>
      <c r="H3565" t="s">
        <v>3</v>
      </c>
      <c r="I3565" t="s">
        <v>3</v>
      </c>
      <c r="J3565" t="s">
        <v>298</v>
      </c>
      <c r="K3565" t="s">
        <v>5</v>
      </c>
      <c r="L3565" t="s">
        <v>12</v>
      </c>
      <c r="M3565" t="s">
        <v>114</v>
      </c>
      <c r="N3565" s="2">
        <v>46022</v>
      </c>
    </row>
    <row r="3566" spans="1:14" x14ac:dyDescent="0.25">
      <c r="A3566" t="s">
        <v>513</v>
      </c>
      <c r="B3566" s="2">
        <v>46022</v>
      </c>
      <c r="C3566" t="s">
        <v>513</v>
      </c>
      <c r="D3566" t="s">
        <v>112</v>
      </c>
      <c r="E3566" t="s">
        <v>9</v>
      </c>
      <c r="F3566" s="3">
        <v>2400</v>
      </c>
      <c r="G3566" s="3">
        <v>2400</v>
      </c>
      <c r="H3566" t="s">
        <v>3</v>
      </c>
      <c r="I3566" t="s">
        <v>3</v>
      </c>
      <c r="J3566" t="s">
        <v>299</v>
      </c>
      <c r="K3566" t="s">
        <v>5</v>
      </c>
      <c r="L3566" t="s">
        <v>12</v>
      </c>
      <c r="M3566" t="s">
        <v>114</v>
      </c>
      <c r="N3566" s="2">
        <v>46022</v>
      </c>
    </row>
    <row r="3567" spans="1:14" x14ac:dyDescent="0.25">
      <c r="A3567" t="s">
        <v>513</v>
      </c>
      <c r="B3567" s="2">
        <v>46022</v>
      </c>
      <c r="C3567" t="s">
        <v>513</v>
      </c>
      <c r="D3567" t="s">
        <v>112</v>
      </c>
      <c r="E3567" t="s">
        <v>9</v>
      </c>
      <c r="F3567" s="3">
        <v>7300</v>
      </c>
      <c r="G3567" s="3">
        <v>7300</v>
      </c>
      <c r="H3567" t="s">
        <v>3</v>
      </c>
      <c r="I3567" t="s">
        <v>3</v>
      </c>
      <c r="J3567" t="s">
        <v>381</v>
      </c>
      <c r="K3567" t="s">
        <v>5</v>
      </c>
      <c r="L3567" t="s">
        <v>12</v>
      </c>
      <c r="M3567" t="s">
        <v>114</v>
      </c>
      <c r="N3567" s="2">
        <v>46022</v>
      </c>
    </row>
    <row r="3568" spans="1:14" x14ac:dyDescent="0.25">
      <c r="A3568" t="s">
        <v>513</v>
      </c>
      <c r="B3568" s="2">
        <v>46022</v>
      </c>
      <c r="C3568" t="s">
        <v>513</v>
      </c>
      <c r="D3568" t="s">
        <v>112</v>
      </c>
      <c r="E3568" t="s">
        <v>9</v>
      </c>
      <c r="F3568" s="3">
        <v>22200</v>
      </c>
      <c r="G3568" s="3">
        <v>22200</v>
      </c>
      <c r="H3568" t="s">
        <v>3</v>
      </c>
      <c r="I3568" t="s">
        <v>3</v>
      </c>
      <c r="J3568" t="s">
        <v>298</v>
      </c>
      <c r="K3568" t="s">
        <v>5</v>
      </c>
      <c r="L3568" t="s">
        <v>12</v>
      </c>
      <c r="M3568" t="s">
        <v>114</v>
      </c>
      <c r="N3568" s="2">
        <v>46022</v>
      </c>
    </row>
    <row r="3569" spans="1:14" x14ac:dyDescent="0.25">
      <c r="A3569" t="s">
        <v>513</v>
      </c>
      <c r="B3569" s="2">
        <v>46022</v>
      </c>
      <c r="C3569" t="s">
        <v>513</v>
      </c>
      <c r="D3569" t="s">
        <v>112</v>
      </c>
      <c r="E3569" t="s">
        <v>9</v>
      </c>
      <c r="F3569" s="3">
        <v>2400</v>
      </c>
      <c r="G3569" s="3">
        <v>2400</v>
      </c>
      <c r="H3569" t="s">
        <v>3</v>
      </c>
      <c r="I3569" t="s">
        <v>3</v>
      </c>
      <c r="J3569" t="s">
        <v>299</v>
      </c>
      <c r="K3569" t="s">
        <v>5</v>
      </c>
      <c r="L3569" t="s">
        <v>12</v>
      </c>
      <c r="M3569" t="s">
        <v>114</v>
      </c>
      <c r="N3569" s="2">
        <v>46022</v>
      </c>
    </row>
    <row r="3570" spans="1:14" x14ac:dyDescent="0.25">
      <c r="A3570" t="s">
        <v>513</v>
      </c>
      <c r="B3570" s="2">
        <v>46022</v>
      </c>
      <c r="C3570" t="s">
        <v>513</v>
      </c>
      <c r="D3570" t="s">
        <v>112</v>
      </c>
      <c r="E3570" t="s">
        <v>9</v>
      </c>
      <c r="F3570" s="3">
        <v>7300</v>
      </c>
      <c r="G3570" s="3">
        <v>7300</v>
      </c>
      <c r="H3570" t="s">
        <v>3</v>
      </c>
      <c r="I3570" t="s">
        <v>3</v>
      </c>
      <c r="J3570" t="s">
        <v>381</v>
      </c>
      <c r="K3570" t="s">
        <v>5</v>
      </c>
      <c r="L3570" t="s">
        <v>12</v>
      </c>
      <c r="M3570" t="s">
        <v>114</v>
      </c>
      <c r="N3570" s="2">
        <v>46022</v>
      </c>
    </row>
    <row r="3571" spans="1:14" x14ac:dyDescent="0.25">
      <c r="A3571" t="s">
        <v>513</v>
      </c>
      <c r="B3571" s="2">
        <v>46022</v>
      </c>
      <c r="C3571" t="s">
        <v>513</v>
      </c>
      <c r="D3571" t="s">
        <v>112</v>
      </c>
      <c r="E3571" t="s">
        <v>9</v>
      </c>
      <c r="F3571" s="3">
        <v>-22200</v>
      </c>
      <c r="G3571" s="3">
        <v>-22200</v>
      </c>
      <c r="H3571" t="s">
        <v>3</v>
      </c>
      <c r="I3571" t="s">
        <v>3</v>
      </c>
      <c r="J3571" t="s">
        <v>298</v>
      </c>
      <c r="K3571" t="s">
        <v>5</v>
      </c>
      <c r="L3571" t="s">
        <v>12</v>
      </c>
      <c r="M3571" t="s">
        <v>114</v>
      </c>
      <c r="N3571" s="2">
        <v>46022</v>
      </c>
    </row>
    <row r="3572" spans="1:14" x14ac:dyDescent="0.25">
      <c r="A3572" t="s">
        <v>513</v>
      </c>
      <c r="B3572" s="2">
        <v>46022</v>
      </c>
      <c r="C3572" t="s">
        <v>513</v>
      </c>
      <c r="D3572" t="s">
        <v>112</v>
      </c>
      <c r="E3572" t="s">
        <v>9</v>
      </c>
      <c r="F3572" s="3">
        <v>-2400</v>
      </c>
      <c r="G3572" s="3">
        <v>-2400</v>
      </c>
      <c r="H3572" t="s">
        <v>3</v>
      </c>
      <c r="I3572" t="s">
        <v>3</v>
      </c>
      <c r="J3572" t="s">
        <v>299</v>
      </c>
      <c r="K3572" t="s">
        <v>5</v>
      </c>
      <c r="L3572" t="s">
        <v>12</v>
      </c>
      <c r="M3572" t="s">
        <v>114</v>
      </c>
      <c r="N3572" s="2">
        <v>46022</v>
      </c>
    </row>
    <row r="3573" spans="1:14" x14ac:dyDescent="0.25">
      <c r="A3573" t="s">
        <v>513</v>
      </c>
      <c r="B3573" s="2">
        <v>46022</v>
      </c>
      <c r="C3573" t="s">
        <v>513</v>
      </c>
      <c r="D3573" t="s">
        <v>112</v>
      </c>
      <c r="E3573" t="s">
        <v>9</v>
      </c>
      <c r="F3573" s="3">
        <v>-7300</v>
      </c>
      <c r="G3573" s="3">
        <v>-7300</v>
      </c>
      <c r="H3573" t="s">
        <v>3</v>
      </c>
      <c r="I3573" t="s">
        <v>3</v>
      </c>
      <c r="J3573" t="s">
        <v>381</v>
      </c>
      <c r="K3573" t="s">
        <v>5</v>
      </c>
      <c r="L3573" t="s">
        <v>12</v>
      </c>
      <c r="M3573" t="s">
        <v>114</v>
      </c>
      <c r="N3573" s="2">
        <v>46022</v>
      </c>
    </row>
    <row r="3574" spans="1:14" x14ac:dyDescent="0.25">
      <c r="A3574" s="4" t="s">
        <v>228</v>
      </c>
      <c r="B3574" s="5"/>
      <c r="C3574" s="4" t="s">
        <v>9</v>
      </c>
      <c r="D3574" s="4" t="s">
        <v>9</v>
      </c>
      <c r="E3574" s="4" t="s">
        <v>9</v>
      </c>
      <c r="F3574" s="6">
        <v>0</v>
      </c>
      <c r="G3574" s="6">
        <v>0</v>
      </c>
      <c r="H3574" s="4" t="s">
        <v>9</v>
      </c>
      <c r="I3574" s="4" t="s">
        <v>3</v>
      </c>
      <c r="J3574" s="4" t="s">
        <v>9</v>
      </c>
      <c r="K3574" s="4" t="s">
        <v>9</v>
      </c>
      <c r="L3574" s="4" t="s">
        <v>9</v>
      </c>
      <c r="M3574" s="4" t="s">
        <v>9</v>
      </c>
      <c r="N3574" s="5"/>
    </row>
    <row r="3575" spans="1:14" x14ac:dyDescent="0.25">
      <c r="A3575" s="4" t="s">
        <v>513</v>
      </c>
      <c r="B3575" s="5"/>
      <c r="C3575" s="4" t="s">
        <v>9</v>
      </c>
      <c r="D3575" s="4" t="s">
        <v>9</v>
      </c>
      <c r="E3575" s="4" t="s">
        <v>9</v>
      </c>
      <c r="F3575" s="6">
        <v>0</v>
      </c>
      <c r="G3575" s="6">
        <v>0</v>
      </c>
      <c r="H3575" s="4" t="s">
        <v>9</v>
      </c>
      <c r="I3575" s="4" t="s">
        <v>3</v>
      </c>
      <c r="J3575" s="4" t="s">
        <v>9</v>
      </c>
      <c r="K3575" s="4" t="s">
        <v>9</v>
      </c>
      <c r="L3575" s="4" t="s">
        <v>9</v>
      </c>
      <c r="M3575" s="4" t="s">
        <v>9</v>
      </c>
      <c r="N3575" s="5"/>
    </row>
    <row r="3576" spans="1:14" x14ac:dyDescent="0.25">
      <c r="A3576" t="s">
        <v>514</v>
      </c>
      <c r="B3576" s="2">
        <v>45839</v>
      </c>
      <c r="C3576" t="s">
        <v>514</v>
      </c>
      <c r="D3576" t="s">
        <v>99</v>
      </c>
      <c r="E3576" t="s">
        <v>9</v>
      </c>
      <c r="F3576" s="3">
        <v>-433.75</v>
      </c>
      <c r="G3576" s="3">
        <v>-433.75</v>
      </c>
      <c r="H3576" t="s">
        <v>3</v>
      </c>
      <c r="I3576" t="s">
        <v>3</v>
      </c>
      <c r="J3576" t="s">
        <v>9</v>
      </c>
      <c r="K3576" t="s">
        <v>9</v>
      </c>
      <c r="L3576" t="s">
        <v>19</v>
      </c>
      <c r="M3576" t="s">
        <v>102</v>
      </c>
      <c r="N3576" s="2">
        <v>45838</v>
      </c>
    </row>
    <row r="3577" spans="1:14" x14ac:dyDescent="0.25">
      <c r="A3577" t="s">
        <v>514</v>
      </c>
      <c r="B3577" s="2">
        <v>45834</v>
      </c>
      <c r="C3577" t="s">
        <v>514</v>
      </c>
      <c r="D3577" t="s">
        <v>99</v>
      </c>
      <c r="E3577" t="s">
        <v>515</v>
      </c>
      <c r="F3577" s="3">
        <v>433.75</v>
      </c>
      <c r="G3577" s="3">
        <v>433.75</v>
      </c>
      <c r="H3577" t="s">
        <v>3</v>
      </c>
      <c r="I3577" t="s">
        <v>3</v>
      </c>
      <c r="J3577" t="s">
        <v>516</v>
      </c>
      <c r="K3577" t="s">
        <v>5</v>
      </c>
      <c r="L3577" t="s">
        <v>19</v>
      </c>
      <c r="M3577" t="s">
        <v>102</v>
      </c>
      <c r="N3577" s="2">
        <v>45834</v>
      </c>
    </row>
    <row r="3578" spans="1:14" x14ac:dyDescent="0.25">
      <c r="A3578" s="4" t="s">
        <v>224</v>
      </c>
      <c r="B3578" s="5"/>
      <c r="C3578" s="4" t="s">
        <v>9</v>
      </c>
      <c r="D3578" s="4" t="s">
        <v>9</v>
      </c>
      <c r="E3578" s="4" t="s">
        <v>9</v>
      </c>
      <c r="F3578" s="6">
        <v>0</v>
      </c>
      <c r="G3578" s="6">
        <v>0</v>
      </c>
      <c r="H3578" s="4" t="s">
        <v>9</v>
      </c>
      <c r="I3578" s="4" t="s">
        <v>3</v>
      </c>
      <c r="J3578" s="4" t="s">
        <v>9</v>
      </c>
      <c r="K3578" s="4" t="s">
        <v>9</v>
      </c>
      <c r="L3578" s="4" t="s">
        <v>9</v>
      </c>
      <c r="M3578" s="4" t="s">
        <v>9</v>
      </c>
      <c r="N3578" s="5"/>
    </row>
    <row r="3579" spans="1:14" x14ac:dyDescent="0.25">
      <c r="A3579" t="s">
        <v>514</v>
      </c>
      <c r="B3579" s="2">
        <v>45870</v>
      </c>
      <c r="C3579" t="s">
        <v>514</v>
      </c>
      <c r="D3579" t="s">
        <v>99</v>
      </c>
      <c r="E3579" t="s">
        <v>9</v>
      </c>
      <c r="F3579" s="3">
        <v>-3380.63</v>
      </c>
      <c r="G3579" s="3">
        <v>-3380.63</v>
      </c>
      <c r="H3579" t="s">
        <v>3</v>
      </c>
      <c r="I3579" t="s">
        <v>3</v>
      </c>
      <c r="J3579" t="s">
        <v>9</v>
      </c>
      <c r="K3579" t="s">
        <v>9</v>
      </c>
      <c r="L3579" t="s">
        <v>21</v>
      </c>
      <c r="M3579" t="s">
        <v>102</v>
      </c>
      <c r="N3579" s="2">
        <v>45869</v>
      </c>
    </row>
    <row r="3580" spans="1:14" x14ac:dyDescent="0.25">
      <c r="A3580" t="s">
        <v>514</v>
      </c>
      <c r="B3580" s="2">
        <v>45846</v>
      </c>
      <c r="C3580" t="s">
        <v>514</v>
      </c>
      <c r="D3580" t="s">
        <v>99</v>
      </c>
      <c r="E3580" t="s">
        <v>515</v>
      </c>
      <c r="F3580" s="3">
        <v>3380.63</v>
      </c>
      <c r="G3580" s="3">
        <v>3380.63</v>
      </c>
      <c r="H3580" t="s">
        <v>3</v>
      </c>
      <c r="I3580" t="s">
        <v>3</v>
      </c>
      <c r="J3580" t="s">
        <v>516</v>
      </c>
      <c r="K3580" t="s">
        <v>5</v>
      </c>
      <c r="L3580" t="s">
        <v>21</v>
      </c>
      <c r="M3580" t="s">
        <v>102</v>
      </c>
      <c r="N3580" s="2">
        <v>45846</v>
      </c>
    </row>
    <row r="3581" spans="1:14" x14ac:dyDescent="0.25">
      <c r="A3581" s="4" t="s">
        <v>262</v>
      </c>
      <c r="B3581" s="5"/>
      <c r="C3581" s="4" t="s">
        <v>9</v>
      </c>
      <c r="D3581" s="4" t="s">
        <v>9</v>
      </c>
      <c r="E3581" s="4" t="s">
        <v>9</v>
      </c>
      <c r="F3581" s="6">
        <v>0</v>
      </c>
      <c r="G3581" s="6">
        <v>0</v>
      </c>
      <c r="H3581" s="4" t="s">
        <v>9</v>
      </c>
      <c r="I3581" s="4" t="s">
        <v>3</v>
      </c>
      <c r="J3581" s="4" t="s">
        <v>9</v>
      </c>
      <c r="K3581" s="4" t="s">
        <v>9</v>
      </c>
      <c r="L3581" s="4" t="s">
        <v>9</v>
      </c>
      <c r="M3581" s="4" t="s">
        <v>9</v>
      </c>
      <c r="N3581" s="5"/>
    </row>
    <row r="3582" spans="1:14" x14ac:dyDescent="0.25">
      <c r="A3582" s="4" t="s">
        <v>514</v>
      </c>
      <c r="B3582" s="5"/>
      <c r="C3582" s="4" t="s">
        <v>9</v>
      </c>
      <c r="D3582" s="4" t="s">
        <v>9</v>
      </c>
      <c r="E3582" s="4" t="s">
        <v>9</v>
      </c>
      <c r="F3582" s="6">
        <v>0</v>
      </c>
      <c r="G3582" s="6">
        <v>0</v>
      </c>
      <c r="H3582" s="4" t="s">
        <v>9</v>
      </c>
      <c r="I3582" s="4" t="s">
        <v>3</v>
      </c>
      <c r="J3582" s="4" t="s">
        <v>9</v>
      </c>
      <c r="K3582" s="4" t="s">
        <v>9</v>
      </c>
      <c r="L3582" s="4" t="s">
        <v>9</v>
      </c>
      <c r="M3582" s="4" t="s">
        <v>9</v>
      </c>
      <c r="N3582" s="5"/>
    </row>
    <row r="3583" spans="1:14" x14ac:dyDescent="0.25">
      <c r="A3583" t="s">
        <v>517</v>
      </c>
      <c r="B3583" s="2">
        <v>46084</v>
      </c>
      <c r="C3583" t="s">
        <v>517</v>
      </c>
      <c r="D3583" t="s">
        <v>33</v>
      </c>
      <c r="E3583" t="s">
        <v>9</v>
      </c>
      <c r="F3583" s="3">
        <v>18848</v>
      </c>
      <c r="G3583" s="3">
        <v>18848</v>
      </c>
      <c r="H3583" t="s">
        <v>3</v>
      </c>
      <c r="I3583" t="s">
        <v>3</v>
      </c>
      <c r="J3583" t="s">
        <v>9</v>
      </c>
      <c r="K3583" t="s">
        <v>9</v>
      </c>
      <c r="L3583" t="s">
        <v>15</v>
      </c>
      <c r="M3583" t="s">
        <v>35</v>
      </c>
      <c r="N3583" s="2">
        <v>46081</v>
      </c>
    </row>
    <row r="3584" spans="1:14" x14ac:dyDescent="0.25">
      <c r="A3584" t="s">
        <v>517</v>
      </c>
      <c r="B3584" s="2">
        <v>46065</v>
      </c>
      <c r="C3584" t="s">
        <v>517</v>
      </c>
      <c r="D3584" t="s">
        <v>33</v>
      </c>
      <c r="E3584" t="s">
        <v>9</v>
      </c>
      <c r="F3584" s="3">
        <v>-18848</v>
      </c>
      <c r="G3584" s="3">
        <v>-18848</v>
      </c>
      <c r="H3584" t="s">
        <v>3</v>
      </c>
      <c r="I3584" t="s">
        <v>3</v>
      </c>
      <c r="J3584" t="s">
        <v>9</v>
      </c>
      <c r="K3584" t="s">
        <v>13</v>
      </c>
      <c r="L3584" t="s">
        <v>15</v>
      </c>
      <c r="M3584" t="s">
        <v>35</v>
      </c>
      <c r="N3584" s="2">
        <v>46065</v>
      </c>
    </row>
    <row r="3585" spans="1:14" x14ac:dyDescent="0.25">
      <c r="A3585" s="4" t="s">
        <v>239</v>
      </c>
      <c r="B3585" s="5"/>
      <c r="C3585" s="4" t="s">
        <v>9</v>
      </c>
      <c r="D3585" s="4" t="s">
        <v>9</v>
      </c>
      <c r="E3585" s="4" t="s">
        <v>9</v>
      </c>
      <c r="F3585" s="6">
        <v>0</v>
      </c>
      <c r="G3585" s="6">
        <v>0</v>
      </c>
      <c r="H3585" s="4" t="s">
        <v>9</v>
      </c>
      <c r="I3585" s="4" t="s">
        <v>3</v>
      </c>
      <c r="J3585" s="4" t="s">
        <v>9</v>
      </c>
      <c r="K3585" s="4" t="s">
        <v>9</v>
      </c>
      <c r="L3585" s="4" t="s">
        <v>9</v>
      </c>
      <c r="M3585" s="4" t="s">
        <v>9</v>
      </c>
      <c r="N3585" s="5"/>
    </row>
    <row r="3586" spans="1:14" x14ac:dyDescent="0.25">
      <c r="A3586" t="s">
        <v>517</v>
      </c>
      <c r="B3586" s="2">
        <v>46115</v>
      </c>
      <c r="C3586" t="s">
        <v>517</v>
      </c>
      <c r="D3586" t="s">
        <v>33</v>
      </c>
      <c r="E3586" t="s">
        <v>9</v>
      </c>
      <c r="F3586" s="3">
        <v>21726</v>
      </c>
      <c r="G3586" s="3">
        <v>21726</v>
      </c>
      <c r="H3586" t="s">
        <v>3</v>
      </c>
      <c r="I3586" t="s">
        <v>3</v>
      </c>
      <c r="J3586" t="s">
        <v>9</v>
      </c>
      <c r="K3586" t="s">
        <v>9</v>
      </c>
      <c r="L3586" t="s">
        <v>16</v>
      </c>
      <c r="M3586" t="s">
        <v>35</v>
      </c>
      <c r="N3586" s="2">
        <v>46112</v>
      </c>
    </row>
    <row r="3587" spans="1:14" x14ac:dyDescent="0.25">
      <c r="A3587" t="s">
        <v>517</v>
      </c>
      <c r="B3587" s="2">
        <v>46100</v>
      </c>
      <c r="C3587" t="s">
        <v>517</v>
      </c>
      <c r="D3587" t="s">
        <v>33</v>
      </c>
      <c r="E3587" t="s">
        <v>9</v>
      </c>
      <c r="F3587" s="3">
        <v>-21726</v>
      </c>
      <c r="G3587" s="3">
        <v>-21726</v>
      </c>
      <c r="H3587" t="s">
        <v>3</v>
      </c>
      <c r="I3587" t="s">
        <v>3</v>
      </c>
      <c r="J3587" t="s">
        <v>9</v>
      </c>
      <c r="K3587" t="s">
        <v>13</v>
      </c>
      <c r="L3587" t="s">
        <v>16</v>
      </c>
      <c r="M3587" t="s">
        <v>35</v>
      </c>
      <c r="N3587" s="2">
        <v>46100</v>
      </c>
    </row>
    <row r="3588" spans="1:14" x14ac:dyDescent="0.25">
      <c r="A3588" s="4" t="s">
        <v>244</v>
      </c>
      <c r="B3588" s="5"/>
      <c r="C3588" s="4" t="s">
        <v>9</v>
      </c>
      <c r="D3588" s="4" t="s">
        <v>9</v>
      </c>
      <c r="E3588" s="4" t="s">
        <v>9</v>
      </c>
      <c r="F3588" s="6">
        <v>0</v>
      </c>
      <c r="G3588" s="6">
        <v>0</v>
      </c>
      <c r="H3588" s="4" t="s">
        <v>9</v>
      </c>
      <c r="I3588" s="4" t="s">
        <v>3</v>
      </c>
      <c r="J3588" s="4" t="s">
        <v>9</v>
      </c>
      <c r="K3588" s="4" t="s">
        <v>9</v>
      </c>
      <c r="L3588" s="4" t="s">
        <v>9</v>
      </c>
      <c r="M3588" s="4" t="s">
        <v>9</v>
      </c>
      <c r="N3588" s="5"/>
    </row>
    <row r="3589" spans="1:14" x14ac:dyDescent="0.25">
      <c r="A3589" t="s">
        <v>517</v>
      </c>
      <c r="B3589" s="2">
        <v>46147</v>
      </c>
      <c r="C3589" t="s">
        <v>517</v>
      </c>
      <c r="D3589" t="s">
        <v>33</v>
      </c>
      <c r="E3589" t="s">
        <v>9</v>
      </c>
      <c r="F3589" s="3">
        <v>9345</v>
      </c>
      <c r="G3589" s="3">
        <v>9345</v>
      </c>
      <c r="H3589" t="s">
        <v>3</v>
      </c>
      <c r="I3589" t="s">
        <v>3</v>
      </c>
      <c r="J3589" t="s">
        <v>9</v>
      </c>
      <c r="K3589" t="s">
        <v>9</v>
      </c>
      <c r="L3589" t="s">
        <v>17</v>
      </c>
      <c r="M3589" t="s">
        <v>35</v>
      </c>
      <c r="N3589" s="2">
        <v>46142</v>
      </c>
    </row>
    <row r="3590" spans="1:14" x14ac:dyDescent="0.25">
      <c r="A3590" t="s">
        <v>517</v>
      </c>
      <c r="B3590" s="2">
        <v>46127</v>
      </c>
      <c r="C3590" t="s">
        <v>517</v>
      </c>
      <c r="D3590" t="s">
        <v>33</v>
      </c>
      <c r="E3590" t="s">
        <v>9</v>
      </c>
      <c r="F3590" s="3">
        <v>-9345</v>
      </c>
      <c r="G3590" s="3">
        <v>-9345</v>
      </c>
      <c r="H3590" t="s">
        <v>3</v>
      </c>
      <c r="I3590" t="s">
        <v>3</v>
      </c>
      <c r="J3590" t="s">
        <v>9</v>
      </c>
      <c r="K3590" t="s">
        <v>13</v>
      </c>
      <c r="L3590" t="s">
        <v>17</v>
      </c>
      <c r="M3590" t="s">
        <v>35</v>
      </c>
      <c r="N3590" s="2">
        <v>46127</v>
      </c>
    </row>
    <row r="3591" spans="1:14" x14ac:dyDescent="0.25">
      <c r="A3591" s="4" t="s">
        <v>249</v>
      </c>
      <c r="B3591" s="5"/>
      <c r="C3591" s="4" t="s">
        <v>9</v>
      </c>
      <c r="D3591" s="4" t="s">
        <v>9</v>
      </c>
      <c r="E3591" s="4" t="s">
        <v>9</v>
      </c>
      <c r="F3591" s="6">
        <v>0</v>
      </c>
      <c r="G3591" s="6">
        <v>0</v>
      </c>
      <c r="H3591" s="4" t="s">
        <v>9</v>
      </c>
      <c r="I3591" s="4" t="s">
        <v>3</v>
      </c>
      <c r="J3591" s="4" t="s">
        <v>9</v>
      </c>
      <c r="K3591" s="4" t="s">
        <v>9</v>
      </c>
      <c r="L3591" s="4" t="s">
        <v>9</v>
      </c>
      <c r="M3591" s="4" t="s">
        <v>9</v>
      </c>
      <c r="N3591" s="5"/>
    </row>
    <row r="3592" spans="1:14" x14ac:dyDescent="0.25">
      <c r="A3592" t="s">
        <v>517</v>
      </c>
      <c r="B3592" s="2">
        <v>46175</v>
      </c>
      <c r="C3592" t="s">
        <v>517</v>
      </c>
      <c r="D3592" t="s">
        <v>33</v>
      </c>
      <c r="E3592" t="s">
        <v>9</v>
      </c>
      <c r="F3592" s="3">
        <v>1313</v>
      </c>
      <c r="G3592" s="3">
        <v>1313</v>
      </c>
      <c r="H3592" t="s">
        <v>3</v>
      </c>
      <c r="I3592" t="s">
        <v>3</v>
      </c>
      <c r="J3592" t="s">
        <v>9</v>
      </c>
      <c r="K3592" t="s">
        <v>9</v>
      </c>
      <c r="L3592" t="s">
        <v>18</v>
      </c>
      <c r="M3592" t="s">
        <v>35</v>
      </c>
      <c r="N3592" s="2">
        <v>46173</v>
      </c>
    </row>
    <row r="3593" spans="1:14" x14ac:dyDescent="0.25">
      <c r="A3593" t="s">
        <v>517</v>
      </c>
      <c r="B3593" s="2">
        <v>46161</v>
      </c>
      <c r="C3593" t="s">
        <v>517</v>
      </c>
      <c r="D3593" t="s">
        <v>33</v>
      </c>
      <c r="E3593" t="s">
        <v>9</v>
      </c>
      <c r="F3593" s="3">
        <v>-1313</v>
      </c>
      <c r="G3593" s="3">
        <v>-1313</v>
      </c>
      <c r="H3593" t="s">
        <v>3</v>
      </c>
      <c r="I3593" t="s">
        <v>3</v>
      </c>
      <c r="J3593" t="s">
        <v>9</v>
      </c>
      <c r="K3593" t="s">
        <v>13</v>
      </c>
      <c r="L3593" t="s">
        <v>18</v>
      </c>
      <c r="M3593" t="s">
        <v>35</v>
      </c>
      <c r="N3593" s="2">
        <v>46161</v>
      </c>
    </row>
    <row r="3594" spans="1:14" x14ac:dyDescent="0.25">
      <c r="A3594" s="4" t="s">
        <v>223</v>
      </c>
      <c r="B3594" s="5"/>
      <c r="C3594" s="4" t="s">
        <v>9</v>
      </c>
      <c r="D3594" s="4" t="s">
        <v>9</v>
      </c>
      <c r="E3594" s="4" t="s">
        <v>9</v>
      </c>
      <c r="F3594" s="6">
        <v>0</v>
      </c>
      <c r="G3594" s="6">
        <v>0</v>
      </c>
      <c r="H3594" s="4" t="s">
        <v>9</v>
      </c>
      <c r="I3594" s="4" t="s">
        <v>3</v>
      </c>
      <c r="J3594" s="4" t="s">
        <v>9</v>
      </c>
      <c r="K3594" s="4" t="s">
        <v>9</v>
      </c>
      <c r="L3594" s="4" t="s">
        <v>9</v>
      </c>
      <c r="M3594" s="4" t="s">
        <v>9</v>
      </c>
      <c r="N3594" s="5"/>
    </row>
    <row r="3595" spans="1:14" x14ac:dyDescent="0.25">
      <c r="A3595" t="s">
        <v>517</v>
      </c>
      <c r="B3595" s="2">
        <v>46205</v>
      </c>
      <c r="C3595" t="s">
        <v>517</v>
      </c>
      <c r="D3595" t="s">
        <v>33</v>
      </c>
      <c r="E3595" t="s">
        <v>9</v>
      </c>
      <c r="F3595" s="3">
        <v>3623</v>
      </c>
      <c r="G3595" s="3">
        <v>3623</v>
      </c>
      <c r="H3595" t="s">
        <v>3</v>
      </c>
      <c r="I3595" t="s">
        <v>3</v>
      </c>
      <c r="J3595" t="s">
        <v>9</v>
      </c>
      <c r="K3595" t="s">
        <v>9</v>
      </c>
      <c r="L3595" t="s">
        <v>19</v>
      </c>
      <c r="M3595" t="s">
        <v>35</v>
      </c>
      <c r="N3595" s="2">
        <v>46203</v>
      </c>
    </row>
    <row r="3596" spans="1:14" x14ac:dyDescent="0.25">
      <c r="A3596" t="s">
        <v>517</v>
      </c>
      <c r="B3596" s="2">
        <v>46192</v>
      </c>
      <c r="C3596" t="s">
        <v>517</v>
      </c>
      <c r="D3596" t="s">
        <v>33</v>
      </c>
      <c r="E3596" t="s">
        <v>9</v>
      </c>
      <c r="F3596" s="3">
        <v>-3623</v>
      </c>
      <c r="G3596" s="3">
        <v>-3623</v>
      </c>
      <c r="H3596" t="s">
        <v>3</v>
      </c>
      <c r="I3596" t="s">
        <v>3</v>
      </c>
      <c r="J3596" t="s">
        <v>9</v>
      </c>
      <c r="K3596" t="s">
        <v>13</v>
      </c>
      <c r="L3596" t="s">
        <v>19</v>
      </c>
      <c r="M3596" t="s">
        <v>35</v>
      </c>
      <c r="N3596" s="2">
        <v>46192</v>
      </c>
    </row>
    <row r="3597" spans="1:14" x14ac:dyDescent="0.25">
      <c r="A3597" s="4" t="s">
        <v>224</v>
      </c>
      <c r="B3597" s="5"/>
      <c r="C3597" s="4" t="s">
        <v>9</v>
      </c>
      <c r="D3597" s="4" t="s">
        <v>9</v>
      </c>
      <c r="E3597" s="4" t="s">
        <v>9</v>
      </c>
      <c r="F3597" s="6">
        <v>0</v>
      </c>
      <c r="G3597" s="6">
        <v>0</v>
      </c>
      <c r="H3597" s="4" t="s">
        <v>9</v>
      </c>
      <c r="I3597" s="4" t="s">
        <v>3</v>
      </c>
      <c r="J3597" s="4" t="s">
        <v>9</v>
      </c>
      <c r="K3597" s="4" t="s">
        <v>9</v>
      </c>
      <c r="L3597" s="4" t="s">
        <v>9</v>
      </c>
      <c r="M3597" s="4" t="s">
        <v>9</v>
      </c>
      <c r="N3597" s="5"/>
    </row>
    <row r="3598" spans="1:14" x14ac:dyDescent="0.25">
      <c r="A3598" t="s">
        <v>517</v>
      </c>
      <c r="B3598" s="2">
        <v>45901</v>
      </c>
      <c r="C3598" t="s">
        <v>517</v>
      </c>
      <c r="D3598" t="s">
        <v>33</v>
      </c>
      <c r="E3598" t="s">
        <v>9</v>
      </c>
      <c r="F3598" s="3">
        <v>15435</v>
      </c>
      <c r="G3598" s="3">
        <v>15435</v>
      </c>
      <c r="H3598" t="s">
        <v>3</v>
      </c>
      <c r="I3598" t="s">
        <v>3</v>
      </c>
      <c r="J3598" t="s">
        <v>9</v>
      </c>
      <c r="K3598" t="s">
        <v>9</v>
      </c>
      <c r="L3598" t="s">
        <v>22</v>
      </c>
      <c r="M3598" t="s">
        <v>35</v>
      </c>
      <c r="N3598" s="2">
        <v>45900</v>
      </c>
    </row>
    <row r="3599" spans="1:14" x14ac:dyDescent="0.25">
      <c r="A3599" t="s">
        <v>517</v>
      </c>
      <c r="B3599" s="2">
        <v>46267</v>
      </c>
      <c r="C3599" t="s">
        <v>517</v>
      </c>
      <c r="D3599" t="s">
        <v>33</v>
      </c>
      <c r="E3599" t="s">
        <v>9</v>
      </c>
      <c r="F3599" s="3">
        <v>12810</v>
      </c>
      <c r="G3599" s="3">
        <v>12810</v>
      </c>
      <c r="H3599" t="s">
        <v>3</v>
      </c>
      <c r="I3599" t="s">
        <v>3</v>
      </c>
      <c r="J3599" t="s">
        <v>9</v>
      </c>
      <c r="K3599" t="s">
        <v>9</v>
      </c>
      <c r="L3599" t="s">
        <v>22</v>
      </c>
      <c r="M3599" t="s">
        <v>35</v>
      </c>
      <c r="N3599" s="2">
        <v>46265</v>
      </c>
    </row>
    <row r="3600" spans="1:14" x14ac:dyDescent="0.25">
      <c r="A3600" t="s">
        <v>517</v>
      </c>
      <c r="B3600" s="2">
        <v>45888</v>
      </c>
      <c r="C3600" t="s">
        <v>517</v>
      </c>
      <c r="D3600" t="s">
        <v>33</v>
      </c>
      <c r="E3600" t="s">
        <v>9</v>
      </c>
      <c r="F3600" s="3">
        <v>-15435</v>
      </c>
      <c r="G3600" s="3">
        <v>-15435</v>
      </c>
      <c r="H3600" t="s">
        <v>3</v>
      </c>
      <c r="I3600" t="s">
        <v>3</v>
      </c>
      <c r="J3600" t="s">
        <v>9</v>
      </c>
      <c r="K3600" t="s">
        <v>5</v>
      </c>
      <c r="L3600" t="s">
        <v>22</v>
      </c>
      <c r="M3600" t="s">
        <v>35</v>
      </c>
      <c r="N3600" s="2">
        <v>45888</v>
      </c>
    </row>
    <row r="3601" spans="1:14" x14ac:dyDescent="0.25">
      <c r="A3601" t="s">
        <v>517</v>
      </c>
      <c r="B3601" s="2">
        <v>46246</v>
      </c>
      <c r="C3601" t="s">
        <v>517</v>
      </c>
      <c r="D3601" t="s">
        <v>33</v>
      </c>
      <c r="E3601" t="s">
        <v>9</v>
      </c>
      <c r="F3601" s="3">
        <v>-7875</v>
      </c>
      <c r="G3601" s="3">
        <v>-7875</v>
      </c>
      <c r="H3601" t="s">
        <v>3</v>
      </c>
      <c r="I3601" t="s">
        <v>3</v>
      </c>
      <c r="J3601" t="s">
        <v>9</v>
      </c>
      <c r="K3601" t="s">
        <v>13</v>
      </c>
      <c r="L3601" t="s">
        <v>22</v>
      </c>
      <c r="M3601" t="s">
        <v>35</v>
      </c>
      <c r="N3601" s="2">
        <v>46246</v>
      </c>
    </row>
    <row r="3602" spans="1:14" x14ac:dyDescent="0.25">
      <c r="A3602" t="s">
        <v>517</v>
      </c>
      <c r="B3602" s="2">
        <v>46254</v>
      </c>
      <c r="C3602" t="s">
        <v>517</v>
      </c>
      <c r="D3602" t="s">
        <v>33</v>
      </c>
      <c r="E3602" t="s">
        <v>9</v>
      </c>
      <c r="F3602" s="3">
        <v>-4935</v>
      </c>
      <c r="G3602" s="3">
        <v>-4935</v>
      </c>
      <c r="H3602" t="s">
        <v>3</v>
      </c>
      <c r="I3602" t="s">
        <v>3</v>
      </c>
      <c r="J3602" t="s">
        <v>9</v>
      </c>
      <c r="K3602" t="s">
        <v>13</v>
      </c>
      <c r="L3602" t="s">
        <v>22</v>
      </c>
      <c r="M3602" t="s">
        <v>35</v>
      </c>
      <c r="N3602" s="2">
        <v>46254</v>
      </c>
    </row>
    <row r="3603" spans="1:14" x14ac:dyDescent="0.25">
      <c r="A3603" s="4" t="s">
        <v>267</v>
      </c>
      <c r="B3603" s="5"/>
      <c r="C3603" s="4" t="s">
        <v>9</v>
      </c>
      <c r="D3603" s="4" t="s">
        <v>9</v>
      </c>
      <c r="E3603" s="4" t="s">
        <v>9</v>
      </c>
      <c r="F3603" s="6">
        <v>0</v>
      </c>
      <c r="G3603" s="6">
        <v>0</v>
      </c>
      <c r="H3603" s="4" t="s">
        <v>9</v>
      </c>
      <c r="I3603" s="4" t="s">
        <v>3</v>
      </c>
      <c r="J3603" s="4" t="s">
        <v>9</v>
      </c>
      <c r="K3603" s="4" t="s">
        <v>9</v>
      </c>
      <c r="L3603" s="4" t="s">
        <v>9</v>
      </c>
      <c r="M3603" s="4" t="s">
        <v>9</v>
      </c>
      <c r="N3603" s="5"/>
    </row>
    <row r="3604" spans="1:14" x14ac:dyDescent="0.25">
      <c r="A3604" t="s">
        <v>517</v>
      </c>
      <c r="B3604" s="2">
        <v>45965</v>
      </c>
      <c r="C3604" t="s">
        <v>517</v>
      </c>
      <c r="D3604" t="s">
        <v>33</v>
      </c>
      <c r="E3604" t="s">
        <v>9</v>
      </c>
      <c r="F3604" s="3">
        <v>12705</v>
      </c>
      <c r="G3604" s="3">
        <v>12705</v>
      </c>
      <c r="H3604" t="s">
        <v>3</v>
      </c>
      <c r="I3604" t="s">
        <v>3</v>
      </c>
      <c r="J3604" t="s">
        <v>9</v>
      </c>
      <c r="K3604" t="s">
        <v>9</v>
      </c>
      <c r="L3604" t="s">
        <v>8</v>
      </c>
      <c r="M3604" t="s">
        <v>35</v>
      </c>
      <c r="N3604" s="2">
        <v>45961</v>
      </c>
    </row>
    <row r="3605" spans="1:14" x14ac:dyDescent="0.25">
      <c r="A3605" t="s">
        <v>517</v>
      </c>
      <c r="B3605" s="2">
        <v>45947</v>
      </c>
      <c r="C3605" t="s">
        <v>517</v>
      </c>
      <c r="D3605" t="s">
        <v>33</v>
      </c>
      <c r="E3605" t="s">
        <v>9</v>
      </c>
      <c r="F3605" s="3">
        <v>-12705</v>
      </c>
      <c r="G3605" s="3">
        <v>-12705</v>
      </c>
      <c r="H3605" t="s">
        <v>3</v>
      </c>
      <c r="I3605" t="s">
        <v>3</v>
      </c>
      <c r="J3605" t="s">
        <v>9</v>
      </c>
      <c r="K3605" t="s">
        <v>5</v>
      </c>
      <c r="L3605" t="s">
        <v>8</v>
      </c>
      <c r="M3605" t="s">
        <v>35</v>
      </c>
      <c r="N3605" s="2">
        <v>45947</v>
      </c>
    </row>
    <row r="3606" spans="1:14" x14ac:dyDescent="0.25">
      <c r="A3606" s="4" t="s">
        <v>278</v>
      </c>
      <c r="B3606" s="5"/>
      <c r="C3606" s="4" t="s">
        <v>9</v>
      </c>
      <c r="D3606" s="4" t="s">
        <v>9</v>
      </c>
      <c r="E3606" s="4" t="s">
        <v>9</v>
      </c>
      <c r="F3606" s="6">
        <v>0</v>
      </c>
      <c r="G3606" s="6">
        <v>0</v>
      </c>
      <c r="H3606" s="4" t="s">
        <v>9</v>
      </c>
      <c r="I3606" s="4" t="s">
        <v>3</v>
      </c>
      <c r="J3606" s="4" t="s">
        <v>9</v>
      </c>
      <c r="K3606" s="4" t="s">
        <v>9</v>
      </c>
      <c r="L3606" s="4" t="s">
        <v>9</v>
      </c>
      <c r="M3606" s="4" t="s">
        <v>9</v>
      </c>
      <c r="N3606" s="5"/>
    </row>
    <row r="3607" spans="1:14" x14ac:dyDescent="0.25">
      <c r="A3607" t="s">
        <v>517</v>
      </c>
      <c r="B3607" s="2">
        <v>45993</v>
      </c>
      <c r="C3607" t="s">
        <v>517</v>
      </c>
      <c r="D3607" t="s">
        <v>33</v>
      </c>
      <c r="E3607" t="s">
        <v>9</v>
      </c>
      <c r="F3607" s="3">
        <v>15645</v>
      </c>
      <c r="G3607" s="3">
        <v>15645</v>
      </c>
      <c r="H3607" t="s">
        <v>3</v>
      </c>
      <c r="I3607" t="s">
        <v>3</v>
      </c>
      <c r="J3607" t="s">
        <v>9</v>
      </c>
      <c r="K3607" t="s">
        <v>9</v>
      </c>
      <c r="L3607" t="s">
        <v>11</v>
      </c>
      <c r="M3607" t="s">
        <v>35</v>
      </c>
      <c r="N3607" s="2">
        <v>45991</v>
      </c>
    </row>
    <row r="3608" spans="1:14" x14ac:dyDescent="0.25">
      <c r="A3608" t="s">
        <v>517</v>
      </c>
      <c r="B3608" s="2">
        <v>45979</v>
      </c>
      <c r="C3608" t="s">
        <v>517</v>
      </c>
      <c r="D3608" t="s">
        <v>33</v>
      </c>
      <c r="E3608" t="s">
        <v>9</v>
      </c>
      <c r="F3608" s="3">
        <v>-15645</v>
      </c>
      <c r="G3608" s="3">
        <v>-15645</v>
      </c>
      <c r="H3608" t="s">
        <v>3</v>
      </c>
      <c r="I3608" t="s">
        <v>3</v>
      </c>
      <c r="J3608" t="s">
        <v>9</v>
      </c>
      <c r="K3608" t="s">
        <v>5</v>
      </c>
      <c r="L3608" t="s">
        <v>11</v>
      </c>
      <c r="M3608" t="s">
        <v>35</v>
      </c>
      <c r="N3608" s="2">
        <v>45979</v>
      </c>
    </row>
    <row r="3609" spans="1:14" x14ac:dyDescent="0.25">
      <c r="A3609" s="4" t="s">
        <v>226</v>
      </c>
      <c r="B3609" s="5"/>
      <c r="C3609" s="4" t="s">
        <v>9</v>
      </c>
      <c r="D3609" s="4" t="s">
        <v>9</v>
      </c>
      <c r="E3609" s="4" t="s">
        <v>9</v>
      </c>
      <c r="F3609" s="6">
        <v>0</v>
      </c>
      <c r="G3609" s="6">
        <v>0</v>
      </c>
      <c r="H3609" s="4" t="s">
        <v>9</v>
      </c>
      <c r="I3609" s="4" t="s">
        <v>3</v>
      </c>
      <c r="J3609" s="4" t="s">
        <v>9</v>
      </c>
      <c r="K3609" s="4" t="s">
        <v>9</v>
      </c>
      <c r="L3609" s="4" t="s">
        <v>9</v>
      </c>
      <c r="M3609" s="4" t="s">
        <v>9</v>
      </c>
      <c r="N3609" s="5"/>
    </row>
    <row r="3610" spans="1:14" x14ac:dyDescent="0.25">
      <c r="A3610" t="s">
        <v>517</v>
      </c>
      <c r="B3610" s="2">
        <v>46028</v>
      </c>
      <c r="C3610" t="s">
        <v>517</v>
      </c>
      <c r="D3610" t="s">
        <v>33</v>
      </c>
      <c r="E3610" t="s">
        <v>9</v>
      </c>
      <c r="F3610" s="3">
        <v>107241</v>
      </c>
      <c r="G3610" s="3">
        <v>107241</v>
      </c>
      <c r="H3610" t="s">
        <v>3</v>
      </c>
      <c r="I3610" t="s">
        <v>3</v>
      </c>
      <c r="J3610" t="s">
        <v>9</v>
      </c>
      <c r="K3610" t="s">
        <v>9</v>
      </c>
      <c r="L3610" t="s">
        <v>12</v>
      </c>
      <c r="M3610" t="s">
        <v>35</v>
      </c>
      <c r="N3610" s="2">
        <v>46022</v>
      </c>
    </row>
    <row r="3611" spans="1:14" x14ac:dyDescent="0.25">
      <c r="A3611" t="s">
        <v>517</v>
      </c>
      <c r="B3611" s="2">
        <v>46007</v>
      </c>
      <c r="C3611" t="s">
        <v>517</v>
      </c>
      <c r="D3611" t="s">
        <v>33</v>
      </c>
      <c r="E3611" t="s">
        <v>9</v>
      </c>
      <c r="F3611" s="3">
        <v>-107241</v>
      </c>
      <c r="G3611" s="3">
        <v>-107241</v>
      </c>
      <c r="H3611" t="s">
        <v>3</v>
      </c>
      <c r="I3611" t="s">
        <v>3</v>
      </c>
      <c r="J3611" t="s">
        <v>9</v>
      </c>
      <c r="K3611" t="s">
        <v>5</v>
      </c>
      <c r="L3611" t="s">
        <v>12</v>
      </c>
      <c r="M3611" t="s">
        <v>35</v>
      </c>
      <c r="N3611" s="2">
        <v>46007</v>
      </c>
    </row>
    <row r="3612" spans="1:14" x14ac:dyDescent="0.25">
      <c r="A3612" s="4" t="s">
        <v>228</v>
      </c>
      <c r="B3612" s="5"/>
      <c r="C3612" s="4" t="s">
        <v>9</v>
      </c>
      <c r="D3612" s="4" t="s">
        <v>9</v>
      </c>
      <c r="E3612" s="4" t="s">
        <v>9</v>
      </c>
      <c r="F3612" s="6">
        <v>0</v>
      </c>
      <c r="G3612" s="6">
        <v>0</v>
      </c>
      <c r="H3612" s="4" t="s">
        <v>9</v>
      </c>
      <c r="I3612" s="4" t="s">
        <v>3</v>
      </c>
      <c r="J3612" s="4" t="s">
        <v>9</v>
      </c>
      <c r="K3612" s="4" t="s">
        <v>9</v>
      </c>
      <c r="L3612" s="4" t="s">
        <v>9</v>
      </c>
      <c r="M3612" s="4" t="s">
        <v>9</v>
      </c>
      <c r="N3612" s="5"/>
    </row>
    <row r="3613" spans="1:14" x14ac:dyDescent="0.25">
      <c r="A3613" s="4" t="s">
        <v>517</v>
      </c>
      <c r="B3613" s="5"/>
      <c r="C3613" s="4" t="s">
        <v>9</v>
      </c>
      <c r="D3613" s="4" t="s">
        <v>9</v>
      </c>
      <c r="E3613" s="4" t="s">
        <v>9</v>
      </c>
      <c r="F3613" s="6">
        <v>0</v>
      </c>
      <c r="G3613" s="6">
        <v>0</v>
      </c>
      <c r="H3613" s="4" t="s">
        <v>9</v>
      </c>
      <c r="I3613" s="4" t="s">
        <v>3</v>
      </c>
      <c r="J3613" s="4" t="s">
        <v>9</v>
      </c>
      <c r="K3613" s="4" t="s">
        <v>9</v>
      </c>
      <c r="L3613" s="4" t="s">
        <v>9</v>
      </c>
      <c r="M3613" s="4" t="s">
        <v>9</v>
      </c>
      <c r="N3613" s="5"/>
    </row>
    <row r="3614" spans="1:14" x14ac:dyDescent="0.25">
      <c r="A3614" t="s">
        <v>518</v>
      </c>
      <c r="B3614" s="2">
        <v>46056</v>
      </c>
      <c r="C3614" t="s">
        <v>518</v>
      </c>
      <c r="D3614" t="s">
        <v>112</v>
      </c>
      <c r="E3614" t="s">
        <v>9</v>
      </c>
      <c r="F3614" s="3">
        <v>-17950</v>
      </c>
      <c r="G3614" s="3">
        <v>-17950</v>
      </c>
      <c r="H3614" t="s">
        <v>3</v>
      </c>
      <c r="I3614" t="s">
        <v>3</v>
      </c>
      <c r="J3614" t="s">
        <v>9</v>
      </c>
      <c r="K3614" t="s">
        <v>9</v>
      </c>
      <c r="L3614" t="s">
        <v>14</v>
      </c>
      <c r="M3614" t="s">
        <v>114</v>
      </c>
      <c r="N3614" s="2">
        <v>46053</v>
      </c>
    </row>
    <row r="3615" spans="1:14" x14ac:dyDescent="0.25">
      <c r="A3615" t="s">
        <v>518</v>
      </c>
      <c r="B3615" s="2">
        <v>46022</v>
      </c>
      <c r="C3615" t="s">
        <v>518</v>
      </c>
      <c r="D3615" t="s">
        <v>112</v>
      </c>
      <c r="E3615" t="s">
        <v>9</v>
      </c>
      <c r="F3615" s="3">
        <v>-85441</v>
      </c>
      <c r="G3615" s="3">
        <v>-85441</v>
      </c>
      <c r="H3615" t="s">
        <v>3</v>
      </c>
      <c r="I3615" t="s">
        <v>3</v>
      </c>
      <c r="J3615" t="s">
        <v>298</v>
      </c>
      <c r="K3615" t="s">
        <v>13</v>
      </c>
      <c r="L3615" t="s">
        <v>14</v>
      </c>
      <c r="M3615" t="s">
        <v>114</v>
      </c>
      <c r="N3615" s="2">
        <v>46023</v>
      </c>
    </row>
    <row r="3616" spans="1:14" x14ac:dyDescent="0.25">
      <c r="A3616" t="s">
        <v>518</v>
      </c>
      <c r="B3616" s="2">
        <v>46022</v>
      </c>
      <c r="C3616" t="s">
        <v>518</v>
      </c>
      <c r="D3616" t="s">
        <v>112</v>
      </c>
      <c r="E3616" t="s">
        <v>9</v>
      </c>
      <c r="F3616" s="3">
        <v>-300</v>
      </c>
      <c r="G3616" s="3">
        <v>-300</v>
      </c>
      <c r="H3616" t="s">
        <v>3</v>
      </c>
      <c r="I3616" t="s">
        <v>3</v>
      </c>
      <c r="J3616" t="s">
        <v>299</v>
      </c>
      <c r="K3616" t="s">
        <v>13</v>
      </c>
      <c r="L3616" t="s">
        <v>14</v>
      </c>
      <c r="M3616" t="s">
        <v>114</v>
      </c>
      <c r="N3616" s="2">
        <v>46023</v>
      </c>
    </row>
    <row r="3617" spans="1:14" x14ac:dyDescent="0.25">
      <c r="A3617" t="s">
        <v>518</v>
      </c>
      <c r="B3617" s="2">
        <v>46023</v>
      </c>
      <c r="C3617" t="s">
        <v>518</v>
      </c>
      <c r="D3617" t="s">
        <v>112</v>
      </c>
      <c r="E3617" t="s">
        <v>9</v>
      </c>
      <c r="F3617" s="3">
        <v>85441</v>
      </c>
      <c r="G3617" s="3">
        <v>85441</v>
      </c>
      <c r="H3617" t="s">
        <v>3</v>
      </c>
      <c r="I3617" t="s">
        <v>3</v>
      </c>
      <c r="J3617" t="s">
        <v>298</v>
      </c>
      <c r="K3617" t="s">
        <v>13</v>
      </c>
      <c r="L3617" t="s">
        <v>14</v>
      </c>
      <c r="M3617" t="s">
        <v>114</v>
      </c>
      <c r="N3617" s="2">
        <v>46023</v>
      </c>
    </row>
    <row r="3618" spans="1:14" x14ac:dyDescent="0.25">
      <c r="A3618" t="s">
        <v>518</v>
      </c>
      <c r="B3618" s="2">
        <v>46023</v>
      </c>
      <c r="C3618" t="s">
        <v>518</v>
      </c>
      <c r="D3618" t="s">
        <v>112</v>
      </c>
      <c r="E3618" t="s">
        <v>9</v>
      </c>
      <c r="F3618" s="3">
        <v>300</v>
      </c>
      <c r="G3618" s="3">
        <v>300</v>
      </c>
      <c r="H3618" t="s">
        <v>3</v>
      </c>
      <c r="I3618" t="s">
        <v>3</v>
      </c>
      <c r="J3618" t="s">
        <v>299</v>
      </c>
      <c r="K3618" t="s">
        <v>13</v>
      </c>
      <c r="L3618" t="s">
        <v>14</v>
      </c>
      <c r="M3618" t="s">
        <v>114</v>
      </c>
      <c r="N3618" s="2">
        <v>46023</v>
      </c>
    </row>
    <row r="3619" spans="1:14" x14ac:dyDescent="0.25">
      <c r="A3619" t="s">
        <v>518</v>
      </c>
      <c r="B3619" s="2">
        <v>46053</v>
      </c>
      <c r="C3619" t="s">
        <v>518</v>
      </c>
      <c r="D3619" t="s">
        <v>112</v>
      </c>
      <c r="E3619" t="s">
        <v>9</v>
      </c>
      <c r="F3619" s="3">
        <v>17950</v>
      </c>
      <c r="G3619" s="3">
        <v>17950</v>
      </c>
      <c r="H3619" t="s">
        <v>3</v>
      </c>
      <c r="I3619" t="s">
        <v>3</v>
      </c>
      <c r="J3619" t="s">
        <v>300</v>
      </c>
      <c r="K3619" t="s">
        <v>13</v>
      </c>
      <c r="L3619" t="s">
        <v>14</v>
      </c>
      <c r="M3619" t="s">
        <v>114</v>
      </c>
      <c r="N3619" s="2">
        <v>46053</v>
      </c>
    </row>
    <row r="3620" spans="1:14" x14ac:dyDescent="0.25">
      <c r="A3620" s="4" t="s">
        <v>234</v>
      </c>
      <c r="B3620" s="5"/>
      <c r="C3620" s="4" t="s">
        <v>9</v>
      </c>
      <c r="D3620" s="4" t="s">
        <v>9</v>
      </c>
      <c r="E3620" s="4" t="s">
        <v>9</v>
      </c>
      <c r="F3620" s="6">
        <v>0</v>
      </c>
      <c r="G3620" s="6">
        <v>0</v>
      </c>
      <c r="H3620" s="4" t="s">
        <v>9</v>
      </c>
      <c r="I3620" s="4" t="s">
        <v>3</v>
      </c>
      <c r="J3620" s="4" t="s">
        <v>9</v>
      </c>
      <c r="K3620" s="4" t="s">
        <v>9</v>
      </c>
      <c r="L3620" s="4" t="s">
        <v>9</v>
      </c>
      <c r="M3620" s="4" t="s">
        <v>9</v>
      </c>
      <c r="N3620" s="5"/>
    </row>
    <row r="3621" spans="1:14" x14ac:dyDescent="0.25">
      <c r="A3621" t="s">
        <v>518</v>
      </c>
      <c r="B3621" s="2">
        <v>46084</v>
      </c>
      <c r="C3621" t="s">
        <v>518</v>
      </c>
      <c r="D3621" t="s">
        <v>112</v>
      </c>
      <c r="E3621" t="s">
        <v>9</v>
      </c>
      <c r="F3621" s="3">
        <v>-15535</v>
      </c>
      <c r="G3621" s="3">
        <v>-15535</v>
      </c>
      <c r="H3621" t="s">
        <v>3</v>
      </c>
      <c r="I3621" t="s">
        <v>3</v>
      </c>
      <c r="J3621" t="s">
        <v>9</v>
      </c>
      <c r="K3621" t="s">
        <v>9</v>
      </c>
      <c r="L3621" t="s">
        <v>15</v>
      </c>
      <c r="M3621" t="s">
        <v>114</v>
      </c>
      <c r="N3621" s="2">
        <v>46081</v>
      </c>
    </row>
    <row r="3622" spans="1:14" x14ac:dyDescent="0.25">
      <c r="A3622" t="s">
        <v>518</v>
      </c>
      <c r="B3622" s="2">
        <v>46054</v>
      </c>
      <c r="C3622" t="s">
        <v>518</v>
      </c>
      <c r="D3622" t="s">
        <v>112</v>
      </c>
      <c r="E3622" t="s">
        <v>9</v>
      </c>
      <c r="F3622" s="3">
        <v>-17950</v>
      </c>
      <c r="G3622" s="3">
        <v>-17950</v>
      </c>
      <c r="H3622" t="s">
        <v>3</v>
      </c>
      <c r="I3622" t="s">
        <v>3</v>
      </c>
      <c r="J3622" t="s">
        <v>300</v>
      </c>
      <c r="K3622" t="s">
        <v>13</v>
      </c>
      <c r="L3622" t="s">
        <v>15</v>
      </c>
      <c r="M3622" t="s">
        <v>114</v>
      </c>
      <c r="N3622" s="2">
        <v>46054</v>
      </c>
    </row>
    <row r="3623" spans="1:14" x14ac:dyDescent="0.25">
      <c r="A3623" t="s">
        <v>518</v>
      </c>
      <c r="B3623" s="2">
        <v>46054</v>
      </c>
      <c r="C3623" t="s">
        <v>518</v>
      </c>
      <c r="D3623" t="s">
        <v>112</v>
      </c>
      <c r="E3623" t="s">
        <v>9</v>
      </c>
      <c r="F3623" s="3">
        <v>17950</v>
      </c>
      <c r="G3623" s="3">
        <v>17950</v>
      </c>
      <c r="H3623" t="s">
        <v>3</v>
      </c>
      <c r="I3623" t="s">
        <v>3</v>
      </c>
      <c r="J3623" t="s">
        <v>300</v>
      </c>
      <c r="K3623" t="s">
        <v>13</v>
      </c>
      <c r="L3623" t="s">
        <v>15</v>
      </c>
      <c r="M3623" t="s">
        <v>114</v>
      </c>
      <c r="N3623" s="2">
        <v>46055</v>
      </c>
    </row>
    <row r="3624" spans="1:14" x14ac:dyDescent="0.25">
      <c r="A3624" t="s">
        <v>518</v>
      </c>
      <c r="B3624" s="2">
        <v>46054</v>
      </c>
      <c r="C3624" t="s">
        <v>518</v>
      </c>
      <c r="D3624" t="s">
        <v>112</v>
      </c>
      <c r="E3624" t="s">
        <v>9</v>
      </c>
      <c r="F3624" s="3">
        <v>-17950</v>
      </c>
      <c r="G3624" s="3">
        <v>-17950</v>
      </c>
      <c r="H3624" t="s">
        <v>3</v>
      </c>
      <c r="I3624" t="s">
        <v>3</v>
      </c>
      <c r="J3624" t="s">
        <v>300</v>
      </c>
      <c r="K3624" t="s">
        <v>13</v>
      </c>
      <c r="L3624" t="s">
        <v>15</v>
      </c>
      <c r="M3624" t="s">
        <v>114</v>
      </c>
      <c r="N3624" s="2">
        <v>46054</v>
      </c>
    </row>
    <row r="3625" spans="1:14" x14ac:dyDescent="0.25">
      <c r="A3625" t="s">
        <v>518</v>
      </c>
      <c r="B3625" s="2">
        <v>46081</v>
      </c>
      <c r="C3625" t="s">
        <v>518</v>
      </c>
      <c r="D3625" t="s">
        <v>112</v>
      </c>
      <c r="E3625" t="s">
        <v>9</v>
      </c>
      <c r="F3625" s="3">
        <v>33485</v>
      </c>
      <c r="G3625" s="3">
        <v>33485</v>
      </c>
      <c r="H3625" t="s">
        <v>3</v>
      </c>
      <c r="I3625" t="s">
        <v>3</v>
      </c>
      <c r="J3625" t="s">
        <v>304</v>
      </c>
      <c r="K3625" t="s">
        <v>13</v>
      </c>
      <c r="L3625" t="s">
        <v>15</v>
      </c>
      <c r="M3625" t="s">
        <v>114</v>
      </c>
      <c r="N3625" s="2">
        <v>46081</v>
      </c>
    </row>
    <row r="3626" spans="1:14" x14ac:dyDescent="0.25">
      <c r="A3626" s="4" t="s">
        <v>239</v>
      </c>
      <c r="B3626" s="5"/>
      <c r="C3626" s="4" t="s">
        <v>9</v>
      </c>
      <c r="D3626" s="4" t="s">
        <v>9</v>
      </c>
      <c r="E3626" s="4" t="s">
        <v>9</v>
      </c>
      <c r="F3626" s="6">
        <v>0</v>
      </c>
      <c r="G3626" s="6">
        <v>0</v>
      </c>
      <c r="H3626" s="4" t="s">
        <v>9</v>
      </c>
      <c r="I3626" s="4" t="s">
        <v>3</v>
      </c>
      <c r="J3626" s="4" t="s">
        <v>9</v>
      </c>
      <c r="K3626" s="4" t="s">
        <v>9</v>
      </c>
      <c r="L3626" s="4" t="s">
        <v>9</v>
      </c>
      <c r="M3626" s="4" t="s">
        <v>9</v>
      </c>
      <c r="N3626" s="5"/>
    </row>
    <row r="3627" spans="1:14" x14ac:dyDescent="0.25">
      <c r="A3627" t="s">
        <v>518</v>
      </c>
      <c r="B3627" s="2">
        <v>46115</v>
      </c>
      <c r="C3627" t="s">
        <v>518</v>
      </c>
      <c r="D3627" t="s">
        <v>112</v>
      </c>
      <c r="E3627" t="s">
        <v>9</v>
      </c>
      <c r="F3627" s="3">
        <v>-8900</v>
      </c>
      <c r="G3627" s="3">
        <v>-8900</v>
      </c>
      <c r="H3627" t="s">
        <v>3</v>
      </c>
      <c r="I3627" t="s">
        <v>3</v>
      </c>
      <c r="J3627" t="s">
        <v>9</v>
      </c>
      <c r="K3627" t="s">
        <v>9</v>
      </c>
      <c r="L3627" t="s">
        <v>16</v>
      </c>
      <c r="M3627" t="s">
        <v>114</v>
      </c>
      <c r="N3627" s="2">
        <v>46112</v>
      </c>
    </row>
    <row r="3628" spans="1:14" x14ac:dyDescent="0.25">
      <c r="A3628" t="s">
        <v>518</v>
      </c>
      <c r="B3628" s="2">
        <v>46081</v>
      </c>
      <c r="C3628" t="s">
        <v>518</v>
      </c>
      <c r="D3628" t="s">
        <v>112</v>
      </c>
      <c r="E3628" t="s">
        <v>9</v>
      </c>
      <c r="F3628" s="3">
        <v>-33485</v>
      </c>
      <c r="G3628" s="3">
        <v>-33485</v>
      </c>
      <c r="H3628" t="s">
        <v>3</v>
      </c>
      <c r="I3628" t="s">
        <v>3</v>
      </c>
      <c r="J3628" t="s">
        <v>304</v>
      </c>
      <c r="K3628" t="s">
        <v>13</v>
      </c>
      <c r="L3628" t="s">
        <v>16</v>
      </c>
      <c r="M3628" t="s">
        <v>114</v>
      </c>
      <c r="N3628" s="2">
        <v>46082</v>
      </c>
    </row>
    <row r="3629" spans="1:14" x14ac:dyDescent="0.25">
      <c r="A3629" t="s">
        <v>518</v>
      </c>
      <c r="B3629" s="2">
        <v>46112</v>
      </c>
      <c r="C3629" t="s">
        <v>518</v>
      </c>
      <c r="D3629" t="s">
        <v>112</v>
      </c>
      <c r="E3629" t="s">
        <v>9</v>
      </c>
      <c r="F3629" s="3">
        <v>42385</v>
      </c>
      <c r="G3629" s="3">
        <v>42385</v>
      </c>
      <c r="H3629" t="s">
        <v>3</v>
      </c>
      <c r="I3629" t="s">
        <v>3</v>
      </c>
      <c r="J3629" t="s">
        <v>307</v>
      </c>
      <c r="K3629" t="s">
        <v>13</v>
      </c>
      <c r="L3629" t="s">
        <v>16</v>
      </c>
      <c r="M3629" t="s">
        <v>114</v>
      </c>
      <c r="N3629" s="2">
        <v>46112</v>
      </c>
    </row>
    <row r="3630" spans="1:14" x14ac:dyDescent="0.25">
      <c r="A3630" s="4" t="s">
        <v>244</v>
      </c>
      <c r="B3630" s="5"/>
      <c r="C3630" s="4" t="s">
        <v>9</v>
      </c>
      <c r="D3630" s="4" t="s">
        <v>9</v>
      </c>
      <c r="E3630" s="4" t="s">
        <v>9</v>
      </c>
      <c r="F3630" s="6">
        <v>0</v>
      </c>
      <c r="G3630" s="6">
        <v>0</v>
      </c>
      <c r="H3630" s="4" t="s">
        <v>9</v>
      </c>
      <c r="I3630" s="4" t="s">
        <v>3</v>
      </c>
      <c r="J3630" s="4" t="s">
        <v>9</v>
      </c>
      <c r="K3630" s="4" t="s">
        <v>9</v>
      </c>
      <c r="L3630" s="4" t="s">
        <v>9</v>
      </c>
      <c r="M3630" s="4" t="s">
        <v>9</v>
      </c>
      <c r="N3630" s="5"/>
    </row>
    <row r="3631" spans="1:14" x14ac:dyDescent="0.25">
      <c r="A3631" t="s">
        <v>518</v>
      </c>
      <c r="B3631" s="2">
        <v>46147</v>
      </c>
      <c r="C3631" t="s">
        <v>518</v>
      </c>
      <c r="D3631" t="s">
        <v>112</v>
      </c>
      <c r="E3631" t="s">
        <v>9</v>
      </c>
      <c r="F3631" s="3">
        <v>-1250</v>
      </c>
      <c r="G3631" s="3">
        <v>-1250</v>
      </c>
      <c r="H3631" t="s">
        <v>3</v>
      </c>
      <c r="I3631" t="s">
        <v>3</v>
      </c>
      <c r="J3631" t="s">
        <v>9</v>
      </c>
      <c r="K3631" t="s">
        <v>9</v>
      </c>
      <c r="L3631" t="s">
        <v>17</v>
      </c>
      <c r="M3631" t="s">
        <v>114</v>
      </c>
      <c r="N3631" s="2">
        <v>46142</v>
      </c>
    </row>
    <row r="3632" spans="1:14" x14ac:dyDescent="0.25">
      <c r="A3632" t="s">
        <v>518</v>
      </c>
      <c r="B3632" s="2">
        <v>46112</v>
      </c>
      <c r="C3632" t="s">
        <v>518</v>
      </c>
      <c r="D3632" t="s">
        <v>112</v>
      </c>
      <c r="E3632" t="s">
        <v>9</v>
      </c>
      <c r="F3632" s="3">
        <v>-42385</v>
      </c>
      <c r="G3632" s="3">
        <v>-42385</v>
      </c>
      <c r="H3632" t="s">
        <v>3</v>
      </c>
      <c r="I3632" t="s">
        <v>3</v>
      </c>
      <c r="J3632" t="s">
        <v>307</v>
      </c>
      <c r="K3632" t="s">
        <v>13</v>
      </c>
      <c r="L3632" t="s">
        <v>17</v>
      </c>
      <c r="M3632" t="s">
        <v>114</v>
      </c>
      <c r="N3632" s="2">
        <v>46113</v>
      </c>
    </row>
    <row r="3633" spans="1:14" x14ac:dyDescent="0.25">
      <c r="A3633" t="s">
        <v>518</v>
      </c>
      <c r="B3633" s="2">
        <v>46142</v>
      </c>
      <c r="C3633" t="s">
        <v>518</v>
      </c>
      <c r="D3633" t="s">
        <v>112</v>
      </c>
      <c r="E3633" t="s">
        <v>9</v>
      </c>
      <c r="F3633" s="3">
        <v>43635</v>
      </c>
      <c r="G3633" s="3">
        <v>43635</v>
      </c>
      <c r="H3633" t="s">
        <v>3</v>
      </c>
      <c r="I3633" t="s">
        <v>3</v>
      </c>
      <c r="J3633" t="s">
        <v>310</v>
      </c>
      <c r="K3633" t="s">
        <v>13</v>
      </c>
      <c r="L3633" t="s">
        <v>17</v>
      </c>
      <c r="M3633" t="s">
        <v>114</v>
      </c>
      <c r="N3633" s="2">
        <v>46142</v>
      </c>
    </row>
    <row r="3634" spans="1:14" x14ac:dyDescent="0.25">
      <c r="A3634" s="4" t="s">
        <v>249</v>
      </c>
      <c r="B3634" s="5"/>
      <c r="C3634" s="4" t="s">
        <v>9</v>
      </c>
      <c r="D3634" s="4" t="s">
        <v>9</v>
      </c>
      <c r="E3634" s="4" t="s">
        <v>9</v>
      </c>
      <c r="F3634" s="6">
        <v>0</v>
      </c>
      <c r="G3634" s="6">
        <v>0</v>
      </c>
      <c r="H3634" s="4" t="s">
        <v>9</v>
      </c>
      <c r="I3634" s="4" t="s">
        <v>3</v>
      </c>
      <c r="J3634" s="4" t="s">
        <v>9</v>
      </c>
      <c r="K3634" s="4" t="s">
        <v>9</v>
      </c>
      <c r="L3634" s="4" t="s">
        <v>9</v>
      </c>
      <c r="M3634" s="4" t="s">
        <v>9</v>
      </c>
      <c r="N3634" s="5"/>
    </row>
    <row r="3635" spans="1:14" x14ac:dyDescent="0.25">
      <c r="A3635" t="s">
        <v>518</v>
      </c>
      <c r="B3635" s="2">
        <v>46175</v>
      </c>
      <c r="C3635" t="s">
        <v>518</v>
      </c>
      <c r="D3635" t="s">
        <v>112</v>
      </c>
      <c r="E3635" t="s">
        <v>9</v>
      </c>
      <c r="F3635" s="3">
        <v>-3450</v>
      </c>
      <c r="G3635" s="3">
        <v>-3450</v>
      </c>
      <c r="H3635" t="s">
        <v>3</v>
      </c>
      <c r="I3635" t="s">
        <v>3</v>
      </c>
      <c r="J3635" t="s">
        <v>9</v>
      </c>
      <c r="K3635" t="s">
        <v>9</v>
      </c>
      <c r="L3635" t="s">
        <v>18</v>
      </c>
      <c r="M3635" t="s">
        <v>114</v>
      </c>
      <c r="N3635" s="2">
        <v>46173</v>
      </c>
    </row>
    <row r="3636" spans="1:14" x14ac:dyDescent="0.25">
      <c r="A3636" t="s">
        <v>518</v>
      </c>
      <c r="B3636" s="2">
        <v>46142</v>
      </c>
      <c r="C3636" t="s">
        <v>518</v>
      </c>
      <c r="D3636" t="s">
        <v>112</v>
      </c>
      <c r="E3636" t="s">
        <v>9</v>
      </c>
      <c r="F3636" s="3">
        <v>-43635</v>
      </c>
      <c r="G3636" s="3">
        <v>-43635</v>
      </c>
      <c r="H3636" t="s">
        <v>3</v>
      </c>
      <c r="I3636" t="s">
        <v>3</v>
      </c>
      <c r="J3636" t="s">
        <v>310</v>
      </c>
      <c r="K3636" t="s">
        <v>13</v>
      </c>
      <c r="L3636" t="s">
        <v>18</v>
      </c>
      <c r="M3636" t="s">
        <v>114</v>
      </c>
      <c r="N3636" s="2">
        <v>46143</v>
      </c>
    </row>
    <row r="3637" spans="1:14" x14ac:dyDescent="0.25">
      <c r="A3637" t="s">
        <v>518</v>
      </c>
      <c r="B3637" s="2">
        <v>46173</v>
      </c>
      <c r="C3637" t="s">
        <v>518</v>
      </c>
      <c r="D3637" t="s">
        <v>112</v>
      </c>
      <c r="E3637" t="s">
        <v>9</v>
      </c>
      <c r="F3637" s="3">
        <v>47085</v>
      </c>
      <c r="G3637" s="3">
        <v>47085</v>
      </c>
      <c r="H3637" t="s">
        <v>3</v>
      </c>
      <c r="I3637" t="s">
        <v>3</v>
      </c>
      <c r="J3637" t="s">
        <v>313</v>
      </c>
      <c r="K3637" t="s">
        <v>13</v>
      </c>
      <c r="L3637" t="s">
        <v>18</v>
      </c>
      <c r="M3637" t="s">
        <v>114</v>
      </c>
      <c r="N3637" s="2">
        <v>46173</v>
      </c>
    </row>
    <row r="3638" spans="1:14" x14ac:dyDescent="0.25">
      <c r="A3638" s="4" t="s">
        <v>223</v>
      </c>
      <c r="B3638" s="5"/>
      <c r="C3638" s="4" t="s">
        <v>9</v>
      </c>
      <c r="D3638" s="4" t="s">
        <v>9</v>
      </c>
      <c r="E3638" s="4" t="s">
        <v>9</v>
      </c>
      <c r="F3638" s="6">
        <v>0</v>
      </c>
      <c r="G3638" s="6">
        <v>0</v>
      </c>
      <c r="H3638" s="4" t="s">
        <v>9</v>
      </c>
      <c r="I3638" s="4" t="s">
        <v>3</v>
      </c>
      <c r="J3638" s="4" t="s">
        <v>9</v>
      </c>
      <c r="K3638" s="4" t="s">
        <v>9</v>
      </c>
      <c r="L3638" s="4" t="s">
        <v>9</v>
      </c>
      <c r="M3638" s="4" t="s">
        <v>9</v>
      </c>
      <c r="N3638" s="5"/>
    </row>
    <row r="3639" spans="1:14" x14ac:dyDescent="0.25">
      <c r="A3639" t="s">
        <v>518</v>
      </c>
      <c r="B3639" s="2">
        <v>46205</v>
      </c>
      <c r="C3639" t="s">
        <v>518</v>
      </c>
      <c r="D3639" t="s">
        <v>112</v>
      </c>
      <c r="E3639" t="s">
        <v>9</v>
      </c>
      <c r="F3639" s="3">
        <v>-7500</v>
      </c>
      <c r="G3639" s="3">
        <v>-7500</v>
      </c>
      <c r="H3639" t="s">
        <v>3</v>
      </c>
      <c r="I3639" t="s">
        <v>3</v>
      </c>
      <c r="J3639" t="s">
        <v>9</v>
      </c>
      <c r="K3639" t="s">
        <v>9</v>
      </c>
      <c r="L3639" t="s">
        <v>19</v>
      </c>
      <c r="M3639" t="s">
        <v>114</v>
      </c>
      <c r="N3639" s="2">
        <v>46203</v>
      </c>
    </row>
    <row r="3640" spans="1:14" x14ac:dyDescent="0.25">
      <c r="A3640" t="s">
        <v>518</v>
      </c>
      <c r="B3640" s="2">
        <v>46173</v>
      </c>
      <c r="C3640" t="s">
        <v>518</v>
      </c>
      <c r="D3640" t="s">
        <v>112</v>
      </c>
      <c r="E3640" t="s">
        <v>9</v>
      </c>
      <c r="F3640" s="3">
        <v>-47085</v>
      </c>
      <c r="G3640" s="3">
        <v>-47085</v>
      </c>
      <c r="H3640" t="s">
        <v>3</v>
      </c>
      <c r="I3640" t="s">
        <v>3</v>
      </c>
      <c r="J3640" t="s">
        <v>313</v>
      </c>
      <c r="K3640" t="s">
        <v>13</v>
      </c>
      <c r="L3640" t="s">
        <v>19</v>
      </c>
      <c r="M3640" t="s">
        <v>114</v>
      </c>
      <c r="N3640" s="2">
        <v>46174</v>
      </c>
    </row>
    <row r="3641" spans="1:14" x14ac:dyDescent="0.25">
      <c r="A3641" t="s">
        <v>518</v>
      </c>
      <c r="B3641" s="2">
        <v>46203</v>
      </c>
      <c r="C3641" t="s">
        <v>518</v>
      </c>
      <c r="D3641" t="s">
        <v>112</v>
      </c>
      <c r="E3641" t="s">
        <v>9</v>
      </c>
      <c r="F3641" s="3">
        <v>54585</v>
      </c>
      <c r="G3641" s="3">
        <v>54585</v>
      </c>
      <c r="H3641" t="s">
        <v>3</v>
      </c>
      <c r="I3641" t="s">
        <v>3</v>
      </c>
      <c r="J3641" t="s">
        <v>316</v>
      </c>
      <c r="K3641" t="s">
        <v>13</v>
      </c>
      <c r="L3641" t="s">
        <v>19</v>
      </c>
      <c r="M3641" t="s">
        <v>114</v>
      </c>
      <c r="N3641" s="2">
        <v>46203</v>
      </c>
    </row>
    <row r="3642" spans="1:14" x14ac:dyDescent="0.25">
      <c r="A3642" s="4" t="s">
        <v>224</v>
      </c>
      <c r="B3642" s="5"/>
      <c r="C3642" s="4" t="s">
        <v>9</v>
      </c>
      <c r="D3642" s="4" t="s">
        <v>9</v>
      </c>
      <c r="E3642" s="4" t="s">
        <v>9</v>
      </c>
      <c r="F3642" s="6">
        <v>0</v>
      </c>
      <c r="G3642" s="6">
        <v>0</v>
      </c>
      <c r="H3642" s="4" t="s">
        <v>9</v>
      </c>
      <c r="I3642" s="4" t="s">
        <v>3</v>
      </c>
      <c r="J3642" s="4" t="s">
        <v>9</v>
      </c>
      <c r="K3642" s="4" t="s">
        <v>9</v>
      </c>
      <c r="L3642" s="4" t="s">
        <v>9</v>
      </c>
      <c r="M3642" s="4" t="s">
        <v>9</v>
      </c>
      <c r="N3642" s="5"/>
    </row>
    <row r="3643" spans="1:14" x14ac:dyDescent="0.25">
      <c r="A3643" t="s">
        <v>518</v>
      </c>
      <c r="B3643" s="2">
        <v>45870</v>
      </c>
      <c r="C3643" t="s">
        <v>518</v>
      </c>
      <c r="D3643" t="s">
        <v>112</v>
      </c>
      <c r="E3643" t="s">
        <v>9</v>
      </c>
      <c r="F3643" s="3">
        <v>-2600</v>
      </c>
      <c r="G3643" s="3">
        <v>-2600</v>
      </c>
      <c r="H3643" t="s">
        <v>3</v>
      </c>
      <c r="I3643" t="s">
        <v>3</v>
      </c>
      <c r="J3643" t="s">
        <v>9</v>
      </c>
      <c r="K3643" t="s">
        <v>9</v>
      </c>
      <c r="L3643" t="s">
        <v>21</v>
      </c>
      <c r="M3643" t="s">
        <v>114</v>
      </c>
      <c r="N3643" s="2">
        <v>45869</v>
      </c>
    </row>
    <row r="3644" spans="1:14" x14ac:dyDescent="0.25">
      <c r="A3644" t="s">
        <v>518</v>
      </c>
      <c r="B3644" s="2">
        <v>46239</v>
      </c>
      <c r="C3644" t="s">
        <v>518</v>
      </c>
      <c r="D3644" t="s">
        <v>112</v>
      </c>
      <c r="E3644" t="s">
        <v>9</v>
      </c>
      <c r="F3644" s="3">
        <v>-4700</v>
      </c>
      <c r="G3644" s="3">
        <v>-4700</v>
      </c>
      <c r="H3644" t="s">
        <v>3</v>
      </c>
      <c r="I3644" t="s">
        <v>3</v>
      </c>
      <c r="J3644" t="s">
        <v>9</v>
      </c>
      <c r="K3644" t="s">
        <v>9</v>
      </c>
      <c r="L3644" t="s">
        <v>21</v>
      </c>
      <c r="M3644" t="s">
        <v>114</v>
      </c>
      <c r="N3644" s="2">
        <v>46234</v>
      </c>
    </row>
    <row r="3645" spans="1:14" x14ac:dyDescent="0.25">
      <c r="A3645" t="s">
        <v>518</v>
      </c>
      <c r="B3645" s="2">
        <v>45869</v>
      </c>
      <c r="C3645" t="s">
        <v>518</v>
      </c>
      <c r="D3645" t="s">
        <v>112</v>
      </c>
      <c r="E3645" t="s">
        <v>9</v>
      </c>
      <c r="F3645" s="3">
        <v>2600</v>
      </c>
      <c r="G3645" s="3">
        <v>2600</v>
      </c>
      <c r="H3645" t="s">
        <v>3</v>
      </c>
      <c r="I3645" t="s">
        <v>3</v>
      </c>
      <c r="J3645" t="s">
        <v>317</v>
      </c>
      <c r="K3645" t="s">
        <v>5</v>
      </c>
      <c r="L3645" t="s">
        <v>21</v>
      </c>
      <c r="M3645" t="s">
        <v>114</v>
      </c>
      <c r="N3645" s="2">
        <v>45869</v>
      </c>
    </row>
    <row r="3646" spans="1:14" x14ac:dyDescent="0.25">
      <c r="A3646" t="s">
        <v>518</v>
      </c>
      <c r="B3646" s="2">
        <v>46203</v>
      </c>
      <c r="C3646" t="s">
        <v>518</v>
      </c>
      <c r="D3646" t="s">
        <v>112</v>
      </c>
      <c r="E3646" t="s">
        <v>9</v>
      </c>
      <c r="F3646" s="3">
        <v>-54585</v>
      </c>
      <c r="G3646" s="3">
        <v>-54585</v>
      </c>
      <c r="H3646" t="s">
        <v>3</v>
      </c>
      <c r="I3646" t="s">
        <v>3</v>
      </c>
      <c r="J3646" t="s">
        <v>316</v>
      </c>
      <c r="K3646" t="s">
        <v>13</v>
      </c>
      <c r="L3646" t="s">
        <v>21</v>
      </c>
      <c r="M3646" t="s">
        <v>114</v>
      </c>
      <c r="N3646" s="2">
        <v>46204</v>
      </c>
    </row>
    <row r="3647" spans="1:14" x14ac:dyDescent="0.25">
      <c r="A3647" t="s">
        <v>518</v>
      </c>
      <c r="B3647" s="2">
        <v>46234</v>
      </c>
      <c r="C3647" t="s">
        <v>518</v>
      </c>
      <c r="D3647" t="s">
        <v>112</v>
      </c>
      <c r="E3647" t="s">
        <v>9</v>
      </c>
      <c r="F3647" s="3">
        <v>59285</v>
      </c>
      <c r="G3647" s="3">
        <v>59285</v>
      </c>
      <c r="H3647" t="s">
        <v>3</v>
      </c>
      <c r="I3647" t="s">
        <v>3</v>
      </c>
      <c r="J3647" t="s">
        <v>319</v>
      </c>
      <c r="K3647" t="s">
        <v>13</v>
      </c>
      <c r="L3647" t="s">
        <v>21</v>
      </c>
      <c r="M3647" t="s">
        <v>114</v>
      </c>
      <c r="N3647" s="2">
        <v>46234</v>
      </c>
    </row>
    <row r="3648" spans="1:14" x14ac:dyDescent="0.25">
      <c r="A3648" s="4" t="s">
        <v>262</v>
      </c>
      <c r="B3648" s="5"/>
      <c r="C3648" s="4" t="s">
        <v>9</v>
      </c>
      <c r="D3648" s="4" t="s">
        <v>9</v>
      </c>
      <c r="E3648" s="4" t="s">
        <v>9</v>
      </c>
      <c r="F3648" s="6">
        <v>0</v>
      </c>
      <c r="G3648" s="6">
        <v>0</v>
      </c>
      <c r="H3648" s="4" t="s">
        <v>9</v>
      </c>
      <c r="I3648" s="4" t="s">
        <v>3</v>
      </c>
      <c r="J3648" s="4" t="s">
        <v>9</v>
      </c>
      <c r="K3648" s="4" t="s">
        <v>9</v>
      </c>
      <c r="L3648" s="4" t="s">
        <v>9</v>
      </c>
      <c r="M3648" s="4" t="s">
        <v>9</v>
      </c>
      <c r="N3648" s="5"/>
    </row>
    <row r="3649" spans="1:14" x14ac:dyDescent="0.25">
      <c r="A3649" t="s">
        <v>518</v>
      </c>
      <c r="B3649" s="2">
        <v>45901</v>
      </c>
      <c r="C3649" t="s">
        <v>518</v>
      </c>
      <c r="D3649" t="s">
        <v>112</v>
      </c>
      <c r="E3649" t="s">
        <v>9</v>
      </c>
      <c r="F3649" s="3">
        <v>-3000</v>
      </c>
      <c r="G3649" s="3">
        <v>-3000</v>
      </c>
      <c r="H3649" t="s">
        <v>3</v>
      </c>
      <c r="I3649" t="s">
        <v>3</v>
      </c>
      <c r="J3649" t="s">
        <v>9</v>
      </c>
      <c r="K3649" t="s">
        <v>9</v>
      </c>
      <c r="L3649" t="s">
        <v>22</v>
      </c>
      <c r="M3649" t="s">
        <v>114</v>
      </c>
      <c r="N3649" s="2">
        <v>45900</v>
      </c>
    </row>
    <row r="3650" spans="1:14" x14ac:dyDescent="0.25">
      <c r="A3650" t="s">
        <v>518</v>
      </c>
      <c r="B3650" s="2">
        <v>45903</v>
      </c>
      <c r="C3650" t="s">
        <v>518</v>
      </c>
      <c r="D3650" t="s">
        <v>112</v>
      </c>
      <c r="E3650" t="s">
        <v>9</v>
      </c>
      <c r="F3650" s="3">
        <v>-7200</v>
      </c>
      <c r="G3650" s="3">
        <v>-7200</v>
      </c>
      <c r="H3650" t="s">
        <v>3</v>
      </c>
      <c r="I3650" t="s">
        <v>3</v>
      </c>
      <c r="J3650" t="s">
        <v>9</v>
      </c>
      <c r="K3650" t="s">
        <v>9</v>
      </c>
      <c r="L3650" t="s">
        <v>22</v>
      </c>
      <c r="M3650" t="s">
        <v>114</v>
      </c>
      <c r="N3650" s="2">
        <v>45900</v>
      </c>
    </row>
    <row r="3651" spans="1:14" x14ac:dyDescent="0.25">
      <c r="A3651" t="s">
        <v>518</v>
      </c>
      <c r="B3651" s="2">
        <v>46267</v>
      </c>
      <c r="C3651" t="s">
        <v>518</v>
      </c>
      <c r="D3651" t="s">
        <v>112</v>
      </c>
      <c r="E3651" t="s">
        <v>9</v>
      </c>
      <c r="F3651" s="3">
        <v>-500</v>
      </c>
      <c r="G3651" s="3">
        <v>-500</v>
      </c>
      <c r="H3651" t="s">
        <v>3</v>
      </c>
      <c r="I3651" t="s">
        <v>3</v>
      </c>
      <c r="J3651" t="s">
        <v>9</v>
      </c>
      <c r="K3651" t="s">
        <v>9</v>
      </c>
      <c r="L3651" t="s">
        <v>22</v>
      </c>
      <c r="M3651" t="s">
        <v>114</v>
      </c>
      <c r="N3651" s="2">
        <v>46265</v>
      </c>
    </row>
    <row r="3652" spans="1:14" x14ac:dyDescent="0.25">
      <c r="A3652" t="s">
        <v>518</v>
      </c>
      <c r="B3652" s="2">
        <v>45869</v>
      </c>
      <c r="C3652" t="s">
        <v>518</v>
      </c>
      <c r="D3652" t="s">
        <v>112</v>
      </c>
      <c r="E3652" t="s">
        <v>9</v>
      </c>
      <c r="F3652" s="3">
        <v>-2600</v>
      </c>
      <c r="G3652" s="3">
        <v>-2600</v>
      </c>
      <c r="H3652" t="s">
        <v>3</v>
      </c>
      <c r="I3652" t="s">
        <v>3</v>
      </c>
      <c r="J3652" t="s">
        <v>317</v>
      </c>
      <c r="K3652" t="s">
        <v>5</v>
      </c>
      <c r="L3652" t="s">
        <v>22</v>
      </c>
      <c r="M3652" t="s">
        <v>114</v>
      </c>
      <c r="N3652" s="2">
        <v>45870</v>
      </c>
    </row>
    <row r="3653" spans="1:14" x14ac:dyDescent="0.25">
      <c r="A3653" t="s">
        <v>518</v>
      </c>
      <c r="B3653" s="2">
        <v>45900</v>
      </c>
      <c r="C3653" t="s">
        <v>518</v>
      </c>
      <c r="D3653" t="s">
        <v>112</v>
      </c>
      <c r="E3653" t="s">
        <v>9</v>
      </c>
      <c r="F3653" s="3">
        <v>5600</v>
      </c>
      <c r="G3653" s="3">
        <v>5600</v>
      </c>
      <c r="H3653" t="s">
        <v>3</v>
      </c>
      <c r="I3653" t="s">
        <v>3</v>
      </c>
      <c r="J3653" t="s">
        <v>320</v>
      </c>
      <c r="K3653" t="s">
        <v>5</v>
      </c>
      <c r="L3653" t="s">
        <v>22</v>
      </c>
      <c r="M3653" t="s">
        <v>114</v>
      </c>
      <c r="N3653" s="2">
        <v>45900</v>
      </c>
    </row>
    <row r="3654" spans="1:14" x14ac:dyDescent="0.25">
      <c r="A3654" t="s">
        <v>518</v>
      </c>
      <c r="B3654" s="2">
        <v>45900</v>
      </c>
      <c r="C3654" t="s">
        <v>518</v>
      </c>
      <c r="D3654" t="s">
        <v>112</v>
      </c>
      <c r="E3654" t="s">
        <v>9</v>
      </c>
      <c r="F3654" s="3">
        <v>-5600</v>
      </c>
      <c r="G3654" s="3">
        <v>-5600</v>
      </c>
      <c r="H3654" t="s">
        <v>3</v>
      </c>
      <c r="I3654" t="s">
        <v>3</v>
      </c>
      <c r="J3654" t="s">
        <v>320</v>
      </c>
      <c r="K3654" t="s">
        <v>5</v>
      </c>
      <c r="L3654" t="s">
        <v>22</v>
      </c>
      <c r="M3654" t="s">
        <v>114</v>
      </c>
      <c r="N3654" s="2">
        <v>45900</v>
      </c>
    </row>
    <row r="3655" spans="1:14" x14ac:dyDescent="0.25">
      <c r="A3655" t="s">
        <v>518</v>
      </c>
      <c r="B3655" s="2">
        <v>45900</v>
      </c>
      <c r="C3655" t="s">
        <v>518</v>
      </c>
      <c r="D3655" t="s">
        <v>112</v>
      </c>
      <c r="E3655" t="s">
        <v>9</v>
      </c>
      <c r="F3655" s="3">
        <v>4700</v>
      </c>
      <c r="G3655" s="3">
        <v>4700</v>
      </c>
      <c r="H3655" t="s">
        <v>3</v>
      </c>
      <c r="I3655" t="s">
        <v>3</v>
      </c>
      <c r="J3655" t="s">
        <v>320</v>
      </c>
      <c r="K3655" t="s">
        <v>5</v>
      </c>
      <c r="L3655" t="s">
        <v>22</v>
      </c>
      <c r="M3655" t="s">
        <v>114</v>
      </c>
      <c r="N3655" s="2">
        <v>45900</v>
      </c>
    </row>
    <row r="3656" spans="1:14" x14ac:dyDescent="0.25">
      <c r="A3656" t="s">
        <v>518</v>
      </c>
      <c r="B3656" s="2">
        <v>45900</v>
      </c>
      <c r="C3656" t="s">
        <v>518</v>
      </c>
      <c r="D3656" t="s">
        <v>112</v>
      </c>
      <c r="E3656" t="s">
        <v>9</v>
      </c>
      <c r="F3656" s="3">
        <v>12800</v>
      </c>
      <c r="G3656" s="3">
        <v>12800</v>
      </c>
      <c r="H3656" t="s">
        <v>3</v>
      </c>
      <c r="I3656" t="s">
        <v>3</v>
      </c>
      <c r="J3656" t="s">
        <v>320</v>
      </c>
      <c r="K3656" t="s">
        <v>5</v>
      </c>
      <c r="L3656" t="s">
        <v>22</v>
      </c>
      <c r="M3656" t="s">
        <v>114</v>
      </c>
      <c r="N3656" s="2">
        <v>45900</v>
      </c>
    </row>
    <row r="3657" spans="1:14" x14ac:dyDescent="0.25">
      <c r="A3657" t="s">
        <v>518</v>
      </c>
      <c r="B3657" s="2">
        <v>45900</v>
      </c>
      <c r="C3657" t="s">
        <v>518</v>
      </c>
      <c r="D3657" t="s">
        <v>112</v>
      </c>
      <c r="E3657" t="s">
        <v>9</v>
      </c>
      <c r="F3657" s="3">
        <v>-4700</v>
      </c>
      <c r="G3657" s="3">
        <v>-4700</v>
      </c>
      <c r="H3657" t="s">
        <v>3</v>
      </c>
      <c r="I3657" t="s">
        <v>3</v>
      </c>
      <c r="J3657" t="s">
        <v>320</v>
      </c>
      <c r="K3657" t="s">
        <v>5</v>
      </c>
      <c r="L3657" t="s">
        <v>22</v>
      </c>
      <c r="M3657" t="s">
        <v>114</v>
      </c>
      <c r="N3657" s="2">
        <v>45900</v>
      </c>
    </row>
    <row r="3658" spans="1:14" x14ac:dyDescent="0.25">
      <c r="A3658" t="s">
        <v>518</v>
      </c>
      <c r="B3658" s="2">
        <v>46234</v>
      </c>
      <c r="C3658" t="s">
        <v>518</v>
      </c>
      <c r="D3658" t="s">
        <v>112</v>
      </c>
      <c r="E3658" t="s">
        <v>9</v>
      </c>
      <c r="F3658" s="3">
        <v>-59285</v>
      </c>
      <c r="G3658" s="3">
        <v>-59285</v>
      </c>
      <c r="H3658" t="s">
        <v>3</v>
      </c>
      <c r="I3658" t="s">
        <v>3</v>
      </c>
      <c r="J3658" t="s">
        <v>319</v>
      </c>
      <c r="K3658" t="s">
        <v>13</v>
      </c>
      <c r="L3658" t="s">
        <v>22</v>
      </c>
      <c r="M3658" t="s">
        <v>114</v>
      </c>
      <c r="N3658" s="2">
        <v>46235</v>
      </c>
    </row>
    <row r="3659" spans="1:14" x14ac:dyDescent="0.25">
      <c r="A3659" t="s">
        <v>518</v>
      </c>
      <c r="B3659" s="2">
        <v>46265</v>
      </c>
      <c r="C3659" t="s">
        <v>518</v>
      </c>
      <c r="D3659" t="s">
        <v>112</v>
      </c>
      <c r="E3659" t="s">
        <v>9</v>
      </c>
      <c r="F3659" s="3">
        <v>59785</v>
      </c>
      <c r="G3659" s="3">
        <v>59785</v>
      </c>
      <c r="H3659" t="s">
        <v>3</v>
      </c>
      <c r="I3659" t="s">
        <v>3</v>
      </c>
      <c r="J3659" t="s">
        <v>322</v>
      </c>
      <c r="K3659" t="s">
        <v>13</v>
      </c>
      <c r="L3659" t="s">
        <v>22</v>
      </c>
      <c r="M3659" t="s">
        <v>114</v>
      </c>
      <c r="N3659" s="2">
        <v>46265</v>
      </c>
    </row>
    <row r="3660" spans="1:14" x14ac:dyDescent="0.25">
      <c r="A3660" s="4" t="s">
        <v>267</v>
      </c>
      <c r="B3660" s="5"/>
      <c r="C3660" s="4" t="s">
        <v>9</v>
      </c>
      <c r="D3660" s="4" t="s">
        <v>9</v>
      </c>
      <c r="E3660" s="4" t="s">
        <v>9</v>
      </c>
      <c r="F3660" s="6">
        <v>0</v>
      </c>
      <c r="G3660" s="6">
        <v>0</v>
      </c>
      <c r="H3660" s="4" t="s">
        <v>9</v>
      </c>
      <c r="I3660" s="4" t="s">
        <v>3</v>
      </c>
      <c r="J3660" s="4" t="s">
        <v>9</v>
      </c>
      <c r="K3660" s="4" t="s">
        <v>9</v>
      </c>
      <c r="L3660" s="4" t="s">
        <v>9</v>
      </c>
      <c r="M3660" s="4" t="s">
        <v>9</v>
      </c>
      <c r="N3660" s="5"/>
    </row>
    <row r="3661" spans="1:14" x14ac:dyDescent="0.25">
      <c r="A3661" t="s">
        <v>518</v>
      </c>
      <c r="B3661" s="2">
        <v>45932</v>
      </c>
      <c r="C3661" t="s">
        <v>518</v>
      </c>
      <c r="D3661" t="s">
        <v>112</v>
      </c>
      <c r="E3661" t="s">
        <v>9</v>
      </c>
      <c r="F3661" s="3">
        <v>-13700</v>
      </c>
      <c r="G3661" s="3">
        <v>-13700</v>
      </c>
      <c r="H3661" t="s">
        <v>3</v>
      </c>
      <c r="I3661" t="s">
        <v>3</v>
      </c>
      <c r="J3661" t="s">
        <v>9</v>
      </c>
      <c r="K3661" t="s">
        <v>9</v>
      </c>
      <c r="L3661" t="s">
        <v>6</v>
      </c>
      <c r="M3661" t="s">
        <v>114</v>
      </c>
      <c r="N3661" s="2">
        <v>45930</v>
      </c>
    </row>
    <row r="3662" spans="1:14" x14ac:dyDescent="0.25">
      <c r="A3662" t="s">
        <v>518</v>
      </c>
      <c r="B3662" s="2">
        <v>45900</v>
      </c>
      <c r="C3662" t="s">
        <v>518</v>
      </c>
      <c r="D3662" t="s">
        <v>112</v>
      </c>
      <c r="E3662" t="s">
        <v>9</v>
      </c>
      <c r="F3662" s="3">
        <v>-5600</v>
      </c>
      <c r="G3662" s="3">
        <v>-5600</v>
      </c>
      <c r="H3662" t="s">
        <v>3</v>
      </c>
      <c r="I3662" t="s">
        <v>3</v>
      </c>
      <c r="J3662" t="s">
        <v>320</v>
      </c>
      <c r="K3662" t="s">
        <v>5</v>
      </c>
      <c r="L3662" t="s">
        <v>6</v>
      </c>
      <c r="M3662" t="s">
        <v>114</v>
      </c>
      <c r="N3662" s="2">
        <v>45901</v>
      </c>
    </row>
    <row r="3663" spans="1:14" x14ac:dyDescent="0.25">
      <c r="A3663" t="s">
        <v>518</v>
      </c>
      <c r="B3663" s="2">
        <v>45900</v>
      </c>
      <c r="C3663" t="s">
        <v>518</v>
      </c>
      <c r="D3663" t="s">
        <v>112</v>
      </c>
      <c r="E3663" t="s">
        <v>9</v>
      </c>
      <c r="F3663" s="3">
        <v>5600</v>
      </c>
      <c r="G3663" s="3">
        <v>5600</v>
      </c>
      <c r="H3663" t="s">
        <v>3</v>
      </c>
      <c r="I3663" t="s">
        <v>3</v>
      </c>
      <c r="J3663" t="s">
        <v>320</v>
      </c>
      <c r="K3663" t="s">
        <v>5</v>
      </c>
      <c r="L3663" t="s">
        <v>6</v>
      </c>
      <c r="M3663" t="s">
        <v>114</v>
      </c>
      <c r="N3663" s="2">
        <v>45901</v>
      </c>
    </row>
    <row r="3664" spans="1:14" x14ac:dyDescent="0.25">
      <c r="A3664" t="s">
        <v>518</v>
      </c>
      <c r="B3664" s="2">
        <v>45900</v>
      </c>
      <c r="C3664" t="s">
        <v>518</v>
      </c>
      <c r="D3664" t="s">
        <v>112</v>
      </c>
      <c r="E3664" t="s">
        <v>9</v>
      </c>
      <c r="F3664" s="3">
        <v>-4700</v>
      </c>
      <c r="G3664" s="3">
        <v>-4700</v>
      </c>
      <c r="H3664" t="s">
        <v>3</v>
      </c>
      <c r="I3664" t="s">
        <v>3</v>
      </c>
      <c r="J3664" t="s">
        <v>320</v>
      </c>
      <c r="K3664" t="s">
        <v>5</v>
      </c>
      <c r="L3664" t="s">
        <v>6</v>
      </c>
      <c r="M3664" t="s">
        <v>114</v>
      </c>
      <c r="N3664" s="2">
        <v>45901</v>
      </c>
    </row>
    <row r="3665" spans="1:14" x14ac:dyDescent="0.25">
      <c r="A3665" t="s">
        <v>518</v>
      </c>
      <c r="B3665" s="2">
        <v>45900</v>
      </c>
      <c r="C3665" t="s">
        <v>518</v>
      </c>
      <c r="D3665" t="s">
        <v>112</v>
      </c>
      <c r="E3665" t="s">
        <v>9</v>
      </c>
      <c r="F3665" s="3">
        <v>4700</v>
      </c>
      <c r="G3665" s="3">
        <v>4700</v>
      </c>
      <c r="H3665" t="s">
        <v>3</v>
      </c>
      <c r="I3665" t="s">
        <v>3</v>
      </c>
      <c r="J3665" t="s">
        <v>320</v>
      </c>
      <c r="K3665" t="s">
        <v>5</v>
      </c>
      <c r="L3665" t="s">
        <v>6</v>
      </c>
      <c r="M3665" t="s">
        <v>114</v>
      </c>
      <c r="N3665" s="2">
        <v>45901</v>
      </c>
    </row>
    <row r="3666" spans="1:14" x14ac:dyDescent="0.25">
      <c r="A3666" t="s">
        <v>518</v>
      </c>
      <c r="B3666" s="2">
        <v>45900</v>
      </c>
      <c r="C3666" t="s">
        <v>518</v>
      </c>
      <c r="D3666" t="s">
        <v>112</v>
      </c>
      <c r="E3666" t="s">
        <v>9</v>
      </c>
      <c r="F3666" s="3">
        <v>-12800</v>
      </c>
      <c r="G3666" s="3">
        <v>-12800</v>
      </c>
      <c r="H3666" t="s">
        <v>3</v>
      </c>
      <c r="I3666" t="s">
        <v>3</v>
      </c>
      <c r="J3666" t="s">
        <v>320</v>
      </c>
      <c r="K3666" t="s">
        <v>5</v>
      </c>
      <c r="L3666" t="s">
        <v>6</v>
      </c>
      <c r="M3666" t="s">
        <v>114</v>
      </c>
      <c r="N3666" s="2">
        <v>45901</v>
      </c>
    </row>
    <row r="3667" spans="1:14" x14ac:dyDescent="0.25">
      <c r="A3667" t="s">
        <v>518</v>
      </c>
      <c r="B3667" s="2">
        <v>45930</v>
      </c>
      <c r="C3667" t="s">
        <v>518</v>
      </c>
      <c r="D3667" t="s">
        <v>112</v>
      </c>
      <c r="E3667" t="s">
        <v>9</v>
      </c>
      <c r="F3667" s="3">
        <v>26500</v>
      </c>
      <c r="G3667" s="3">
        <v>26500</v>
      </c>
      <c r="H3667" t="s">
        <v>3</v>
      </c>
      <c r="I3667" t="s">
        <v>3</v>
      </c>
      <c r="J3667" t="s">
        <v>323</v>
      </c>
      <c r="K3667" t="s">
        <v>5</v>
      </c>
      <c r="L3667" t="s">
        <v>6</v>
      </c>
      <c r="M3667" t="s">
        <v>114</v>
      </c>
      <c r="N3667" s="2">
        <v>45930</v>
      </c>
    </row>
    <row r="3668" spans="1:14" x14ac:dyDescent="0.25">
      <c r="A3668" s="4" t="s">
        <v>272</v>
      </c>
      <c r="B3668" s="5"/>
      <c r="C3668" s="4" t="s">
        <v>9</v>
      </c>
      <c r="D3668" s="4" t="s">
        <v>9</v>
      </c>
      <c r="E3668" s="4" t="s">
        <v>9</v>
      </c>
      <c r="F3668" s="6">
        <v>0</v>
      </c>
      <c r="G3668" s="6">
        <v>0</v>
      </c>
      <c r="H3668" s="4" t="s">
        <v>9</v>
      </c>
      <c r="I3668" s="4" t="s">
        <v>3</v>
      </c>
      <c r="J3668" s="4" t="s">
        <v>9</v>
      </c>
      <c r="K3668" s="4" t="s">
        <v>9</v>
      </c>
      <c r="L3668" s="4" t="s">
        <v>9</v>
      </c>
      <c r="M3668" s="4" t="s">
        <v>9</v>
      </c>
      <c r="N3668" s="5"/>
    </row>
    <row r="3669" spans="1:14" x14ac:dyDescent="0.25">
      <c r="A3669" t="s">
        <v>518</v>
      </c>
      <c r="B3669" s="2">
        <v>45965</v>
      </c>
      <c r="C3669" t="s">
        <v>518</v>
      </c>
      <c r="D3669" t="s">
        <v>112</v>
      </c>
      <c r="E3669" t="s">
        <v>9</v>
      </c>
      <c r="F3669" s="3">
        <v>-15200</v>
      </c>
      <c r="G3669" s="3">
        <v>-15200</v>
      </c>
      <c r="H3669" t="s">
        <v>3</v>
      </c>
      <c r="I3669" t="s">
        <v>3</v>
      </c>
      <c r="J3669" t="s">
        <v>9</v>
      </c>
      <c r="K3669" t="s">
        <v>9</v>
      </c>
      <c r="L3669" t="s">
        <v>8</v>
      </c>
      <c r="M3669" t="s">
        <v>114</v>
      </c>
      <c r="N3669" s="2">
        <v>45961</v>
      </c>
    </row>
    <row r="3670" spans="1:14" x14ac:dyDescent="0.25">
      <c r="A3670" t="s">
        <v>518</v>
      </c>
      <c r="B3670" s="2">
        <v>45930</v>
      </c>
      <c r="C3670" t="s">
        <v>518</v>
      </c>
      <c r="D3670" t="s">
        <v>112</v>
      </c>
      <c r="E3670" t="s">
        <v>9</v>
      </c>
      <c r="F3670" s="3">
        <v>-26500</v>
      </c>
      <c r="G3670" s="3">
        <v>-26500</v>
      </c>
      <c r="H3670" t="s">
        <v>3</v>
      </c>
      <c r="I3670" t="s">
        <v>3</v>
      </c>
      <c r="J3670" t="s">
        <v>323</v>
      </c>
      <c r="K3670" t="s">
        <v>5</v>
      </c>
      <c r="L3670" t="s">
        <v>8</v>
      </c>
      <c r="M3670" t="s">
        <v>114</v>
      </c>
      <c r="N3670" s="2">
        <v>45931</v>
      </c>
    </row>
    <row r="3671" spans="1:14" x14ac:dyDescent="0.25">
      <c r="A3671" t="s">
        <v>518</v>
      </c>
      <c r="B3671" s="2">
        <v>45961</v>
      </c>
      <c r="C3671" t="s">
        <v>518</v>
      </c>
      <c r="D3671" t="s">
        <v>112</v>
      </c>
      <c r="E3671" t="s">
        <v>9</v>
      </c>
      <c r="F3671" s="3">
        <v>41400</v>
      </c>
      <c r="G3671" s="3">
        <v>41400</v>
      </c>
      <c r="H3671" t="s">
        <v>3</v>
      </c>
      <c r="I3671" t="s">
        <v>3</v>
      </c>
      <c r="J3671" t="s">
        <v>325</v>
      </c>
      <c r="K3671" t="s">
        <v>5</v>
      </c>
      <c r="L3671" t="s">
        <v>8</v>
      </c>
      <c r="M3671" t="s">
        <v>114</v>
      </c>
      <c r="N3671" s="2">
        <v>45961</v>
      </c>
    </row>
    <row r="3672" spans="1:14" x14ac:dyDescent="0.25">
      <c r="A3672" t="s">
        <v>518</v>
      </c>
      <c r="B3672" s="2">
        <v>45961</v>
      </c>
      <c r="C3672" t="s">
        <v>518</v>
      </c>
      <c r="D3672" t="s">
        <v>112</v>
      </c>
      <c r="E3672" t="s">
        <v>9</v>
      </c>
      <c r="F3672" s="3">
        <v>300</v>
      </c>
      <c r="G3672" s="3">
        <v>300</v>
      </c>
      <c r="H3672" t="s">
        <v>3</v>
      </c>
      <c r="I3672" t="s">
        <v>3</v>
      </c>
      <c r="J3672" t="s">
        <v>326</v>
      </c>
      <c r="K3672" t="s">
        <v>5</v>
      </c>
      <c r="L3672" t="s">
        <v>8</v>
      </c>
      <c r="M3672" t="s">
        <v>114</v>
      </c>
      <c r="N3672" s="2">
        <v>45961</v>
      </c>
    </row>
    <row r="3673" spans="1:14" x14ac:dyDescent="0.25">
      <c r="A3673" s="4" t="s">
        <v>278</v>
      </c>
      <c r="B3673" s="5"/>
      <c r="C3673" s="4" t="s">
        <v>9</v>
      </c>
      <c r="D3673" s="4" t="s">
        <v>9</v>
      </c>
      <c r="E3673" s="4" t="s">
        <v>9</v>
      </c>
      <c r="F3673" s="6">
        <v>0</v>
      </c>
      <c r="G3673" s="6">
        <v>0</v>
      </c>
      <c r="H3673" s="4" t="s">
        <v>9</v>
      </c>
      <c r="I3673" s="4" t="s">
        <v>3</v>
      </c>
      <c r="J3673" s="4" t="s">
        <v>9</v>
      </c>
      <c r="K3673" s="4" t="s">
        <v>9</v>
      </c>
      <c r="L3673" s="4" t="s">
        <v>9</v>
      </c>
      <c r="M3673" s="4" t="s">
        <v>9</v>
      </c>
      <c r="N3673" s="5"/>
    </row>
    <row r="3674" spans="1:14" x14ac:dyDescent="0.25">
      <c r="A3674" t="s">
        <v>518</v>
      </c>
      <c r="B3674" s="2">
        <v>45993</v>
      </c>
      <c r="C3674" t="s">
        <v>518</v>
      </c>
      <c r="D3674" t="s">
        <v>112</v>
      </c>
      <c r="E3674" t="s">
        <v>9</v>
      </c>
      <c r="F3674" s="3">
        <v>-17950</v>
      </c>
      <c r="G3674" s="3">
        <v>-17950</v>
      </c>
      <c r="H3674" t="s">
        <v>3</v>
      </c>
      <c r="I3674" t="s">
        <v>3</v>
      </c>
      <c r="J3674" t="s">
        <v>9</v>
      </c>
      <c r="K3674" t="s">
        <v>9</v>
      </c>
      <c r="L3674" t="s">
        <v>11</v>
      </c>
      <c r="M3674" t="s">
        <v>114</v>
      </c>
      <c r="N3674" s="2">
        <v>45991</v>
      </c>
    </row>
    <row r="3675" spans="1:14" x14ac:dyDescent="0.25">
      <c r="A3675" t="s">
        <v>518</v>
      </c>
      <c r="B3675" s="2">
        <v>45961</v>
      </c>
      <c r="C3675" t="s">
        <v>518</v>
      </c>
      <c r="D3675" t="s">
        <v>112</v>
      </c>
      <c r="E3675" t="s">
        <v>9</v>
      </c>
      <c r="F3675" s="3">
        <v>-41400</v>
      </c>
      <c r="G3675" s="3">
        <v>-41400</v>
      </c>
      <c r="H3675" t="s">
        <v>3</v>
      </c>
      <c r="I3675" t="s">
        <v>3</v>
      </c>
      <c r="J3675" t="s">
        <v>325</v>
      </c>
      <c r="K3675" t="s">
        <v>5</v>
      </c>
      <c r="L3675" t="s">
        <v>11</v>
      </c>
      <c r="M3675" t="s">
        <v>114</v>
      </c>
      <c r="N3675" s="2">
        <v>45962</v>
      </c>
    </row>
    <row r="3676" spans="1:14" x14ac:dyDescent="0.25">
      <c r="A3676" t="s">
        <v>518</v>
      </c>
      <c r="B3676" s="2">
        <v>45961</v>
      </c>
      <c r="C3676" t="s">
        <v>518</v>
      </c>
      <c r="D3676" t="s">
        <v>112</v>
      </c>
      <c r="E3676" t="s">
        <v>9</v>
      </c>
      <c r="F3676" s="3">
        <v>-300</v>
      </c>
      <c r="G3676" s="3">
        <v>-300</v>
      </c>
      <c r="H3676" t="s">
        <v>3</v>
      </c>
      <c r="I3676" t="s">
        <v>3</v>
      </c>
      <c r="J3676" t="s">
        <v>326</v>
      </c>
      <c r="K3676" t="s">
        <v>5</v>
      </c>
      <c r="L3676" t="s">
        <v>11</v>
      </c>
      <c r="M3676" t="s">
        <v>114</v>
      </c>
      <c r="N3676" s="2">
        <v>45962</v>
      </c>
    </row>
    <row r="3677" spans="1:14" x14ac:dyDescent="0.25">
      <c r="A3677" t="s">
        <v>518</v>
      </c>
      <c r="B3677" s="2">
        <v>45991</v>
      </c>
      <c r="C3677" t="s">
        <v>518</v>
      </c>
      <c r="D3677" t="s">
        <v>112</v>
      </c>
      <c r="E3677" t="s">
        <v>9</v>
      </c>
      <c r="F3677" s="3">
        <v>59350</v>
      </c>
      <c r="G3677" s="3">
        <v>59350</v>
      </c>
      <c r="H3677" t="s">
        <v>3</v>
      </c>
      <c r="I3677" t="s">
        <v>3</v>
      </c>
      <c r="J3677" t="s">
        <v>328</v>
      </c>
      <c r="K3677" t="s">
        <v>5</v>
      </c>
      <c r="L3677" t="s">
        <v>11</v>
      </c>
      <c r="M3677" t="s">
        <v>114</v>
      </c>
      <c r="N3677" s="2">
        <v>45991</v>
      </c>
    </row>
    <row r="3678" spans="1:14" x14ac:dyDescent="0.25">
      <c r="A3678" t="s">
        <v>518</v>
      </c>
      <c r="B3678" s="2">
        <v>45991</v>
      </c>
      <c r="C3678" t="s">
        <v>518</v>
      </c>
      <c r="D3678" t="s">
        <v>112</v>
      </c>
      <c r="E3678" t="s">
        <v>9</v>
      </c>
      <c r="F3678" s="3">
        <v>300</v>
      </c>
      <c r="G3678" s="3">
        <v>300</v>
      </c>
      <c r="H3678" t="s">
        <v>3</v>
      </c>
      <c r="I3678" t="s">
        <v>3</v>
      </c>
      <c r="J3678" t="s">
        <v>329</v>
      </c>
      <c r="K3678" t="s">
        <v>5</v>
      </c>
      <c r="L3678" t="s">
        <v>11</v>
      </c>
      <c r="M3678" t="s">
        <v>114</v>
      </c>
      <c r="N3678" s="2">
        <v>45991</v>
      </c>
    </row>
    <row r="3679" spans="1:14" x14ac:dyDescent="0.25">
      <c r="A3679" s="4" t="s">
        <v>226</v>
      </c>
      <c r="B3679" s="5"/>
      <c r="C3679" s="4" t="s">
        <v>9</v>
      </c>
      <c r="D3679" s="4" t="s">
        <v>9</v>
      </c>
      <c r="E3679" s="4" t="s">
        <v>9</v>
      </c>
      <c r="F3679" s="6">
        <v>0</v>
      </c>
      <c r="G3679" s="6">
        <v>0</v>
      </c>
      <c r="H3679" s="4" t="s">
        <v>9</v>
      </c>
      <c r="I3679" s="4" t="s">
        <v>3</v>
      </c>
      <c r="J3679" s="4" t="s">
        <v>9</v>
      </c>
      <c r="K3679" s="4" t="s">
        <v>9</v>
      </c>
      <c r="L3679" s="4" t="s">
        <v>9</v>
      </c>
      <c r="M3679" s="4" t="s">
        <v>9</v>
      </c>
      <c r="N3679" s="5"/>
    </row>
    <row r="3680" spans="1:14" x14ac:dyDescent="0.25">
      <c r="A3680" t="s">
        <v>518</v>
      </c>
      <c r="B3680" s="2">
        <v>46028</v>
      </c>
      <c r="C3680" t="s">
        <v>518</v>
      </c>
      <c r="D3680" t="s">
        <v>112</v>
      </c>
      <c r="E3680" t="s">
        <v>9</v>
      </c>
      <c r="F3680" s="3">
        <v>-26091</v>
      </c>
      <c r="G3680" s="3">
        <v>-26091</v>
      </c>
      <c r="H3680" t="s">
        <v>3</v>
      </c>
      <c r="I3680" t="s">
        <v>3</v>
      </c>
      <c r="J3680" t="s">
        <v>9</v>
      </c>
      <c r="K3680" t="s">
        <v>9</v>
      </c>
      <c r="L3680" t="s">
        <v>12</v>
      </c>
      <c r="M3680" t="s">
        <v>114</v>
      </c>
      <c r="N3680" s="2">
        <v>46022</v>
      </c>
    </row>
    <row r="3681" spans="1:14" x14ac:dyDescent="0.25">
      <c r="A3681" t="s">
        <v>518</v>
      </c>
      <c r="B3681" s="2">
        <v>45991</v>
      </c>
      <c r="C3681" t="s">
        <v>518</v>
      </c>
      <c r="D3681" t="s">
        <v>112</v>
      </c>
      <c r="E3681" t="s">
        <v>9</v>
      </c>
      <c r="F3681" s="3">
        <v>-59350</v>
      </c>
      <c r="G3681" s="3">
        <v>-59350</v>
      </c>
      <c r="H3681" t="s">
        <v>3</v>
      </c>
      <c r="I3681" t="s">
        <v>3</v>
      </c>
      <c r="J3681" t="s">
        <v>328</v>
      </c>
      <c r="K3681" t="s">
        <v>5</v>
      </c>
      <c r="L3681" t="s">
        <v>12</v>
      </c>
      <c r="M3681" t="s">
        <v>114</v>
      </c>
      <c r="N3681" s="2">
        <v>45992</v>
      </c>
    </row>
    <row r="3682" spans="1:14" x14ac:dyDescent="0.25">
      <c r="A3682" t="s">
        <v>518</v>
      </c>
      <c r="B3682" s="2">
        <v>45991</v>
      </c>
      <c r="C3682" t="s">
        <v>518</v>
      </c>
      <c r="D3682" t="s">
        <v>112</v>
      </c>
      <c r="E3682" t="s">
        <v>9</v>
      </c>
      <c r="F3682" s="3">
        <v>-300</v>
      </c>
      <c r="G3682" s="3">
        <v>-300</v>
      </c>
      <c r="H3682" t="s">
        <v>3</v>
      </c>
      <c r="I3682" t="s">
        <v>3</v>
      </c>
      <c r="J3682" t="s">
        <v>329</v>
      </c>
      <c r="K3682" t="s">
        <v>5</v>
      </c>
      <c r="L3682" t="s">
        <v>12</v>
      </c>
      <c r="M3682" t="s">
        <v>114</v>
      </c>
      <c r="N3682" s="2">
        <v>45992</v>
      </c>
    </row>
    <row r="3683" spans="1:14" x14ac:dyDescent="0.25">
      <c r="A3683" t="s">
        <v>518</v>
      </c>
      <c r="B3683" s="2">
        <v>46022</v>
      </c>
      <c r="C3683" t="s">
        <v>518</v>
      </c>
      <c r="D3683" t="s">
        <v>112</v>
      </c>
      <c r="E3683" t="s">
        <v>9</v>
      </c>
      <c r="F3683" s="3">
        <v>85441</v>
      </c>
      <c r="G3683" s="3">
        <v>85441</v>
      </c>
      <c r="H3683" t="s">
        <v>3</v>
      </c>
      <c r="I3683" t="s">
        <v>3</v>
      </c>
      <c r="J3683" t="s">
        <v>298</v>
      </c>
      <c r="K3683" t="s">
        <v>5</v>
      </c>
      <c r="L3683" t="s">
        <v>12</v>
      </c>
      <c r="M3683" t="s">
        <v>114</v>
      </c>
      <c r="N3683" s="2">
        <v>46022</v>
      </c>
    </row>
    <row r="3684" spans="1:14" x14ac:dyDescent="0.25">
      <c r="A3684" t="s">
        <v>518</v>
      </c>
      <c r="B3684" s="2">
        <v>46022</v>
      </c>
      <c r="C3684" t="s">
        <v>518</v>
      </c>
      <c r="D3684" t="s">
        <v>112</v>
      </c>
      <c r="E3684" t="s">
        <v>9</v>
      </c>
      <c r="F3684" s="3">
        <v>300</v>
      </c>
      <c r="G3684" s="3">
        <v>300</v>
      </c>
      <c r="H3684" t="s">
        <v>3</v>
      </c>
      <c r="I3684" t="s">
        <v>3</v>
      </c>
      <c r="J3684" t="s">
        <v>299</v>
      </c>
      <c r="K3684" t="s">
        <v>5</v>
      </c>
      <c r="L3684" t="s">
        <v>12</v>
      </c>
      <c r="M3684" t="s">
        <v>114</v>
      </c>
      <c r="N3684" s="2">
        <v>46022</v>
      </c>
    </row>
    <row r="3685" spans="1:14" x14ac:dyDescent="0.25">
      <c r="A3685" t="s">
        <v>518</v>
      </c>
      <c r="B3685" s="2">
        <v>46022</v>
      </c>
      <c r="C3685" t="s">
        <v>518</v>
      </c>
      <c r="D3685" t="s">
        <v>112</v>
      </c>
      <c r="E3685" t="s">
        <v>9</v>
      </c>
      <c r="F3685" s="3">
        <v>85441</v>
      </c>
      <c r="G3685" s="3">
        <v>85441</v>
      </c>
      <c r="H3685" t="s">
        <v>3</v>
      </c>
      <c r="I3685" t="s">
        <v>3</v>
      </c>
      <c r="J3685" t="s">
        <v>298</v>
      </c>
      <c r="K3685" t="s">
        <v>5</v>
      </c>
      <c r="L3685" t="s">
        <v>12</v>
      </c>
      <c r="M3685" t="s">
        <v>114</v>
      </c>
      <c r="N3685" s="2">
        <v>46022</v>
      </c>
    </row>
    <row r="3686" spans="1:14" x14ac:dyDescent="0.25">
      <c r="A3686" t="s">
        <v>518</v>
      </c>
      <c r="B3686" s="2">
        <v>46022</v>
      </c>
      <c r="C3686" t="s">
        <v>518</v>
      </c>
      <c r="D3686" t="s">
        <v>112</v>
      </c>
      <c r="E3686" t="s">
        <v>9</v>
      </c>
      <c r="F3686" s="3">
        <v>300</v>
      </c>
      <c r="G3686" s="3">
        <v>300</v>
      </c>
      <c r="H3686" t="s">
        <v>3</v>
      </c>
      <c r="I3686" t="s">
        <v>3</v>
      </c>
      <c r="J3686" t="s">
        <v>299</v>
      </c>
      <c r="K3686" t="s">
        <v>5</v>
      </c>
      <c r="L3686" t="s">
        <v>12</v>
      </c>
      <c r="M3686" t="s">
        <v>114</v>
      </c>
      <c r="N3686" s="2">
        <v>46022</v>
      </c>
    </row>
    <row r="3687" spans="1:14" x14ac:dyDescent="0.25">
      <c r="A3687" t="s">
        <v>518</v>
      </c>
      <c r="B3687" s="2">
        <v>46022</v>
      </c>
      <c r="C3687" t="s">
        <v>518</v>
      </c>
      <c r="D3687" t="s">
        <v>112</v>
      </c>
      <c r="E3687" t="s">
        <v>9</v>
      </c>
      <c r="F3687" s="3">
        <v>-85441</v>
      </c>
      <c r="G3687" s="3">
        <v>-85441</v>
      </c>
      <c r="H3687" t="s">
        <v>3</v>
      </c>
      <c r="I3687" t="s">
        <v>3</v>
      </c>
      <c r="J3687" t="s">
        <v>298</v>
      </c>
      <c r="K3687" t="s">
        <v>5</v>
      </c>
      <c r="L3687" t="s">
        <v>12</v>
      </c>
      <c r="M3687" t="s">
        <v>114</v>
      </c>
      <c r="N3687" s="2">
        <v>46022</v>
      </c>
    </row>
    <row r="3688" spans="1:14" x14ac:dyDescent="0.25">
      <c r="A3688" t="s">
        <v>518</v>
      </c>
      <c r="B3688" s="2">
        <v>46022</v>
      </c>
      <c r="C3688" t="s">
        <v>518</v>
      </c>
      <c r="D3688" t="s">
        <v>112</v>
      </c>
      <c r="E3688" t="s">
        <v>9</v>
      </c>
      <c r="F3688" s="3">
        <v>-300</v>
      </c>
      <c r="G3688" s="3">
        <v>-300</v>
      </c>
      <c r="H3688" t="s">
        <v>3</v>
      </c>
      <c r="I3688" t="s">
        <v>3</v>
      </c>
      <c r="J3688" t="s">
        <v>299</v>
      </c>
      <c r="K3688" t="s">
        <v>5</v>
      </c>
      <c r="L3688" t="s">
        <v>12</v>
      </c>
      <c r="M3688" t="s">
        <v>114</v>
      </c>
      <c r="N3688" s="2">
        <v>46022</v>
      </c>
    </row>
    <row r="3689" spans="1:14" x14ac:dyDescent="0.25">
      <c r="A3689" s="4" t="s">
        <v>228</v>
      </c>
      <c r="B3689" s="5"/>
      <c r="C3689" s="4" t="s">
        <v>9</v>
      </c>
      <c r="D3689" s="4" t="s">
        <v>9</v>
      </c>
      <c r="E3689" s="4" t="s">
        <v>9</v>
      </c>
      <c r="F3689" s="6">
        <v>0</v>
      </c>
      <c r="G3689" s="6">
        <v>0</v>
      </c>
      <c r="H3689" s="4" t="s">
        <v>9</v>
      </c>
      <c r="I3689" s="4" t="s">
        <v>3</v>
      </c>
      <c r="J3689" s="4" t="s">
        <v>9</v>
      </c>
      <c r="K3689" s="4" t="s">
        <v>9</v>
      </c>
      <c r="L3689" s="4" t="s">
        <v>9</v>
      </c>
      <c r="M3689" s="4" t="s">
        <v>9</v>
      </c>
      <c r="N3689" s="5"/>
    </row>
    <row r="3690" spans="1:14" x14ac:dyDescent="0.25">
      <c r="A3690" s="4" t="s">
        <v>518</v>
      </c>
      <c r="B3690" s="5"/>
      <c r="C3690" s="4" t="s">
        <v>9</v>
      </c>
      <c r="D3690" s="4" t="s">
        <v>9</v>
      </c>
      <c r="E3690" s="4" t="s">
        <v>9</v>
      </c>
      <c r="F3690" s="6">
        <v>0</v>
      </c>
      <c r="G3690" s="6">
        <v>0</v>
      </c>
      <c r="H3690" s="4" t="s">
        <v>9</v>
      </c>
      <c r="I3690" s="4" t="s">
        <v>3</v>
      </c>
      <c r="J3690" s="4" t="s">
        <v>9</v>
      </c>
      <c r="K3690" s="4" t="s">
        <v>9</v>
      </c>
      <c r="L3690" s="4" t="s">
        <v>9</v>
      </c>
      <c r="M3690" s="4" t="s">
        <v>9</v>
      </c>
      <c r="N3690" s="5"/>
    </row>
    <row r="3691" spans="1:14" x14ac:dyDescent="0.25">
      <c r="A3691" t="s">
        <v>519</v>
      </c>
      <c r="B3691" s="2">
        <v>46084</v>
      </c>
      <c r="C3691" t="s">
        <v>519</v>
      </c>
      <c r="D3691" t="s">
        <v>99</v>
      </c>
      <c r="E3691" t="s">
        <v>9</v>
      </c>
      <c r="F3691" s="3">
        <v>-5308</v>
      </c>
      <c r="G3691" s="3">
        <v>-5308</v>
      </c>
      <c r="H3691" t="s">
        <v>3</v>
      </c>
      <c r="I3691" t="s">
        <v>3</v>
      </c>
      <c r="J3691" t="s">
        <v>9</v>
      </c>
      <c r="K3691" t="s">
        <v>9</v>
      </c>
      <c r="L3691" t="s">
        <v>15</v>
      </c>
      <c r="M3691" t="s">
        <v>102</v>
      </c>
      <c r="N3691" s="2">
        <v>46081</v>
      </c>
    </row>
    <row r="3692" spans="1:14" x14ac:dyDescent="0.25">
      <c r="A3692" t="s">
        <v>519</v>
      </c>
      <c r="B3692" s="2">
        <v>46063</v>
      </c>
      <c r="C3692" t="s">
        <v>519</v>
      </c>
      <c r="D3692" t="s">
        <v>99</v>
      </c>
      <c r="E3692" t="s">
        <v>520</v>
      </c>
      <c r="F3692" s="3">
        <v>5308</v>
      </c>
      <c r="G3692" s="3">
        <v>5308</v>
      </c>
      <c r="H3692" t="s">
        <v>3</v>
      </c>
      <c r="I3692" t="s">
        <v>3</v>
      </c>
      <c r="J3692" t="s">
        <v>521</v>
      </c>
      <c r="K3692" t="s">
        <v>13</v>
      </c>
      <c r="L3692" t="s">
        <v>15</v>
      </c>
      <c r="M3692" t="s">
        <v>102</v>
      </c>
      <c r="N3692" s="2">
        <v>46063</v>
      </c>
    </row>
    <row r="3693" spans="1:14" x14ac:dyDescent="0.25">
      <c r="A3693" s="4" t="s">
        <v>239</v>
      </c>
      <c r="B3693" s="5"/>
      <c r="C3693" s="4" t="s">
        <v>9</v>
      </c>
      <c r="D3693" s="4" t="s">
        <v>9</v>
      </c>
      <c r="E3693" s="4" t="s">
        <v>9</v>
      </c>
      <c r="F3693" s="6">
        <v>0</v>
      </c>
      <c r="G3693" s="6">
        <v>0</v>
      </c>
      <c r="H3693" s="4" t="s">
        <v>9</v>
      </c>
      <c r="I3693" s="4" t="s">
        <v>3</v>
      </c>
      <c r="J3693" s="4" t="s">
        <v>9</v>
      </c>
      <c r="K3693" s="4" t="s">
        <v>9</v>
      </c>
      <c r="L3693" s="4" t="s">
        <v>9</v>
      </c>
      <c r="M3693" s="4" t="s">
        <v>9</v>
      </c>
      <c r="N3693" s="5"/>
    </row>
    <row r="3694" spans="1:14" x14ac:dyDescent="0.25">
      <c r="A3694" t="s">
        <v>519</v>
      </c>
      <c r="B3694" s="2">
        <v>46115</v>
      </c>
      <c r="C3694" t="s">
        <v>519</v>
      </c>
      <c r="D3694" t="s">
        <v>99</v>
      </c>
      <c r="E3694" t="s">
        <v>9</v>
      </c>
      <c r="F3694" s="3">
        <v>2101.3200000000002</v>
      </c>
      <c r="G3694" s="3">
        <v>2101.3200000000002</v>
      </c>
      <c r="H3694" t="s">
        <v>3</v>
      </c>
      <c r="I3694" t="s">
        <v>3</v>
      </c>
      <c r="J3694" t="s">
        <v>9</v>
      </c>
      <c r="K3694" t="s">
        <v>9</v>
      </c>
      <c r="L3694" t="s">
        <v>16</v>
      </c>
      <c r="M3694" t="s">
        <v>102</v>
      </c>
      <c r="N3694" s="2">
        <v>46112</v>
      </c>
    </row>
    <row r="3695" spans="1:14" x14ac:dyDescent="0.25">
      <c r="A3695" t="s">
        <v>519</v>
      </c>
      <c r="B3695" s="2">
        <v>46079</v>
      </c>
      <c r="C3695" t="s">
        <v>519</v>
      </c>
      <c r="D3695" t="s">
        <v>99</v>
      </c>
      <c r="E3695" t="s">
        <v>520</v>
      </c>
      <c r="F3695" s="3">
        <v>-2101.3200000000002</v>
      </c>
      <c r="G3695" s="3">
        <v>-2101.3200000000002</v>
      </c>
      <c r="H3695" t="s">
        <v>3</v>
      </c>
      <c r="I3695" t="s">
        <v>3</v>
      </c>
      <c r="J3695" t="s">
        <v>521</v>
      </c>
      <c r="K3695" t="s">
        <v>13</v>
      </c>
      <c r="L3695" t="s">
        <v>16</v>
      </c>
      <c r="M3695" t="s">
        <v>102</v>
      </c>
      <c r="N3695" s="2">
        <v>46082</v>
      </c>
    </row>
    <row r="3696" spans="1:14" x14ac:dyDescent="0.25">
      <c r="A3696" s="4" t="s">
        <v>244</v>
      </c>
      <c r="B3696" s="5"/>
      <c r="C3696" s="4" t="s">
        <v>9</v>
      </c>
      <c r="D3696" s="4" t="s">
        <v>9</v>
      </c>
      <c r="E3696" s="4" t="s">
        <v>9</v>
      </c>
      <c r="F3696" s="6">
        <v>0</v>
      </c>
      <c r="G3696" s="6">
        <v>0</v>
      </c>
      <c r="H3696" s="4" t="s">
        <v>9</v>
      </c>
      <c r="I3696" s="4" t="s">
        <v>3</v>
      </c>
      <c r="J3696" s="4" t="s">
        <v>9</v>
      </c>
      <c r="K3696" s="4" t="s">
        <v>9</v>
      </c>
      <c r="L3696" s="4" t="s">
        <v>9</v>
      </c>
      <c r="M3696" s="4" t="s">
        <v>9</v>
      </c>
      <c r="N3696" s="5"/>
    </row>
    <row r="3697" spans="1:14" x14ac:dyDescent="0.25">
      <c r="A3697" t="s">
        <v>519</v>
      </c>
      <c r="B3697" s="2">
        <v>45993</v>
      </c>
      <c r="C3697" t="s">
        <v>519</v>
      </c>
      <c r="D3697" t="s">
        <v>99</v>
      </c>
      <c r="E3697" t="s">
        <v>9</v>
      </c>
      <c r="F3697" s="3">
        <v>-18210</v>
      </c>
      <c r="G3697" s="3">
        <v>-18210</v>
      </c>
      <c r="H3697" t="s">
        <v>3</v>
      </c>
      <c r="I3697" t="s">
        <v>3</v>
      </c>
      <c r="J3697" t="s">
        <v>9</v>
      </c>
      <c r="K3697" t="s">
        <v>9</v>
      </c>
      <c r="L3697" t="s">
        <v>11</v>
      </c>
      <c r="M3697" t="s">
        <v>102</v>
      </c>
      <c r="N3697" s="2">
        <v>45991</v>
      </c>
    </row>
    <row r="3698" spans="1:14" x14ac:dyDescent="0.25">
      <c r="A3698" t="s">
        <v>519</v>
      </c>
      <c r="B3698" s="2">
        <v>45965</v>
      </c>
      <c r="C3698" t="s">
        <v>519</v>
      </c>
      <c r="D3698" t="s">
        <v>99</v>
      </c>
      <c r="E3698" t="s">
        <v>520</v>
      </c>
      <c r="F3698" s="3">
        <v>18210</v>
      </c>
      <c r="G3698" s="3">
        <v>18210</v>
      </c>
      <c r="H3698" t="s">
        <v>3</v>
      </c>
      <c r="I3698" t="s">
        <v>3</v>
      </c>
      <c r="J3698" t="s">
        <v>522</v>
      </c>
      <c r="K3698" t="s">
        <v>5</v>
      </c>
      <c r="L3698" t="s">
        <v>11</v>
      </c>
      <c r="M3698" t="s">
        <v>102</v>
      </c>
      <c r="N3698" s="2">
        <v>45965</v>
      </c>
    </row>
    <row r="3699" spans="1:14" x14ac:dyDescent="0.25">
      <c r="A3699" s="4" t="s">
        <v>226</v>
      </c>
      <c r="B3699" s="5"/>
      <c r="C3699" s="4" t="s">
        <v>9</v>
      </c>
      <c r="D3699" s="4" t="s">
        <v>9</v>
      </c>
      <c r="E3699" s="4" t="s">
        <v>9</v>
      </c>
      <c r="F3699" s="6">
        <v>0</v>
      </c>
      <c r="G3699" s="6">
        <v>0</v>
      </c>
      <c r="H3699" s="4" t="s">
        <v>9</v>
      </c>
      <c r="I3699" s="4" t="s">
        <v>3</v>
      </c>
      <c r="J3699" s="4" t="s">
        <v>9</v>
      </c>
      <c r="K3699" s="4" t="s">
        <v>9</v>
      </c>
      <c r="L3699" s="4" t="s">
        <v>9</v>
      </c>
      <c r="M3699" s="4" t="s">
        <v>9</v>
      </c>
      <c r="N3699" s="5"/>
    </row>
    <row r="3700" spans="1:14" x14ac:dyDescent="0.25">
      <c r="A3700" t="s">
        <v>519</v>
      </c>
      <c r="B3700" s="2">
        <v>46028</v>
      </c>
      <c r="C3700" t="s">
        <v>519</v>
      </c>
      <c r="D3700" t="s">
        <v>99</v>
      </c>
      <c r="E3700" t="s">
        <v>9</v>
      </c>
      <c r="F3700" s="3">
        <v>-41180.26</v>
      </c>
      <c r="G3700" s="3">
        <v>-41180.26</v>
      </c>
      <c r="H3700" t="s">
        <v>3</v>
      </c>
      <c r="I3700" t="s">
        <v>3</v>
      </c>
      <c r="J3700" t="s">
        <v>9</v>
      </c>
      <c r="K3700" t="s">
        <v>9</v>
      </c>
      <c r="L3700" t="s">
        <v>12</v>
      </c>
      <c r="M3700" t="s">
        <v>102</v>
      </c>
      <c r="N3700" s="2">
        <v>46022</v>
      </c>
    </row>
    <row r="3701" spans="1:14" x14ac:dyDescent="0.25">
      <c r="A3701" t="s">
        <v>519</v>
      </c>
      <c r="B3701" s="2">
        <v>46003</v>
      </c>
      <c r="C3701" t="s">
        <v>519</v>
      </c>
      <c r="D3701" t="s">
        <v>99</v>
      </c>
      <c r="E3701" t="s">
        <v>520</v>
      </c>
      <c r="F3701" s="3">
        <v>6102</v>
      </c>
      <c r="G3701" s="3">
        <v>6102</v>
      </c>
      <c r="H3701" t="s">
        <v>3</v>
      </c>
      <c r="I3701" t="s">
        <v>3</v>
      </c>
      <c r="J3701" t="s">
        <v>521</v>
      </c>
      <c r="K3701" t="s">
        <v>5</v>
      </c>
      <c r="L3701" t="s">
        <v>12</v>
      </c>
      <c r="M3701" t="s">
        <v>102</v>
      </c>
      <c r="N3701" s="2">
        <v>46003</v>
      </c>
    </row>
    <row r="3702" spans="1:14" x14ac:dyDescent="0.25">
      <c r="A3702" t="s">
        <v>519</v>
      </c>
      <c r="B3702" s="2">
        <v>46003</v>
      </c>
      <c r="C3702" t="s">
        <v>519</v>
      </c>
      <c r="D3702" t="s">
        <v>99</v>
      </c>
      <c r="E3702" t="s">
        <v>520</v>
      </c>
      <c r="F3702" s="3">
        <v>16368.13</v>
      </c>
      <c r="G3702" s="3">
        <v>16368.13</v>
      </c>
      <c r="H3702" t="s">
        <v>3</v>
      </c>
      <c r="I3702" t="s">
        <v>3</v>
      </c>
      <c r="J3702" t="s">
        <v>521</v>
      </c>
      <c r="K3702" t="s">
        <v>5</v>
      </c>
      <c r="L3702" t="s">
        <v>12</v>
      </c>
      <c r="M3702" t="s">
        <v>102</v>
      </c>
      <c r="N3702" s="2">
        <v>46003</v>
      </c>
    </row>
    <row r="3703" spans="1:14" x14ac:dyDescent="0.25">
      <c r="A3703" t="s">
        <v>519</v>
      </c>
      <c r="B3703" s="2">
        <v>46006</v>
      </c>
      <c r="C3703" t="s">
        <v>519</v>
      </c>
      <c r="D3703" t="s">
        <v>99</v>
      </c>
      <c r="E3703" t="s">
        <v>520</v>
      </c>
      <c r="F3703" s="3">
        <v>18710.13</v>
      </c>
      <c r="G3703" s="3">
        <v>18710.13</v>
      </c>
      <c r="H3703" t="s">
        <v>3</v>
      </c>
      <c r="I3703" t="s">
        <v>3</v>
      </c>
      <c r="J3703" t="s">
        <v>521</v>
      </c>
      <c r="K3703" t="s">
        <v>5</v>
      </c>
      <c r="L3703" t="s">
        <v>12</v>
      </c>
      <c r="M3703" t="s">
        <v>102</v>
      </c>
      <c r="N3703" s="2">
        <v>46006</v>
      </c>
    </row>
    <row r="3704" spans="1:14" x14ac:dyDescent="0.25">
      <c r="A3704" s="4" t="s">
        <v>228</v>
      </c>
      <c r="B3704" s="5"/>
      <c r="C3704" s="4" t="s">
        <v>9</v>
      </c>
      <c r="D3704" s="4" t="s">
        <v>9</v>
      </c>
      <c r="E3704" s="4" t="s">
        <v>9</v>
      </c>
      <c r="F3704" s="6">
        <v>0</v>
      </c>
      <c r="G3704" s="6">
        <v>0</v>
      </c>
      <c r="H3704" s="4" t="s">
        <v>9</v>
      </c>
      <c r="I3704" s="4" t="s">
        <v>3</v>
      </c>
      <c r="J3704" s="4" t="s">
        <v>9</v>
      </c>
      <c r="K3704" s="4" t="s">
        <v>9</v>
      </c>
      <c r="L3704" s="4" t="s">
        <v>9</v>
      </c>
      <c r="M3704" s="4" t="s">
        <v>9</v>
      </c>
      <c r="N3704" s="5"/>
    </row>
    <row r="3705" spans="1:14" x14ac:dyDescent="0.25">
      <c r="A3705" s="4" t="s">
        <v>519</v>
      </c>
      <c r="B3705" s="5"/>
      <c r="C3705" s="4" t="s">
        <v>9</v>
      </c>
      <c r="D3705" s="4" t="s">
        <v>9</v>
      </c>
      <c r="E3705" s="4" t="s">
        <v>9</v>
      </c>
      <c r="F3705" s="6">
        <v>0</v>
      </c>
      <c r="G3705" s="6">
        <v>0</v>
      </c>
      <c r="H3705" s="4" t="s">
        <v>9</v>
      </c>
      <c r="I3705" s="4" t="s">
        <v>3</v>
      </c>
      <c r="J3705" s="4" t="s">
        <v>9</v>
      </c>
      <c r="K3705" s="4" t="s">
        <v>9</v>
      </c>
      <c r="L3705" s="4" t="s">
        <v>9</v>
      </c>
      <c r="M3705" s="4" t="s">
        <v>9</v>
      </c>
      <c r="N3705" s="5"/>
    </row>
    <row r="3706" spans="1:14" x14ac:dyDescent="0.25">
      <c r="A3706" t="s">
        <v>523</v>
      </c>
      <c r="B3706" s="2">
        <v>46084</v>
      </c>
      <c r="C3706" t="s">
        <v>523</v>
      </c>
      <c r="D3706" t="s">
        <v>33</v>
      </c>
      <c r="E3706" t="s">
        <v>9</v>
      </c>
      <c r="F3706" s="3">
        <v>19860</v>
      </c>
      <c r="G3706" s="3">
        <v>19860</v>
      </c>
      <c r="H3706" t="s">
        <v>3</v>
      </c>
      <c r="I3706" t="s">
        <v>3</v>
      </c>
      <c r="J3706" t="s">
        <v>9</v>
      </c>
      <c r="K3706" t="s">
        <v>9</v>
      </c>
      <c r="L3706" t="s">
        <v>15</v>
      </c>
      <c r="M3706" t="s">
        <v>35</v>
      </c>
      <c r="N3706" s="2">
        <v>46081</v>
      </c>
    </row>
    <row r="3707" spans="1:14" x14ac:dyDescent="0.25">
      <c r="A3707" t="s">
        <v>523</v>
      </c>
      <c r="B3707" s="2">
        <v>46065</v>
      </c>
      <c r="C3707" t="s">
        <v>523</v>
      </c>
      <c r="D3707" t="s">
        <v>33</v>
      </c>
      <c r="E3707" t="s">
        <v>9</v>
      </c>
      <c r="F3707" s="3">
        <v>-19860</v>
      </c>
      <c r="G3707" s="3">
        <v>-19860</v>
      </c>
      <c r="H3707" t="s">
        <v>3</v>
      </c>
      <c r="I3707" t="s">
        <v>3</v>
      </c>
      <c r="J3707" t="s">
        <v>9</v>
      </c>
      <c r="K3707" t="s">
        <v>13</v>
      </c>
      <c r="L3707" t="s">
        <v>15</v>
      </c>
      <c r="M3707" t="s">
        <v>35</v>
      </c>
      <c r="N3707" s="2">
        <v>46065</v>
      </c>
    </row>
    <row r="3708" spans="1:14" x14ac:dyDescent="0.25">
      <c r="A3708" s="4" t="s">
        <v>239</v>
      </c>
      <c r="B3708" s="5"/>
      <c r="C3708" s="4" t="s">
        <v>9</v>
      </c>
      <c r="D3708" s="4" t="s">
        <v>9</v>
      </c>
      <c r="E3708" s="4" t="s">
        <v>9</v>
      </c>
      <c r="F3708" s="6">
        <v>0</v>
      </c>
      <c r="G3708" s="6">
        <v>0</v>
      </c>
      <c r="H3708" s="4" t="s">
        <v>9</v>
      </c>
      <c r="I3708" s="4" t="s">
        <v>3</v>
      </c>
      <c r="J3708" s="4" t="s">
        <v>9</v>
      </c>
      <c r="K3708" s="4" t="s">
        <v>9</v>
      </c>
      <c r="L3708" s="4" t="s">
        <v>9</v>
      </c>
      <c r="M3708" s="4" t="s">
        <v>9</v>
      </c>
      <c r="N3708" s="5"/>
    </row>
    <row r="3709" spans="1:14" x14ac:dyDescent="0.25">
      <c r="A3709" t="s">
        <v>523</v>
      </c>
      <c r="B3709" s="2">
        <v>46115</v>
      </c>
      <c r="C3709" t="s">
        <v>523</v>
      </c>
      <c r="D3709" t="s">
        <v>33</v>
      </c>
      <c r="E3709" t="s">
        <v>9</v>
      </c>
      <c r="F3709" s="3">
        <v>8397</v>
      </c>
      <c r="G3709" s="3">
        <v>8397</v>
      </c>
      <c r="H3709" t="s">
        <v>3</v>
      </c>
      <c r="I3709" t="s">
        <v>3</v>
      </c>
      <c r="J3709" t="s">
        <v>9</v>
      </c>
      <c r="K3709" t="s">
        <v>9</v>
      </c>
      <c r="L3709" t="s">
        <v>16</v>
      </c>
      <c r="M3709" t="s">
        <v>35</v>
      </c>
      <c r="N3709" s="2">
        <v>46112</v>
      </c>
    </row>
    <row r="3710" spans="1:14" x14ac:dyDescent="0.25">
      <c r="A3710" t="s">
        <v>523</v>
      </c>
      <c r="B3710" s="2">
        <v>46100</v>
      </c>
      <c r="C3710" t="s">
        <v>523</v>
      </c>
      <c r="D3710" t="s">
        <v>33</v>
      </c>
      <c r="E3710" t="s">
        <v>9</v>
      </c>
      <c r="F3710" s="3">
        <v>-8397</v>
      </c>
      <c r="G3710" s="3">
        <v>-8397</v>
      </c>
      <c r="H3710" t="s">
        <v>3</v>
      </c>
      <c r="I3710" t="s">
        <v>3</v>
      </c>
      <c r="J3710" t="s">
        <v>9</v>
      </c>
      <c r="K3710" t="s">
        <v>13</v>
      </c>
      <c r="L3710" t="s">
        <v>16</v>
      </c>
      <c r="M3710" t="s">
        <v>35</v>
      </c>
      <c r="N3710" s="2">
        <v>46100</v>
      </c>
    </row>
    <row r="3711" spans="1:14" x14ac:dyDescent="0.25">
      <c r="A3711" s="4" t="s">
        <v>244</v>
      </c>
      <c r="B3711" s="5"/>
      <c r="C3711" s="4" t="s">
        <v>9</v>
      </c>
      <c r="D3711" s="4" t="s">
        <v>9</v>
      </c>
      <c r="E3711" s="4" t="s">
        <v>9</v>
      </c>
      <c r="F3711" s="6">
        <v>0</v>
      </c>
      <c r="G3711" s="6">
        <v>0</v>
      </c>
      <c r="H3711" s="4" t="s">
        <v>9</v>
      </c>
      <c r="I3711" s="4" t="s">
        <v>3</v>
      </c>
      <c r="J3711" s="4" t="s">
        <v>9</v>
      </c>
      <c r="K3711" s="4" t="s">
        <v>9</v>
      </c>
      <c r="L3711" s="4" t="s">
        <v>9</v>
      </c>
      <c r="M3711" s="4" t="s">
        <v>9</v>
      </c>
      <c r="N3711" s="5"/>
    </row>
    <row r="3712" spans="1:14" x14ac:dyDescent="0.25">
      <c r="A3712" t="s">
        <v>523</v>
      </c>
      <c r="B3712" s="2">
        <v>46147</v>
      </c>
      <c r="C3712" t="s">
        <v>523</v>
      </c>
      <c r="D3712" t="s">
        <v>33</v>
      </c>
      <c r="E3712" t="s">
        <v>9</v>
      </c>
      <c r="F3712" s="3">
        <v>6930</v>
      </c>
      <c r="G3712" s="3">
        <v>6930</v>
      </c>
      <c r="H3712" t="s">
        <v>3</v>
      </c>
      <c r="I3712" t="s">
        <v>3</v>
      </c>
      <c r="J3712" t="s">
        <v>9</v>
      </c>
      <c r="K3712" t="s">
        <v>9</v>
      </c>
      <c r="L3712" t="s">
        <v>17</v>
      </c>
      <c r="M3712" t="s">
        <v>35</v>
      </c>
      <c r="N3712" s="2">
        <v>46142</v>
      </c>
    </row>
    <row r="3713" spans="1:14" x14ac:dyDescent="0.25">
      <c r="A3713" t="s">
        <v>523</v>
      </c>
      <c r="B3713" s="2">
        <v>46127</v>
      </c>
      <c r="C3713" t="s">
        <v>523</v>
      </c>
      <c r="D3713" t="s">
        <v>33</v>
      </c>
      <c r="E3713" t="s">
        <v>9</v>
      </c>
      <c r="F3713" s="3">
        <v>-6930</v>
      </c>
      <c r="G3713" s="3">
        <v>-6930</v>
      </c>
      <c r="H3713" t="s">
        <v>3</v>
      </c>
      <c r="I3713" t="s">
        <v>3</v>
      </c>
      <c r="J3713" t="s">
        <v>9</v>
      </c>
      <c r="K3713" t="s">
        <v>13</v>
      </c>
      <c r="L3713" t="s">
        <v>17</v>
      </c>
      <c r="M3713" t="s">
        <v>35</v>
      </c>
      <c r="N3713" s="2">
        <v>46127</v>
      </c>
    </row>
    <row r="3714" spans="1:14" x14ac:dyDescent="0.25">
      <c r="A3714" s="4" t="s">
        <v>249</v>
      </c>
      <c r="B3714" s="5"/>
      <c r="C3714" s="4" t="s">
        <v>9</v>
      </c>
      <c r="D3714" s="4" t="s">
        <v>9</v>
      </c>
      <c r="E3714" s="4" t="s">
        <v>9</v>
      </c>
      <c r="F3714" s="6">
        <v>0</v>
      </c>
      <c r="G3714" s="6">
        <v>0</v>
      </c>
      <c r="H3714" s="4" t="s">
        <v>9</v>
      </c>
      <c r="I3714" s="4" t="s">
        <v>3</v>
      </c>
      <c r="J3714" s="4" t="s">
        <v>9</v>
      </c>
      <c r="K3714" s="4" t="s">
        <v>9</v>
      </c>
      <c r="L3714" s="4" t="s">
        <v>9</v>
      </c>
      <c r="M3714" s="4" t="s">
        <v>9</v>
      </c>
      <c r="N3714" s="5"/>
    </row>
    <row r="3715" spans="1:14" x14ac:dyDescent="0.25">
      <c r="A3715" t="s">
        <v>523</v>
      </c>
      <c r="B3715" s="2">
        <v>46175</v>
      </c>
      <c r="C3715" t="s">
        <v>523</v>
      </c>
      <c r="D3715" t="s">
        <v>33</v>
      </c>
      <c r="E3715" t="s">
        <v>9</v>
      </c>
      <c r="F3715" s="3">
        <v>3780</v>
      </c>
      <c r="G3715" s="3">
        <v>3780</v>
      </c>
      <c r="H3715" t="s">
        <v>3</v>
      </c>
      <c r="I3715" t="s">
        <v>3</v>
      </c>
      <c r="J3715" t="s">
        <v>9</v>
      </c>
      <c r="K3715" t="s">
        <v>9</v>
      </c>
      <c r="L3715" t="s">
        <v>18</v>
      </c>
      <c r="M3715" t="s">
        <v>35</v>
      </c>
      <c r="N3715" s="2">
        <v>46173</v>
      </c>
    </row>
    <row r="3716" spans="1:14" x14ac:dyDescent="0.25">
      <c r="A3716" t="s">
        <v>523</v>
      </c>
      <c r="B3716" s="2">
        <v>46161</v>
      </c>
      <c r="C3716" t="s">
        <v>523</v>
      </c>
      <c r="D3716" t="s">
        <v>33</v>
      </c>
      <c r="E3716" t="s">
        <v>9</v>
      </c>
      <c r="F3716" s="3">
        <v>-3780</v>
      </c>
      <c r="G3716" s="3">
        <v>-3780</v>
      </c>
      <c r="H3716" t="s">
        <v>3</v>
      </c>
      <c r="I3716" t="s">
        <v>3</v>
      </c>
      <c r="J3716" t="s">
        <v>9</v>
      </c>
      <c r="K3716" t="s">
        <v>13</v>
      </c>
      <c r="L3716" t="s">
        <v>18</v>
      </c>
      <c r="M3716" t="s">
        <v>35</v>
      </c>
      <c r="N3716" s="2">
        <v>46161</v>
      </c>
    </row>
    <row r="3717" spans="1:14" x14ac:dyDescent="0.25">
      <c r="A3717" s="4" t="s">
        <v>223</v>
      </c>
      <c r="B3717" s="5"/>
      <c r="C3717" s="4" t="s">
        <v>9</v>
      </c>
      <c r="D3717" s="4" t="s">
        <v>9</v>
      </c>
      <c r="E3717" s="4" t="s">
        <v>9</v>
      </c>
      <c r="F3717" s="6">
        <v>0</v>
      </c>
      <c r="G3717" s="6">
        <v>0</v>
      </c>
      <c r="H3717" s="4" t="s">
        <v>9</v>
      </c>
      <c r="I3717" s="4" t="s">
        <v>3</v>
      </c>
      <c r="J3717" s="4" t="s">
        <v>9</v>
      </c>
      <c r="K3717" s="4" t="s">
        <v>9</v>
      </c>
      <c r="L3717" s="4" t="s">
        <v>9</v>
      </c>
      <c r="M3717" s="4" t="s">
        <v>9</v>
      </c>
      <c r="N3717" s="5"/>
    </row>
    <row r="3718" spans="1:14" x14ac:dyDescent="0.25">
      <c r="A3718" t="s">
        <v>523</v>
      </c>
      <c r="B3718" s="2">
        <v>46205</v>
      </c>
      <c r="C3718" t="s">
        <v>523</v>
      </c>
      <c r="D3718" t="s">
        <v>33</v>
      </c>
      <c r="E3718" t="s">
        <v>9</v>
      </c>
      <c r="F3718" s="3">
        <v>11235</v>
      </c>
      <c r="G3718" s="3">
        <v>11235</v>
      </c>
      <c r="H3718" t="s">
        <v>3</v>
      </c>
      <c r="I3718" t="s">
        <v>3</v>
      </c>
      <c r="J3718" t="s">
        <v>9</v>
      </c>
      <c r="K3718" t="s">
        <v>9</v>
      </c>
      <c r="L3718" t="s">
        <v>19</v>
      </c>
      <c r="M3718" t="s">
        <v>35</v>
      </c>
      <c r="N3718" s="2">
        <v>46203</v>
      </c>
    </row>
    <row r="3719" spans="1:14" x14ac:dyDescent="0.25">
      <c r="A3719" t="s">
        <v>523</v>
      </c>
      <c r="B3719" s="2">
        <v>46192</v>
      </c>
      <c r="C3719" t="s">
        <v>523</v>
      </c>
      <c r="D3719" t="s">
        <v>33</v>
      </c>
      <c r="E3719" t="s">
        <v>9</v>
      </c>
      <c r="F3719" s="3">
        <v>-11235</v>
      </c>
      <c r="G3719" s="3">
        <v>-11235</v>
      </c>
      <c r="H3719" t="s">
        <v>3</v>
      </c>
      <c r="I3719" t="s">
        <v>3</v>
      </c>
      <c r="J3719" t="s">
        <v>9</v>
      </c>
      <c r="K3719" t="s">
        <v>13</v>
      </c>
      <c r="L3719" t="s">
        <v>19</v>
      </c>
      <c r="M3719" t="s">
        <v>35</v>
      </c>
      <c r="N3719" s="2">
        <v>46192</v>
      </c>
    </row>
    <row r="3720" spans="1:14" x14ac:dyDescent="0.25">
      <c r="A3720" s="4" t="s">
        <v>224</v>
      </c>
      <c r="B3720" s="5"/>
      <c r="C3720" s="4" t="s">
        <v>9</v>
      </c>
      <c r="D3720" s="4" t="s">
        <v>9</v>
      </c>
      <c r="E3720" s="4" t="s">
        <v>9</v>
      </c>
      <c r="F3720" s="6">
        <v>0</v>
      </c>
      <c r="G3720" s="6">
        <v>0</v>
      </c>
      <c r="H3720" s="4" t="s">
        <v>9</v>
      </c>
      <c r="I3720" s="4" t="s">
        <v>3</v>
      </c>
      <c r="J3720" s="4" t="s">
        <v>9</v>
      </c>
      <c r="K3720" s="4" t="s">
        <v>9</v>
      </c>
      <c r="L3720" s="4" t="s">
        <v>9</v>
      </c>
      <c r="M3720" s="4" t="s">
        <v>9</v>
      </c>
      <c r="N3720" s="5"/>
    </row>
    <row r="3721" spans="1:14" x14ac:dyDescent="0.25">
      <c r="A3721" t="s">
        <v>523</v>
      </c>
      <c r="B3721" s="2">
        <v>46239</v>
      </c>
      <c r="C3721" t="s">
        <v>523</v>
      </c>
      <c r="D3721" t="s">
        <v>33</v>
      </c>
      <c r="E3721" t="s">
        <v>9</v>
      </c>
      <c r="F3721" s="3">
        <v>6774</v>
      </c>
      <c r="G3721" s="3">
        <v>6774</v>
      </c>
      <c r="H3721" t="s">
        <v>3</v>
      </c>
      <c r="I3721" t="s">
        <v>3</v>
      </c>
      <c r="J3721" t="s">
        <v>9</v>
      </c>
      <c r="K3721" t="s">
        <v>9</v>
      </c>
      <c r="L3721" t="s">
        <v>21</v>
      </c>
      <c r="M3721" t="s">
        <v>35</v>
      </c>
      <c r="N3721" s="2">
        <v>46234</v>
      </c>
    </row>
    <row r="3722" spans="1:14" x14ac:dyDescent="0.25">
      <c r="A3722" t="s">
        <v>523</v>
      </c>
      <c r="B3722" s="2">
        <v>46218</v>
      </c>
      <c r="C3722" t="s">
        <v>523</v>
      </c>
      <c r="D3722" t="s">
        <v>33</v>
      </c>
      <c r="E3722" t="s">
        <v>9</v>
      </c>
      <c r="F3722" s="3">
        <v>-6774</v>
      </c>
      <c r="G3722" s="3">
        <v>-6774</v>
      </c>
      <c r="H3722" t="s">
        <v>3</v>
      </c>
      <c r="I3722" t="s">
        <v>3</v>
      </c>
      <c r="J3722" t="s">
        <v>9</v>
      </c>
      <c r="K3722" t="s">
        <v>13</v>
      </c>
      <c r="L3722" t="s">
        <v>21</v>
      </c>
      <c r="M3722" t="s">
        <v>35</v>
      </c>
      <c r="N3722" s="2">
        <v>46218</v>
      </c>
    </row>
    <row r="3723" spans="1:14" x14ac:dyDescent="0.25">
      <c r="A3723" s="4" t="s">
        <v>262</v>
      </c>
      <c r="B3723" s="5"/>
      <c r="C3723" s="4" t="s">
        <v>9</v>
      </c>
      <c r="D3723" s="4" t="s">
        <v>9</v>
      </c>
      <c r="E3723" s="4" t="s">
        <v>9</v>
      </c>
      <c r="F3723" s="6">
        <v>0</v>
      </c>
      <c r="G3723" s="6">
        <v>0</v>
      </c>
      <c r="H3723" s="4" t="s">
        <v>9</v>
      </c>
      <c r="I3723" s="4" t="s">
        <v>3</v>
      </c>
      <c r="J3723" s="4" t="s">
        <v>9</v>
      </c>
      <c r="K3723" s="4" t="s">
        <v>9</v>
      </c>
      <c r="L3723" s="4" t="s">
        <v>9</v>
      </c>
      <c r="M3723" s="4" t="s">
        <v>9</v>
      </c>
      <c r="N3723" s="5"/>
    </row>
    <row r="3724" spans="1:14" x14ac:dyDescent="0.25">
      <c r="A3724" t="s">
        <v>523</v>
      </c>
      <c r="B3724" s="2">
        <v>45932</v>
      </c>
      <c r="C3724" t="s">
        <v>523</v>
      </c>
      <c r="D3724" t="s">
        <v>33</v>
      </c>
      <c r="E3724" t="s">
        <v>9</v>
      </c>
      <c r="F3724" s="3">
        <v>8190</v>
      </c>
      <c r="G3724" s="3">
        <v>8190</v>
      </c>
      <c r="H3724" t="s">
        <v>3</v>
      </c>
      <c r="I3724" t="s">
        <v>3</v>
      </c>
      <c r="J3724" t="s">
        <v>9</v>
      </c>
      <c r="K3724" t="s">
        <v>9</v>
      </c>
      <c r="L3724" t="s">
        <v>6</v>
      </c>
      <c r="M3724" t="s">
        <v>35</v>
      </c>
      <c r="N3724" s="2">
        <v>45930</v>
      </c>
    </row>
    <row r="3725" spans="1:14" x14ac:dyDescent="0.25">
      <c r="A3725" t="s">
        <v>523</v>
      </c>
      <c r="B3725" s="2">
        <v>45910</v>
      </c>
      <c r="C3725" t="s">
        <v>523</v>
      </c>
      <c r="D3725" t="s">
        <v>33</v>
      </c>
      <c r="E3725" t="s">
        <v>9</v>
      </c>
      <c r="F3725" s="3">
        <v>-8190</v>
      </c>
      <c r="G3725" s="3">
        <v>-8190</v>
      </c>
      <c r="H3725" t="s">
        <v>3</v>
      </c>
      <c r="I3725" t="s">
        <v>3</v>
      </c>
      <c r="J3725" t="s">
        <v>9</v>
      </c>
      <c r="K3725" t="s">
        <v>5</v>
      </c>
      <c r="L3725" t="s">
        <v>6</v>
      </c>
      <c r="M3725" t="s">
        <v>35</v>
      </c>
      <c r="N3725" s="2">
        <v>45910</v>
      </c>
    </row>
    <row r="3726" spans="1:14" x14ac:dyDescent="0.25">
      <c r="A3726" s="4" t="s">
        <v>272</v>
      </c>
      <c r="B3726" s="5"/>
      <c r="C3726" s="4" t="s">
        <v>9</v>
      </c>
      <c r="D3726" s="4" t="s">
        <v>9</v>
      </c>
      <c r="E3726" s="4" t="s">
        <v>9</v>
      </c>
      <c r="F3726" s="6">
        <v>0</v>
      </c>
      <c r="G3726" s="6">
        <v>0</v>
      </c>
      <c r="H3726" s="4" t="s">
        <v>9</v>
      </c>
      <c r="I3726" s="4" t="s">
        <v>3</v>
      </c>
      <c r="J3726" s="4" t="s">
        <v>9</v>
      </c>
      <c r="K3726" s="4" t="s">
        <v>9</v>
      </c>
      <c r="L3726" s="4" t="s">
        <v>9</v>
      </c>
      <c r="M3726" s="4" t="s">
        <v>9</v>
      </c>
      <c r="N3726" s="5"/>
    </row>
    <row r="3727" spans="1:14" x14ac:dyDescent="0.25">
      <c r="A3727" t="s">
        <v>523</v>
      </c>
      <c r="B3727" s="2">
        <v>45965</v>
      </c>
      <c r="C3727" t="s">
        <v>523</v>
      </c>
      <c r="D3727" t="s">
        <v>33</v>
      </c>
      <c r="E3727" t="s">
        <v>9</v>
      </c>
      <c r="F3727" s="3">
        <v>17111</v>
      </c>
      <c r="G3727" s="3">
        <v>17111</v>
      </c>
      <c r="H3727" t="s">
        <v>3</v>
      </c>
      <c r="I3727" t="s">
        <v>3</v>
      </c>
      <c r="J3727" t="s">
        <v>9</v>
      </c>
      <c r="K3727" t="s">
        <v>9</v>
      </c>
      <c r="L3727" t="s">
        <v>8</v>
      </c>
      <c r="M3727" t="s">
        <v>35</v>
      </c>
      <c r="N3727" s="2">
        <v>45961</v>
      </c>
    </row>
    <row r="3728" spans="1:14" x14ac:dyDescent="0.25">
      <c r="A3728" t="s">
        <v>523</v>
      </c>
      <c r="B3728" s="2">
        <v>45947</v>
      </c>
      <c r="C3728" t="s">
        <v>523</v>
      </c>
      <c r="D3728" t="s">
        <v>33</v>
      </c>
      <c r="E3728" t="s">
        <v>9</v>
      </c>
      <c r="F3728" s="3">
        <v>-17111</v>
      </c>
      <c r="G3728" s="3">
        <v>-17111</v>
      </c>
      <c r="H3728" t="s">
        <v>3</v>
      </c>
      <c r="I3728" t="s">
        <v>3</v>
      </c>
      <c r="J3728" t="s">
        <v>9</v>
      </c>
      <c r="K3728" t="s">
        <v>5</v>
      </c>
      <c r="L3728" t="s">
        <v>8</v>
      </c>
      <c r="M3728" t="s">
        <v>35</v>
      </c>
      <c r="N3728" s="2">
        <v>45947</v>
      </c>
    </row>
    <row r="3729" spans="1:14" x14ac:dyDescent="0.25">
      <c r="A3729" s="4" t="s">
        <v>278</v>
      </c>
      <c r="B3729" s="5"/>
      <c r="C3729" s="4" t="s">
        <v>9</v>
      </c>
      <c r="D3729" s="4" t="s">
        <v>9</v>
      </c>
      <c r="E3729" s="4" t="s">
        <v>9</v>
      </c>
      <c r="F3729" s="6">
        <v>0</v>
      </c>
      <c r="G3729" s="6">
        <v>0</v>
      </c>
      <c r="H3729" s="4" t="s">
        <v>9</v>
      </c>
      <c r="I3729" s="4" t="s">
        <v>3</v>
      </c>
      <c r="J3729" s="4" t="s">
        <v>9</v>
      </c>
      <c r="K3729" s="4" t="s">
        <v>9</v>
      </c>
      <c r="L3729" s="4" t="s">
        <v>9</v>
      </c>
      <c r="M3729" s="4" t="s">
        <v>9</v>
      </c>
      <c r="N3729" s="5"/>
    </row>
    <row r="3730" spans="1:14" x14ac:dyDescent="0.25">
      <c r="A3730" t="s">
        <v>523</v>
      </c>
      <c r="B3730" s="2">
        <v>45993</v>
      </c>
      <c r="C3730" t="s">
        <v>523</v>
      </c>
      <c r="D3730" t="s">
        <v>33</v>
      </c>
      <c r="E3730" t="s">
        <v>9</v>
      </c>
      <c r="F3730" s="3">
        <v>28280</v>
      </c>
      <c r="G3730" s="3">
        <v>28280</v>
      </c>
      <c r="H3730" t="s">
        <v>3</v>
      </c>
      <c r="I3730" t="s">
        <v>3</v>
      </c>
      <c r="J3730" t="s">
        <v>9</v>
      </c>
      <c r="K3730" t="s">
        <v>9</v>
      </c>
      <c r="L3730" t="s">
        <v>11</v>
      </c>
      <c r="M3730" t="s">
        <v>35</v>
      </c>
      <c r="N3730" s="2">
        <v>45991</v>
      </c>
    </row>
    <row r="3731" spans="1:14" x14ac:dyDescent="0.25">
      <c r="A3731" t="s">
        <v>523</v>
      </c>
      <c r="B3731" s="2">
        <v>45979</v>
      </c>
      <c r="C3731" t="s">
        <v>523</v>
      </c>
      <c r="D3731" t="s">
        <v>33</v>
      </c>
      <c r="E3731" t="s">
        <v>9</v>
      </c>
      <c r="F3731" s="3">
        <v>-28280</v>
      </c>
      <c r="G3731" s="3">
        <v>-28280</v>
      </c>
      <c r="H3731" t="s">
        <v>3</v>
      </c>
      <c r="I3731" t="s">
        <v>3</v>
      </c>
      <c r="J3731" t="s">
        <v>9</v>
      </c>
      <c r="K3731" t="s">
        <v>5</v>
      </c>
      <c r="L3731" t="s">
        <v>11</v>
      </c>
      <c r="M3731" t="s">
        <v>35</v>
      </c>
      <c r="N3731" s="2">
        <v>45979</v>
      </c>
    </row>
    <row r="3732" spans="1:14" x14ac:dyDescent="0.25">
      <c r="A3732" s="4" t="s">
        <v>226</v>
      </c>
      <c r="B3732" s="5"/>
      <c r="C3732" s="4" t="s">
        <v>9</v>
      </c>
      <c r="D3732" s="4" t="s">
        <v>9</v>
      </c>
      <c r="E3732" s="4" t="s">
        <v>9</v>
      </c>
      <c r="F3732" s="6">
        <v>0</v>
      </c>
      <c r="G3732" s="6">
        <v>0</v>
      </c>
      <c r="H3732" s="4" t="s">
        <v>9</v>
      </c>
      <c r="I3732" s="4" t="s">
        <v>3</v>
      </c>
      <c r="J3732" s="4" t="s">
        <v>9</v>
      </c>
      <c r="K3732" s="4" t="s">
        <v>9</v>
      </c>
      <c r="L3732" s="4" t="s">
        <v>9</v>
      </c>
      <c r="M3732" s="4" t="s">
        <v>9</v>
      </c>
      <c r="N3732" s="5"/>
    </row>
    <row r="3733" spans="1:14" x14ac:dyDescent="0.25">
      <c r="A3733" t="s">
        <v>523</v>
      </c>
      <c r="B3733" s="2">
        <v>46028</v>
      </c>
      <c r="C3733" t="s">
        <v>523</v>
      </c>
      <c r="D3733" t="s">
        <v>33</v>
      </c>
      <c r="E3733" t="s">
        <v>9</v>
      </c>
      <c r="F3733" s="3">
        <v>49379</v>
      </c>
      <c r="G3733" s="3">
        <v>49379</v>
      </c>
      <c r="H3733" t="s">
        <v>3</v>
      </c>
      <c r="I3733" t="s">
        <v>3</v>
      </c>
      <c r="J3733" t="s">
        <v>9</v>
      </c>
      <c r="K3733" t="s">
        <v>9</v>
      </c>
      <c r="L3733" t="s">
        <v>12</v>
      </c>
      <c r="M3733" t="s">
        <v>35</v>
      </c>
      <c r="N3733" s="2">
        <v>46022</v>
      </c>
    </row>
    <row r="3734" spans="1:14" x14ac:dyDescent="0.25">
      <c r="A3734" t="s">
        <v>523</v>
      </c>
      <c r="B3734" s="2">
        <v>46007</v>
      </c>
      <c r="C3734" t="s">
        <v>523</v>
      </c>
      <c r="D3734" t="s">
        <v>33</v>
      </c>
      <c r="E3734" t="s">
        <v>9</v>
      </c>
      <c r="F3734" s="3">
        <v>-49379</v>
      </c>
      <c r="G3734" s="3">
        <v>-49379</v>
      </c>
      <c r="H3734" t="s">
        <v>3</v>
      </c>
      <c r="I3734" t="s">
        <v>3</v>
      </c>
      <c r="J3734" t="s">
        <v>9</v>
      </c>
      <c r="K3734" t="s">
        <v>5</v>
      </c>
      <c r="L3734" t="s">
        <v>12</v>
      </c>
      <c r="M3734" t="s">
        <v>35</v>
      </c>
      <c r="N3734" s="2">
        <v>46007</v>
      </c>
    </row>
    <row r="3735" spans="1:14" x14ac:dyDescent="0.25">
      <c r="A3735" t="s">
        <v>523</v>
      </c>
      <c r="B3735" s="2">
        <v>45947</v>
      </c>
      <c r="C3735" t="s">
        <v>523</v>
      </c>
      <c r="D3735" t="s">
        <v>33</v>
      </c>
      <c r="E3735" t="s">
        <v>9</v>
      </c>
      <c r="F3735" s="3">
        <v>17111</v>
      </c>
      <c r="G3735" s="3">
        <v>17111</v>
      </c>
      <c r="H3735" t="s">
        <v>3</v>
      </c>
      <c r="I3735" t="s">
        <v>3</v>
      </c>
      <c r="J3735" t="s">
        <v>9</v>
      </c>
      <c r="K3735" t="s">
        <v>5</v>
      </c>
      <c r="L3735" t="s">
        <v>12</v>
      </c>
      <c r="M3735" t="s">
        <v>35</v>
      </c>
      <c r="N3735" s="2">
        <v>46008</v>
      </c>
    </row>
    <row r="3736" spans="1:14" x14ac:dyDescent="0.25">
      <c r="A3736" t="s">
        <v>523</v>
      </c>
      <c r="B3736" s="2">
        <v>45910</v>
      </c>
      <c r="C3736" t="s">
        <v>523</v>
      </c>
      <c r="D3736" t="s">
        <v>33</v>
      </c>
      <c r="E3736" t="s">
        <v>9</v>
      </c>
      <c r="F3736" s="3">
        <v>8190</v>
      </c>
      <c r="G3736" s="3">
        <v>8190</v>
      </c>
      <c r="H3736" t="s">
        <v>3</v>
      </c>
      <c r="I3736" t="s">
        <v>3</v>
      </c>
      <c r="J3736" t="s">
        <v>9</v>
      </c>
      <c r="K3736" t="s">
        <v>5</v>
      </c>
      <c r="L3736" t="s">
        <v>12</v>
      </c>
      <c r="M3736" t="s">
        <v>35</v>
      </c>
      <c r="N3736" s="2">
        <v>46008</v>
      </c>
    </row>
    <row r="3737" spans="1:14" x14ac:dyDescent="0.25">
      <c r="A3737" t="s">
        <v>523</v>
      </c>
      <c r="B3737" s="2">
        <v>45979</v>
      </c>
      <c r="C3737" t="s">
        <v>523</v>
      </c>
      <c r="D3737" t="s">
        <v>33</v>
      </c>
      <c r="E3737" t="s">
        <v>9</v>
      </c>
      <c r="F3737" s="3">
        <v>28280</v>
      </c>
      <c r="G3737" s="3">
        <v>28280</v>
      </c>
      <c r="H3737" t="s">
        <v>3</v>
      </c>
      <c r="I3737" t="s">
        <v>3</v>
      </c>
      <c r="J3737" t="s">
        <v>9</v>
      </c>
      <c r="K3737" t="s">
        <v>5</v>
      </c>
      <c r="L3737" t="s">
        <v>12</v>
      </c>
      <c r="M3737" t="s">
        <v>35</v>
      </c>
      <c r="N3737" s="2">
        <v>46008</v>
      </c>
    </row>
    <row r="3738" spans="1:14" x14ac:dyDescent="0.25">
      <c r="A3738" t="s">
        <v>523</v>
      </c>
      <c r="B3738" s="2">
        <v>46007</v>
      </c>
      <c r="C3738" t="s">
        <v>523</v>
      </c>
      <c r="D3738" t="s">
        <v>33</v>
      </c>
      <c r="E3738" t="s">
        <v>9</v>
      </c>
      <c r="F3738" s="3">
        <v>49379</v>
      </c>
      <c r="G3738" s="3">
        <v>49379</v>
      </c>
      <c r="H3738" t="s">
        <v>3</v>
      </c>
      <c r="I3738" t="s">
        <v>3</v>
      </c>
      <c r="J3738" t="s">
        <v>9</v>
      </c>
      <c r="K3738" t="s">
        <v>5</v>
      </c>
      <c r="L3738" t="s">
        <v>12</v>
      </c>
      <c r="M3738" t="s">
        <v>35</v>
      </c>
      <c r="N3738" s="2">
        <v>46007</v>
      </c>
    </row>
    <row r="3739" spans="1:14" x14ac:dyDescent="0.25">
      <c r="A3739" t="s">
        <v>523</v>
      </c>
      <c r="B3739" s="2">
        <v>46008</v>
      </c>
      <c r="C3739" t="s">
        <v>523</v>
      </c>
      <c r="D3739" t="s">
        <v>33</v>
      </c>
      <c r="E3739" t="s">
        <v>9</v>
      </c>
      <c r="F3739" s="3">
        <v>-49379</v>
      </c>
      <c r="G3739" s="3">
        <v>-49379</v>
      </c>
      <c r="H3739" t="s">
        <v>3</v>
      </c>
      <c r="I3739" t="s">
        <v>3</v>
      </c>
      <c r="J3739" t="s">
        <v>9</v>
      </c>
      <c r="K3739" t="s">
        <v>5</v>
      </c>
      <c r="L3739" t="s">
        <v>12</v>
      </c>
      <c r="M3739" t="s">
        <v>35</v>
      </c>
      <c r="N3739" s="2">
        <v>46008</v>
      </c>
    </row>
    <row r="3740" spans="1:14" x14ac:dyDescent="0.25">
      <c r="A3740" t="s">
        <v>523</v>
      </c>
      <c r="B3740" s="2">
        <v>46008</v>
      </c>
      <c r="C3740" t="s">
        <v>523</v>
      </c>
      <c r="D3740" t="s">
        <v>33</v>
      </c>
      <c r="E3740" t="s">
        <v>9</v>
      </c>
      <c r="F3740" s="3">
        <v>-28280</v>
      </c>
      <c r="G3740" s="3">
        <v>-28280</v>
      </c>
      <c r="H3740" t="s">
        <v>3</v>
      </c>
      <c r="I3740" t="s">
        <v>3</v>
      </c>
      <c r="J3740" t="s">
        <v>9</v>
      </c>
      <c r="K3740" t="s">
        <v>5</v>
      </c>
      <c r="L3740" t="s">
        <v>12</v>
      </c>
      <c r="M3740" t="s">
        <v>35</v>
      </c>
      <c r="N3740" s="2">
        <v>46008</v>
      </c>
    </row>
    <row r="3741" spans="1:14" x14ac:dyDescent="0.25">
      <c r="A3741" t="s">
        <v>523</v>
      </c>
      <c r="B3741" s="2">
        <v>46008</v>
      </c>
      <c r="C3741" t="s">
        <v>523</v>
      </c>
      <c r="D3741" t="s">
        <v>33</v>
      </c>
      <c r="E3741" t="s">
        <v>9</v>
      </c>
      <c r="F3741" s="3">
        <v>28280</v>
      </c>
      <c r="G3741" s="3">
        <v>28280</v>
      </c>
      <c r="H3741" t="s">
        <v>3</v>
      </c>
      <c r="I3741" t="s">
        <v>3</v>
      </c>
      <c r="J3741" t="s">
        <v>9</v>
      </c>
      <c r="K3741" t="s">
        <v>5</v>
      </c>
      <c r="L3741" t="s">
        <v>12</v>
      </c>
      <c r="M3741" t="s">
        <v>35</v>
      </c>
      <c r="N3741" s="2">
        <v>46008</v>
      </c>
    </row>
    <row r="3742" spans="1:14" x14ac:dyDescent="0.25">
      <c r="A3742" t="s">
        <v>523</v>
      </c>
      <c r="B3742" s="2">
        <v>46008</v>
      </c>
      <c r="C3742" t="s">
        <v>523</v>
      </c>
      <c r="D3742" t="s">
        <v>33</v>
      </c>
      <c r="E3742" t="s">
        <v>9</v>
      </c>
      <c r="F3742" s="3">
        <v>-28280</v>
      </c>
      <c r="G3742" s="3">
        <v>-28280</v>
      </c>
      <c r="H3742" t="s">
        <v>3</v>
      </c>
      <c r="I3742" t="s">
        <v>3</v>
      </c>
      <c r="J3742" t="s">
        <v>9</v>
      </c>
      <c r="K3742" t="s">
        <v>5</v>
      </c>
      <c r="L3742" t="s">
        <v>12</v>
      </c>
      <c r="M3742" t="s">
        <v>35</v>
      </c>
      <c r="N3742" s="2">
        <v>46008</v>
      </c>
    </row>
    <row r="3743" spans="1:14" x14ac:dyDescent="0.25">
      <c r="A3743" t="s">
        <v>523</v>
      </c>
      <c r="B3743" s="2">
        <v>46008</v>
      </c>
      <c r="C3743" t="s">
        <v>523</v>
      </c>
      <c r="D3743" t="s">
        <v>33</v>
      </c>
      <c r="E3743" t="s">
        <v>9</v>
      </c>
      <c r="F3743" s="3">
        <v>-17111</v>
      </c>
      <c r="G3743" s="3">
        <v>-17111</v>
      </c>
      <c r="H3743" t="s">
        <v>3</v>
      </c>
      <c r="I3743" t="s">
        <v>3</v>
      </c>
      <c r="J3743" t="s">
        <v>9</v>
      </c>
      <c r="K3743" t="s">
        <v>5</v>
      </c>
      <c r="L3743" t="s">
        <v>12</v>
      </c>
      <c r="M3743" t="s">
        <v>35</v>
      </c>
      <c r="N3743" s="2">
        <v>46008</v>
      </c>
    </row>
    <row r="3744" spans="1:14" x14ac:dyDescent="0.25">
      <c r="A3744" t="s">
        <v>523</v>
      </c>
      <c r="B3744" s="2">
        <v>46008</v>
      </c>
      <c r="C3744" t="s">
        <v>523</v>
      </c>
      <c r="D3744" t="s">
        <v>33</v>
      </c>
      <c r="E3744" t="s">
        <v>9</v>
      </c>
      <c r="F3744" s="3">
        <v>-8190</v>
      </c>
      <c r="G3744" s="3">
        <v>-8190</v>
      </c>
      <c r="H3744" t="s">
        <v>3</v>
      </c>
      <c r="I3744" t="s">
        <v>3</v>
      </c>
      <c r="J3744" t="s">
        <v>9</v>
      </c>
      <c r="K3744" t="s">
        <v>5</v>
      </c>
      <c r="L3744" t="s">
        <v>12</v>
      </c>
      <c r="M3744" t="s">
        <v>35</v>
      </c>
      <c r="N3744" s="2">
        <v>46008</v>
      </c>
    </row>
    <row r="3745" spans="1:14" x14ac:dyDescent="0.25">
      <c r="A3745" s="4" t="s">
        <v>228</v>
      </c>
      <c r="B3745" s="5"/>
      <c r="C3745" s="4" t="s">
        <v>9</v>
      </c>
      <c r="D3745" s="4" t="s">
        <v>9</v>
      </c>
      <c r="E3745" s="4" t="s">
        <v>9</v>
      </c>
      <c r="F3745" s="6">
        <v>0</v>
      </c>
      <c r="G3745" s="6">
        <v>0</v>
      </c>
      <c r="H3745" s="4" t="s">
        <v>9</v>
      </c>
      <c r="I3745" s="4" t="s">
        <v>3</v>
      </c>
      <c r="J3745" s="4" t="s">
        <v>9</v>
      </c>
      <c r="K3745" s="4" t="s">
        <v>9</v>
      </c>
      <c r="L3745" s="4" t="s">
        <v>9</v>
      </c>
      <c r="M3745" s="4" t="s">
        <v>9</v>
      </c>
      <c r="N3745" s="5"/>
    </row>
    <row r="3746" spans="1:14" x14ac:dyDescent="0.25">
      <c r="A3746" s="4" t="s">
        <v>523</v>
      </c>
      <c r="B3746" s="5"/>
      <c r="C3746" s="4" t="s">
        <v>9</v>
      </c>
      <c r="D3746" s="4" t="s">
        <v>9</v>
      </c>
      <c r="E3746" s="4" t="s">
        <v>9</v>
      </c>
      <c r="F3746" s="6">
        <v>0</v>
      </c>
      <c r="G3746" s="6">
        <v>0</v>
      </c>
      <c r="H3746" s="4" t="s">
        <v>9</v>
      </c>
      <c r="I3746" s="4" t="s">
        <v>3</v>
      </c>
      <c r="J3746" s="4" t="s">
        <v>9</v>
      </c>
      <c r="K3746" s="4" t="s">
        <v>9</v>
      </c>
      <c r="L3746" s="4" t="s">
        <v>9</v>
      </c>
      <c r="M3746" s="4" t="s">
        <v>9</v>
      </c>
      <c r="N3746" s="5"/>
    </row>
    <row r="3747" spans="1:14" x14ac:dyDescent="0.25">
      <c r="A3747" t="s">
        <v>524</v>
      </c>
      <c r="B3747" s="2">
        <v>46056</v>
      </c>
      <c r="C3747" t="s">
        <v>524</v>
      </c>
      <c r="D3747" t="s">
        <v>112</v>
      </c>
      <c r="E3747" t="s">
        <v>9</v>
      </c>
      <c r="F3747" s="3">
        <v>-8000</v>
      </c>
      <c r="G3747" s="3">
        <v>-8000</v>
      </c>
      <c r="H3747" t="s">
        <v>3</v>
      </c>
      <c r="I3747" t="s">
        <v>3</v>
      </c>
      <c r="J3747" t="s">
        <v>9</v>
      </c>
      <c r="K3747" t="s">
        <v>9</v>
      </c>
      <c r="L3747" t="s">
        <v>14</v>
      </c>
      <c r="M3747" t="s">
        <v>114</v>
      </c>
      <c r="N3747" s="2">
        <v>46053</v>
      </c>
    </row>
    <row r="3748" spans="1:14" x14ac:dyDescent="0.25">
      <c r="A3748" t="s">
        <v>524</v>
      </c>
      <c r="B3748" s="2">
        <v>46022</v>
      </c>
      <c r="C3748" t="s">
        <v>524</v>
      </c>
      <c r="D3748" t="s">
        <v>112</v>
      </c>
      <c r="E3748" t="s">
        <v>9</v>
      </c>
      <c r="F3748" s="3">
        <v>-57000</v>
      </c>
      <c r="G3748" s="3">
        <v>-57000</v>
      </c>
      <c r="H3748" t="s">
        <v>3</v>
      </c>
      <c r="I3748" t="s">
        <v>3</v>
      </c>
      <c r="J3748" t="s">
        <v>298</v>
      </c>
      <c r="K3748" t="s">
        <v>13</v>
      </c>
      <c r="L3748" t="s">
        <v>14</v>
      </c>
      <c r="M3748" t="s">
        <v>114</v>
      </c>
      <c r="N3748" s="2">
        <v>46023</v>
      </c>
    </row>
    <row r="3749" spans="1:14" x14ac:dyDescent="0.25">
      <c r="A3749" t="s">
        <v>524</v>
      </c>
      <c r="B3749" s="2">
        <v>46023</v>
      </c>
      <c r="C3749" t="s">
        <v>524</v>
      </c>
      <c r="D3749" t="s">
        <v>112</v>
      </c>
      <c r="E3749" t="s">
        <v>9</v>
      </c>
      <c r="F3749" s="3">
        <v>57000</v>
      </c>
      <c r="G3749" s="3">
        <v>57000</v>
      </c>
      <c r="H3749" t="s">
        <v>3</v>
      </c>
      <c r="I3749" t="s">
        <v>3</v>
      </c>
      <c r="J3749" t="s">
        <v>298</v>
      </c>
      <c r="K3749" t="s">
        <v>13</v>
      </c>
      <c r="L3749" t="s">
        <v>14</v>
      </c>
      <c r="M3749" t="s">
        <v>114</v>
      </c>
      <c r="N3749" s="2">
        <v>46023</v>
      </c>
    </row>
    <row r="3750" spans="1:14" x14ac:dyDescent="0.25">
      <c r="A3750" t="s">
        <v>524</v>
      </c>
      <c r="B3750" s="2">
        <v>46053</v>
      </c>
      <c r="C3750" t="s">
        <v>524</v>
      </c>
      <c r="D3750" t="s">
        <v>112</v>
      </c>
      <c r="E3750" t="s">
        <v>9</v>
      </c>
      <c r="F3750" s="3">
        <v>8000</v>
      </c>
      <c r="G3750" s="3">
        <v>8000</v>
      </c>
      <c r="H3750" t="s">
        <v>3</v>
      </c>
      <c r="I3750" t="s">
        <v>3</v>
      </c>
      <c r="J3750" t="s">
        <v>300</v>
      </c>
      <c r="K3750" t="s">
        <v>13</v>
      </c>
      <c r="L3750" t="s">
        <v>14</v>
      </c>
      <c r="M3750" t="s">
        <v>114</v>
      </c>
      <c r="N3750" s="2">
        <v>46053</v>
      </c>
    </row>
    <row r="3751" spans="1:14" x14ac:dyDescent="0.25">
      <c r="A3751" s="4" t="s">
        <v>234</v>
      </c>
      <c r="B3751" s="5"/>
      <c r="C3751" s="4" t="s">
        <v>9</v>
      </c>
      <c r="D3751" s="4" t="s">
        <v>9</v>
      </c>
      <c r="E3751" s="4" t="s">
        <v>9</v>
      </c>
      <c r="F3751" s="6">
        <v>0</v>
      </c>
      <c r="G3751" s="6">
        <v>0</v>
      </c>
      <c r="H3751" s="4" t="s">
        <v>9</v>
      </c>
      <c r="I3751" s="4" t="s">
        <v>3</v>
      </c>
      <c r="J3751" s="4" t="s">
        <v>9</v>
      </c>
      <c r="K3751" s="4" t="s">
        <v>9</v>
      </c>
      <c r="L3751" s="4" t="s">
        <v>9</v>
      </c>
      <c r="M3751" s="4" t="s">
        <v>9</v>
      </c>
      <c r="N3751" s="5"/>
    </row>
    <row r="3752" spans="1:14" x14ac:dyDescent="0.25">
      <c r="A3752" t="s">
        <v>524</v>
      </c>
      <c r="B3752" s="2">
        <v>46084</v>
      </c>
      <c r="C3752" t="s">
        <v>524</v>
      </c>
      <c r="D3752" t="s">
        <v>112</v>
      </c>
      <c r="E3752" t="s">
        <v>9</v>
      </c>
      <c r="F3752" s="3">
        <v>-2800</v>
      </c>
      <c r="G3752" s="3">
        <v>-2800</v>
      </c>
      <c r="H3752" t="s">
        <v>3</v>
      </c>
      <c r="I3752" t="s">
        <v>3</v>
      </c>
      <c r="J3752" t="s">
        <v>9</v>
      </c>
      <c r="K3752" t="s">
        <v>9</v>
      </c>
      <c r="L3752" t="s">
        <v>15</v>
      </c>
      <c r="M3752" t="s">
        <v>114</v>
      </c>
      <c r="N3752" s="2">
        <v>46081</v>
      </c>
    </row>
    <row r="3753" spans="1:14" x14ac:dyDescent="0.25">
      <c r="A3753" t="s">
        <v>524</v>
      </c>
      <c r="B3753" s="2">
        <v>46054</v>
      </c>
      <c r="C3753" t="s">
        <v>524</v>
      </c>
      <c r="D3753" t="s">
        <v>112</v>
      </c>
      <c r="E3753" t="s">
        <v>9</v>
      </c>
      <c r="F3753" s="3">
        <v>-8000</v>
      </c>
      <c r="G3753" s="3">
        <v>-8000</v>
      </c>
      <c r="H3753" t="s">
        <v>3</v>
      </c>
      <c r="I3753" t="s">
        <v>3</v>
      </c>
      <c r="J3753" t="s">
        <v>300</v>
      </c>
      <c r="K3753" t="s">
        <v>13</v>
      </c>
      <c r="L3753" t="s">
        <v>15</v>
      </c>
      <c r="M3753" t="s">
        <v>114</v>
      </c>
      <c r="N3753" s="2">
        <v>46054</v>
      </c>
    </row>
    <row r="3754" spans="1:14" x14ac:dyDescent="0.25">
      <c r="A3754" t="s">
        <v>524</v>
      </c>
      <c r="B3754" s="2">
        <v>46054</v>
      </c>
      <c r="C3754" t="s">
        <v>524</v>
      </c>
      <c r="D3754" t="s">
        <v>112</v>
      </c>
      <c r="E3754" t="s">
        <v>9</v>
      </c>
      <c r="F3754" s="3">
        <v>8000</v>
      </c>
      <c r="G3754" s="3">
        <v>8000</v>
      </c>
      <c r="H3754" t="s">
        <v>3</v>
      </c>
      <c r="I3754" t="s">
        <v>3</v>
      </c>
      <c r="J3754" t="s">
        <v>300</v>
      </c>
      <c r="K3754" t="s">
        <v>13</v>
      </c>
      <c r="L3754" t="s">
        <v>15</v>
      </c>
      <c r="M3754" t="s">
        <v>114</v>
      </c>
      <c r="N3754" s="2">
        <v>46055</v>
      </c>
    </row>
    <row r="3755" spans="1:14" x14ac:dyDescent="0.25">
      <c r="A3755" t="s">
        <v>524</v>
      </c>
      <c r="B3755" s="2">
        <v>46054</v>
      </c>
      <c r="C3755" t="s">
        <v>524</v>
      </c>
      <c r="D3755" t="s">
        <v>112</v>
      </c>
      <c r="E3755" t="s">
        <v>9</v>
      </c>
      <c r="F3755" s="3">
        <v>-8000</v>
      </c>
      <c r="G3755" s="3">
        <v>-8000</v>
      </c>
      <c r="H3755" t="s">
        <v>3</v>
      </c>
      <c r="I3755" t="s">
        <v>3</v>
      </c>
      <c r="J3755" t="s">
        <v>300</v>
      </c>
      <c r="K3755" t="s">
        <v>13</v>
      </c>
      <c r="L3755" t="s">
        <v>15</v>
      </c>
      <c r="M3755" t="s">
        <v>114</v>
      </c>
      <c r="N3755" s="2">
        <v>46054</v>
      </c>
    </row>
    <row r="3756" spans="1:14" x14ac:dyDescent="0.25">
      <c r="A3756" t="s">
        <v>524</v>
      </c>
      <c r="B3756" s="2">
        <v>46081</v>
      </c>
      <c r="C3756" t="s">
        <v>524</v>
      </c>
      <c r="D3756" t="s">
        <v>112</v>
      </c>
      <c r="E3756" t="s">
        <v>9</v>
      </c>
      <c r="F3756" s="3">
        <v>10800</v>
      </c>
      <c r="G3756" s="3">
        <v>10800</v>
      </c>
      <c r="H3756" t="s">
        <v>3</v>
      </c>
      <c r="I3756" t="s">
        <v>3</v>
      </c>
      <c r="J3756" t="s">
        <v>304</v>
      </c>
      <c r="K3756" t="s">
        <v>13</v>
      </c>
      <c r="L3756" t="s">
        <v>15</v>
      </c>
      <c r="M3756" t="s">
        <v>114</v>
      </c>
      <c r="N3756" s="2">
        <v>46081</v>
      </c>
    </row>
    <row r="3757" spans="1:14" x14ac:dyDescent="0.25">
      <c r="A3757" s="4" t="s">
        <v>239</v>
      </c>
      <c r="B3757" s="5"/>
      <c r="C3757" s="4" t="s">
        <v>9</v>
      </c>
      <c r="D3757" s="4" t="s">
        <v>9</v>
      </c>
      <c r="E3757" s="4" t="s">
        <v>9</v>
      </c>
      <c r="F3757" s="6">
        <v>0</v>
      </c>
      <c r="G3757" s="6">
        <v>0</v>
      </c>
      <c r="H3757" s="4" t="s">
        <v>9</v>
      </c>
      <c r="I3757" s="4" t="s">
        <v>3</v>
      </c>
      <c r="J3757" s="4" t="s">
        <v>9</v>
      </c>
      <c r="K3757" s="4" t="s">
        <v>9</v>
      </c>
      <c r="L3757" s="4" t="s">
        <v>9</v>
      </c>
      <c r="M3757" s="4" t="s">
        <v>9</v>
      </c>
      <c r="N3757" s="5"/>
    </row>
    <row r="3758" spans="1:14" x14ac:dyDescent="0.25">
      <c r="A3758" t="s">
        <v>524</v>
      </c>
      <c r="B3758" s="2">
        <v>46115</v>
      </c>
      <c r="C3758" t="s">
        <v>524</v>
      </c>
      <c r="D3758" t="s">
        <v>112</v>
      </c>
      <c r="E3758" t="s">
        <v>9</v>
      </c>
      <c r="F3758" s="3">
        <v>-6600</v>
      </c>
      <c r="G3758" s="3">
        <v>-6600</v>
      </c>
      <c r="H3758" t="s">
        <v>3</v>
      </c>
      <c r="I3758" t="s">
        <v>3</v>
      </c>
      <c r="J3758" t="s">
        <v>9</v>
      </c>
      <c r="K3758" t="s">
        <v>9</v>
      </c>
      <c r="L3758" t="s">
        <v>16</v>
      </c>
      <c r="M3758" t="s">
        <v>114</v>
      </c>
      <c r="N3758" s="2">
        <v>46112</v>
      </c>
    </row>
    <row r="3759" spans="1:14" x14ac:dyDescent="0.25">
      <c r="A3759" t="s">
        <v>524</v>
      </c>
      <c r="B3759" s="2">
        <v>46081</v>
      </c>
      <c r="C3759" t="s">
        <v>524</v>
      </c>
      <c r="D3759" t="s">
        <v>112</v>
      </c>
      <c r="E3759" t="s">
        <v>9</v>
      </c>
      <c r="F3759" s="3">
        <v>-10800</v>
      </c>
      <c r="G3759" s="3">
        <v>-10800</v>
      </c>
      <c r="H3759" t="s">
        <v>3</v>
      </c>
      <c r="I3759" t="s">
        <v>3</v>
      </c>
      <c r="J3759" t="s">
        <v>304</v>
      </c>
      <c r="K3759" t="s">
        <v>13</v>
      </c>
      <c r="L3759" t="s">
        <v>16</v>
      </c>
      <c r="M3759" t="s">
        <v>114</v>
      </c>
      <c r="N3759" s="2">
        <v>46082</v>
      </c>
    </row>
    <row r="3760" spans="1:14" x14ac:dyDescent="0.25">
      <c r="A3760" t="s">
        <v>524</v>
      </c>
      <c r="B3760" s="2">
        <v>46112</v>
      </c>
      <c r="C3760" t="s">
        <v>524</v>
      </c>
      <c r="D3760" t="s">
        <v>112</v>
      </c>
      <c r="E3760" t="s">
        <v>9</v>
      </c>
      <c r="F3760" s="3">
        <v>17400</v>
      </c>
      <c r="G3760" s="3">
        <v>17400</v>
      </c>
      <c r="H3760" t="s">
        <v>3</v>
      </c>
      <c r="I3760" t="s">
        <v>3</v>
      </c>
      <c r="J3760" t="s">
        <v>307</v>
      </c>
      <c r="K3760" t="s">
        <v>13</v>
      </c>
      <c r="L3760" t="s">
        <v>16</v>
      </c>
      <c r="M3760" t="s">
        <v>114</v>
      </c>
      <c r="N3760" s="2">
        <v>46112</v>
      </c>
    </row>
    <row r="3761" spans="1:14" x14ac:dyDescent="0.25">
      <c r="A3761" s="4" t="s">
        <v>244</v>
      </c>
      <c r="B3761" s="5"/>
      <c r="C3761" s="4" t="s">
        <v>9</v>
      </c>
      <c r="D3761" s="4" t="s">
        <v>9</v>
      </c>
      <c r="E3761" s="4" t="s">
        <v>9</v>
      </c>
      <c r="F3761" s="6">
        <v>0</v>
      </c>
      <c r="G3761" s="6">
        <v>0</v>
      </c>
      <c r="H3761" s="4" t="s">
        <v>9</v>
      </c>
      <c r="I3761" s="4" t="s">
        <v>3</v>
      </c>
      <c r="J3761" s="4" t="s">
        <v>9</v>
      </c>
      <c r="K3761" s="4" t="s">
        <v>9</v>
      </c>
      <c r="L3761" s="4" t="s">
        <v>9</v>
      </c>
      <c r="M3761" s="4" t="s">
        <v>9</v>
      </c>
      <c r="N3761" s="5"/>
    </row>
    <row r="3762" spans="1:14" x14ac:dyDescent="0.25">
      <c r="A3762" t="s">
        <v>524</v>
      </c>
      <c r="B3762" s="2">
        <v>46147</v>
      </c>
      <c r="C3762" t="s">
        <v>524</v>
      </c>
      <c r="D3762" t="s">
        <v>112</v>
      </c>
      <c r="E3762" t="s">
        <v>9</v>
      </c>
      <c r="F3762" s="3">
        <v>-3600</v>
      </c>
      <c r="G3762" s="3">
        <v>-3600</v>
      </c>
      <c r="H3762" t="s">
        <v>3</v>
      </c>
      <c r="I3762" t="s">
        <v>3</v>
      </c>
      <c r="J3762" t="s">
        <v>9</v>
      </c>
      <c r="K3762" t="s">
        <v>9</v>
      </c>
      <c r="L3762" t="s">
        <v>17</v>
      </c>
      <c r="M3762" t="s">
        <v>114</v>
      </c>
      <c r="N3762" s="2">
        <v>46142</v>
      </c>
    </row>
    <row r="3763" spans="1:14" x14ac:dyDescent="0.25">
      <c r="A3763" t="s">
        <v>524</v>
      </c>
      <c r="B3763" s="2">
        <v>46112</v>
      </c>
      <c r="C3763" t="s">
        <v>524</v>
      </c>
      <c r="D3763" t="s">
        <v>112</v>
      </c>
      <c r="E3763" t="s">
        <v>9</v>
      </c>
      <c r="F3763" s="3">
        <v>-17400</v>
      </c>
      <c r="G3763" s="3">
        <v>-17400</v>
      </c>
      <c r="H3763" t="s">
        <v>3</v>
      </c>
      <c r="I3763" t="s">
        <v>3</v>
      </c>
      <c r="J3763" t="s">
        <v>307</v>
      </c>
      <c r="K3763" t="s">
        <v>13</v>
      </c>
      <c r="L3763" t="s">
        <v>17</v>
      </c>
      <c r="M3763" t="s">
        <v>114</v>
      </c>
      <c r="N3763" s="2">
        <v>46113</v>
      </c>
    </row>
    <row r="3764" spans="1:14" x14ac:dyDescent="0.25">
      <c r="A3764" t="s">
        <v>524</v>
      </c>
      <c r="B3764" s="2">
        <v>46142</v>
      </c>
      <c r="C3764" t="s">
        <v>524</v>
      </c>
      <c r="D3764" t="s">
        <v>112</v>
      </c>
      <c r="E3764" t="s">
        <v>9</v>
      </c>
      <c r="F3764" s="3">
        <v>21000</v>
      </c>
      <c r="G3764" s="3">
        <v>21000</v>
      </c>
      <c r="H3764" t="s">
        <v>3</v>
      </c>
      <c r="I3764" t="s">
        <v>3</v>
      </c>
      <c r="J3764" t="s">
        <v>310</v>
      </c>
      <c r="K3764" t="s">
        <v>13</v>
      </c>
      <c r="L3764" t="s">
        <v>17</v>
      </c>
      <c r="M3764" t="s">
        <v>114</v>
      </c>
      <c r="N3764" s="2">
        <v>46142</v>
      </c>
    </row>
    <row r="3765" spans="1:14" x14ac:dyDescent="0.25">
      <c r="A3765" s="4" t="s">
        <v>249</v>
      </c>
      <c r="B3765" s="5"/>
      <c r="C3765" s="4" t="s">
        <v>9</v>
      </c>
      <c r="D3765" s="4" t="s">
        <v>9</v>
      </c>
      <c r="E3765" s="4" t="s">
        <v>9</v>
      </c>
      <c r="F3765" s="6">
        <v>0</v>
      </c>
      <c r="G3765" s="6">
        <v>0</v>
      </c>
      <c r="H3765" s="4" t="s">
        <v>9</v>
      </c>
      <c r="I3765" s="4" t="s">
        <v>3</v>
      </c>
      <c r="J3765" s="4" t="s">
        <v>9</v>
      </c>
      <c r="K3765" s="4" t="s">
        <v>9</v>
      </c>
      <c r="L3765" s="4" t="s">
        <v>9</v>
      </c>
      <c r="M3765" s="4" t="s">
        <v>9</v>
      </c>
      <c r="N3765" s="5"/>
    </row>
    <row r="3766" spans="1:14" x14ac:dyDescent="0.25">
      <c r="A3766" t="s">
        <v>524</v>
      </c>
      <c r="B3766" s="2">
        <v>46175</v>
      </c>
      <c r="C3766" t="s">
        <v>524</v>
      </c>
      <c r="D3766" t="s">
        <v>112</v>
      </c>
      <c r="E3766" t="s">
        <v>9</v>
      </c>
      <c r="F3766" s="3">
        <v>-10700</v>
      </c>
      <c r="G3766" s="3">
        <v>-10700</v>
      </c>
      <c r="H3766" t="s">
        <v>3</v>
      </c>
      <c r="I3766" t="s">
        <v>3</v>
      </c>
      <c r="J3766" t="s">
        <v>9</v>
      </c>
      <c r="K3766" t="s">
        <v>9</v>
      </c>
      <c r="L3766" t="s">
        <v>18</v>
      </c>
      <c r="M3766" t="s">
        <v>114</v>
      </c>
      <c r="N3766" s="2">
        <v>46173</v>
      </c>
    </row>
    <row r="3767" spans="1:14" x14ac:dyDescent="0.25">
      <c r="A3767" t="s">
        <v>524</v>
      </c>
      <c r="B3767" s="2">
        <v>46142</v>
      </c>
      <c r="C3767" t="s">
        <v>524</v>
      </c>
      <c r="D3767" t="s">
        <v>112</v>
      </c>
      <c r="E3767" t="s">
        <v>9</v>
      </c>
      <c r="F3767" s="3">
        <v>-21000</v>
      </c>
      <c r="G3767" s="3">
        <v>-21000</v>
      </c>
      <c r="H3767" t="s">
        <v>3</v>
      </c>
      <c r="I3767" t="s">
        <v>3</v>
      </c>
      <c r="J3767" t="s">
        <v>310</v>
      </c>
      <c r="K3767" t="s">
        <v>13</v>
      </c>
      <c r="L3767" t="s">
        <v>18</v>
      </c>
      <c r="M3767" t="s">
        <v>114</v>
      </c>
      <c r="N3767" s="2">
        <v>46143</v>
      </c>
    </row>
    <row r="3768" spans="1:14" x14ac:dyDescent="0.25">
      <c r="A3768" t="s">
        <v>524</v>
      </c>
      <c r="B3768" s="2">
        <v>46173</v>
      </c>
      <c r="C3768" t="s">
        <v>524</v>
      </c>
      <c r="D3768" t="s">
        <v>112</v>
      </c>
      <c r="E3768" t="s">
        <v>9</v>
      </c>
      <c r="F3768" s="3">
        <v>31700</v>
      </c>
      <c r="G3768" s="3">
        <v>31700</v>
      </c>
      <c r="H3768" t="s">
        <v>3</v>
      </c>
      <c r="I3768" t="s">
        <v>3</v>
      </c>
      <c r="J3768" t="s">
        <v>313</v>
      </c>
      <c r="K3768" t="s">
        <v>13</v>
      </c>
      <c r="L3768" t="s">
        <v>18</v>
      </c>
      <c r="M3768" t="s">
        <v>114</v>
      </c>
      <c r="N3768" s="2">
        <v>46173</v>
      </c>
    </row>
    <row r="3769" spans="1:14" x14ac:dyDescent="0.25">
      <c r="A3769" s="4" t="s">
        <v>223</v>
      </c>
      <c r="B3769" s="5"/>
      <c r="C3769" s="4" t="s">
        <v>9</v>
      </c>
      <c r="D3769" s="4" t="s">
        <v>9</v>
      </c>
      <c r="E3769" s="4" t="s">
        <v>9</v>
      </c>
      <c r="F3769" s="6">
        <v>0</v>
      </c>
      <c r="G3769" s="6">
        <v>0</v>
      </c>
      <c r="H3769" s="4" t="s">
        <v>9</v>
      </c>
      <c r="I3769" s="4" t="s">
        <v>3</v>
      </c>
      <c r="J3769" s="4" t="s">
        <v>9</v>
      </c>
      <c r="K3769" s="4" t="s">
        <v>9</v>
      </c>
      <c r="L3769" s="4" t="s">
        <v>9</v>
      </c>
      <c r="M3769" s="4" t="s">
        <v>9</v>
      </c>
      <c r="N3769" s="5"/>
    </row>
    <row r="3770" spans="1:14" x14ac:dyDescent="0.25">
      <c r="A3770" t="s">
        <v>524</v>
      </c>
      <c r="B3770" s="2">
        <v>46205</v>
      </c>
      <c r="C3770" t="s">
        <v>524</v>
      </c>
      <c r="D3770" t="s">
        <v>112</v>
      </c>
      <c r="E3770" t="s">
        <v>9</v>
      </c>
      <c r="F3770" s="3">
        <v>-6450.55</v>
      </c>
      <c r="G3770" s="3">
        <v>-6450.55</v>
      </c>
      <c r="H3770" t="s">
        <v>3</v>
      </c>
      <c r="I3770" t="s">
        <v>3</v>
      </c>
      <c r="J3770" t="s">
        <v>9</v>
      </c>
      <c r="K3770" t="s">
        <v>9</v>
      </c>
      <c r="L3770" t="s">
        <v>19</v>
      </c>
      <c r="M3770" t="s">
        <v>114</v>
      </c>
      <c r="N3770" s="2">
        <v>46203</v>
      </c>
    </row>
    <row r="3771" spans="1:14" x14ac:dyDescent="0.25">
      <c r="A3771" t="s">
        <v>524</v>
      </c>
      <c r="B3771" s="2">
        <v>46173</v>
      </c>
      <c r="C3771" t="s">
        <v>524</v>
      </c>
      <c r="D3771" t="s">
        <v>112</v>
      </c>
      <c r="E3771" t="s">
        <v>9</v>
      </c>
      <c r="F3771" s="3">
        <v>-31700</v>
      </c>
      <c r="G3771" s="3">
        <v>-31700</v>
      </c>
      <c r="H3771" t="s">
        <v>3</v>
      </c>
      <c r="I3771" t="s">
        <v>3</v>
      </c>
      <c r="J3771" t="s">
        <v>313</v>
      </c>
      <c r="K3771" t="s">
        <v>13</v>
      </c>
      <c r="L3771" t="s">
        <v>19</v>
      </c>
      <c r="M3771" t="s">
        <v>114</v>
      </c>
      <c r="N3771" s="2">
        <v>46174</v>
      </c>
    </row>
    <row r="3772" spans="1:14" x14ac:dyDescent="0.25">
      <c r="A3772" t="s">
        <v>524</v>
      </c>
      <c r="B3772" s="2">
        <v>46203</v>
      </c>
      <c r="C3772" t="s">
        <v>524</v>
      </c>
      <c r="D3772" t="s">
        <v>112</v>
      </c>
      <c r="E3772" t="s">
        <v>9</v>
      </c>
      <c r="F3772" s="3">
        <v>38150.550000000003</v>
      </c>
      <c r="G3772" s="3">
        <v>38150.550000000003</v>
      </c>
      <c r="H3772" t="s">
        <v>3</v>
      </c>
      <c r="I3772" t="s">
        <v>3</v>
      </c>
      <c r="J3772" t="s">
        <v>316</v>
      </c>
      <c r="K3772" t="s">
        <v>13</v>
      </c>
      <c r="L3772" t="s">
        <v>19</v>
      </c>
      <c r="M3772" t="s">
        <v>114</v>
      </c>
      <c r="N3772" s="2">
        <v>46203</v>
      </c>
    </row>
    <row r="3773" spans="1:14" x14ac:dyDescent="0.25">
      <c r="A3773" s="4" t="s">
        <v>224</v>
      </c>
      <c r="B3773" s="5"/>
      <c r="C3773" s="4" t="s">
        <v>9</v>
      </c>
      <c r="D3773" s="4" t="s">
        <v>9</v>
      </c>
      <c r="E3773" s="4" t="s">
        <v>9</v>
      </c>
      <c r="F3773" s="6">
        <v>0</v>
      </c>
      <c r="G3773" s="6">
        <v>0</v>
      </c>
      <c r="H3773" s="4" t="s">
        <v>9</v>
      </c>
      <c r="I3773" s="4" t="s">
        <v>3</v>
      </c>
      <c r="J3773" s="4" t="s">
        <v>9</v>
      </c>
      <c r="K3773" s="4" t="s">
        <v>9</v>
      </c>
      <c r="L3773" s="4" t="s">
        <v>9</v>
      </c>
      <c r="M3773" s="4" t="s">
        <v>9</v>
      </c>
      <c r="N3773" s="5"/>
    </row>
    <row r="3774" spans="1:14" x14ac:dyDescent="0.25">
      <c r="A3774" t="s">
        <v>524</v>
      </c>
      <c r="B3774" s="2">
        <v>45870</v>
      </c>
      <c r="C3774" t="s">
        <v>524</v>
      </c>
      <c r="D3774" t="s">
        <v>112</v>
      </c>
      <c r="E3774" t="s">
        <v>9</v>
      </c>
      <c r="F3774" s="3">
        <v>-900</v>
      </c>
      <c r="G3774" s="3">
        <v>-900</v>
      </c>
      <c r="H3774" t="s">
        <v>3</v>
      </c>
      <c r="I3774" t="s">
        <v>3</v>
      </c>
      <c r="J3774" t="s">
        <v>9</v>
      </c>
      <c r="K3774" t="s">
        <v>9</v>
      </c>
      <c r="L3774" t="s">
        <v>21</v>
      </c>
      <c r="M3774" t="s">
        <v>114</v>
      </c>
      <c r="N3774" s="2">
        <v>45869</v>
      </c>
    </row>
    <row r="3775" spans="1:14" x14ac:dyDescent="0.25">
      <c r="A3775" t="s">
        <v>524</v>
      </c>
      <c r="B3775" s="2">
        <v>46239</v>
      </c>
      <c r="C3775" t="s">
        <v>524</v>
      </c>
      <c r="D3775" t="s">
        <v>112</v>
      </c>
      <c r="E3775" t="s">
        <v>9</v>
      </c>
      <c r="F3775" s="3">
        <v>-849.45</v>
      </c>
      <c r="G3775" s="3">
        <v>-849.45</v>
      </c>
      <c r="H3775" t="s">
        <v>3</v>
      </c>
      <c r="I3775" t="s">
        <v>3</v>
      </c>
      <c r="J3775" t="s">
        <v>9</v>
      </c>
      <c r="K3775" t="s">
        <v>9</v>
      </c>
      <c r="L3775" t="s">
        <v>21</v>
      </c>
      <c r="M3775" t="s">
        <v>114</v>
      </c>
      <c r="N3775" s="2">
        <v>46234</v>
      </c>
    </row>
    <row r="3776" spans="1:14" x14ac:dyDescent="0.25">
      <c r="A3776" t="s">
        <v>524</v>
      </c>
      <c r="B3776" s="2">
        <v>45869</v>
      </c>
      <c r="C3776" t="s">
        <v>524</v>
      </c>
      <c r="D3776" t="s">
        <v>112</v>
      </c>
      <c r="E3776" t="s">
        <v>9</v>
      </c>
      <c r="F3776" s="3">
        <v>900</v>
      </c>
      <c r="G3776" s="3">
        <v>900</v>
      </c>
      <c r="H3776" t="s">
        <v>3</v>
      </c>
      <c r="I3776" t="s">
        <v>3</v>
      </c>
      <c r="J3776" t="s">
        <v>317</v>
      </c>
      <c r="K3776" t="s">
        <v>5</v>
      </c>
      <c r="L3776" t="s">
        <v>21</v>
      </c>
      <c r="M3776" t="s">
        <v>114</v>
      </c>
      <c r="N3776" s="2">
        <v>45869</v>
      </c>
    </row>
    <row r="3777" spans="1:14" x14ac:dyDescent="0.25">
      <c r="A3777" t="s">
        <v>524</v>
      </c>
      <c r="B3777" s="2">
        <v>46203</v>
      </c>
      <c r="C3777" t="s">
        <v>524</v>
      </c>
      <c r="D3777" t="s">
        <v>112</v>
      </c>
      <c r="E3777" t="s">
        <v>9</v>
      </c>
      <c r="F3777" s="3">
        <v>-38150.550000000003</v>
      </c>
      <c r="G3777" s="3">
        <v>-38150.550000000003</v>
      </c>
      <c r="H3777" t="s">
        <v>3</v>
      </c>
      <c r="I3777" t="s">
        <v>3</v>
      </c>
      <c r="J3777" t="s">
        <v>316</v>
      </c>
      <c r="K3777" t="s">
        <v>13</v>
      </c>
      <c r="L3777" t="s">
        <v>21</v>
      </c>
      <c r="M3777" t="s">
        <v>114</v>
      </c>
      <c r="N3777" s="2">
        <v>46204</v>
      </c>
    </row>
    <row r="3778" spans="1:14" x14ac:dyDescent="0.25">
      <c r="A3778" t="s">
        <v>524</v>
      </c>
      <c r="B3778" s="2">
        <v>46234</v>
      </c>
      <c r="C3778" t="s">
        <v>524</v>
      </c>
      <c r="D3778" t="s">
        <v>112</v>
      </c>
      <c r="E3778" t="s">
        <v>9</v>
      </c>
      <c r="F3778" s="3">
        <v>39000</v>
      </c>
      <c r="G3778" s="3">
        <v>39000</v>
      </c>
      <c r="H3778" t="s">
        <v>3</v>
      </c>
      <c r="I3778" t="s">
        <v>3</v>
      </c>
      <c r="J3778" t="s">
        <v>319</v>
      </c>
      <c r="K3778" t="s">
        <v>13</v>
      </c>
      <c r="L3778" t="s">
        <v>21</v>
      </c>
      <c r="M3778" t="s">
        <v>114</v>
      </c>
      <c r="N3778" s="2">
        <v>46234</v>
      </c>
    </row>
    <row r="3779" spans="1:14" x14ac:dyDescent="0.25">
      <c r="A3779" s="4" t="s">
        <v>262</v>
      </c>
      <c r="B3779" s="5"/>
      <c r="C3779" s="4" t="s">
        <v>9</v>
      </c>
      <c r="D3779" s="4" t="s">
        <v>9</v>
      </c>
      <c r="E3779" s="4" t="s">
        <v>9</v>
      </c>
      <c r="F3779" s="6">
        <v>0</v>
      </c>
      <c r="G3779" s="6">
        <v>0</v>
      </c>
      <c r="H3779" s="4" t="s">
        <v>9</v>
      </c>
      <c r="I3779" s="4" t="s">
        <v>3</v>
      </c>
      <c r="J3779" s="4" t="s">
        <v>9</v>
      </c>
      <c r="K3779" s="4" t="s">
        <v>9</v>
      </c>
      <c r="L3779" s="4" t="s">
        <v>9</v>
      </c>
      <c r="M3779" s="4" t="s">
        <v>9</v>
      </c>
      <c r="N3779" s="5"/>
    </row>
    <row r="3780" spans="1:14" x14ac:dyDescent="0.25">
      <c r="A3780" t="s">
        <v>524</v>
      </c>
      <c r="B3780" s="2">
        <v>45901</v>
      </c>
      <c r="C3780" t="s">
        <v>524</v>
      </c>
      <c r="D3780" t="s">
        <v>112</v>
      </c>
      <c r="E3780" t="s">
        <v>9</v>
      </c>
      <c r="F3780" s="3">
        <v>-4100</v>
      </c>
      <c r="G3780" s="3">
        <v>-4100</v>
      </c>
      <c r="H3780" t="s">
        <v>3</v>
      </c>
      <c r="I3780" t="s">
        <v>3</v>
      </c>
      <c r="J3780" t="s">
        <v>9</v>
      </c>
      <c r="K3780" t="s">
        <v>9</v>
      </c>
      <c r="L3780" t="s">
        <v>22</v>
      </c>
      <c r="M3780" t="s">
        <v>114</v>
      </c>
      <c r="N3780" s="2">
        <v>45900</v>
      </c>
    </row>
    <row r="3781" spans="1:14" x14ac:dyDescent="0.25">
      <c r="A3781" t="s">
        <v>524</v>
      </c>
      <c r="B3781" s="2">
        <v>45903</v>
      </c>
      <c r="C3781" t="s">
        <v>524</v>
      </c>
      <c r="D3781" t="s">
        <v>112</v>
      </c>
      <c r="E3781" t="s">
        <v>9</v>
      </c>
      <c r="F3781" s="3">
        <v>-2800</v>
      </c>
      <c r="G3781" s="3">
        <v>-2800</v>
      </c>
      <c r="H3781" t="s">
        <v>3</v>
      </c>
      <c r="I3781" t="s">
        <v>3</v>
      </c>
      <c r="J3781" t="s">
        <v>9</v>
      </c>
      <c r="K3781" t="s">
        <v>9</v>
      </c>
      <c r="L3781" t="s">
        <v>22</v>
      </c>
      <c r="M3781" t="s">
        <v>114</v>
      </c>
      <c r="N3781" s="2">
        <v>45900</v>
      </c>
    </row>
    <row r="3782" spans="1:14" x14ac:dyDescent="0.25">
      <c r="A3782" t="s">
        <v>524</v>
      </c>
      <c r="B3782" s="2">
        <v>45869</v>
      </c>
      <c r="C3782" t="s">
        <v>524</v>
      </c>
      <c r="D3782" t="s">
        <v>112</v>
      </c>
      <c r="E3782" t="s">
        <v>9</v>
      </c>
      <c r="F3782" s="3">
        <v>-900</v>
      </c>
      <c r="G3782" s="3">
        <v>-900</v>
      </c>
      <c r="H3782" t="s">
        <v>3</v>
      </c>
      <c r="I3782" t="s">
        <v>3</v>
      </c>
      <c r="J3782" t="s">
        <v>317</v>
      </c>
      <c r="K3782" t="s">
        <v>5</v>
      </c>
      <c r="L3782" t="s">
        <v>22</v>
      </c>
      <c r="M3782" t="s">
        <v>114</v>
      </c>
      <c r="N3782" s="2">
        <v>45870</v>
      </c>
    </row>
    <row r="3783" spans="1:14" x14ac:dyDescent="0.25">
      <c r="A3783" t="s">
        <v>524</v>
      </c>
      <c r="B3783" s="2">
        <v>45900</v>
      </c>
      <c r="C3783" t="s">
        <v>524</v>
      </c>
      <c r="D3783" t="s">
        <v>112</v>
      </c>
      <c r="E3783" t="s">
        <v>9</v>
      </c>
      <c r="F3783" s="3">
        <v>5000</v>
      </c>
      <c r="G3783" s="3">
        <v>5000</v>
      </c>
      <c r="H3783" t="s">
        <v>3</v>
      </c>
      <c r="I3783" t="s">
        <v>3</v>
      </c>
      <c r="J3783" t="s">
        <v>320</v>
      </c>
      <c r="K3783" t="s">
        <v>5</v>
      </c>
      <c r="L3783" t="s">
        <v>22</v>
      </c>
      <c r="M3783" t="s">
        <v>114</v>
      </c>
      <c r="N3783" s="2">
        <v>45900</v>
      </c>
    </row>
    <row r="3784" spans="1:14" x14ac:dyDescent="0.25">
      <c r="A3784" t="s">
        <v>524</v>
      </c>
      <c r="B3784" s="2">
        <v>45900</v>
      </c>
      <c r="C3784" t="s">
        <v>524</v>
      </c>
      <c r="D3784" t="s">
        <v>112</v>
      </c>
      <c r="E3784" t="s">
        <v>9</v>
      </c>
      <c r="F3784" s="3">
        <v>-5000</v>
      </c>
      <c r="G3784" s="3">
        <v>-5000</v>
      </c>
      <c r="H3784" t="s">
        <v>3</v>
      </c>
      <c r="I3784" t="s">
        <v>3</v>
      </c>
      <c r="J3784" t="s">
        <v>320</v>
      </c>
      <c r="K3784" t="s">
        <v>5</v>
      </c>
      <c r="L3784" t="s">
        <v>22</v>
      </c>
      <c r="M3784" t="s">
        <v>114</v>
      </c>
      <c r="N3784" s="2">
        <v>45900</v>
      </c>
    </row>
    <row r="3785" spans="1:14" x14ac:dyDescent="0.25">
      <c r="A3785" t="s">
        <v>524</v>
      </c>
      <c r="B3785" s="2">
        <v>45900</v>
      </c>
      <c r="C3785" t="s">
        <v>524</v>
      </c>
      <c r="D3785" t="s">
        <v>112</v>
      </c>
      <c r="E3785" t="s">
        <v>9</v>
      </c>
      <c r="F3785" s="3">
        <v>6600</v>
      </c>
      <c r="G3785" s="3">
        <v>6600</v>
      </c>
      <c r="H3785" t="s">
        <v>3</v>
      </c>
      <c r="I3785" t="s">
        <v>3</v>
      </c>
      <c r="J3785" t="s">
        <v>320</v>
      </c>
      <c r="K3785" t="s">
        <v>5</v>
      </c>
      <c r="L3785" t="s">
        <v>22</v>
      </c>
      <c r="M3785" t="s">
        <v>114</v>
      </c>
      <c r="N3785" s="2">
        <v>45900</v>
      </c>
    </row>
    <row r="3786" spans="1:14" x14ac:dyDescent="0.25">
      <c r="A3786" t="s">
        <v>524</v>
      </c>
      <c r="B3786" s="2">
        <v>45900</v>
      </c>
      <c r="C3786" t="s">
        <v>524</v>
      </c>
      <c r="D3786" t="s">
        <v>112</v>
      </c>
      <c r="E3786" t="s">
        <v>9</v>
      </c>
      <c r="F3786" s="3">
        <v>7800</v>
      </c>
      <c r="G3786" s="3">
        <v>7800</v>
      </c>
      <c r="H3786" t="s">
        <v>3</v>
      </c>
      <c r="I3786" t="s">
        <v>3</v>
      </c>
      <c r="J3786" t="s">
        <v>320</v>
      </c>
      <c r="K3786" t="s">
        <v>5</v>
      </c>
      <c r="L3786" t="s">
        <v>22</v>
      </c>
      <c r="M3786" t="s">
        <v>114</v>
      </c>
      <c r="N3786" s="2">
        <v>45900</v>
      </c>
    </row>
    <row r="3787" spans="1:14" x14ac:dyDescent="0.25">
      <c r="A3787" t="s">
        <v>524</v>
      </c>
      <c r="B3787" s="2">
        <v>45900</v>
      </c>
      <c r="C3787" t="s">
        <v>524</v>
      </c>
      <c r="D3787" t="s">
        <v>112</v>
      </c>
      <c r="E3787" t="s">
        <v>9</v>
      </c>
      <c r="F3787" s="3">
        <v>-6600</v>
      </c>
      <c r="G3787" s="3">
        <v>-6600</v>
      </c>
      <c r="H3787" t="s">
        <v>3</v>
      </c>
      <c r="I3787" t="s">
        <v>3</v>
      </c>
      <c r="J3787" t="s">
        <v>320</v>
      </c>
      <c r="K3787" t="s">
        <v>5</v>
      </c>
      <c r="L3787" t="s">
        <v>22</v>
      </c>
      <c r="M3787" t="s">
        <v>114</v>
      </c>
      <c r="N3787" s="2">
        <v>45900</v>
      </c>
    </row>
    <row r="3788" spans="1:14" x14ac:dyDescent="0.25">
      <c r="A3788" t="s">
        <v>524</v>
      </c>
      <c r="B3788" s="2">
        <v>46234</v>
      </c>
      <c r="C3788" t="s">
        <v>524</v>
      </c>
      <c r="D3788" t="s">
        <v>112</v>
      </c>
      <c r="E3788" t="s">
        <v>9</v>
      </c>
      <c r="F3788" s="3">
        <v>-39000</v>
      </c>
      <c r="G3788" s="3">
        <v>-39000</v>
      </c>
      <c r="H3788" t="s">
        <v>3</v>
      </c>
      <c r="I3788" t="s">
        <v>3</v>
      </c>
      <c r="J3788" t="s">
        <v>319</v>
      </c>
      <c r="K3788" t="s">
        <v>13</v>
      </c>
      <c r="L3788" t="s">
        <v>22</v>
      </c>
      <c r="M3788" t="s">
        <v>114</v>
      </c>
      <c r="N3788" s="2">
        <v>46235</v>
      </c>
    </row>
    <row r="3789" spans="1:14" x14ac:dyDescent="0.25">
      <c r="A3789" t="s">
        <v>524</v>
      </c>
      <c r="B3789" s="2">
        <v>46265</v>
      </c>
      <c r="C3789" t="s">
        <v>524</v>
      </c>
      <c r="D3789" t="s">
        <v>112</v>
      </c>
      <c r="E3789" t="s">
        <v>9</v>
      </c>
      <c r="F3789" s="3">
        <v>39000</v>
      </c>
      <c r="G3789" s="3">
        <v>39000</v>
      </c>
      <c r="H3789" t="s">
        <v>3</v>
      </c>
      <c r="I3789" t="s">
        <v>3</v>
      </c>
      <c r="J3789" t="s">
        <v>322</v>
      </c>
      <c r="K3789" t="s">
        <v>13</v>
      </c>
      <c r="L3789" t="s">
        <v>22</v>
      </c>
      <c r="M3789" t="s">
        <v>114</v>
      </c>
      <c r="N3789" s="2">
        <v>46265</v>
      </c>
    </row>
    <row r="3790" spans="1:14" x14ac:dyDescent="0.25">
      <c r="A3790" s="4" t="s">
        <v>267</v>
      </c>
      <c r="B3790" s="5"/>
      <c r="C3790" s="4" t="s">
        <v>9</v>
      </c>
      <c r="D3790" s="4" t="s">
        <v>9</v>
      </c>
      <c r="E3790" s="4" t="s">
        <v>9</v>
      </c>
      <c r="F3790" s="6">
        <v>0</v>
      </c>
      <c r="G3790" s="6">
        <v>0</v>
      </c>
      <c r="H3790" s="4" t="s">
        <v>9</v>
      </c>
      <c r="I3790" s="4" t="s">
        <v>3</v>
      </c>
      <c r="J3790" s="4" t="s">
        <v>9</v>
      </c>
      <c r="K3790" s="4" t="s">
        <v>9</v>
      </c>
      <c r="L3790" s="4" t="s">
        <v>9</v>
      </c>
      <c r="M3790" s="4" t="s">
        <v>9</v>
      </c>
      <c r="N3790" s="5"/>
    </row>
    <row r="3791" spans="1:14" x14ac:dyDescent="0.25">
      <c r="A3791" t="s">
        <v>524</v>
      </c>
      <c r="B3791" s="2">
        <v>45932</v>
      </c>
      <c r="C3791" t="s">
        <v>524</v>
      </c>
      <c r="D3791" t="s">
        <v>112</v>
      </c>
      <c r="E3791" t="s">
        <v>9</v>
      </c>
      <c r="F3791" s="3">
        <v>-8500</v>
      </c>
      <c r="G3791" s="3">
        <v>-8500</v>
      </c>
      <c r="H3791" t="s">
        <v>3</v>
      </c>
      <c r="I3791" t="s">
        <v>3</v>
      </c>
      <c r="J3791" t="s">
        <v>9</v>
      </c>
      <c r="K3791" t="s">
        <v>9</v>
      </c>
      <c r="L3791" t="s">
        <v>6</v>
      </c>
      <c r="M3791" t="s">
        <v>114</v>
      </c>
      <c r="N3791" s="2">
        <v>45930</v>
      </c>
    </row>
    <row r="3792" spans="1:14" x14ac:dyDescent="0.25">
      <c r="A3792" t="s">
        <v>524</v>
      </c>
      <c r="B3792" s="2">
        <v>45900</v>
      </c>
      <c r="C3792" t="s">
        <v>524</v>
      </c>
      <c r="D3792" t="s">
        <v>112</v>
      </c>
      <c r="E3792" t="s">
        <v>9</v>
      </c>
      <c r="F3792" s="3">
        <v>-5000</v>
      </c>
      <c r="G3792" s="3">
        <v>-5000</v>
      </c>
      <c r="H3792" t="s">
        <v>3</v>
      </c>
      <c r="I3792" t="s">
        <v>3</v>
      </c>
      <c r="J3792" t="s">
        <v>320</v>
      </c>
      <c r="K3792" t="s">
        <v>5</v>
      </c>
      <c r="L3792" t="s">
        <v>6</v>
      </c>
      <c r="M3792" t="s">
        <v>114</v>
      </c>
      <c r="N3792" s="2">
        <v>45901</v>
      </c>
    </row>
    <row r="3793" spans="1:14" x14ac:dyDescent="0.25">
      <c r="A3793" t="s">
        <v>524</v>
      </c>
      <c r="B3793" s="2">
        <v>45900</v>
      </c>
      <c r="C3793" t="s">
        <v>524</v>
      </c>
      <c r="D3793" t="s">
        <v>112</v>
      </c>
      <c r="E3793" t="s">
        <v>9</v>
      </c>
      <c r="F3793" s="3">
        <v>5000</v>
      </c>
      <c r="G3793" s="3">
        <v>5000</v>
      </c>
      <c r="H3793" t="s">
        <v>3</v>
      </c>
      <c r="I3793" t="s">
        <v>3</v>
      </c>
      <c r="J3793" t="s">
        <v>320</v>
      </c>
      <c r="K3793" t="s">
        <v>5</v>
      </c>
      <c r="L3793" t="s">
        <v>6</v>
      </c>
      <c r="M3793" t="s">
        <v>114</v>
      </c>
      <c r="N3793" s="2">
        <v>45901</v>
      </c>
    </row>
    <row r="3794" spans="1:14" x14ac:dyDescent="0.25">
      <c r="A3794" t="s">
        <v>524</v>
      </c>
      <c r="B3794" s="2">
        <v>45900</v>
      </c>
      <c r="C3794" t="s">
        <v>524</v>
      </c>
      <c r="D3794" t="s">
        <v>112</v>
      </c>
      <c r="E3794" t="s">
        <v>9</v>
      </c>
      <c r="F3794" s="3">
        <v>-6600</v>
      </c>
      <c r="G3794" s="3">
        <v>-6600</v>
      </c>
      <c r="H3794" t="s">
        <v>3</v>
      </c>
      <c r="I3794" t="s">
        <v>3</v>
      </c>
      <c r="J3794" t="s">
        <v>320</v>
      </c>
      <c r="K3794" t="s">
        <v>5</v>
      </c>
      <c r="L3794" t="s">
        <v>6</v>
      </c>
      <c r="M3794" t="s">
        <v>114</v>
      </c>
      <c r="N3794" s="2">
        <v>45901</v>
      </c>
    </row>
    <row r="3795" spans="1:14" x14ac:dyDescent="0.25">
      <c r="A3795" t="s">
        <v>524</v>
      </c>
      <c r="B3795" s="2">
        <v>45900</v>
      </c>
      <c r="C3795" t="s">
        <v>524</v>
      </c>
      <c r="D3795" t="s">
        <v>112</v>
      </c>
      <c r="E3795" t="s">
        <v>9</v>
      </c>
      <c r="F3795" s="3">
        <v>6600</v>
      </c>
      <c r="G3795" s="3">
        <v>6600</v>
      </c>
      <c r="H3795" t="s">
        <v>3</v>
      </c>
      <c r="I3795" t="s">
        <v>3</v>
      </c>
      <c r="J3795" t="s">
        <v>320</v>
      </c>
      <c r="K3795" t="s">
        <v>5</v>
      </c>
      <c r="L3795" t="s">
        <v>6</v>
      </c>
      <c r="M3795" t="s">
        <v>114</v>
      </c>
      <c r="N3795" s="2">
        <v>45901</v>
      </c>
    </row>
    <row r="3796" spans="1:14" x14ac:dyDescent="0.25">
      <c r="A3796" t="s">
        <v>524</v>
      </c>
      <c r="B3796" s="2">
        <v>45900</v>
      </c>
      <c r="C3796" t="s">
        <v>524</v>
      </c>
      <c r="D3796" t="s">
        <v>112</v>
      </c>
      <c r="E3796" t="s">
        <v>9</v>
      </c>
      <c r="F3796" s="3">
        <v>-7800</v>
      </c>
      <c r="G3796" s="3">
        <v>-7800</v>
      </c>
      <c r="H3796" t="s">
        <v>3</v>
      </c>
      <c r="I3796" t="s">
        <v>3</v>
      </c>
      <c r="J3796" t="s">
        <v>320</v>
      </c>
      <c r="K3796" t="s">
        <v>5</v>
      </c>
      <c r="L3796" t="s">
        <v>6</v>
      </c>
      <c r="M3796" t="s">
        <v>114</v>
      </c>
      <c r="N3796" s="2">
        <v>45901</v>
      </c>
    </row>
    <row r="3797" spans="1:14" x14ac:dyDescent="0.25">
      <c r="A3797" t="s">
        <v>524</v>
      </c>
      <c r="B3797" s="2">
        <v>45930</v>
      </c>
      <c r="C3797" t="s">
        <v>524</v>
      </c>
      <c r="D3797" t="s">
        <v>112</v>
      </c>
      <c r="E3797" t="s">
        <v>9</v>
      </c>
      <c r="F3797" s="3">
        <v>16300</v>
      </c>
      <c r="G3797" s="3">
        <v>16300</v>
      </c>
      <c r="H3797" t="s">
        <v>3</v>
      </c>
      <c r="I3797" t="s">
        <v>3</v>
      </c>
      <c r="J3797" t="s">
        <v>323</v>
      </c>
      <c r="K3797" t="s">
        <v>5</v>
      </c>
      <c r="L3797" t="s">
        <v>6</v>
      </c>
      <c r="M3797" t="s">
        <v>114</v>
      </c>
      <c r="N3797" s="2">
        <v>45930</v>
      </c>
    </row>
    <row r="3798" spans="1:14" x14ac:dyDescent="0.25">
      <c r="A3798" s="4" t="s">
        <v>272</v>
      </c>
      <c r="B3798" s="5"/>
      <c r="C3798" s="4" t="s">
        <v>9</v>
      </c>
      <c r="D3798" s="4" t="s">
        <v>9</v>
      </c>
      <c r="E3798" s="4" t="s">
        <v>9</v>
      </c>
      <c r="F3798" s="6">
        <v>0</v>
      </c>
      <c r="G3798" s="6">
        <v>0</v>
      </c>
      <c r="H3798" s="4" t="s">
        <v>9</v>
      </c>
      <c r="I3798" s="4" t="s">
        <v>3</v>
      </c>
      <c r="J3798" s="4" t="s">
        <v>9</v>
      </c>
      <c r="K3798" s="4" t="s">
        <v>9</v>
      </c>
      <c r="L3798" s="4" t="s">
        <v>9</v>
      </c>
      <c r="M3798" s="4" t="s">
        <v>9</v>
      </c>
      <c r="N3798" s="5"/>
    </row>
    <row r="3799" spans="1:14" x14ac:dyDescent="0.25">
      <c r="A3799" t="s">
        <v>524</v>
      </c>
      <c r="B3799" s="2">
        <v>45965</v>
      </c>
      <c r="C3799" t="s">
        <v>524</v>
      </c>
      <c r="D3799" t="s">
        <v>112</v>
      </c>
      <c r="E3799" t="s">
        <v>9</v>
      </c>
      <c r="F3799" s="3">
        <v>-15500</v>
      </c>
      <c r="G3799" s="3">
        <v>-15500</v>
      </c>
      <c r="H3799" t="s">
        <v>3</v>
      </c>
      <c r="I3799" t="s">
        <v>3</v>
      </c>
      <c r="J3799" t="s">
        <v>9</v>
      </c>
      <c r="K3799" t="s">
        <v>9</v>
      </c>
      <c r="L3799" t="s">
        <v>8</v>
      </c>
      <c r="M3799" t="s">
        <v>114</v>
      </c>
      <c r="N3799" s="2">
        <v>45961</v>
      </c>
    </row>
    <row r="3800" spans="1:14" x14ac:dyDescent="0.25">
      <c r="A3800" t="s">
        <v>524</v>
      </c>
      <c r="B3800" s="2">
        <v>45930</v>
      </c>
      <c r="C3800" t="s">
        <v>524</v>
      </c>
      <c r="D3800" t="s">
        <v>112</v>
      </c>
      <c r="E3800" t="s">
        <v>9</v>
      </c>
      <c r="F3800" s="3">
        <v>-16300</v>
      </c>
      <c r="G3800" s="3">
        <v>-16300</v>
      </c>
      <c r="H3800" t="s">
        <v>3</v>
      </c>
      <c r="I3800" t="s">
        <v>3</v>
      </c>
      <c r="J3800" t="s">
        <v>323</v>
      </c>
      <c r="K3800" t="s">
        <v>5</v>
      </c>
      <c r="L3800" t="s">
        <v>8</v>
      </c>
      <c r="M3800" t="s">
        <v>114</v>
      </c>
      <c r="N3800" s="2">
        <v>45931</v>
      </c>
    </row>
    <row r="3801" spans="1:14" x14ac:dyDescent="0.25">
      <c r="A3801" t="s">
        <v>524</v>
      </c>
      <c r="B3801" s="2">
        <v>45961</v>
      </c>
      <c r="C3801" t="s">
        <v>524</v>
      </c>
      <c r="D3801" t="s">
        <v>112</v>
      </c>
      <c r="E3801" t="s">
        <v>9</v>
      </c>
      <c r="F3801" s="3">
        <v>31800</v>
      </c>
      <c r="G3801" s="3">
        <v>31800</v>
      </c>
      <c r="H3801" t="s">
        <v>3</v>
      </c>
      <c r="I3801" t="s">
        <v>3</v>
      </c>
      <c r="J3801" t="s">
        <v>325</v>
      </c>
      <c r="K3801" t="s">
        <v>5</v>
      </c>
      <c r="L3801" t="s">
        <v>8</v>
      </c>
      <c r="M3801" t="s">
        <v>114</v>
      </c>
      <c r="N3801" s="2">
        <v>45961</v>
      </c>
    </row>
    <row r="3802" spans="1:14" x14ac:dyDescent="0.25">
      <c r="A3802" s="4" t="s">
        <v>278</v>
      </c>
      <c r="B3802" s="5"/>
      <c r="C3802" s="4" t="s">
        <v>9</v>
      </c>
      <c r="D3802" s="4" t="s">
        <v>9</v>
      </c>
      <c r="E3802" s="4" t="s">
        <v>9</v>
      </c>
      <c r="F3802" s="6">
        <v>0</v>
      </c>
      <c r="G3802" s="6">
        <v>0</v>
      </c>
      <c r="H3802" s="4" t="s">
        <v>9</v>
      </c>
      <c r="I3802" s="4" t="s">
        <v>3</v>
      </c>
      <c r="J3802" s="4" t="s">
        <v>9</v>
      </c>
      <c r="K3802" s="4" t="s">
        <v>9</v>
      </c>
      <c r="L3802" s="4" t="s">
        <v>9</v>
      </c>
      <c r="M3802" s="4" t="s">
        <v>9</v>
      </c>
      <c r="N3802" s="5"/>
    </row>
    <row r="3803" spans="1:14" x14ac:dyDescent="0.25">
      <c r="A3803" t="s">
        <v>524</v>
      </c>
      <c r="B3803" s="2">
        <v>45993</v>
      </c>
      <c r="C3803" t="s">
        <v>524</v>
      </c>
      <c r="D3803" t="s">
        <v>112</v>
      </c>
      <c r="E3803" t="s">
        <v>9</v>
      </c>
      <c r="F3803" s="3">
        <v>-11700</v>
      </c>
      <c r="G3803" s="3">
        <v>-11700</v>
      </c>
      <c r="H3803" t="s">
        <v>3</v>
      </c>
      <c r="I3803" t="s">
        <v>3</v>
      </c>
      <c r="J3803" t="s">
        <v>9</v>
      </c>
      <c r="K3803" t="s">
        <v>9</v>
      </c>
      <c r="L3803" t="s">
        <v>11</v>
      </c>
      <c r="M3803" t="s">
        <v>114</v>
      </c>
      <c r="N3803" s="2">
        <v>45991</v>
      </c>
    </row>
    <row r="3804" spans="1:14" x14ac:dyDescent="0.25">
      <c r="A3804" t="s">
        <v>524</v>
      </c>
      <c r="B3804" s="2">
        <v>45961</v>
      </c>
      <c r="C3804" t="s">
        <v>524</v>
      </c>
      <c r="D3804" t="s">
        <v>112</v>
      </c>
      <c r="E3804" t="s">
        <v>9</v>
      </c>
      <c r="F3804" s="3">
        <v>-31800</v>
      </c>
      <c r="G3804" s="3">
        <v>-31800</v>
      </c>
      <c r="H3804" t="s">
        <v>3</v>
      </c>
      <c r="I3804" t="s">
        <v>3</v>
      </c>
      <c r="J3804" t="s">
        <v>325</v>
      </c>
      <c r="K3804" t="s">
        <v>5</v>
      </c>
      <c r="L3804" t="s">
        <v>11</v>
      </c>
      <c r="M3804" t="s">
        <v>114</v>
      </c>
      <c r="N3804" s="2">
        <v>45962</v>
      </c>
    </row>
    <row r="3805" spans="1:14" x14ac:dyDescent="0.25">
      <c r="A3805" t="s">
        <v>524</v>
      </c>
      <c r="B3805" s="2">
        <v>45991</v>
      </c>
      <c r="C3805" t="s">
        <v>524</v>
      </c>
      <c r="D3805" t="s">
        <v>112</v>
      </c>
      <c r="E3805" t="s">
        <v>9</v>
      </c>
      <c r="F3805" s="3">
        <v>43500</v>
      </c>
      <c r="G3805" s="3">
        <v>43500</v>
      </c>
      <c r="H3805" t="s">
        <v>3</v>
      </c>
      <c r="I3805" t="s">
        <v>3</v>
      </c>
      <c r="J3805" t="s">
        <v>328</v>
      </c>
      <c r="K3805" t="s">
        <v>5</v>
      </c>
      <c r="L3805" t="s">
        <v>11</v>
      </c>
      <c r="M3805" t="s">
        <v>114</v>
      </c>
      <c r="N3805" s="2">
        <v>45991</v>
      </c>
    </row>
    <row r="3806" spans="1:14" x14ac:dyDescent="0.25">
      <c r="A3806" s="4" t="s">
        <v>226</v>
      </c>
      <c r="B3806" s="5"/>
      <c r="C3806" s="4" t="s">
        <v>9</v>
      </c>
      <c r="D3806" s="4" t="s">
        <v>9</v>
      </c>
      <c r="E3806" s="4" t="s">
        <v>9</v>
      </c>
      <c r="F3806" s="6">
        <v>0</v>
      </c>
      <c r="G3806" s="6">
        <v>0</v>
      </c>
      <c r="H3806" s="4" t="s">
        <v>9</v>
      </c>
      <c r="I3806" s="4" t="s">
        <v>3</v>
      </c>
      <c r="J3806" s="4" t="s">
        <v>9</v>
      </c>
      <c r="K3806" s="4" t="s">
        <v>9</v>
      </c>
      <c r="L3806" s="4" t="s">
        <v>9</v>
      </c>
      <c r="M3806" s="4" t="s">
        <v>9</v>
      </c>
      <c r="N3806" s="5"/>
    </row>
    <row r="3807" spans="1:14" x14ac:dyDescent="0.25">
      <c r="A3807" t="s">
        <v>524</v>
      </c>
      <c r="B3807" s="2">
        <v>46028</v>
      </c>
      <c r="C3807" t="s">
        <v>524</v>
      </c>
      <c r="D3807" t="s">
        <v>112</v>
      </c>
      <c r="E3807" t="s">
        <v>9</v>
      </c>
      <c r="F3807" s="3">
        <v>-13500</v>
      </c>
      <c r="G3807" s="3">
        <v>-13500</v>
      </c>
      <c r="H3807" t="s">
        <v>3</v>
      </c>
      <c r="I3807" t="s">
        <v>3</v>
      </c>
      <c r="J3807" t="s">
        <v>9</v>
      </c>
      <c r="K3807" t="s">
        <v>9</v>
      </c>
      <c r="L3807" t="s">
        <v>12</v>
      </c>
      <c r="M3807" t="s">
        <v>114</v>
      </c>
      <c r="N3807" s="2">
        <v>46022</v>
      </c>
    </row>
    <row r="3808" spans="1:14" x14ac:dyDescent="0.25">
      <c r="A3808" t="s">
        <v>524</v>
      </c>
      <c r="B3808" s="2">
        <v>45991</v>
      </c>
      <c r="C3808" t="s">
        <v>524</v>
      </c>
      <c r="D3808" t="s">
        <v>112</v>
      </c>
      <c r="E3808" t="s">
        <v>9</v>
      </c>
      <c r="F3808" s="3">
        <v>-43500</v>
      </c>
      <c r="G3808" s="3">
        <v>-43500</v>
      </c>
      <c r="H3808" t="s">
        <v>3</v>
      </c>
      <c r="I3808" t="s">
        <v>3</v>
      </c>
      <c r="J3808" t="s">
        <v>328</v>
      </c>
      <c r="K3808" t="s">
        <v>5</v>
      </c>
      <c r="L3808" t="s">
        <v>12</v>
      </c>
      <c r="M3808" t="s">
        <v>114</v>
      </c>
      <c r="N3808" s="2">
        <v>45992</v>
      </c>
    </row>
    <row r="3809" spans="1:14" x14ac:dyDescent="0.25">
      <c r="A3809" t="s">
        <v>524</v>
      </c>
      <c r="B3809" s="2">
        <v>46022</v>
      </c>
      <c r="C3809" t="s">
        <v>524</v>
      </c>
      <c r="D3809" t="s">
        <v>112</v>
      </c>
      <c r="E3809" t="s">
        <v>9</v>
      </c>
      <c r="F3809" s="3">
        <v>57000</v>
      </c>
      <c r="G3809" s="3">
        <v>57000</v>
      </c>
      <c r="H3809" t="s">
        <v>3</v>
      </c>
      <c r="I3809" t="s">
        <v>3</v>
      </c>
      <c r="J3809" t="s">
        <v>298</v>
      </c>
      <c r="K3809" t="s">
        <v>5</v>
      </c>
      <c r="L3809" t="s">
        <v>12</v>
      </c>
      <c r="M3809" t="s">
        <v>114</v>
      </c>
      <c r="N3809" s="2">
        <v>46022</v>
      </c>
    </row>
    <row r="3810" spans="1:14" x14ac:dyDescent="0.25">
      <c r="A3810" t="s">
        <v>524</v>
      </c>
      <c r="B3810" s="2">
        <v>46022</v>
      </c>
      <c r="C3810" t="s">
        <v>524</v>
      </c>
      <c r="D3810" t="s">
        <v>112</v>
      </c>
      <c r="E3810" t="s">
        <v>9</v>
      </c>
      <c r="F3810" s="3">
        <v>57000</v>
      </c>
      <c r="G3810" s="3">
        <v>57000</v>
      </c>
      <c r="H3810" t="s">
        <v>3</v>
      </c>
      <c r="I3810" t="s">
        <v>3</v>
      </c>
      <c r="J3810" t="s">
        <v>298</v>
      </c>
      <c r="K3810" t="s">
        <v>5</v>
      </c>
      <c r="L3810" t="s">
        <v>12</v>
      </c>
      <c r="M3810" t="s">
        <v>114</v>
      </c>
      <c r="N3810" s="2">
        <v>46022</v>
      </c>
    </row>
    <row r="3811" spans="1:14" x14ac:dyDescent="0.25">
      <c r="A3811" t="s">
        <v>524</v>
      </c>
      <c r="B3811" s="2">
        <v>46022</v>
      </c>
      <c r="C3811" t="s">
        <v>524</v>
      </c>
      <c r="D3811" t="s">
        <v>112</v>
      </c>
      <c r="E3811" t="s">
        <v>9</v>
      </c>
      <c r="F3811" s="3">
        <v>-57000</v>
      </c>
      <c r="G3811" s="3">
        <v>-57000</v>
      </c>
      <c r="H3811" t="s">
        <v>3</v>
      </c>
      <c r="I3811" t="s">
        <v>3</v>
      </c>
      <c r="J3811" t="s">
        <v>298</v>
      </c>
      <c r="K3811" t="s">
        <v>5</v>
      </c>
      <c r="L3811" t="s">
        <v>12</v>
      </c>
      <c r="M3811" t="s">
        <v>114</v>
      </c>
      <c r="N3811" s="2">
        <v>46022</v>
      </c>
    </row>
    <row r="3812" spans="1:14" x14ac:dyDescent="0.25">
      <c r="A3812" s="4" t="s">
        <v>228</v>
      </c>
      <c r="B3812" s="5"/>
      <c r="C3812" s="4" t="s">
        <v>9</v>
      </c>
      <c r="D3812" s="4" t="s">
        <v>9</v>
      </c>
      <c r="E3812" s="4" t="s">
        <v>9</v>
      </c>
      <c r="F3812" s="6">
        <v>0</v>
      </c>
      <c r="G3812" s="6">
        <v>0</v>
      </c>
      <c r="H3812" s="4" t="s">
        <v>9</v>
      </c>
      <c r="I3812" s="4" t="s">
        <v>3</v>
      </c>
      <c r="J3812" s="4" t="s">
        <v>9</v>
      </c>
      <c r="K3812" s="4" t="s">
        <v>9</v>
      </c>
      <c r="L3812" s="4" t="s">
        <v>9</v>
      </c>
      <c r="M3812" s="4" t="s">
        <v>9</v>
      </c>
      <c r="N3812" s="5"/>
    </row>
    <row r="3813" spans="1:14" x14ac:dyDescent="0.25">
      <c r="A3813" s="4" t="s">
        <v>524</v>
      </c>
      <c r="B3813" s="5"/>
      <c r="C3813" s="4" t="s">
        <v>9</v>
      </c>
      <c r="D3813" s="4" t="s">
        <v>9</v>
      </c>
      <c r="E3813" s="4" t="s">
        <v>9</v>
      </c>
      <c r="F3813" s="6">
        <v>0</v>
      </c>
      <c r="G3813" s="6">
        <v>0</v>
      </c>
      <c r="H3813" s="4" t="s">
        <v>9</v>
      </c>
      <c r="I3813" s="4" t="s">
        <v>3</v>
      </c>
      <c r="J3813" s="4" t="s">
        <v>9</v>
      </c>
      <c r="K3813" s="4" t="s">
        <v>9</v>
      </c>
      <c r="L3813" s="4" t="s">
        <v>9</v>
      </c>
      <c r="M3813" s="4" t="s">
        <v>9</v>
      </c>
      <c r="N3813" s="5"/>
    </row>
    <row r="3814" spans="1:14" x14ac:dyDescent="0.25">
      <c r="A3814" t="s">
        <v>525</v>
      </c>
      <c r="B3814" s="2">
        <v>46056</v>
      </c>
      <c r="C3814" t="s">
        <v>525</v>
      </c>
      <c r="D3814" t="s">
        <v>99</v>
      </c>
      <c r="E3814" t="s">
        <v>9</v>
      </c>
      <c r="F3814" s="3">
        <v>-11235</v>
      </c>
      <c r="G3814" s="3">
        <v>-11235</v>
      </c>
      <c r="H3814" t="s">
        <v>3</v>
      </c>
      <c r="I3814" t="s">
        <v>3</v>
      </c>
      <c r="J3814" t="s">
        <v>9</v>
      </c>
      <c r="K3814" t="s">
        <v>9</v>
      </c>
      <c r="L3814" t="s">
        <v>14</v>
      </c>
      <c r="M3814" t="s">
        <v>102</v>
      </c>
      <c r="N3814" s="2">
        <v>46053</v>
      </c>
    </row>
    <row r="3815" spans="1:14" x14ac:dyDescent="0.25">
      <c r="A3815" t="s">
        <v>525</v>
      </c>
      <c r="B3815" s="2">
        <v>46043</v>
      </c>
      <c r="C3815" t="s">
        <v>525</v>
      </c>
      <c r="D3815" t="s">
        <v>99</v>
      </c>
      <c r="E3815" t="s">
        <v>526</v>
      </c>
      <c r="F3815" s="3">
        <v>11235</v>
      </c>
      <c r="G3815" s="3">
        <v>11235</v>
      </c>
      <c r="H3815" t="s">
        <v>3</v>
      </c>
      <c r="I3815" t="s">
        <v>3</v>
      </c>
      <c r="J3815" t="s">
        <v>527</v>
      </c>
      <c r="K3815" t="s">
        <v>13</v>
      </c>
      <c r="L3815" t="s">
        <v>14</v>
      </c>
      <c r="M3815" t="s">
        <v>102</v>
      </c>
      <c r="N3815" s="2">
        <v>46043</v>
      </c>
    </row>
    <row r="3816" spans="1:14" x14ac:dyDescent="0.25">
      <c r="A3816" s="4" t="s">
        <v>234</v>
      </c>
      <c r="B3816" s="5"/>
      <c r="C3816" s="4" t="s">
        <v>9</v>
      </c>
      <c r="D3816" s="4" t="s">
        <v>9</v>
      </c>
      <c r="E3816" s="4" t="s">
        <v>9</v>
      </c>
      <c r="F3816" s="6">
        <v>0</v>
      </c>
      <c r="G3816" s="6">
        <v>0</v>
      </c>
      <c r="H3816" s="4" t="s">
        <v>9</v>
      </c>
      <c r="I3816" s="4" t="s">
        <v>3</v>
      </c>
      <c r="J3816" s="4" t="s">
        <v>9</v>
      </c>
      <c r="K3816" s="4" t="s">
        <v>9</v>
      </c>
      <c r="L3816" s="4" t="s">
        <v>9</v>
      </c>
      <c r="M3816" s="4" t="s">
        <v>9</v>
      </c>
      <c r="N3816" s="5"/>
    </row>
    <row r="3817" spans="1:14" x14ac:dyDescent="0.25">
      <c r="A3817" t="s">
        <v>525</v>
      </c>
      <c r="B3817" s="2">
        <v>46084</v>
      </c>
      <c r="C3817" t="s">
        <v>525</v>
      </c>
      <c r="D3817" t="s">
        <v>99</v>
      </c>
      <c r="E3817" t="s">
        <v>9</v>
      </c>
      <c r="F3817" s="3">
        <v>-5350</v>
      </c>
      <c r="G3817" s="3">
        <v>-5350</v>
      </c>
      <c r="H3817" t="s">
        <v>3</v>
      </c>
      <c r="I3817" t="s">
        <v>3</v>
      </c>
      <c r="J3817" t="s">
        <v>9</v>
      </c>
      <c r="K3817" t="s">
        <v>9</v>
      </c>
      <c r="L3817" t="s">
        <v>15</v>
      </c>
      <c r="M3817" t="s">
        <v>102</v>
      </c>
      <c r="N3817" s="2">
        <v>46081</v>
      </c>
    </row>
    <row r="3818" spans="1:14" x14ac:dyDescent="0.25">
      <c r="A3818" t="s">
        <v>525</v>
      </c>
      <c r="B3818" s="2">
        <v>46059</v>
      </c>
      <c r="C3818" t="s">
        <v>525</v>
      </c>
      <c r="D3818" t="s">
        <v>99</v>
      </c>
      <c r="E3818" t="s">
        <v>526</v>
      </c>
      <c r="F3818" s="3">
        <v>5350</v>
      </c>
      <c r="G3818" s="3">
        <v>5350</v>
      </c>
      <c r="H3818" t="s">
        <v>3</v>
      </c>
      <c r="I3818" t="s">
        <v>3</v>
      </c>
      <c r="J3818" t="s">
        <v>528</v>
      </c>
      <c r="K3818" t="s">
        <v>13</v>
      </c>
      <c r="L3818" t="s">
        <v>15</v>
      </c>
      <c r="M3818" t="s">
        <v>102</v>
      </c>
      <c r="N3818" s="2">
        <v>46059</v>
      </c>
    </row>
    <row r="3819" spans="1:14" x14ac:dyDescent="0.25">
      <c r="A3819" s="4" t="s">
        <v>239</v>
      </c>
      <c r="B3819" s="5"/>
      <c r="C3819" s="4" t="s">
        <v>9</v>
      </c>
      <c r="D3819" s="4" t="s">
        <v>9</v>
      </c>
      <c r="E3819" s="4" t="s">
        <v>9</v>
      </c>
      <c r="F3819" s="6">
        <v>0</v>
      </c>
      <c r="G3819" s="6">
        <v>0</v>
      </c>
      <c r="H3819" s="4" t="s">
        <v>9</v>
      </c>
      <c r="I3819" s="4" t="s">
        <v>3</v>
      </c>
      <c r="J3819" s="4" t="s">
        <v>9</v>
      </c>
      <c r="K3819" s="4" t="s">
        <v>9</v>
      </c>
      <c r="L3819" s="4" t="s">
        <v>9</v>
      </c>
      <c r="M3819" s="4" t="s">
        <v>9</v>
      </c>
      <c r="N3819" s="5"/>
    </row>
    <row r="3820" spans="1:14" x14ac:dyDescent="0.25">
      <c r="A3820" t="s">
        <v>525</v>
      </c>
      <c r="B3820" s="2">
        <v>45932</v>
      </c>
      <c r="C3820" t="s">
        <v>525</v>
      </c>
      <c r="D3820" t="s">
        <v>99</v>
      </c>
      <c r="E3820" t="s">
        <v>9</v>
      </c>
      <c r="F3820" s="3">
        <v>-8025</v>
      </c>
      <c r="G3820" s="3">
        <v>-8025</v>
      </c>
      <c r="H3820" t="s">
        <v>3</v>
      </c>
      <c r="I3820" t="s">
        <v>3</v>
      </c>
      <c r="J3820" t="s">
        <v>9</v>
      </c>
      <c r="K3820" t="s">
        <v>9</v>
      </c>
      <c r="L3820" t="s">
        <v>6</v>
      </c>
      <c r="M3820" t="s">
        <v>102</v>
      </c>
      <c r="N3820" s="2">
        <v>45930</v>
      </c>
    </row>
    <row r="3821" spans="1:14" x14ac:dyDescent="0.25">
      <c r="A3821" t="s">
        <v>525</v>
      </c>
      <c r="B3821" s="2">
        <v>45926</v>
      </c>
      <c r="C3821" t="s">
        <v>525</v>
      </c>
      <c r="D3821" t="s">
        <v>99</v>
      </c>
      <c r="E3821" t="s">
        <v>526</v>
      </c>
      <c r="F3821" s="3">
        <v>8025</v>
      </c>
      <c r="G3821" s="3">
        <v>8025</v>
      </c>
      <c r="H3821" t="s">
        <v>3</v>
      </c>
      <c r="I3821" t="s">
        <v>3</v>
      </c>
      <c r="J3821" t="s">
        <v>527</v>
      </c>
      <c r="K3821" t="s">
        <v>5</v>
      </c>
      <c r="L3821" t="s">
        <v>6</v>
      </c>
      <c r="M3821" t="s">
        <v>102</v>
      </c>
      <c r="N3821" s="2">
        <v>45926</v>
      </c>
    </row>
    <row r="3822" spans="1:14" x14ac:dyDescent="0.25">
      <c r="A3822" s="4" t="s">
        <v>272</v>
      </c>
      <c r="B3822" s="5"/>
      <c r="C3822" s="4" t="s">
        <v>9</v>
      </c>
      <c r="D3822" s="4" t="s">
        <v>9</v>
      </c>
      <c r="E3822" s="4" t="s">
        <v>9</v>
      </c>
      <c r="F3822" s="6">
        <v>0</v>
      </c>
      <c r="G3822" s="6">
        <v>0</v>
      </c>
      <c r="H3822" s="4" t="s">
        <v>9</v>
      </c>
      <c r="I3822" s="4" t="s">
        <v>3</v>
      </c>
      <c r="J3822" s="4" t="s">
        <v>9</v>
      </c>
      <c r="K3822" s="4" t="s">
        <v>9</v>
      </c>
      <c r="L3822" s="4" t="s">
        <v>9</v>
      </c>
      <c r="M3822" s="4" t="s">
        <v>9</v>
      </c>
      <c r="N3822" s="5"/>
    </row>
    <row r="3823" spans="1:14" x14ac:dyDescent="0.25">
      <c r="A3823" t="s">
        <v>525</v>
      </c>
      <c r="B3823" s="2">
        <v>45965</v>
      </c>
      <c r="C3823" t="s">
        <v>525</v>
      </c>
      <c r="D3823" t="s">
        <v>99</v>
      </c>
      <c r="E3823" t="s">
        <v>9</v>
      </c>
      <c r="F3823" s="3">
        <v>-11770</v>
      </c>
      <c r="G3823" s="3">
        <v>-11770</v>
      </c>
      <c r="H3823" t="s">
        <v>3</v>
      </c>
      <c r="I3823" t="s">
        <v>3</v>
      </c>
      <c r="J3823" t="s">
        <v>9</v>
      </c>
      <c r="K3823" t="s">
        <v>9</v>
      </c>
      <c r="L3823" t="s">
        <v>8</v>
      </c>
      <c r="M3823" t="s">
        <v>102</v>
      </c>
      <c r="N3823" s="2">
        <v>45961</v>
      </c>
    </row>
    <row r="3824" spans="1:14" x14ac:dyDescent="0.25">
      <c r="A3824" t="s">
        <v>525</v>
      </c>
      <c r="B3824" s="2">
        <v>45933</v>
      </c>
      <c r="C3824" t="s">
        <v>525</v>
      </c>
      <c r="D3824" t="s">
        <v>99</v>
      </c>
      <c r="E3824" t="s">
        <v>526</v>
      </c>
      <c r="F3824" s="3">
        <v>11770</v>
      </c>
      <c r="G3824" s="3">
        <v>11770</v>
      </c>
      <c r="H3824" t="s">
        <v>3</v>
      </c>
      <c r="I3824" t="s">
        <v>3</v>
      </c>
      <c r="J3824" t="s">
        <v>527</v>
      </c>
      <c r="K3824" t="s">
        <v>5</v>
      </c>
      <c r="L3824" t="s">
        <v>8</v>
      </c>
      <c r="M3824" t="s">
        <v>102</v>
      </c>
      <c r="N3824" s="2">
        <v>45933</v>
      </c>
    </row>
    <row r="3825" spans="1:14" x14ac:dyDescent="0.25">
      <c r="A3825" s="4" t="s">
        <v>278</v>
      </c>
      <c r="B3825" s="5"/>
      <c r="C3825" s="4" t="s">
        <v>9</v>
      </c>
      <c r="D3825" s="4" t="s">
        <v>9</v>
      </c>
      <c r="E3825" s="4" t="s">
        <v>9</v>
      </c>
      <c r="F3825" s="6">
        <v>0</v>
      </c>
      <c r="G3825" s="6">
        <v>0</v>
      </c>
      <c r="H3825" s="4" t="s">
        <v>9</v>
      </c>
      <c r="I3825" s="4" t="s">
        <v>3</v>
      </c>
      <c r="J3825" s="4" t="s">
        <v>9</v>
      </c>
      <c r="K3825" s="4" t="s">
        <v>9</v>
      </c>
      <c r="L3825" s="4" t="s">
        <v>9</v>
      </c>
      <c r="M3825" s="4" t="s">
        <v>9</v>
      </c>
      <c r="N3825" s="5"/>
    </row>
    <row r="3826" spans="1:14" x14ac:dyDescent="0.25">
      <c r="A3826" t="s">
        <v>525</v>
      </c>
      <c r="B3826" s="2">
        <v>45993</v>
      </c>
      <c r="C3826" t="s">
        <v>525</v>
      </c>
      <c r="D3826" t="s">
        <v>99</v>
      </c>
      <c r="E3826" t="s">
        <v>9</v>
      </c>
      <c r="F3826" s="3">
        <v>-12305</v>
      </c>
      <c r="G3826" s="3">
        <v>-12305</v>
      </c>
      <c r="H3826" t="s">
        <v>3</v>
      </c>
      <c r="I3826" t="s">
        <v>3</v>
      </c>
      <c r="J3826" t="s">
        <v>9</v>
      </c>
      <c r="K3826" t="s">
        <v>9</v>
      </c>
      <c r="L3826" t="s">
        <v>11</v>
      </c>
      <c r="M3826" t="s">
        <v>102</v>
      </c>
      <c r="N3826" s="2">
        <v>45991</v>
      </c>
    </row>
    <row r="3827" spans="1:14" x14ac:dyDescent="0.25">
      <c r="A3827" t="s">
        <v>525</v>
      </c>
      <c r="B3827" s="2">
        <v>45980</v>
      </c>
      <c r="C3827" t="s">
        <v>525</v>
      </c>
      <c r="D3827" t="s">
        <v>99</v>
      </c>
      <c r="E3827" t="s">
        <v>526</v>
      </c>
      <c r="F3827" s="3">
        <v>12305</v>
      </c>
      <c r="G3827" s="3">
        <v>12305</v>
      </c>
      <c r="H3827" t="s">
        <v>3</v>
      </c>
      <c r="I3827" t="s">
        <v>3</v>
      </c>
      <c r="J3827" t="s">
        <v>527</v>
      </c>
      <c r="K3827" t="s">
        <v>5</v>
      </c>
      <c r="L3827" t="s">
        <v>11</v>
      </c>
      <c r="M3827" t="s">
        <v>102</v>
      </c>
      <c r="N3827" s="2">
        <v>45980</v>
      </c>
    </row>
    <row r="3828" spans="1:14" x14ac:dyDescent="0.25">
      <c r="A3828" s="4" t="s">
        <v>226</v>
      </c>
      <c r="B3828" s="5"/>
      <c r="C3828" s="4" t="s">
        <v>9</v>
      </c>
      <c r="D3828" s="4" t="s">
        <v>9</v>
      </c>
      <c r="E3828" s="4" t="s">
        <v>9</v>
      </c>
      <c r="F3828" s="6">
        <v>0</v>
      </c>
      <c r="G3828" s="6">
        <v>0</v>
      </c>
      <c r="H3828" s="4" t="s">
        <v>9</v>
      </c>
      <c r="I3828" s="4" t="s">
        <v>3</v>
      </c>
      <c r="J3828" s="4" t="s">
        <v>9</v>
      </c>
      <c r="K3828" s="4" t="s">
        <v>9</v>
      </c>
      <c r="L3828" s="4" t="s">
        <v>9</v>
      </c>
      <c r="M3828" s="4" t="s">
        <v>9</v>
      </c>
      <c r="N3828" s="5"/>
    </row>
    <row r="3829" spans="1:14" x14ac:dyDescent="0.25">
      <c r="A3829" t="s">
        <v>525</v>
      </c>
      <c r="B3829" s="2">
        <v>46028</v>
      </c>
      <c r="C3829" t="s">
        <v>525</v>
      </c>
      <c r="D3829" t="s">
        <v>99</v>
      </c>
      <c r="E3829" t="s">
        <v>9</v>
      </c>
      <c r="F3829" s="3">
        <v>-10165</v>
      </c>
      <c r="G3829" s="3">
        <v>-10165</v>
      </c>
      <c r="H3829" t="s">
        <v>3</v>
      </c>
      <c r="I3829" t="s">
        <v>3</v>
      </c>
      <c r="J3829" t="s">
        <v>9</v>
      </c>
      <c r="K3829" t="s">
        <v>9</v>
      </c>
      <c r="L3829" t="s">
        <v>12</v>
      </c>
      <c r="M3829" t="s">
        <v>102</v>
      </c>
      <c r="N3829" s="2">
        <v>46022</v>
      </c>
    </row>
    <row r="3830" spans="1:14" x14ac:dyDescent="0.25">
      <c r="A3830" t="s">
        <v>525</v>
      </c>
      <c r="B3830" s="2">
        <v>46002</v>
      </c>
      <c r="C3830" t="s">
        <v>525</v>
      </c>
      <c r="D3830" t="s">
        <v>99</v>
      </c>
      <c r="E3830" t="s">
        <v>526</v>
      </c>
      <c r="F3830" s="3">
        <v>10165</v>
      </c>
      <c r="G3830" s="3">
        <v>10165</v>
      </c>
      <c r="H3830" t="s">
        <v>3</v>
      </c>
      <c r="I3830" t="s">
        <v>3</v>
      </c>
      <c r="J3830" t="s">
        <v>527</v>
      </c>
      <c r="K3830" t="s">
        <v>5</v>
      </c>
      <c r="L3830" t="s">
        <v>12</v>
      </c>
      <c r="M3830" t="s">
        <v>102</v>
      </c>
      <c r="N3830" s="2">
        <v>46002</v>
      </c>
    </row>
    <row r="3831" spans="1:14" x14ac:dyDescent="0.25">
      <c r="A3831" s="4" t="s">
        <v>228</v>
      </c>
      <c r="B3831" s="5"/>
      <c r="C3831" s="4" t="s">
        <v>9</v>
      </c>
      <c r="D3831" s="4" t="s">
        <v>9</v>
      </c>
      <c r="E3831" s="4" t="s">
        <v>9</v>
      </c>
      <c r="F3831" s="6">
        <v>0</v>
      </c>
      <c r="G3831" s="6">
        <v>0</v>
      </c>
      <c r="H3831" s="4" t="s">
        <v>9</v>
      </c>
      <c r="I3831" s="4" t="s">
        <v>3</v>
      </c>
      <c r="J3831" s="4" t="s">
        <v>9</v>
      </c>
      <c r="K3831" s="4" t="s">
        <v>9</v>
      </c>
      <c r="L3831" s="4" t="s">
        <v>9</v>
      </c>
      <c r="M3831" s="4" t="s">
        <v>9</v>
      </c>
      <c r="N3831" s="5"/>
    </row>
    <row r="3832" spans="1:14" x14ac:dyDescent="0.25">
      <c r="A3832" s="4" t="s">
        <v>525</v>
      </c>
      <c r="B3832" s="5"/>
      <c r="C3832" s="4" t="s">
        <v>9</v>
      </c>
      <c r="D3832" s="4" t="s">
        <v>9</v>
      </c>
      <c r="E3832" s="4" t="s">
        <v>9</v>
      </c>
      <c r="F3832" s="6">
        <v>0</v>
      </c>
      <c r="G3832" s="6">
        <v>0</v>
      </c>
      <c r="H3832" s="4" t="s">
        <v>9</v>
      </c>
      <c r="I3832" s="4" t="s">
        <v>3</v>
      </c>
      <c r="J3832" s="4" t="s">
        <v>9</v>
      </c>
      <c r="K3832" s="4" t="s">
        <v>9</v>
      </c>
      <c r="L3832" s="4" t="s">
        <v>9</v>
      </c>
      <c r="M3832" s="4" t="s">
        <v>9</v>
      </c>
      <c r="N3832" s="5"/>
    </row>
    <row r="3833" spans="1:14" x14ac:dyDescent="0.25">
      <c r="A3833" t="s">
        <v>529</v>
      </c>
      <c r="B3833" s="2">
        <v>46115</v>
      </c>
      <c r="C3833" t="s">
        <v>529</v>
      </c>
      <c r="D3833" t="s">
        <v>112</v>
      </c>
      <c r="E3833" t="s">
        <v>9</v>
      </c>
      <c r="F3833" s="3">
        <v>-2100</v>
      </c>
      <c r="G3833" s="3">
        <v>-2100</v>
      </c>
      <c r="H3833" t="s">
        <v>3</v>
      </c>
      <c r="I3833" t="s">
        <v>3</v>
      </c>
      <c r="J3833" t="s">
        <v>9</v>
      </c>
      <c r="K3833" t="s">
        <v>9</v>
      </c>
      <c r="L3833" t="s">
        <v>16</v>
      </c>
      <c r="M3833" t="s">
        <v>114</v>
      </c>
      <c r="N3833" s="2">
        <v>46112</v>
      </c>
    </row>
    <row r="3834" spans="1:14" x14ac:dyDescent="0.25">
      <c r="A3834" t="s">
        <v>529</v>
      </c>
      <c r="B3834" s="2">
        <v>46112</v>
      </c>
      <c r="C3834" t="s">
        <v>529</v>
      </c>
      <c r="D3834" t="s">
        <v>112</v>
      </c>
      <c r="E3834" t="s">
        <v>9</v>
      </c>
      <c r="F3834" s="3">
        <v>2100</v>
      </c>
      <c r="G3834" s="3">
        <v>2100</v>
      </c>
      <c r="H3834" t="s">
        <v>3</v>
      </c>
      <c r="I3834" t="s">
        <v>3</v>
      </c>
      <c r="J3834" t="s">
        <v>307</v>
      </c>
      <c r="K3834" t="s">
        <v>13</v>
      </c>
      <c r="L3834" t="s">
        <v>16</v>
      </c>
      <c r="M3834" t="s">
        <v>114</v>
      </c>
      <c r="N3834" s="2">
        <v>46112</v>
      </c>
    </row>
    <row r="3835" spans="1:14" x14ac:dyDescent="0.25">
      <c r="A3835" s="4" t="s">
        <v>244</v>
      </c>
      <c r="B3835" s="5"/>
      <c r="C3835" s="4" t="s">
        <v>9</v>
      </c>
      <c r="D3835" s="4" t="s">
        <v>9</v>
      </c>
      <c r="E3835" s="4" t="s">
        <v>9</v>
      </c>
      <c r="F3835" s="6">
        <v>0</v>
      </c>
      <c r="G3835" s="6">
        <v>0</v>
      </c>
      <c r="H3835" s="4" t="s">
        <v>9</v>
      </c>
      <c r="I3835" s="4" t="s">
        <v>3</v>
      </c>
      <c r="J3835" s="4" t="s">
        <v>9</v>
      </c>
      <c r="K3835" s="4" t="s">
        <v>9</v>
      </c>
      <c r="L3835" s="4" t="s">
        <v>9</v>
      </c>
      <c r="M3835" s="4" t="s">
        <v>9</v>
      </c>
      <c r="N3835" s="5"/>
    </row>
    <row r="3836" spans="1:14" x14ac:dyDescent="0.25">
      <c r="A3836" t="s">
        <v>529</v>
      </c>
      <c r="B3836" s="2">
        <v>46112</v>
      </c>
      <c r="C3836" t="s">
        <v>529</v>
      </c>
      <c r="D3836" t="s">
        <v>112</v>
      </c>
      <c r="E3836" t="s">
        <v>9</v>
      </c>
      <c r="F3836" s="3">
        <v>-2100</v>
      </c>
      <c r="G3836" s="3">
        <v>-2100</v>
      </c>
      <c r="H3836" t="s">
        <v>3</v>
      </c>
      <c r="I3836" t="s">
        <v>3</v>
      </c>
      <c r="J3836" t="s">
        <v>307</v>
      </c>
      <c r="K3836" t="s">
        <v>13</v>
      </c>
      <c r="L3836" t="s">
        <v>17</v>
      </c>
      <c r="M3836" t="s">
        <v>114</v>
      </c>
      <c r="N3836" s="2">
        <v>46113</v>
      </c>
    </row>
    <row r="3837" spans="1:14" x14ac:dyDescent="0.25">
      <c r="A3837" t="s">
        <v>529</v>
      </c>
      <c r="B3837" s="2">
        <v>46142</v>
      </c>
      <c r="C3837" t="s">
        <v>529</v>
      </c>
      <c r="D3837" t="s">
        <v>112</v>
      </c>
      <c r="E3837" t="s">
        <v>9</v>
      </c>
      <c r="F3837" s="3">
        <v>2100</v>
      </c>
      <c r="G3837" s="3">
        <v>2100</v>
      </c>
      <c r="H3837" t="s">
        <v>3</v>
      </c>
      <c r="I3837" t="s">
        <v>3</v>
      </c>
      <c r="J3837" t="s">
        <v>310</v>
      </c>
      <c r="K3837" t="s">
        <v>13</v>
      </c>
      <c r="L3837" t="s">
        <v>17</v>
      </c>
      <c r="M3837" t="s">
        <v>114</v>
      </c>
      <c r="N3837" s="2">
        <v>46142</v>
      </c>
    </row>
    <row r="3838" spans="1:14" x14ac:dyDescent="0.25">
      <c r="A3838" s="4" t="s">
        <v>249</v>
      </c>
      <c r="B3838" s="5"/>
      <c r="C3838" s="4" t="s">
        <v>9</v>
      </c>
      <c r="D3838" s="4" t="s">
        <v>9</v>
      </c>
      <c r="E3838" s="4" t="s">
        <v>9</v>
      </c>
      <c r="F3838" s="6">
        <v>0</v>
      </c>
      <c r="G3838" s="6">
        <v>0</v>
      </c>
      <c r="H3838" s="4" t="s">
        <v>9</v>
      </c>
      <c r="I3838" s="4" t="s">
        <v>3</v>
      </c>
      <c r="J3838" s="4" t="s">
        <v>9</v>
      </c>
      <c r="K3838" s="4" t="s">
        <v>9</v>
      </c>
      <c r="L3838" s="4" t="s">
        <v>9</v>
      </c>
      <c r="M3838" s="4" t="s">
        <v>9</v>
      </c>
      <c r="N3838" s="5"/>
    </row>
    <row r="3839" spans="1:14" x14ac:dyDescent="0.25">
      <c r="A3839" t="s">
        <v>529</v>
      </c>
      <c r="B3839" s="2">
        <v>46175</v>
      </c>
      <c r="C3839" t="s">
        <v>529</v>
      </c>
      <c r="D3839" t="s">
        <v>112</v>
      </c>
      <c r="E3839" t="s">
        <v>9</v>
      </c>
      <c r="F3839" s="3">
        <v>-300</v>
      </c>
      <c r="G3839" s="3">
        <v>-300</v>
      </c>
      <c r="H3839" t="s">
        <v>3</v>
      </c>
      <c r="I3839" t="s">
        <v>3</v>
      </c>
      <c r="J3839" t="s">
        <v>9</v>
      </c>
      <c r="K3839" t="s">
        <v>9</v>
      </c>
      <c r="L3839" t="s">
        <v>18</v>
      </c>
      <c r="M3839" t="s">
        <v>114</v>
      </c>
      <c r="N3839" s="2">
        <v>46173</v>
      </c>
    </row>
    <row r="3840" spans="1:14" x14ac:dyDescent="0.25">
      <c r="A3840" t="s">
        <v>529</v>
      </c>
      <c r="B3840" s="2">
        <v>46142</v>
      </c>
      <c r="C3840" t="s">
        <v>529</v>
      </c>
      <c r="D3840" t="s">
        <v>112</v>
      </c>
      <c r="E3840" t="s">
        <v>9</v>
      </c>
      <c r="F3840" s="3">
        <v>-2100</v>
      </c>
      <c r="G3840" s="3">
        <v>-2100</v>
      </c>
      <c r="H3840" t="s">
        <v>3</v>
      </c>
      <c r="I3840" t="s">
        <v>3</v>
      </c>
      <c r="J3840" t="s">
        <v>310</v>
      </c>
      <c r="K3840" t="s">
        <v>13</v>
      </c>
      <c r="L3840" t="s">
        <v>18</v>
      </c>
      <c r="M3840" t="s">
        <v>114</v>
      </c>
      <c r="N3840" s="2">
        <v>46143</v>
      </c>
    </row>
    <row r="3841" spans="1:14" x14ac:dyDescent="0.25">
      <c r="A3841" t="s">
        <v>529</v>
      </c>
      <c r="B3841" s="2">
        <v>46173</v>
      </c>
      <c r="C3841" t="s">
        <v>529</v>
      </c>
      <c r="D3841" t="s">
        <v>112</v>
      </c>
      <c r="E3841" t="s">
        <v>9</v>
      </c>
      <c r="F3841" s="3">
        <v>2400</v>
      </c>
      <c r="G3841" s="3">
        <v>2400</v>
      </c>
      <c r="H3841" t="s">
        <v>3</v>
      </c>
      <c r="I3841" t="s">
        <v>3</v>
      </c>
      <c r="J3841" t="s">
        <v>313</v>
      </c>
      <c r="K3841" t="s">
        <v>13</v>
      </c>
      <c r="L3841" t="s">
        <v>18</v>
      </c>
      <c r="M3841" t="s">
        <v>114</v>
      </c>
      <c r="N3841" s="2">
        <v>46173</v>
      </c>
    </row>
    <row r="3842" spans="1:14" x14ac:dyDescent="0.25">
      <c r="A3842" s="4" t="s">
        <v>223</v>
      </c>
      <c r="B3842" s="5"/>
      <c r="C3842" s="4" t="s">
        <v>9</v>
      </c>
      <c r="D3842" s="4" t="s">
        <v>9</v>
      </c>
      <c r="E3842" s="4" t="s">
        <v>9</v>
      </c>
      <c r="F3842" s="6">
        <v>0</v>
      </c>
      <c r="G3842" s="6">
        <v>0</v>
      </c>
      <c r="H3842" s="4" t="s">
        <v>9</v>
      </c>
      <c r="I3842" s="4" t="s">
        <v>3</v>
      </c>
      <c r="J3842" s="4" t="s">
        <v>9</v>
      </c>
      <c r="K3842" s="4" t="s">
        <v>9</v>
      </c>
      <c r="L3842" s="4" t="s">
        <v>9</v>
      </c>
      <c r="M3842" s="4" t="s">
        <v>9</v>
      </c>
      <c r="N3842" s="5"/>
    </row>
    <row r="3843" spans="1:14" x14ac:dyDescent="0.25">
      <c r="A3843" t="s">
        <v>529</v>
      </c>
      <c r="B3843" s="2">
        <v>46173</v>
      </c>
      <c r="C3843" t="s">
        <v>529</v>
      </c>
      <c r="D3843" t="s">
        <v>112</v>
      </c>
      <c r="E3843" t="s">
        <v>9</v>
      </c>
      <c r="F3843" s="3">
        <v>-2400</v>
      </c>
      <c r="G3843" s="3">
        <v>-2400</v>
      </c>
      <c r="H3843" t="s">
        <v>3</v>
      </c>
      <c r="I3843" t="s">
        <v>3</v>
      </c>
      <c r="J3843" t="s">
        <v>313</v>
      </c>
      <c r="K3843" t="s">
        <v>13</v>
      </c>
      <c r="L3843" t="s">
        <v>19</v>
      </c>
      <c r="M3843" t="s">
        <v>114</v>
      </c>
      <c r="N3843" s="2">
        <v>46174</v>
      </c>
    </row>
    <row r="3844" spans="1:14" x14ac:dyDescent="0.25">
      <c r="A3844" t="s">
        <v>529</v>
      </c>
      <c r="B3844" s="2">
        <v>46203</v>
      </c>
      <c r="C3844" t="s">
        <v>529</v>
      </c>
      <c r="D3844" t="s">
        <v>112</v>
      </c>
      <c r="E3844" t="s">
        <v>9</v>
      </c>
      <c r="F3844" s="3">
        <v>2400</v>
      </c>
      <c r="G3844" s="3">
        <v>2400</v>
      </c>
      <c r="H3844" t="s">
        <v>3</v>
      </c>
      <c r="I3844" t="s">
        <v>3</v>
      </c>
      <c r="J3844" t="s">
        <v>316</v>
      </c>
      <c r="K3844" t="s">
        <v>13</v>
      </c>
      <c r="L3844" t="s">
        <v>19</v>
      </c>
      <c r="M3844" t="s">
        <v>114</v>
      </c>
      <c r="N3844" s="2">
        <v>46203</v>
      </c>
    </row>
    <row r="3845" spans="1:14" x14ac:dyDescent="0.25">
      <c r="A3845" s="4" t="s">
        <v>224</v>
      </c>
      <c r="B3845" s="5"/>
      <c r="C3845" s="4" t="s">
        <v>9</v>
      </c>
      <c r="D3845" s="4" t="s">
        <v>9</v>
      </c>
      <c r="E3845" s="4" t="s">
        <v>9</v>
      </c>
      <c r="F3845" s="6">
        <v>0</v>
      </c>
      <c r="G3845" s="6">
        <v>0</v>
      </c>
      <c r="H3845" s="4" t="s">
        <v>9</v>
      </c>
      <c r="I3845" s="4" t="s">
        <v>3</v>
      </c>
      <c r="J3845" s="4" t="s">
        <v>9</v>
      </c>
      <c r="K3845" s="4" t="s">
        <v>9</v>
      </c>
      <c r="L3845" s="4" t="s">
        <v>9</v>
      </c>
      <c r="M3845" s="4" t="s">
        <v>9</v>
      </c>
      <c r="N3845" s="5"/>
    </row>
    <row r="3846" spans="1:14" x14ac:dyDescent="0.25">
      <c r="A3846" t="s">
        <v>529</v>
      </c>
      <c r="B3846" s="2">
        <v>46203</v>
      </c>
      <c r="C3846" t="s">
        <v>529</v>
      </c>
      <c r="D3846" t="s">
        <v>112</v>
      </c>
      <c r="E3846" t="s">
        <v>9</v>
      </c>
      <c r="F3846" s="3">
        <v>-2400</v>
      </c>
      <c r="G3846" s="3">
        <v>-2400</v>
      </c>
      <c r="H3846" t="s">
        <v>3</v>
      </c>
      <c r="I3846" t="s">
        <v>3</v>
      </c>
      <c r="J3846" t="s">
        <v>316</v>
      </c>
      <c r="K3846" t="s">
        <v>13</v>
      </c>
      <c r="L3846" t="s">
        <v>21</v>
      </c>
      <c r="M3846" t="s">
        <v>114</v>
      </c>
      <c r="N3846" s="2">
        <v>46204</v>
      </c>
    </row>
    <row r="3847" spans="1:14" x14ac:dyDescent="0.25">
      <c r="A3847" t="s">
        <v>529</v>
      </c>
      <c r="B3847" s="2">
        <v>46234</v>
      </c>
      <c r="C3847" t="s">
        <v>529</v>
      </c>
      <c r="D3847" t="s">
        <v>112</v>
      </c>
      <c r="E3847" t="s">
        <v>9</v>
      </c>
      <c r="F3847" s="3">
        <v>2400</v>
      </c>
      <c r="G3847" s="3">
        <v>2400</v>
      </c>
      <c r="H3847" t="s">
        <v>3</v>
      </c>
      <c r="I3847" t="s">
        <v>3</v>
      </c>
      <c r="J3847" t="s">
        <v>319</v>
      </c>
      <c r="K3847" t="s">
        <v>13</v>
      </c>
      <c r="L3847" t="s">
        <v>21</v>
      </c>
      <c r="M3847" t="s">
        <v>114</v>
      </c>
      <c r="N3847" s="2">
        <v>46234</v>
      </c>
    </row>
    <row r="3848" spans="1:14" x14ac:dyDescent="0.25">
      <c r="A3848" s="4" t="s">
        <v>262</v>
      </c>
      <c r="B3848" s="5"/>
      <c r="C3848" s="4" t="s">
        <v>9</v>
      </c>
      <c r="D3848" s="4" t="s">
        <v>9</v>
      </c>
      <c r="E3848" s="4" t="s">
        <v>9</v>
      </c>
      <c r="F3848" s="6">
        <v>0</v>
      </c>
      <c r="G3848" s="6">
        <v>0</v>
      </c>
      <c r="H3848" s="4" t="s">
        <v>9</v>
      </c>
      <c r="I3848" s="4" t="s">
        <v>3</v>
      </c>
      <c r="J3848" s="4" t="s">
        <v>9</v>
      </c>
      <c r="K3848" s="4" t="s">
        <v>9</v>
      </c>
      <c r="L3848" s="4" t="s">
        <v>9</v>
      </c>
      <c r="M3848" s="4" t="s">
        <v>9</v>
      </c>
      <c r="N3848" s="5"/>
    </row>
    <row r="3849" spans="1:14" x14ac:dyDescent="0.25">
      <c r="A3849" t="s">
        <v>529</v>
      </c>
      <c r="B3849" s="2">
        <v>46267</v>
      </c>
      <c r="C3849" t="s">
        <v>529</v>
      </c>
      <c r="D3849" t="s">
        <v>112</v>
      </c>
      <c r="E3849" t="s">
        <v>9</v>
      </c>
      <c r="F3849" s="3">
        <v>-400</v>
      </c>
      <c r="G3849" s="3">
        <v>-400</v>
      </c>
      <c r="H3849" t="s">
        <v>3</v>
      </c>
      <c r="I3849" t="s">
        <v>3</v>
      </c>
      <c r="J3849" t="s">
        <v>9</v>
      </c>
      <c r="K3849" t="s">
        <v>9</v>
      </c>
      <c r="L3849" t="s">
        <v>22</v>
      </c>
      <c r="M3849" t="s">
        <v>114</v>
      </c>
      <c r="N3849" s="2">
        <v>46265</v>
      </c>
    </row>
    <row r="3850" spans="1:14" x14ac:dyDescent="0.25">
      <c r="A3850" t="s">
        <v>529</v>
      </c>
      <c r="B3850" s="2">
        <v>46234</v>
      </c>
      <c r="C3850" t="s">
        <v>529</v>
      </c>
      <c r="D3850" t="s">
        <v>112</v>
      </c>
      <c r="E3850" t="s">
        <v>9</v>
      </c>
      <c r="F3850" s="3">
        <v>-2400</v>
      </c>
      <c r="G3850" s="3">
        <v>-2400</v>
      </c>
      <c r="H3850" t="s">
        <v>3</v>
      </c>
      <c r="I3850" t="s">
        <v>3</v>
      </c>
      <c r="J3850" t="s">
        <v>319</v>
      </c>
      <c r="K3850" t="s">
        <v>13</v>
      </c>
      <c r="L3850" t="s">
        <v>22</v>
      </c>
      <c r="M3850" t="s">
        <v>114</v>
      </c>
      <c r="N3850" s="2">
        <v>46235</v>
      </c>
    </row>
    <row r="3851" spans="1:14" x14ac:dyDescent="0.25">
      <c r="A3851" t="s">
        <v>529</v>
      </c>
      <c r="B3851" s="2">
        <v>46265</v>
      </c>
      <c r="C3851" t="s">
        <v>529</v>
      </c>
      <c r="D3851" t="s">
        <v>112</v>
      </c>
      <c r="E3851" t="s">
        <v>9</v>
      </c>
      <c r="F3851" s="3">
        <v>2800</v>
      </c>
      <c r="G3851" s="3">
        <v>2800</v>
      </c>
      <c r="H3851" t="s">
        <v>3</v>
      </c>
      <c r="I3851" t="s">
        <v>3</v>
      </c>
      <c r="J3851" t="s">
        <v>322</v>
      </c>
      <c r="K3851" t="s">
        <v>13</v>
      </c>
      <c r="L3851" t="s">
        <v>22</v>
      </c>
      <c r="M3851" t="s">
        <v>114</v>
      </c>
      <c r="N3851" s="2">
        <v>46265</v>
      </c>
    </row>
    <row r="3852" spans="1:14" x14ac:dyDescent="0.25">
      <c r="A3852" s="4" t="s">
        <v>267</v>
      </c>
      <c r="B3852" s="5"/>
      <c r="C3852" s="4" t="s">
        <v>9</v>
      </c>
      <c r="D3852" s="4" t="s">
        <v>9</v>
      </c>
      <c r="E3852" s="4" t="s">
        <v>9</v>
      </c>
      <c r="F3852" s="6">
        <v>0</v>
      </c>
      <c r="G3852" s="6">
        <v>0</v>
      </c>
      <c r="H3852" s="4" t="s">
        <v>9</v>
      </c>
      <c r="I3852" s="4" t="s">
        <v>3</v>
      </c>
      <c r="J3852" s="4" t="s">
        <v>9</v>
      </c>
      <c r="K3852" s="4" t="s">
        <v>9</v>
      </c>
      <c r="L3852" s="4" t="s">
        <v>9</v>
      </c>
      <c r="M3852" s="4" t="s">
        <v>9</v>
      </c>
      <c r="N3852" s="5"/>
    </row>
    <row r="3853" spans="1:14" x14ac:dyDescent="0.25">
      <c r="A3853" s="4" t="s">
        <v>529</v>
      </c>
      <c r="B3853" s="5"/>
      <c r="C3853" s="4" t="s">
        <v>9</v>
      </c>
      <c r="D3853" s="4" t="s">
        <v>9</v>
      </c>
      <c r="E3853" s="4" t="s">
        <v>9</v>
      </c>
      <c r="F3853" s="6">
        <v>0</v>
      </c>
      <c r="G3853" s="6">
        <v>0</v>
      </c>
      <c r="H3853" s="4" t="s">
        <v>9</v>
      </c>
      <c r="I3853" s="4" t="s">
        <v>3</v>
      </c>
      <c r="J3853" s="4" t="s">
        <v>9</v>
      </c>
      <c r="K3853" s="4" t="s">
        <v>9</v>
      </c>
      <c r="L3853" s="4" t="s">
        <v>9</v>
      </c>
      <c r="M3853" s="4" t="s">
        <v>9</v>
      </c>
      <c r="N3853" s="5"/>
    </row>
    <row r="3854" spans="1:14" x14ac:dyDescent="0.25">
      <c r="A3854" t="s">
        <v>530</v>
      </c>
      <c r="B3854" s="2">
        <v>46084</v>
      </c>
      <c r="C3854" t="s">
        <v>530</v>
      </c>
      <c r="D3854" t="s">
        <v>33</v>
      </c>
      <c r="E3854" t="s">
        <v>9</v>
      </c>
      <c r="F3854" s="3">
        <v>3675</v>
      </c>
      <c r="G3854" s="3">
        <v>3675</v>
      </c>
      <c r="H3854" t="s">
        <v>3</v>
      </c>
      <c r="I3854" t="s">
        <v>3</v>
      </c>
      <c r="J3854" t="s">
        <v>9</v>
      </c>
      <c r="K3854" t="s">
        <v>9</v>
      </c>
      <c r="L3854" t="s">
        <v>15</v>
      </c>
      <c r="M3854" t="s">
        <v>35</v>
      </c>
      <c r="N3854" s="2">
        <v>46081</v>
      </c>
    </row>
    <row r="3855" spans="1:14" x14ac:dyDescent="0.25">
      <c r="A3855" t="s">
        <v>530</v>
      </c>
      <c r="B3855" s="2">
        <v>46063</v>
      </c>
      <c r="C3855" t="s">
        <v>530</v>
      </c>
      <c r="D3855" t="s">
        <v>33</v>
      </c>
      <c r="E3855" t="s">
        <v>9</v>
      </c>
      <c r="F3855" s="3">
        <v>-1837.5</v>
      </c>
      <c r="G3855" s="3">
        <v>-1837.5</v>
      </c>
      <c r="H3855" t="s">
        <v>3</v>
      </c>
      <c r="I3855" t="s">
        <v>3</v>
      </c>
      <c r="J3855" t="s">
        <v>9</v>
      </c>
      <c r="K3855" t="s">
        <v>13</v>
      </c>
      <c r="L3855" t="s">
        <v>15</v>
      </c>
      <c r="M3855" t="s">
        <v>35</v>
      </c>
      <c r="N3855" s="2">
        <v>46063</v>
      </c>
    </row>
    <row r="3856" spans="1:14" x14ac:dyDescent="0.25">
      <c r="A3856" t="s">
        <v>530</v>
      </c>
      <c r="B3856" s="2">
        <v>46063</v>
      </c>
      <c r="C3856" t="s">
        <v>530</v>
      </c>
      <c r="D3856" t="s">
        <v>33</v>
      </c>
      <c r="E3856" t="s">
        <v>9</v>
      </c>
      <c r="F3856" s="3">
        <v>-1837.5</v>
      </c>
      <c r="G3856" s="3">
        <v>-1837.5</v>
      </c>
      <c r="H3856" t="s">
        <v>3</v>
      </c>
      <c r="I3856" t="s">
        <v>3</v>
      </c>
      <c r="J3856" t="s">
        <v>9</v>
      </c>
      <c r="K3856" t="s">
        <v>13</v>
      </c>
      <c r="L3856" t="s">
        <v>15</v>
      </c>
      <c r="M3856" t="s">
        <v>35</v>
      </c>
      <c r="N3856" s="2">
        <v>46063</v>
      </c>
    </row>
    <row r="3857" spans="1:14" x14ac:dyDescent="0.25">
      <c r="A3857" s="4" t="s">
        <v>239</v>
      </c>
      <c r="B3857" s="5"/>
      <c r="C3857" s="4" t="s">
        <v>9</v>
      </c>
      <c r="D3857" s="4" t="s">
        <v>9</v>
      </c>
      <c r="E3857" s="4" t="s">
        <v>9</v>
      </c>
      <c r="F3857" s="6">
        <v>0</v>
      </c>
      <c r="G3857" s="6">
        <v>0</v>
      </c>
      <c r="H3857" s="4" t="s">
        <v>9</v>
      </c>
      <c r="I3857" s="4" t="s">
        <v>3</v>
      </c>
      <c r="J3857" s="4" t="s">
        <v>9</v>
      </c>
      <c r="K3857" s="4" t="s">
        <v>9</v>
      </c>
      <c r="L3857" s="4" t="s">
        <v>9</v>
      </c>
      <c r="M3857" s="4" t="s">
        <v>9</v>
      </c>
      <c r="N3857" s="5"/>
    </row>
    <row r="3858" spans="1:14" x14ac:dyDescent="0.25">
      <c r="A3858" t="s">
        <v>530</v>
      </c>
      <c r="B3858" s="2">
        <v>46115</v>
      </c>
      <c r="C3858" t="s">
        <v>530</v>
      </c>
      <c r="D3858" t="s">
        <v>33</v>
      </c>
      <c r="E3858" t="s">
        <v>9</v>
      </c>
      <c r="F3858" s="3">
        <v>3990</v>
      </c>
      <c r="G3858" s="3">
        <v>3990</v>
      </c>
      <c r="H3858" t="s">
        <v>3</v>
      </c>
      <c r="I3858" t="s">
        <v>3</v>
      </c>
      <c r="J3858" t="s">
        <v>9</v>
      </c>
      <c r="K3858" t="s">
        <v>9</v>
      </c>
      <c r="L3858" t="s">
        <v>16</v>
      </c>
      <c r="M3858" t="s">
        <v>35</v>
      </c>
      <c r="N3858" s="2">
        <v>46112</v>
      </c>
    </row>
    <row r="3859" spans="1:14" x14ac:dyDescent="0.25">
      <c r="A3859" t="s">
        <v>530</v>
      </c>
      <c r="B3859" s="2">
        <v>46101</v>
      </c>
      <c r="C3859" t="s">
        <v>530</v>
      </c>
      <c r="D3859" t="s">
        <v>33</v>
      </c>
      <c r="E3859" t="s">
        <v>9</v>
      </c>
      <c r="F3859" s="3">
        <v>-1995</v>
      </c>
      <c r="G3859" s="3">
        <v>-1995</v>
      </c>
      <c r="H3859" t="s">
        <v>3</v>
      </c>
      <c r="I3859" t="s">
        <v>3</v>
      </c>
      <c r="J3859" t="s">
        <v>9</v>
      </c>
      <c r="K3859" t="s">
        <v>13</v>
      </c>
      <c r="L3859" t="s">
        <v>16</v>
      </c>
      <c r="M3859" t="s">
        <v>35</v>
      </c>
      <c r="N3859" s="2">
        <v>46101</v>
      </c>
    </row>
    <row r="3860" spans="1:14" x14ac:dyDescent="0.25">
      <c r="A3860" t="s">
        <v>530</v>
      </c>
      <c r="B3860" s="2">
        <v>46101</v>
      </c>
      <c r="C3860" t="s">
        <v>530</v>
      </c>
      <c r="D3860" t="s">
        <v>33</v>
      </c>
      <c r="E3860" t="s">
        <v>9</v>
      </c>
      <c r="F3860" s="3">
        <v>-31049</v>
      </c>
      <c r="G3860" s="3">
        <v>-31049</v>
      </c>
      <c r="H3860" t="s">
        <v>3</v>
      </c>
      <c r="I3860" t="s">
        <v>3</v>
      </c>
      <c r="J3860" t="s">
        <v>9</v>
      </c>
      <c r="K3860" t="s">
        <v>13</v>
      </c>
      <c r="L3860" t="s">
        <v>16</v>
      </c>
      <c r="M3860" t="s">
        <v>35</v>
      </c>
      <c r="N3860" s="2">
        <v>46101</v>
      </c>
    </row>
    <row r="3861" spans="1:14" x14ac:dyDescent="0.25">
      <c r="A3861" t="s">
        <v>530</v>
      </c>
      <c r="B3861" s="2">
        <v>46101</v>
      </c>
      <c r="C3861" t="s">
        <v>530</v>
      </c>
      <c r="D3861" t="s">
        <v>33</v>
      </c>
      <c r="E3861" t="s">
        <v>9</v>
      </c>
      <c r="F3861" s="3">
        <v>31049</v>
      </c>
      <c r="G3861" s="3">
        <v>31049</v>
      </c>
      <c r="H3861" t="s">
        <v>3</v>
      </c>
      <c r="I3861" t="s">
        <v>3</v>
      </c>
      <c r="J3861" t="s">
        <v>9</v>
      </c>
      <c r="K3861" t="s">
        <v>13</v>
      </c>
      <c r="L3861" t="s">
        <v>16</v>
      </c>
      <c r="M3861" t="s">
        <v>35</v>
      </c>
      <c r="N3861" s="2">
        <v>46101</v>
      </c>
    </row>
    <row r="3862" spans="1:14" x14ac:dyDescent="0.25">
      <c r="A3862" t="s">
        <v>530</v>
      </c>
      <c r="B3862" s="2">
        <v>46101</v>
      </c>
      <c r="C3862" t="s">
        <v>530</v>
      </c>
      <c r="D3862" t="s">
        <v>33</v>
      </c>
      <c r="E3862" t="s">
        <v>9</v>
      </c>
      <c r="F3862" s="3">
        <v>-1995</v>
      </c>
      <c r="G3862" s="3">
        <v>-1995</v>
      </c>
      <c r="H3862" t="s">
        <v>3</v>
      </c>
      <c r="I3862" t="s">
        <v>3</v>
      </c>
      <c r="J3862" t="s">
        <v>9</v>
      </c>
      <c r="K3862" t="s">
        <v>13</v>
      </c>
      <c r="L3862" t="s">
        <v>16</v>
      </c>
      <c r="M3862" t="s">
        <v>35</v>
      </c>
      <c r="N3862" s="2">
        <v>46101</v>
      </c>
    </row>
    <row r="3863" spans="1:14" x14ac:dyDescent="0.25">
      <c r="A3863" s="4" t="s">
        <v>244</v>
      </c>
      <c r="B3863" s="5"/>
      <c r="C3863" s="4" t="s">
        <v>9</v>
      </c>
      <c r="D3863" s="4" t="s">
        <v>9</v>
      </c>
      <c r="E3863" s="4" t="s">
        <v>9</v>
      </c>
      <c r="F3863" s="6">
        <v>0</v>
      </c>
      <c r="G3863" s="6">
        <v>0</v>
      </c>
      <c r="H3863" s="4" t="s">
        <v>9</v>
      </c>
      <c r="I3863" s="4" t="s">
        <v>3</v>
      </c>
      <c r="J3863" s="4" t="s">
        <v>9</v>
      </c>
      <c r="K3863" s="4" t="s">
        <v>9</v>
      </c>
      <c r="L3863" s="4" t="s">
        <v>9</v>
      </c>
      <c r="M3863" s="4" t="s">
        <v>9</v>
      </c>
      <c r="N3863" s="5"/>
    </row>
    <row r="3864" spans="1:14" x14ac:dyDescent="0.25">
      <c r="A3864" t="s">
        <v>530</v>
      </c>
      <c r="B3864" s="2">
        <v>46147</v>
      </c>
      <c r="C3864" t="s">
        <v>530</v>
      </c>
      <c r="D3864" t="s">
        <v>33</v>
      </c>
      <c r="E3864" t="s">
        <v>9</v>
      </c>
      <c r="F3864" s="3">
        <v>3360</v>
      </c>
      <c r="G3864" s="3">
        <v>3360</v>
      </c>
      <c r="H3864" t="s">
        <v>3</v>
      </c>
      <c r="I3864" t="s">
        <v>3</v>
      </c>
      <c r="J3864" t="s">
        <v>9</v>
      </c>
      <c r="K3864" t="s">
        <v>9</v>
      </c>
      <c r="L3864" t="s">
        <v>17</v>
      </c>
      <c r="M3864" t="s">
        <v>35</v>
      </c>
      <c r="N3864" s="2">
        <v>46142</v>
      </c>
    </row>
    <row r="3865" spans="1:14" x14ac:dyDescent="0.25">
      <c r="A3865" t="s">
        <v>530</v>
      </c>
      <c r="B3865" s="2">
        <v>46127</v>
      </c>
      <c r="C3865" t="s">
        <v>530</v>
      </c>
      <c r="D3865" t="s">
        <v>33</v>
      </c>
      <c r="E3865" t="s">
        <v>9</v>
      </c>
      <c r="F3865" s="3">
        <v>-1680</v>
      </c>
      <c r="G3865" s="3">
        <v>-1680</v>
      </c>
      <c r="H3865" t="s">
        <v>3</v>
      </c>
      <c r="I3865" t="s">
        <v>3</v>
      </c>
      <c r="J3865" t="s">
        <v>9</v>
      </c>
      <c r="K3865" t="s">
        <v>13</v>
      </c>
      <c r="L3865" t="s">
        <v>17</v>
      </c>
      <c r="M3865" t="s">
        <v>35</v>
      </c>
      <c r="N3865" s="2">
        <v>46127</v>
      </c>
    </row>
    <row r="3866" spans="1:14" x14ac:dyDescent="0.25">
      <c r="A3866" t="s">
        <v>530</v>
      </c>
      <c r="B3866" s="2">
        <v>46127</v>
      </c>
      <c r="C3866" t="s">
        <v>530</v>
      </c>
      <c r="D3866" t="s">
        <v>33</v>
      </c>
      <c r="E3866" t="s">
        <v>9</v>
      </c>
      <c r="F3866" s="3">
        <v>-1680</v>
      </c>
      <c r="G3866" s="3">
        <v>-1680</v>
      </c>
      <c r="H3866" t="s">
        <v>3</v>
      </c>
      <c r="I3866" t="s">
        <v>3</v>
      </c>
      <c r="J3866" t="s">
        <v>9</v>
      </c>
      <c r="K3866" t="s">
        <v>13</v>
      </c>
      <c r="L3866" t="s">
        <v>17</v>
      </c>
      <c r="M3866" t="s">
        <v>35</v>
      </c>
      <c r="N3866" s="2">
        <v>46127</v>
      </c>
    </row>
    <row r="3867" spans="1:14" x14ac:dyDescent="0.25">
      <c r="A3867" s="4" t="s">
        <v>249</v>
      </c>
      <c r="B3867" s="5"/>
      <c r="C3867" s="4" t="s">
        <v>9</v>
      </c>
      <c r="D3867" s="4" t="s">
        <v>9</v>
      </c>
      <c r="E3867" s="4" t="s">
        <v>9</v>
      </c>
      <c r="F3867" s="6">
        <v>0</v>
      </c>
      <c r="G3867" s="6">
        <v>0</v>
      </c>
      <c r="H3867" s="4" t="s">
        <v>9</v>
      </c>
      <c r="I3867" s="4" t="s">
        <v>3</v>
      </c>
      <c r="J3867" s="4" t="s">
        <v>9</v>
      </c>
      <c r="K3867" s="4" t="s">
        <v>9</v>
      </c>
      <c r="L3867" s="4" t="s">
        <v>9</v>
      </c>
      <c r="M3867" s="4" t="s">
        <v>9</v>
      </c>
      <c r="N3867" s="5"/>
    </row>
    <row r="3868" spans="1:14" x14ac:dyDescent="0.25">
      <c r="A3868" t="s">
        <v>530</v>
      </c>
      <c r="B3868" s="2">
        <v>46175</v>
      </c>
      <c r="C3868" t="s">
        <v>530</v>
      </c>
      <c r="D3868" t="s">
        <v>33</v>
      </c>
      <c r="E3868" t="s">
        <v>9</v>
      </c>
      <c r="F3868" s="3">
        <v>2714</v>
      </c>
      <c r="G3868" s="3">
        <v>2714</v>
      </c>
      <c r="H3868" t="s">
        <v>3</v>
      </c>
      <c r="I3868" t="s">
        <v>3</v>
      </c>
      <c r="J3868" t="s">
        <v>9</v>
      </c>
      <c r="K3868" t="s">
        <v>9</v>
      </c>
      <c r="L3868" t="s">
        <v>18</v>
      </c>
      <c r="M3868" t="s">
        <v>35</v>
      </c>
      <c r="N3868" s="2">
        <v>46173</v>
      </c>
    </row>
    <row r="3869" spans="1:14" x14ac:dyDescent="0.25">
      <c r="A3869" t="s">
        <v>530</v>
      </c>
      <c r="B3869" s="2">
        <v>46155</v>
      </c>
      <c r="C3869" t="s">
        <v>530</v>
      </c>
      <c r="D3869" t="s">
        <v>33</v>
      </c>
      <c r="E3869" t="s">
        <v>9</v>
      </c>
      <c r="F3869" s="3">
        <v>-1357</v>
      </c>
      <c r="G3869" s="3">
        <v>-1357</v>
      </c>
      <c r="H3869" t="s">
        <v>3</v>
      </c>
      <c r="I3869" t="s">
        <v>3</v>
      </c>
      <c r="J3869" t="s">
        <v>9</v>
      </c>
      <c r="K3869" t="s">
        <v>13</v>
      </c>
      <c r="L3869" t="s">
        <v>18</v>
      </c>
      <c r="M3869" t="s">
        <v>35</v>
      </c>
      <c r="N3869" s="2">
        <v>46155</v>
      </c>
    </row>
    <row r="3870" spans="1:14" x14ac:dyDescent="0.25">
      <c r="A3870" t="s">
        <v>530</v>
      </c>
      <c r="B3870" s="2">
        <v>46155</v>
      </c>
      <c r="C3870" t="s">
        <v>530</v>
      </c>
      <c r="D3870" t="s">
        <v>33</v>
      </c>
      <c r="E3870" t="s">
        <v>9</v>
      </c>
      <c r="F3870" s="3">
        <v>-1357</v>
      </c>
      <c r="G3870" s="3">
        <v>-1357</v>
      </c>
      <c r="H3870" t="s">
        <v>3</v>
      </c>
      <c r="I3870" t="s">
        <v>3</v>
      </c>
      <c r="J3870" t="s">
        <v>9</v>
      </c>
      <c r="K3870" t="s">
        <v>13</v>
      </c>
      <c r="L3870" t="s">
        <v>18</v>
      </c>
      <c r="M3870" t="s">
        <v>35</v>
      </c>
      <c r="N3870" s="2">
        <v>46155</v>
      </c>
    </row>
    <row r="3871" spans="1:14" x14ac:dyDescent="0.25">
      <c r="A3871" s="4" t="s">
        <v>223</v>
      </c>
      <c r="B3871" s="5"/>
      <c r="C3871" s="4" t="s">
        <v>9</v>
      </c>
      <c r="D3871" s="4" t="s">
        <v>9</v>
      </c>
      <c r="E3871" s="4" t="s">
        <v>9</v>
      </c>
      <c r="F3871" s="6">
        <v>0</v>
      </c>
      <c r="G3871" s="6">
        <v>0</v>
      </c>
      <c r="H3871" s="4" t="s">
        <v>9</v>
      </c>
      <c r="I3871" s="4" t="s">
        <v>3</v>
      </c>
      <c r="J3871" s="4" t="s">
        <v>9</v>
      </c>
      <c r="K3871" s="4" t="s">
        <v>9</v>
      </c>
      <c r="L3871" s="4" t="s">
        <v>9</v>
      </c>
      <c r="M3871" s="4" t="s">
        <v>9</v>
      </c>
      <c r="N3871" s="5"/>
    </row>
    <row r="3872" spans="1:14" x14ac:dyDescent="0.25">
      <c r="A3872" t="s">
        <v>530</v>
      </c>
      <c r="B3872" s="2">
        <v>46205</v>
      </c>
      <c r="C3872" t="s">
        <v>530</v>
      </c>
      <c r="D3872" t="s">
        <v>33</v>
      </c>
      <c r="E3872" t="s">
        <v>9</v>
      </c>
      <c r="F3872" s="3">
        <v>1470</v>
      </c>
      <c r="G3872" s="3">
        <v>1470</v>
      </c>
      <c r="H3872" t="s">
        <v>3</v>
      </c>
      <c r="I3872" t="s">
        <v>3</v>
      </c>
      <c r="J3872" t="s">
        <v>9</v>
      </c>
      <c r="K3872" t="s">
        <v>9</v>
      </c>
      <c r="L3872" t="s">
        <v>19</v>
      </c>
      <c r="M3872" t="s">
        <v>35</v>
      </c>
      <c r="N3872" s="2">
        <v>46203</v>
      </c>
    </row>
    <row r="3873" spans="1:14" x14ac:dyDescent="0.25">
      <c r="A3873" t="s">
        <v>530</v>
      </c>
      <c r="B3873" s="2">
        <v>46191</v>
      </c>
      <c r="C3873" t="s">
        <v>530</v>
      </c>
      <c r="D3873" t="s">
        <v>33</v>
      </c>
      <c r="E3873" t="s">
        <v>9</v>
      </c>
      <c r="F3873" s="3">
        <v>-735</v>
      </c>
      <c r="G3873" s="3">
        <v>-735</v>
      </c>
      <c r="H3873" t="s">
        <v>3</v>
      </c>
      <c r="I3873" t="s">
        <v>3</v>
      </c>
      <c r="J3873" t="s">
        <v>9</v>
      </c>
      <c r="K3873" t="s">
        <v>13</v>
      </c>
      <c r="L3873" t="s">
        <v>19</v>
      </c>
      <c r="M3873" t="s">
        <v>35</v>
      </c>
      <c r="N3873" s="2">
        <v>46191</v>
      </c>
    </row>
    <row r="3874" spans="1:14" x14ac:dyDescent="0.25">
      <c r="A3874" t="s">
        <v>530</v>
      </c>
      <c r="B3874" s="2">
        <v>46191</v>
      </c>
      <c r="C3874" t="s">
        <v>530</v>
      </c>
      <c r="D3874" t="s">
        <v>33</v>
      </c>
      <c r="E3874" t="s">
        <v>9</v>
      </c>
      <c r="F3874" s="3">
        <v>-735</v>
      </c>
      <c r="G3874" s="3">
        <v>-735</v>
      </c>
      <c r="H3874" t="s">
        <v>3</v>
      </c>
      <c r="I3874" t="s">
        <v>3</v>
      </c>
      <c r="J3874" t="s">
        <v>9</v>
      </c>
      <c r="K3874" t="s">
        <v>13</v>
      </c>
      <c r="L3874" t="s">
        <v>19</v>
      </c>
      <c r="M3874" t="s">
        <v>35</v>
      </c>
      <c r="N3874" s="2">
        <v>46191</v>
      </c>
    </row>
    <row r="3875" spans="1:14" x14ac:dyDescent="0.25">
      <c r="A3875" s="4" t="s">
        <v>224</v>
      </c>
      <c r="B3875" s="5"/>
      <c r="C3875" s="4" t="s">
        <v>9</v>
      </c>
      <c r="D3875" s="4" t="s">
        <v>9</v>
      </c>
      <c r="E3875" s="4" t="s">
        <v>9</v>
      </c>
      <c r="F3875" s="6">
        <v>0</v>
      </c>
      <c r="G3875" s="6">
        <v>0</v>
      </c>
      <c r="H3875" s="4" t="s">
        <v>9</v>
      </c>
      <c r="I3875" s="4" t="s">
        <v>3</v>
      </c>
      <c r="J3875" s="4" t="s">
        <v>9</v>
      </c>
      <c r="K3875" s="4" t="s">
        <v>9</v>
      </c>
      <c r="L3875" s="4" t="s">
        <v>9</v>
      </c>
      <c r="M3875" s="4" t="s">
        <v>9</v>
      </c>
      <c r="N3875" s="5"/>
    </row>
    <row r="3876" spans="1:14" x14ac:dyDescent="0.25">
      <c r="A3876" t="s">
        <v>530</v>
      </c>
      <c r="B3876" s="2">
        <v>46239</v>
      </c>
      <c r="C3876" t="s">
        <v>530</v>
      </c>
      <c r="D3876" t="s">
        <v>33</v>
      </c>
      <c r="E3876" t="s">
        <v>9</v>
      </c>
      <c r="F3876" s="3">
        <v>11642</v>
      </c>
      <c r="G3876" s="3">
        <v>11642</v>
      </c>
      <c r="H3876" t="s">
        <v>3</v>
      </c>
      <c r="I3876" t="s">
        <v>3</v>
      </c>
      <c r="J3876" t="s">
        <v>9</v>
      </c>
      <c r="K3876" t="s">
        <v>9</v>
      </c>
      <c r="L3876" t="s">
        <v>21</v>
      </c>
      <c r="M3876" t="s">
        <v>35</v>
      </c>
      <c r="N3876" s="2">
        <v>46234</v>
      </c>
    </row>
    <row r="3877" spans="1:14" x14ac:dyDescent="0.25">
      <c r="A3877" t="s">
        <v>530</v>
      </c>
      <c r="B3877" s="2">
        <v>46217</v>
      </c>
      <c r="C3877" t="s">
        <v>530</v>
      </c>
      <c r="D3877" t="s">
        <v>33</v>
      </c>
      <c r="E3877" t="s">
        <v>9</v>
      </c>
      <c r="F3877" s="3">
        <v>-5821</v>
      </c>
      <c r="G3877" s="3">
        <v>-5821</v>
      </c>
      <c r="H3877" t="s">
        <v>3</v>
      </c>
      <c r="I3877" t="s">
        <v>3</v>
      </c>
      <c r="J3877" t="s">
        <v>9</v>
      </c>
      <c r="K3877" t="s">
        <v>13</v>
      </c>
      <c r="L3877" t="s">
        <v>21</v>
      </c>
      <c r="M3877" t="s">
        <v>35</v>
      </c>
      <c r="N3877" s="2">
        <v>46217</v>
      </c>
    </row>
    <row r="3878" spans="1:14" x14ac:dyDescent="0.25">
      <c r="A3878" t="s">
        <v>530</v>
      </c>
      <c r="B3878" s="2">
        <v>46217</v>
      </c>
      <c r="C3878" t="s">
        <v>530</v>
      </c>
      <c r="D3878" t="s">
        <v>33</v>
      </c>
      <c r="E3878" t="s">
        <v>9</v>
      </c>
      <c r="F3878" s="3">
        <v>-5821</v>
      </c>
      <c r="G3878" s="3">
        <v>-5821</v>
      </c>
      <c r="H3878" t="s">
        <v>3</v>
      </c>
      <c r="I3878" t="s">
        <v>3</v>
      </c>
      <c r="J3878" t="s">
        <v>9</v>
      </c>
      <c r="K3878" t="s">
        <v>13</v>
      </c>
      <c r="L3878" t="s">
        <v>21</v>
      </c>
      <c r="M3878" t="s">
        <v>35</v>
      </c>
      <c r="N3878" s="2">
        <v>46217</v>
      </c>
    </row>
    <row r="3879" spans="1:14" x14ac:dyDescent="0.25">
      <c r="A3879" s="4" t="s">
        <v>262</v>
      </c>
      <c r="B3879" s="5"/>
      <c r="C3879" s="4" t="s">
        <v>9</v>
      </c>
      <c r="D3879" s="4" t="s">
        <v>9</v>
      </c>
      <c r="E3879" s="4" t="s">
        <v>9</v>
      </c>
      <c r="F3879" s="6">
        <v>0</v>
      </c>
      <c r="G3879" s="6">
        <v>0</v>
      </c>
      <c r="H3879" s="4" t="s">
        <v>9</v>
      </c>
      <c r="I3879" s="4" t="s">
        <v>3</v>
      </c>
      <c r="J3879" s="4" t="s">
        <v>9</v>
      </c>
      <c r="K3879" s="4" t="s">
        <v>9</v>
      </c>
      <c r="L3879" s="4" t="s">
        <v>9</v>
      </c>
      <c r="M3879" s="4" t="s">
        <v>9</v>
      </c>
      <c r="N3879" s="5"/>
    </row>
    <row r="3880" spans="1:14" x14ac:dyDescent="0.25">
      <c r="A3880" t="s">
        <v>530</v>
      </c>
      <c r="B3880" s="2">
        <v>45932</v>
      </c>
      <c r="C3880" t="s">
        <v>530</v>
      </c>
      <c r="D3880" t="s">
        <v>33</v>
      </c>
      <c r="E3880" t="s">
        <v>9</v>
      </c>
      <c r="F3880" s="3">
        <v>4778</v>
      </c>
      <c r="G3880" s="3">
        <v>4778</v>
      </c>
      <c r="H3880" t="s">
        <v>3</v>
      </c>
      <c r="I3880" t="s">
        <v>3</v>
      </c>
      <c r="J3880" t="s">
        <v>9</v>
      </c>
      <c r="K3880" t="s">
        <v>9</v>
      </c>
      <c r="L3880" t="s">
        <v>6</v>
      </c>
      <c r="M3880" t="s">
        <v>35</v>
      </c>
      <c r="N3880" s="2">
        <v>45930</v>
      </c>
    </row>
    <row r="3881" spans="1:14" x14ac:dyDescent="0.25">
      <c r="A3881" t="s">
        <v>530</v>
      </c>
      <c r="B3881" s="2">
        <v>45910</v>
      </c>
      <c r="C3881" t="s">
        <v>530</v>
      </c>
      <c r="D3881" t="s">
        <v>33</v>
      </c>
      <c r="E3881" t="s">
        <v>9</v>
      </c>
      <c r="F3881" s="3">
        <v>-2389</v>
      </c>
      <c r="G3881" s="3">
        <v>-2389</v>
      </c>
      <c r="H3881" t="s">
        <v>3</v>
      </c>
      <c r="I3881" t="s">
        <v>3</v>
      </c>
      <c r="J3881" t="s">
        <v>9</v>
      </c>
      <c r="K3881" t="s">
        <v>5</v>
      </c>
      <c r="L3881" t="s">
        <v>6</v>
      </c>
      <c r="M3881" t="s">
        <v>35</v>
      </c>
      <c r="N3881" s="2">
        <v>45910</v>
      </c>
    </row>
    <row r="3882" spans="1:14" x14ac:dyDescent="0.25">
      <c r="A3882" t="s">
        <v>530</v>
      </c>
      <c r="B3882" s="2">
        <v>45910</v>
      </c>
      <c r="C3882" t="s">
        <v>530</v>
      </c>
      <c r="D3882" t="s">
        <v>33</v>
      </c>
      <c r="E3882" t="s">
        <v>9</v>
      </c>
      <c r="F3882" s="3">
        <v>-2389</v>
      </c>
      <c r="G3882" s="3">
        <v>-2389</v>
      </c>
      <c r="H3882" t="s">
        <v>3</v>
      </c>
      <c r="I3882" t="s">
        <v>3</v>
      </c>
      <c r="J3882" t="s">
        <v>9</v>
      </c>
      <c r="K3882" t="s">
        <v>5</v>
      </c>
      <c r="L3882" t="s">
        <v>6</v>
      </c>
      <c r="M3882" t="s">
        <v>35</v>
      </c>
      <c r="N3882" s="2">
        <v>45910</v>
      </c>
    </row>
    <row r="3883" spans="1:14" x14ac:dyDescent="0.25">
      <c r="A3883" s="4" t="s">
        <v>272</v>
      </c>
      <c r="B3883" s="5"/>
      <c r="C3883" s="4" t="s">
        <v>9</v>
      </c>
      <c r="D3883" s="4" t="s">
        <v>9</v>
      </c>
      <c r="E3883" s="4" t="s">
        <v>9</v>
      </c>
      <c r="F3883" s="6">
        <v>0</v>
      </c>
      <c r="G3883" s="6">
        <v>0</v>
      </c>
      <c r="H3883" s="4" t="s">
        <v>9</v>
      </c>
      <c r="I3883" s="4" t="s">
        <v>3</v>
      </c>
      <c r="J3883" s="4" t="s">
        <v>9</v>
      </c>
      <c r="K3883" s="4" t="s">
        <v>9</v>
      </c>
      <c r="L3883" s="4" t="s">
        <v>9</v>
      </c>
      <c r="M3883" s="4" t="s">
        <v>9</v>
      </c>
      <c r="N3883" s="5"/>
    </row>
    <row r="3884" spans="1:14" x14ac:dyDescent="0.25">
      <c r="A3884" t="s">
        <v>530</v>
      </c>
      <c r="B3884" s="2">
        <v>45965</v>
      </c>
      <c r="C3884" t="s">
        <v>530</v>
      </c>
      <c r="D3884" t="s">
        <v>33</v>
      </c>
      <c r="E3884" t="s">
        <v>9</v>
      </c>
      <c r="F3884" s="3">
        <v>7350</v>
      </c>
      <c r="G3884" s="3">
        <v>7350</v>
      </c>
      <c r="H3884" t="s">
        <v>3</v>
      </c>
      <c r="I3884" t="s">
        <v>3</v>
      </c>
      <c r="J3884" t="s">
        <v>9</v>
      </c>
      <c r="K3884" t="s">
        <v>9</v>
      </c>
      <c r="L3884" t="s">
        <v>8</v>
      </c>
      <c r="M3884" t="s">
        <v>35</v>
      </c>
      <c r="N3884" s="2">
        <v>45961</v>
      </c>
    </row>
    <row r="3885" spans="1:14" x14ac:dyDescent="0.25">
      <c r="A3885" t="s">
        <v>530</v>
      </c>
      <c r="B3885" s="2">
        <v>45947</v>
      </c>
      <c r="C3885" t="s">
        <v>530</v>
      </c>
      <c r="D3885" t="s">
        <v>33</v>
      </c>
      <c r="E3885" t="s">
        <v>9</v>
      </c>
      <c r="F3885" s="3">
        <v>-3675</v>
      </c>
      <c r="G3885" s="3">
        <v>-3675</v>
      </c>
      <c r="H3885" t="s">
        <v>3</v>
      </c>
      <c r="I3885" t="s">
        <v>3</v>
      </c>
      <c r="J3885" t="s">
        <v>9</v>
      </c>
      <c r="K3885" t="s">
        <v>5</v>
      </c>
      <c r="L3885" t="s">
        <v>8</v>
      </c>
      <c r="M3885" t="s">
        <v>35</v>
      </c>
      <c r="N3885" s="2">
        <v>45947</v>
      </c>
    </row>
    <row r="3886" spans="1:14" x14ac:dyDescent="0.25">
      <c r="A3886" t="s">
        <v>530</v>
      </c>
      <c r="B3886" s="2">
        <v>45947</v>
      </c>
      <c r="C3886" t="s">
        <v>530</v>
      </c>
      <c r="D3886" t="s">
        <v>33</v>
      </c>
      <c r="E3886" t="s">
        <v>9</v>
      </c>
      <c r="F3886" s="3">
        <v>-3675</v>
      </c>
      <c r="G3886" s="3">
        <v>-3675</v>
      </c>
      <c r="H3886" t="s">
        <v>3</v>
      </c>
      <c r="I3886" t="s">
        <v>3</v>
      </c>
      <c r="J3886" t="s">
        <v>9</v>
      </c>
      <c r="K3886" t="s">
        <v>5</v>
      </c>
      <c r="L3886" t="s">
        <v>8</v>
      </c>
      <c r="M3886" t="s">
        <v>35</v>
      </c>
      <c r="N3886" s="2">
        <v>45947</v>
      </c>
    </row>
    <row r="3887" spans="1:14" x14ac:dyDescent="0.25">
      <c r="A3887" s="4" t="s">
        <v>278</v>
      </c>
      <c r="B3887" s="5"/>
      <c r="C3887" s="4" t="s">
        <v>9</v>
      </c>
      <c r="D3887" s="4" t="s">
        <v>9</v>
      </c>
      <c r="E3887" s="4" t="s">
        <v>9</v>
      </c>
      <c r="F3887" s="6">
        <v>0</v>
      </c>
      <c r="G3887" s="6">
        <v>0</v>
      </c>
      <c r="H3887" s="4" t="s">
        <v>9</v>
      </c>
      <c r="I3887" s="4" t="s">
        <v>3</v>
      </c>
      <c r="J3887" s="4" t="s">
        <v>9</v>
      </c>
      <c r="K3887" s="4" t="s">
        <v>9</v>
      </c>
      <c r="L3887" s="4" t="s">
        <v>9</v>
      </c>
      <c r="M3887" s="4" t="s">
        <v>9</v>
      </c>
      <c r="N3887" s="5"/>
    </row>
    <row r="3888" spans="1:14" x14ac:dyDescent="0.25">
      <c r="A3888" t="s">
        <v>530</v>
      </c>
      <c r="B3888" s="2">
        <v>45993</v>
      </c>
      <c r="C3888" t="s">
        <v>530</v>
      </c>
      <c r="D3888" t="s">
        <v>33</v>
      </c>
      <c r="E3888" t="s">
        <v>9</v>
      </c>
      <c r="F3888" s="3">
        <v>11866</v>
      </c>
      <c r="G3888" s="3">
        <v>11866</v>
      </c>
      <c r="H3888" t="s">
        <v>3</v>
      </c>
      <c r="I3888" t="s">
        <v>3</v>
      </c>
      <c r="J3888" t="s">
        <v>9</v>
      </c>
      <c r="K3888" t="s">
        <v>9</v>
      </c>
      <c r="L3888" t="s">
        <v>11</v>
      </c>
      <c r="M3888" t="s">
        <v>35</v>
      </c>
      <c r="N3888" s="2">
        <v>45991</v>
      </c>
    </row>
    <row r="3889" spans="1:14" x14ac:dyDescent="0.25">
      <c r="A3889" t="s">
        <v>530</v>
      </c>
      <c r="B3889" s="2">
        <v>45979</v>
      </c>
      <c r="C3889" t="s">
        <v>530</v>
      </c>
      <c r="D3889" t="s">
        <v>33</v>
      </c>
      <c r="E3889" t="s">
        <v>9</v>
      </c>
      <c r="F3889" s="3">
        <v>-5933</v>
      </c>
      <c r="G3889" s="3">
        <v>-5933</v>
      </c>
      <c r="H3889" t="s">
        <v>3</v>
      </c>
      <c r="I3889" t="s">
        <v>3</v>
      </c>
      <c r="J3889" t="s">
        <v>9</v>
      </c>
      <c r="K3889" t="s">
        <v>5</v>
      </c>
      <c r="L3889" t="s">
        <v>11</v>
      </c>
      <c r="M3889" t="s">
        <v>35</v>
      </c>
      <c r="N3889" s="2">
        <v>45979</v>
      </c>
    </row>
    <row r="3890" spans="1:14" x14ac:dyDescent="0.25">
      <c r="A3890" t="s">
        <v>530</v>
      </c>
      <c r="B3890" s="2">
        <v>45979</v>
      </c>
      <c r="C3890" t="s">
        <v>530</v>
      </c>
      <c r="D3890" t="s">
        <v>33</v>
      </c>
      <c r="E3890" t="s">
        <v>9</v>
      </c>
      <c r="F3890" s="3">
        <v>-5933</v>
      </c>
      <c r="G3890" s="3">
        <v>-5933</v>
      </c>
      <c r="H3890" t="s">
        <v>3</v>
      </c>
      <c r="I3890" t="s">
        <v>3</v>
      </c>
      <c r="J3890" t="s">
        <v>9</v>
      </c>
      <c r="K3890" t="s">
        <v>5</v>
      </c>
      <c r="L3890" t="s">
        <v>11</v>
      </c>
      <c r="M3890" t="s">
        <v>35</v>
      </c>
      <c r="N3890" s="2">
        <v>45979</v>
      </c>
    </row>
    <row r="3891" spans="1:14" x14ac:dyDescent="0.25">
      <c r="A3891" s="4" t="s">
        <v>226</v>
      </c>
      <c r="B3891" s="5"/>
      <c r="C3891" s="4" t="s">
        <v>9</v>
      </c>
      <c r="D3891" s="4" t="s">
        <v>9</v>
      </c>
      <c r="E3891" s="4" t="s">
        <v>9</v>
      </c>
      <c r="F3891" s="6">
        <v>0</v>
      </c>
      <c r="G3891" s="6">
        <v>0</v>
      </c>
      <c r="H3891" s="4" t="s">
        <v>9</v>
      </c>
      <c r="I3891" s="4" t="s">
        <v>3</v>
      </c>
      <c r="J3891" s="4" t="s">
        <v>9</v>
      </c>
      <c r="K3891" s="4" t="s">
        <v>9</v>
      </c>
      <c r="L3891" s="4" t="s">
        <v>9</v>
      </c>
      <c r="M3891" s="4" t="s">
        <v>9</v>
      </c>
      <c r="N3891" s="5"/>
    </row>
    <row r="3892" spans="1:14" x14ac:dyDescent="0.25">
      <c r="A3892" t="s">
        <v>530</v>
      </c>
      <c r="B3892" s="2">
        <v>46028</v>
      </c>
      <c r="C3892" t="s">
        <v>530</v>
      </c>
      <c r="D3892" t="s">
        <v>33</v>
      </c>
      <c r="E3892" t="s">
        <v>9</v>
      </c>
      <c r="F3892" s="3">
        <v>42260</v>
      </c>
      <c r="G3892" s="3">
        <v>42260</v>
      </c>
      <c r="H3892" t="s">
        <v>3</v>
      </c>
      <c r="I3892" t="s">
        <v>3</v>
      </c>
      <c r="J3892" t="s">
        <v>9</v>
      </c>
      <c r="K3892" t="s">
        <v>9</v>
      </c>
      <c r="L3892" t="s">
        <v>12</v>
      </c>
      <c r="M3892" t="s">
        <v>35</v>
      </c>
      <c r="N3892" s="2">
        <v>46022</v>
      </c>
    </row>
    <row r="3893" spans="1:14" x14ac:dyDescent="0.25">
      <c r="A3893" t="s">
        <v>530</v>
      </c>
      <c r="B3893" s="2">
        <v>46007</v>
      </c>
      <c r="C3893" t="s">
        <v>530</v>
      </c>
      <c r="D3893" t="s">
        <v>33</v>
      </c>
      <c r="E3893" t="s">
        <v>9</v>
      </c>
      <c r="F3893" s="3">
        <v>-21130</v>
      </c>
      <c r="G3893" s="3">
        <v>-21130</v>
      </c>
      <c r="H3893" t="s">
        <v>3</v>
      </c>
      <c r="I3893" t="s">
        <v>3</v>
      </c>
      <c r="J3893" t="s">
        <v>9</v>
      </c>
      <c r="K3893" t="s">
        <v>5</v>
      </c>
      <c r="L3893" t="s">
        <v>12</v>
      </c>
      <c r="M3893" t="s">
        <v>35</v>
      </c>
      <c r="N3893" s="2">
        <v>46007</v>
      </c>
    </row>
    <row r="3894" spans="1:14" x14ac:dyDescent="0.25">
      <c r="A3894" t="s">
        <v>530</v>
      </c>
      <c r="B3894" s="2">
        <v>46007</v>
      </c>
      <c r="C3894" t="s">
        <v>530</v>
      </c>
      <c r="D3894" t="s">
        <v>33</v>
      </c>
      <c r="E3894" t="s">
        <v>9</v>
      </c>
      <c r="F3894" s="3">
        <v>-21130</v>
      </c>
      <c r="G3894" s="3">
        <v>-21130</v>
      </c>
      <c r="H3894" t="s">
        <v>3</v>
      </c>
      <c r="I3894" t="s">
        <v>3</v>
      </c>
      <c r="J3894" t="s">
        <v>9</v>
      </c>
      <c r="K3894" t="s">
        <v>5</v>
      </c>
      <c r="L3894" t="s">
        <v>12</v>
      </c>
      <c r="M3894" t="s">
        <v>35</v>
      </c>
      <c r="N3894" s="2">
        <v>46007</v>
      </c>
    </row>
    <row r="3895" spans="1:14" x14ac:dyDescent="0.25">
      <c r="A3895" s="4" t="s">
        <v>228</v>
      </c>
      <c r="B3895" s="5"/>
      <c r="C3895" s="4" t="s">
        <v>9</v>
      </c>
      <c r="D3895" s="4" t="s">
        <v>9</v>
      </c>
      <c r="E3895" s="4" t="s">
        <v>9</v>
      </c>
      <c r="F3895" s="6">
        <v>0</v>
      </c>
      <c r="G3895" s="6">
        <v>0</v>
      </c>
      <c r="H3895" s="4" t="s">
        <v>9</v>
      </c>
      <c r="I3895" s="4" t="s">
        <v>3</v>
      </c>
      <c r="J3895" s="4" t="s">
        <v>9</v>
      </c>
      <c r="K3895" s="4" t="s">
        <v>9</v>
      </c>
      <c r="L3895" s="4" t="s">
        <v>9</v>
      </c>
      <c r="M3895" s="4" t="s">
        <v>9</v>
      </c>
      <c r="N3895" s="5"/>
    </row>
    <row r="3896" spans="1:14" x14ac:dyDescent="0.25">
      <c r="A3896" s="4" t="s">
        <v>530</v>
      </c>
      <c r="B3896" s="5"/>
      <c r="C3896" s="4" t="s">
        <v>9</v>
      </c>
      <c r="D3896" s="4" t="s">
        <v>9</v>
      </c>
      <c r="E3896" s="4" t="s">
        <v>9</v>
      </c>
      <c r="F3896" s="6">
        <v>0</v>
      </c>
      <c r="G3896" s="6">
        <v>0</v>
      </c>
      <c r="H3896" s="4" t="s">
        <v>9</v>
      </c>
      <c r="I3896" s="4" t="s">
        <v>3</v>
      </c>
      <c r="J3896" s="4" t="s">
        <v>9</v>
      </c>
      <c r="K3896" s="4" t="s">
        <v>9</v>
      </c>
      <c r="L3896" s="4" t="s">
        <v>9</v>
      </c>
      <c r="M3896" s="4" t="s">
        <v>9</v>
      </c>
      <c r="N3896" s="5"/>
    </row>
    <row r="3897" spans="1:14" x14ac:dyDescent="0.25">
      <c r="A3897" t="s">
        <v>531</v>
      </c>
      <c r="B3897" s="2">
        <v>46056</v>
      </c>
      <c r="C3897" t="s">
        <v>531</v>
      </c>
      <c r="D3897" t="s">
        <v>112</v>
      </c>
      <c r="E3897" t="s">
        <v>9</v>
      </c>
      <c r="F3897" s="3">
        <v>-3500</v>
      </c>
      <c r="G3897" s="3">
        <v>-3500</v>
      </c>
      <c r="H3897" t="s">
        <v>3</v>
      </c>
      <c r="I3897" t="s">
        <v>3</v>
      </c>
      <c r="J3897" t="s">
        <v>9</v>
      </c>
      <c r="K3897" t="s">
        <v>9</v>
      </c>
      <c r="L3897" t="s">
        <v>14</v>
      </c>
      <c r="M3897" t="s">
        <v>114</v>
      </c>
      <c r="N3897" s="2">
        <v>46053</v>
      </c>
    </row>
    <row r="3898" spans="1:14" x14ac:dyDescent="0.25">
      <c r="A3898" t="s">
        <v>531</v>
      </c>
      <c r="B3898" s="2">
        <v>46022</v>
      </c>
      <c r="C3898" t="s">
        <v>531</v>
      </c>
      <c r="D3898" t="s">
        <v>112</v>
      </c>
      <c r="E3898" t="s">
        <v>9</v>
      </c>
      <c r="F3898" s="3">
        <v>-35900</v>
      </c>
      <c r="G3898" s="3">
        <v>-35900</v>
      </c>
      <c r="H3898" t="s">
        <v>3</v>
      </c>
      <c r="I3898" t="s">
        <v>3</v>
      </c>
      <c r="J3898" t="s">
        <v>298</v>
      </c>
      <c r="K3898" t="s">
        <v>13</v>
      </c>
      <c r="L3898" t="s">
        <v>14</v>
      </c>
      <c r="M3898" t="s">
        <v>114</v>
      </c>
      <c r="N3898" s="2">
        <v>46023</v>
      </c>
    </row>
    <row r="3899" spans="1:14" x14ac:dyDescent="0.25">
      <c r="A3899" t="s">
        <v>531</v>
      </c>
      <c r="B3899" s="2">
        <v>46023</v>
      </c>
      <c r="C3899" t="s">
        <v>531</v>
      </c>
      <c r="D3899" t="s">
        <v>112</v>
      </c>
      <c r="E3899" t="s">
        <v>9</v>
      </c>
      <c r="F3899" s="3">
        <v>35900</v>
      </c>
      <c r="G3899" s="3">
        <v>35900</v>
      </c>
      <c r="H3899" t="s">
        <v>3</v>
      </c>
      <c r="I3899" t="s">
        <v>3</v>
      </c>
      <c r="J3899" t="s">
        <v>298</v>
      </c>
      <c r="K3899" t="s">
        <v>13</v>
      </c>
      <c r="L3899" t="s">
        <v>14</v>
      </c>
      <c r="M3899" t="s">
        <v>114</v>
      </c>
      <c r="N3899" s="2">
        <v>46023</v>
      </c>
    </row>
    <row r="3900" spans="1:14" x14ac:dyDescent="0.25">
      <c r="A3900" t="s">
        <v>531</v>
      </c>
      <c r="B3900" s="2">
        <v>46053</v>
      </c>
      <c r="C3900" t="s">
        <v>531</v>
      </c>
      <c r="D3900" t="s">
        <v>112</v>
      </c>
      <c r="E3900" t="s">
        <v>9</v>
      </c>
      <c r="F3900" s="3">
        <v>3500</v>
      </c>
      <c r="G3900" s="3">
        <v>3500</v>
      </c>
      <c r="H3900" t="s">
        <v>3</v>
      </c>
      <c r="I3900" t="s">
        <v>3</v>
      </c>
      <c r="J3900" t="s">
        <v>300</v>
      </c>
      <c r="K3900" t="s">
        <v>13</v>
      </c>
      <c r="L3900" t="s">
        <v>14</v>
      </c>
      <c r="M3900" t="s">
        <v>114</v>
      </c>
      <c r="N3900" s="2">
        <v>46053</v>
      </c>
    </row>
    <row r="3901" spans="1:14" x14ac:dyDescent="0.25">
      <c r="A3901" s="4" t="s">
        <v>234</v>
      </c>
      <c r="B3901" s="5"/>
      <c r="C3901" s="4" t="s">
        <v>9</v>
      </c>
      <c r="D3901" s="4" t="s">
        <v>9</v>
      </c>
      <c r="E3901" s="4" t="s">
        <v>9</v>
      </c>
      <c r="F3901" s="6">
        <v>0</v>
      </c>
      <c r="G3901" s="6">
        <v>0</v>
      </c>
      <c r="H3901" s="4" t="s">
        <v>9</v>
      </c>
      <c r="I3901" s="4" t="s">
        <v>3</v>
      </c>
      <c r="J3901" s="4" t="s">
        <v>9</v>
      </c>
      <c r="K3901" s="4" t="s">
        <v>9</v>
      </c>
      <c r="L3901" s="4" t="s">
        <v>9</v>
      </c>
      <c r="M3901" s="4" t="s">
        <v>9</v>
      </c>
      <c r="N3901" s="5"/>
    </row>
    <row r="3902" spans="1:14" x14ac:dyDescent="0.25">
      <c r="A3902" t="s">
        <v>531</v>
      </c>
      <c r="B3902" s="2">
        <v>46084</v>
      </c>
      <c r="C3902" t="s">
        <v>531</v>
      </c>
      <c r="D3902" t="s">
        <v>112</v>
      </c>
      <c r="E3902" t="s">
        <v>9</v>
      </c>
      <c r="F3902" s="3">
        <v>-3800</v>
      </c>
      <c r="G3902" s="3">
        <v>-3800</v>
      </c>
      <c r="H3902" t="s">
        <v>3</v>
      </c>
      <c r="I3902" t="s">
        <v>3</v>
      </c>
      <c r="J3902" t="s">
        <v>9</v>
      </c>
      <c r="K3902" t="s">
        <v>9</v>
      </c>
      <c r="L3902" t="s">
        <v>15</v>
      </c>
      <c r="M3902" t="s">
        <v>114</v>
      </c>
      <c r="N3902" s="2">
        <v>46081</v>
      </c>
    </row>
    <row r="3903" spans="1:14" x14ac:dyDescent="0.25">
      <c r="A3903" t="s">
        <v>531</v>
      </c>
      <c r="B3903" s="2">
        <v>46054</v>
      </c>
      <c r="C3903" t="s">
        <v>531</v>
      </c>
      <c r="D3903" t="s">
        <v>112</v>
      </c>
      <c r="E3903" t="s">
        <v>9</v>
      </c>
      <c r="F3903" s="3">
        <v>-3500</v>
      </c>
      <c r="G3903" s="3">
        <v>-3500</v>
      </c>
      <c r="H3903" t="s">
        <v>3</v>
      </c>
      <c r="I3903" t="s">
        <v>3</v>
      </c>
      <c r="J3903" t="s">
        <v>300</v>
      </c>
      <c r="K3903" t="s">
        <v>13</v>
      </c>
      <c r="L3903" t="s">
        <v>15</v>
      </c>
      <c r="M3903" t="s">
        <v>114</v>
      </c>
      <c r="N3903" s="2">
        <v>46054</v>
      </c>
    </row>
    <row r="3904" spans="1:14" x14ac:dyDescent="0.25">
      <c r="A3904" t="s">
        <v>531</v>
      </c>
      <c r="B3904" s="2">
        <v>46054</v>
      </c>
      <c r="C3904" t="s">
        <v>531</v>
      </c>
      <c r="D3904" t="s">
        <v>112</v>
      </c>
      <c r="E3904" t="s">
        <v>9</v>
      </c>
      <c r="F3904" s="3">
        <v>3500</v>
      </c>
      <c r="G3904" s="3">
        <v>3500</v>
      </c>
      <c r="H3904" t="s">
        <v>3</v>
      </c>
      <c r="I3904" t="s">
        <v>3</v>
      </c>
      <c r="J3904" t="s">
        <v>300</v>
      </c>
      <c r="K3904" t="s">
        <v>13</v>
      </c>
      <c r="L3904" t="s">
        <v>15</v>
      </c>
      <c r="M3904" t="s">
        <v>114</v>
      </c>
      <c r="N3904" s="2">
        <v>46055</v>
      </c>
    </row>
    <row r="3905" spans="1:14" x14ac:dyDescent="0.25">
      <c r="A3905" t="s">
        <v>531</v>
      </c>
      <c r="B3905" s="2">
        <v>46054</v>
      </c>
      <c r="C3905" t="s">
        <v>531</v>
      </c>
      <c r="D3905" t="s">
        <v>112</v>
      </c>
      <c r="E3905" t="s">
        <v>9</v>
      </c>
      <c r="F3905" s="3">
        <v>-3500</v>
      </c>
      <c r="G3905" s="3">
        <v>-3500</v>
      </c>
      <c r="H3905" t="s">
        <v>3</v>
      </c>
      <c r="I3905" t="s">
        <v>3</v>
      </c>
      <c r="J3905" t="s">
        <v>300</v>
      </c>
      <c r="K3905" t="s">
        <v>13</v>
      </c>
      <c r="L3905" t="s">
        <v>15</v>
      </c>
      <c r="M3905" t="s">
        <v>114</v>
      </c>
      <c r="N3905" s="2">
        <v>46054</v>
      </c>
    </row>
    <row r="3906" spans="1:14" x14ac:dyDescent="0.25">
      <c r="A3906" t="s">
        <v>531</v>
      </c>
      <c r="B3906" s="2">
        <v>46081</v>
      </c>
      <c r="C3906" t="s">
        <v>531</v>
      </c>
      <c r="D3906" t="s">
        <v>112</v>
      </c>
      <c r="E3906" t="s">
        <v>9</v>
      </c>
      <c r="F3906" s="3">
        <v>7300</v>
      </c>
      <c r="G3906" s="3">
        <v>7300</v>
      </c>
      <c r="H3906" t="s">
        <v>3</v>
      </c>
      <c r="I3906" t="s">
        <v>3</v>
      </c>
      <c r="J3906" t="s">
        <v>304</v>
      </c>
      <c r="K3906" t="s">
        <v>13</v>
      </c>
      <c r="L3906" t="s">
        <v>15</v>
      </c>
      <c r="M3906" t="s">
        <v>114</v>
      </c>
      <c r="N3906" s="2">
        <v>46081</v>
      </c>
    </row>
    <row r="3907" spans="1:14" x14ac:dyDescent="0.25">
      <c r="A3907" s="4" t="s">
        <v>239</v>
      </c>
      <c r="B3907" s="5"/>
      <c r="C3907" s="4" t="s">
        <v>9</v>
      </c>
      <c r="D3907" s="4" t="s">
        <v>9</v>
      </c>
      <c r="E3907" s="4" t="s">
        <v>9</v>
      </c>
      <c r="F3907" s="6">
        <v>0</v>
      </c>
      <c r="G3907" s="6">
        <v>0</v>
      </c>
      <c r="H3907" s="4" t="s">
        <v>9</v>
      </c>
      <c r="I3907" s="4" t="s">
        <v>3</v>
      </c>
      <c r="J3907" s="4" t="s">
        <v>9</v>
      </c>
      <c r="K3907" s="4" t="s">
        <v>9</v>
      </c>
      <c r="L3907" s="4" t="s">
        <v>9</v>
      </c>
      <c r="M3907" s="4" t="s">
        <v>9</v>
      </c>
      <c r="N3907" s="5"/>
    </row>
    <row r="3908" spans="1:14" x14ac:dyDescent="0.25">
      <c r="A3908" t="s">
        <v>531</v>
      </c>
      <c r="B3908" s="2">
        <v>46115</v>
      </c>
      <c r="C3908" t="s">
        <v>531</v>
      </c>
      <c r="D3908" t="s">
        <v>112</v>
      </c>
      <c r="E3908" t="s">
        <v>9</v>
      </c>
      <c r="F3908" s="3">
        <v>-3200</v>
      </c>
      <c r="G3908" s="3">
        <v>-3200</v>
      </c>
      <c r="H3908" t="s">
        <v>3</v>
      </c>
      <c r="I3908" t="s">
        <v>3</v>
      </c>
      <c r="J3908" t="s">
        <v>9</v>
      </c>
      <c r="K3908" t="s">
        <v>9</v>
      </c>
      <c r="L3908" t="s">
        <v>16</v>
      </c>
      <c r="M3908" t="s">
        <v>114</v>
      </c>
      <c r="N3908" s="2">
        <v>46112</v>
      </c>
    </row>
    <row r="3909" spans="1:14" x14ac:dyDescent="0.25">
      <c r="A3909" t="s">
        <v>531</v>
      </c>
      <c r="B3909" s="2">
        <v>46081</v>
      </c>
      <c r="C3909" t="s">
        <v>531</v>
      </c>
      <c r="D3909" t="s">
        <v>112</v>
      </c>
      <c r="E3909" t="s">
        <v>9</v>
      </c>
      <c r="F3909" s="3">
        <v>-7300</v>
      </c>
      <c r="G3909" s="3">
        <v>-7300</v>
      </c>
      <c r="H3909" t="s">
        <v>3</v>
      </c>
      <c r="I3909" t="s">
        <v>3</v>
      </c>
      <c r="J3909" t="s">
        <v>304</v>
      </c>
      <c r="K3909" t="s">
        <v>13</v>
      </c>
      <c r="L3909" t="s">
        <v>16</v>
      </c>
      <c r="M3909" t="s">
        <v>114</v>
      </c>
      <c r="N3909" s="2">
        <v>46082</v>
      </c>
    </row>
    <row r="3910" spans="1:14" x14ac:dyDescent="0.25">
      <c r="A3910" t="s">
        <v>531</v>
      </c>
      <c r="B3910" s="2">
        <v>46112</v>
      </c>
      <c r="C3910" t="s">
        <v>531</v>
      </c>
      <c r="D3910" t="s">
        <v>112</v>
      </c>
      <c r="E3910" t="s">
        <v>9</v>
      </c>
      <c r="F3910" s="3">
        <v>10500</v>
      </c>
      <c r="G3910" s="3">
        <v>10500</v>
      </c>
      <c r="H3910" t="s">
        <v>3</v>
      </c>
      <c r="I3910" t="s">
        <v>3</v>
      </c>
      <c r="J3910" t="s">
        <v>307</v>
      </c>
      <c r="K3910" t="s">
        <v>13</v>
      </c>
      <c r="L3910" t="s">
        <v>16</v>
      </c>
      <c r="M3910" t="s">
        <v>114</v>
      </c>
      <c r="N3910" s="2">
        <v>46112</v>
      </c>
    </row>
    <row r="3911" spans="1:14" x14ac:dyDescent="0.25">
      <c r="A3911" s="4" t="s">
        <v>244</v>
      </c>
      <c r="B3911" s="5"/>
      <c r="C3911" s="4" t="s">
        <v>9</v>
      </c>
      <c r="D3911" s="4" t="s">
        <v>9</v>
      </c>
      <c r="E3911" s="4" t="s">
        <v>9</v>
      </c>
      <c r="F3911" s="6">
        <v>0</v>
      </c>
      <c r="G3911" s="6">
        <v>0</v>
      </c>
      <c r="H3911" s="4" t="s">
        <v>9</v>
      </c>
      <c r="I3911" s="4" t="s">
        <v>3</v>
      </c>
      <c r="J3911" s="4" t="s">
        <v>9</v>
      </c>
      <c r="K3911" s="4" t="s">
        <v>9</v>
      </c>
      <c r="L3911" s="4" t="s">
        <v>9</v>
      </c>
      <c r="M3911" s="4" t="s">
        <v>9</v>
      </c>
      <c r="N3911" s="5"/>
    </row>
    <row r="3912" spans="1:14" x14ac:dyDescent="0.25">
      <c r="A3912" t="s">
        <v>531</v>
      </c>
      <c r="B3912" s="2">
        <v>46147</v>
      </c>
      <c r="C3912" t="s">
        <v>531</v>
      </c>
      <c r="D3912" t="s">
        <v>112</v>
      </c>
      <c r="E3912" t="s">
        <v>9</v>
      </c>
      <c r="F3912" s="3">
        <v>-100</v>
      </c>
      <c r="G3912" s="3">
        <v>-100</v>
      </c>
      <c r="H3912" t="s">
        <v>3</v>
      </c>
      <c r="I3912" t="s">
        <v>3</v>
      </c>
      <c r="J3912" t="s">
        <v>9</v>
      </c>
      <c r="K3912" t="s">
        <v>9</v>
      </c>
      <c r="L3912" t="s">
        <v>17</v>
      </c>
      <c r="M3912" t="s">
        <v>114</v>
      </c>
      <c r="N3912" s="2">
        <v>46142</v>
      </c>
    </row>
    <row r="3913" spans="1:14" x14ac:dyDescent="0.25">
      <c r="A3913" t="s">
        <v>531</v>
      </c>
      <c r="B3913" s="2">
        <v>46112</v>
      </c>
      <c r="C3913" t="s">
        <v>531</v>
      </c>
      <c r="D3913" t="s">
        <v>112</v>
      </c>
      <c r="E3913" t="s">
        <v>9</v>
      </c>
      <c r="F3913" s="3">
        <v>-10500</v>
      </c>
      <c r="G3913" s="3">
        <v>-10500</v>
      </c>
      <c r="H3913" t="s">
        <v>3</v>
      </c>
      <c r="I3913" t="s">
        <v>3</v>
      </c>
      <c r="J3913" t="s">
        <v>307</v>
      </c>
      <c r="K3913" t="s">
        <v>13</v>
      </c>
      <c r="L3913" t="s">
        <v>17</v>
      </c>
      <c r="M3913" t="s">
        <v>114</v>
      </c>
      <c r="N3913" s="2">
        <v>46113</v>
      </c>
    </row>
    <row r="3914" spans="1:14" x14ac:dyDescent="0.25">
      <c r="A3914" t="s">
        <v>531</v>
      </c>
      <c r="B3914" s="2">
        <v>46142</v>
      </c>
      <c r="C3914" t="s">
        <v>531</v>
      </c>
      <c r="D3914" t="s">
        <v>112</v>
      </c>
      <c r="E3914" t="s">
        <v>9</v>
      </c>
      <c r="F3914" s="3">
        <v>10600</v>
      </c>
      <c r="G3914" s="3">
        <v>10600</v>
      </c>
      <c r="H3914" t="s">
        <v>3</v>
      </c>
      <c r="I3914" t="s">
        <v>3</v>
      </c>
      <c r="J3914" t="s">
        <v>310</v>
      </c>
      <c r="K3914" t="s">
        <v>13</v>
      </c>
      <c r="L3914" t="s">
        <v>17</v>
      </c>
      <c r="M3914" t="s">
        <v>114</v>
      </c>
      <c r="N3914" s="2">
        <v>46142</v>
      </c>
    </row>
    <row r="3915" spans="1:14" x14ac:dyDescent="0.25">
      <c r="A3915" s="4" t="s">
        <v>249</v>
      </c>
      <c r="B3915" s="5"/>
      <c r="C3915" s="4" t="s">
        <v>9</v>
      </c>
      <c r="D3915" s="4" t="s">
        <v>9</v>
      </c>
      <c r="E3915" s="4" t="s">
        <v>9</v>
      </c>
      <c r="F3915" s="6">
        <v>0</v>
      </c>
      <c r="G3915" s="6">
        <v>0</v>
      </c>
      <c r="H3915" s="4" t="s">
        <v>9</v>
      </c>
      <c r="I3915" s="4" t="s">
        <v>3</v>
      </c>
      <c r="J3915" s="4" t="s">
        <v>9</v>
      </c>
      <c r="K3915" s="4" t="s">
        <v>9</v>
      </c>
      <c r="L3915" s="4" t="s">
        <v>9</v>
      </c>
      <c r="M3915" s="4" t="s">
        <v>9</v>
      </c>
      <c r="N3915" s="5"/>
    </row>
    <row r="3916" spans="1:14" x14ac:dyDescent="0.25">
      <c r="A3916" t="s">
        <v>531</v>
      </c>
      <c r="B3916" s="2">
        <v>46175</v>
      </c>
      <c r="C3916" t="s">
        <v>531</v>
      </c>
      <c r="D3916" t="s">
        <v>112</v>
      </c>
      <c r="E3916" t="s">
        <v>9</v>
      </c>
      <c r="F3916" s="3">
        <v>-1400</v>
      </c>
      <c r="G3916" s="3">
        <v>-1400</v>
      </c>
      <c r="H3916" t="s">
        <v>3</v>
      </c>
      <c r="I3916" t="s">
        <v>3</v>
      </c>
      <c r="J3916" t="s">
        <v>9</v>
      </c>
      <c r="K3916" t="s">
        <v>9</v>
      </c>
      <c r="L3916" t="s">
        <v>18</v>
      </c>
      <c r="M3916" t="s">
        <v>114</v>
      </c>
      <c r="N3916" s="2">
        <v>46173</v>
      </c>
    </row>
    <row r="3917" spans="1:14" x14ac:dyDescent="0.25">
      <c r="A3917" t="s">
        <v>531</v>
      </c>
      <c r="B3917" s="2">
        <v>46142</v>
      </c>
      <c r="C3917" t="s">
        <v>531</v>
      </c>
      <c r="D3917" t="s">
        <v>112</v>
      </c>
      <c r="E3917" t="s">
        <v>9</v>
      </c>
      <c r="F3917" s="3">
        <v>-10600</v>
      </c>
      <c r="G3917" s="3">
        <v>-10600</v>
      </c>
      <c r="H3917" t="s">
        <v>3</v>
      </c>
      <c r="I3917" t="s">
        <v>3</v>
      </c>
      <c r="J3917" t="s">
        <v>310</v>
      </c>
      <c r="K3917" t="s">
        <v>13</v>
      </c>
      <c r="L3917" t="s">
        <v>18</v>
      </c>
      <c r="M3917" t="s">
        <v>114</v>
      </c>
      <c r="N3917" s="2">
        <v>46143</v>
      </c>
    </row>
    <row r="3918" spans="1:14" x14ac:dyDescent="0.25">
      <c r="A3918" t="s">
        <v>531</v>
      </c>
      <c r="B3918" s="2">
        <v>46173</v>
      </c>
      <c r="C3918" t="s">
        <v>531</v>
      </c>
      <c r="D3918" t="s">
        <v>112</v>
      </c>
      <c r="E3918" t="s">
        <v>9</v>
      </c>
      <c r="F3918" s="3">
        <v>12000</v>
      </c>
      <c r="G3918" s="3">
        <v>12000</v>
      </c>
      <c r="H3918" t="s">
        <v>3</v>
      </c>
      <c r="I3918" t="s">
        <v>3</v>
      </c>
      <c r="J3918" t="s">
        <v>313</v>
      </c>
      <c r="K3918" t="s">
        <v>13</v>
      </c>
      <c r="L3918" t="s">
        <v>18</v>
      </c>
      <c r="M3918" t="s">
        <v>114</v>
      </c>
      <c r="N3918" s="2">
        <v>46173</v>
      </c>
    </row>
    <row r="3919" spans="1:14" x14ac:dyDescent="0.25">
      <c r="A3919" s="4" t="s">
        <v>223</v>
      </c>
      <c r="B3919" s="5"/>
      <c r="C3919" s="4" t="s">
        <v>9</v>
      </c>
      <c r="D3919" s="4" t="s">
        <v>9</v>
      </c>
      <c r="E3919" s="4" t="s">
        <v>9</v>
      </c>
      <c r="F3919" s="6">
        <v>0</v>
      </c>
      <c r="G3919" s="6">
        <v>0</v>
      </c>
      <c r="H3919" s="4" t="s">
        <v>9</v>
      </c>
      <c r="I3919" s="4" t="s">
        <v>3</v>
      </c>
      <c r="J3919" s="4" t="s">
        <v>9</v>
      </c>
      <c r="K3919" s="4" t="s">
        <v>9</v>
      </c>
      <c r="L3919" s="4" t="s">
        <v>9</v>
      </c>
      <c r="M3919" s="4" t="s">
        <v>9</v>
      </c>
      <c r="N3919" s="5"/>
    </row>
    <row r="3920" spans="1:14" x14ac:dyDescent="0.25">
      <c r="A3920" t="s">
        <v>531</v>
      </c>
      <c r="B3920" s="2">
        <v>46173</v>
      </c>
      <c r="C3920" t="s">
        <v>531</v>
      </c>
      <c r="D3920" t="s">
        <v>112</v>
      </c>
      <c r="E3920" t="s">
        <v>9</v>
      </c>
      <c r="F3920" s="3">
        <v>-12000</v>
      </c>
      <c r="G3920" s="3">
        <v>-12000</v>
      </c>
      <c r="H3920" t="s">
        <v>3</v>
      </c>
      <c r="I3920" t="s">
        <v>3</v>
      </c>
      <c r="J3920" t="s">
        <v>313</v>
      </c>
      <c r="K3920" t="s">
        <v>13</v>
      </c>
      <c r="L3920" t="s">
        <v>19</v>
      </c>
      <c r="M3920" t="s">
        <v>114</v>
      </c>
      <c r="N3920" s="2">
        <v>46174</v>
      </c>
    </row>
    <row r="3921" spans="1:14" x14ac:dyDescent="0.25">
      <c r="A3921" t="s">
        <v>531</v>
      </c>
      <c r="B3921" s="2">
        <v>46203</v>
      </c>
      <c r="C3921" t="s">
        <v>531</v>
      </c>
      <c r="D3921" t="s">
        <v>112</v>
      </c>
      <c r="E3921" t="s">
        <v>9</v>
      </c>
      <c r="F3921" s="3">
        <v>12000</v>
      </c>
      <c r="G3921" s="3">
        <v>12000</v>
      </c>
      <c r="H3921" t="s">
        <v>3</v>
      </c>
      <c r="I3921" t="s">
        <v>3</v>
      </c>
      <c r="J3921" t="s">
        <v>316</v>
      </c>
      <c r="K3921" t="s">
        <v>13</v>
      </c>
      <c r="L3921" t="s">
        <v>19</v>
      </c>
      <c r="M3921" t="s">
        <v>114</v>
      </c>
      <c r="N3921" s="2">
        <v>46203</v>
      </c>
    </row>
    <row r="3922" spans="1:14" x14ac:dyDescent="0.25">
      <c r="A3922" s="4" t="s">
        <v>224</v>
      </c>
      <c r="B3922" s="5"/>
      <c r="C3922" s="4" t="s">
        <v>9</v>
      </c>
      <c r="D3922" s="4" t="s">
        <v>9</v>
      </c>
      <c r="E3922" s="4" t="s">
        <v>9</v>
      </c>
      <c r="F3922" s="6">
        <v>0</v>
      </c>
      <c r="G3922" s="6">
        <v>0</v>
      </c>
      <c r="H3922" s="4" t="s">
        <v>9</v>
      </c>
      <c r="I3922" s="4" t="s">
        <v>3</v>
      </c>
      <c r="J3922" s="4" t="s">
        <v>9</v>
      </c>
      <c r="K3922" s="4" t="s">
        <v>9</v>
      </c>
      <c r="L3922" s="4" t="s">
        <v>9</v>
      </c>
      <c r="M3922" s="4" t="s">
        <v>9</v>
      </c>
      <c r="N3922" s="5"/>
    </row>
    <row r="3923" spans="1:14" x14ac:dyDescent="0.25">
      <c r="A3923" t="s">
        <v>531</v>
      </c>
      <c r="B3923" s="2">
        <v>46203</v>
      </c>
      <c r="C3923" t="s">
        <v>531</v>
      </c>
      <c r="D3923" t="s">
        <v>112</v>
      </c>
      <c r="E3923" t="s">
        <v>9</v>
      </c>
      <c r="F3923" s="3">
        <v>-12000</v>
      </c>
      <c r="G3923" s="3">
        <v>-12000</v>
      </c>
      <c r="H3923" t="s">
        <v>3</v>
      </c>
      <c r="I3923" t="s">
        <v>3</v>
      </c>
      <c r="J3923" t="s">
        <v>316</v>
      </c>
      <c r="K3923" t="s">
        <v>13</v>
      </c>
      <c r="L3923" t="s">
        <v>21</v>
      </c>
      <c r="M3923" t="s">
        <v>114</v>
      </c>
      <c r="N3923" s="2">
        <v>46204</v>
      </c>
    </row>
    <row r="3924" spans="1:14" x14ac:dyDescent="0.25">
      <c r="A3924" t="s">
        <v>531</v>
      </c>
      <c r="B3924" s="2">
        <v>46234</v>
      </c>
      <c r="C3924" t="s">
        <v>531</v>
      </c>
      <c r="D3924" t="s">
        <v>112</v>
      </c>
      <c r="E3924" t="s">
        <v>9</v>
      </c>
      <c r="F3924" s="3">
        <v>12000</v>
      </c>
      <c r="G3924" s="3">
        <v>12000</v>
      </c>
      <c r="H3924" t="s">
        <v>3</v>
      </c>
      <c r="I3924" t="s">
        <v>3</v>
      </c>
      <c r="J3924" t="s">
        <v>341</v>
      </c>
      <c r="K3924" t="s">
        <v>13</v>
      </c>
      <c r="L3924" t="s">
        <v>21</v>
      </c>
      <c r="M3924" t="s">
        <v>114</v>
      </c>
      <c r="N3924" s="2">
        <v>46234</v>
      </c>
    </row>
    <row r="3925" spans="1:14" x14ac:dyDescent="0.25">
      <c r="A3925" s="4" t="s">
        <v>262</v>
      </c>
      <c r="B3925" s="5"/>
      <c r="C3925" s="4" t="s">
        <v>9</v>
      </c>
      <c r="D3925" s="4" t="s">
        <v>9</v>
      </c>
      <c r="E3925" s="4" t="s">
        <v>9</v>
      </c>
      <c r="F3925" s="6">
        <v>0</v>
      </c>
      <c r="G3925" s="6">
        <v>0</v>
      </c>
      <c r="H3925" s="4" t="s">
        <v>9</v>
      </c>
      <c r="I3925" s="4" t="s">
        <v>3</v>
      </c>
      <c r="J3925" s="4" t="s">
        <v>9</v>
      </c>
      <c r="K3925" s="4" t="s">
        <v>9</v>
      </c>
      <c r="L3925" s="4" t="s">
        <v>9</v>
      </c>
      <c r="M3925" s="4" t="s">
        <v>9</v>
      </c>
      <c r="N3925" s="5"/>
    </row>
    <row r="3926" spans="1:14" x14ac:dyDescent="0.25">
      <c r="A3926" t="s">
        <v>531</v>
      </c>
      <c r="B3926" s="2">
        <v>45932</v>
      </c>
      <c r="C3926" t="s">
        <v>531</v>
      </c>
      <c r="D3926" t="s">
        <v>112</v>
      </c>
      <c r="E3926" t="s">
        <v>9</v>
      </c>
      <c r="F3926" s="3">
        <v>-11550</v>
      </c>
      <c r="G3926" s="3">
        <v>-11550</v>
      </c>
      <c r="H3926" t="s">
        <v>3</v>
      </c>
      <c r="I3926" t="s">
        <v>3</v>
      </c>
      <c r="J3926" t="s">
        <v>9</v>
      </c>
      <c r="K3926" t="s">
        <v>9</v>
      </c>
      <c r="L3926" t="s">
        <v>6</v>
      </c>
      <c r="M3926" t="s">
        <v>114</v>
      </c>
      <c r="N3926" s="2">
        <v>45930</v>
      </c>
    </row>
    <row r="3927" spans="1:14" x14ac:dyDescent="0.25">
      <c r="A3927" t="s">
        <v>531</v>
      </c>
      <c r="B3927" s="2">
        <v>45930</v>
      </c>
      <c r="C3927" t="s">
        <v>531</v>
      </c>
      <c r="D3927" t="s">
        <v>112</v>
      </c>
      <c r="E3927" t="s">
        <v>9</v>
      </c>
      <c r="F3927" s="3">
        <v>11550</v>
      </c>
      <c r="G3927" s="3">
        <v>11550</v>
      </c>
      <c r="H3927" t="s">
        <v>3</v>
      </c>
      <c r="I3927" t="s">
        <v>3</v>
      </c>
      <c r="J3927" t="s">
        <v>323</v>
      </c>
      <c r="K3927" t="s">
        <v>5</v>
      </c>
      <c r="L3927" t="s">
        <v>6</v>
      </c>
      <c r="M3927" t="s">
        <v>114</v>
      </c>
      <c r="N3927" s="2">
        <v>45930</v>
      </c>
    </row>
    <row r="3928" spans="1:14" x14ac:dyDescent="0.25">
      <c r="A3928" s="4" t="s">
        <v>272</v>
      </c>
      <c r="B3928" s="5"/>
      <c r="C3928" s="4" t="s">
        <v>9</v>
      </c>
      <c r="D3928" s="4" t="s">
        <v>9</v>
      </c>
      <c r="E3928" s="4" t="s">
        <v>9</v>
      </c>
      <c r="F3928" s="6">
        <v>0</v>
      </c>
      <c r="G3928" s="6">
        <v>0</v>
      </c>
      <c r="H3928" s="4" t="s">
        <v>9</v>
      </c>
      <c r="I3928" s="4" t="s">
        <v>3</v>
      </c>
      <c r="J3928" s="4" t="s">
        <v>9</v>
      </c>
      <c r="K3928" s="4" t="s">
        <v>9</v>
      </c>
      <c r="L3928" s="4" t="s">
        <v>9</v>
      </c>
      <c r="M3928" s="4" t="s">
        <v>9</v>
      </c>
      <c r="N3928" s="5"/>
    </row>
    <row r="3929" spans="1:14" x14ac:dyDescent="0.25">
      <c r="A3929" t="s">
        <v>531</v>
      </c>
      <c r="B3929" s="2">
        <v>45965</v>
      </c>
      <c r="C3929" t="s">
        <v>531</v>
      </c>
      <c r="D3929" t="s">
        <v>112</v>
      </c>
      <c r="E3929" t="s">
        <v>9</v>
      </c>
      <c r="F3929" s="3">
        <v>-11300</v>
      </c>
      <c r="G3929" s="3">
        <v>-11300</v>
      </c>
      <c r="H3929" t="s">
        <v>3</v>
      </c>
      <c r="I3929" t="s">
        <v>3</v>
      </c>
      <c r="J3929" t="s">
        <v>9</v>
      </c>
      <c r="K3929" t="s">
        <v>9</v>
      </c>
      <c r="L3929" t="s">
        <v>8</v>
      </c>
      <c r="M3929" t="s">
        <v>114</v>
      </c>
      <c r="N3929" s="2">
        <v>45961</v>
      </c>
    </row>
    <row r="3930" spans="1:14" x14ac:dyDescent="0.25">
      <c r="A3930" t="s">
        <v>531</v>
      </c>
      <c r="B3930" s="2">
        <v>45930</v>
      </c>
      <c r="C3930" t="s">
        <v>531</v>
      </c>
      <c r="D3930" t="s">
        <v>112</v>
      </c>
      <c r="E3930" t="s">
        <v>9</v>
      </c>
      <c r="F3930" s="3">
        <v>-11550</v>
      </c>
      <c r="G3930" s="3">
        <v>-11550</v>
      </c>
      <c r="H3930" t="s">
        <v>3</v>
      </c>
      <c r="I3930" t="s">
        <v>3</v>
      </c>
      <c r="J3930" t="s">
        <v>323</v>
      </c>
      <c r="K3930" t="s">
        <v>5</v>
      </c>
      <c r="L3930" t="s">
        <v>8</v>
      </c>
      <c r="M3930" t="s">
        <v>114</v>
      </c>
      <c r="N3930" s="2">
        <v>45931</v>
      </c>
    </row>
    <row r="3931" spans="1:14" x14ac:dyDescent="0.25">
      <c r="A3931" t="s">
        <v>531</v>
      </c>
      <c r="B3931" s="2">
        <v>45961</v>
      </c>
      <c r="C3931" t="s">
        <v>531</v>
      </c>
      <c r="D3931" t="s">
        <v>112</v>
      </c>
      <c r="E3931" t="s">
        <v>9</v>
      </c>
      <c r="F3931" s="3">
        <v>22850</v>
      </c>
      <c r="G3931" s="3">
        <v>22850</v>
      </c>
      <c r="H3931" t="s">
        <v>3</v>
      </c>
      <c r="I3931" t="s">
        <v>3</v>
      </c>
      <c r="J3931" t="s">
        <v>325</v>
      </c>
      <c r="K3931" t="s">
        <v>5</v>
      </c>
      <c r="L3931" t="s">
        <v>8</v>
      </c>
      <c r="M3931" t="s">
        <v>114</v>
      </c>
      <c r="N3931" s="2">
        <v>45961</v>
      </c>
    </row>
    <row r="3932" spans="1:14" x14ac:dyDescent="0.25">
      <c r="A3932" s="4" t="s">
        <v>278</v>
      </c>
      <c r="B3932" s="5"/>
      <c r="C3932" s="4" t="s">
        <v>9</v>
      </c>
      <c r="D3932" s="4" t="s">
        <v>9</v>
      </c>
      <c r="E3932" s="4" t="s">
        <v>9</v>
      </c>
      <c r="F3932" s="6">
        <v>0</v>
      </c>
      <c r="G3932" s="6">
        <v>0</v>
      </c>
      <c r="H3932" s="4" t="s">
        <v>9</v>
      </c>
      <c r="I3932" s="4" t="s">
        <v>3</v>
      </c>
      <c r="J3932" s="4" t="s">
        <v>9</v>
      </c>
      <c r="K3932" s="4" t="s">
        <v>9</v>
      </c>
      <c r="L3932" s="4" t="s">
        <v>9</v>
      </c>
      <c r="M3932" s="4" t="s">
        <v>9</v>
      </c>
      <c r="N3932" s="5"/>
    </row>
    <row r="3933" spans="1:14" x14ac:dyDescent="0.25">
      <c r="A3933" t="s">
        <v>531</v>
      </c>
      <c r="B3933" s="2">
        <v>45993</v>
      </c>
      <c r="C3933" t="s">
        <v>531</v>
      </c>
      <c r="D3933" t="s">
        <v>112</v>
      </c>
      <c r="E3933" t="s">
        <v>9</v>
      </c>
      <c r="F3933" s="3">
        <v>-5250</v>
      </c>
      <c r="G3933" s="3">
        <v>-5250</v>
      </c>
      <c r="H3933" t="s">
        <v>3</v>
      </c>
      <c r="I3933" t="s">
        <v>3</v>
      </c>
      <c r="J3933" t="s">
        <v>9</v>
      </c>
      <c r="K3933" t="s">
        <v>9</v>
      </c>
      <c r="L3933" t="s">
        <v>11</v>
      </c>
      <c r="M3933" t="s">
        <v>114</v>
      </c>
      <c r="N3933" s="2">
        <v>45991</v>
      </c>
    </row>
    <row r="3934" spans="1:14" x14ac:dyDescent="0.25">
      <c r="A3934" t="s">
        <v>531</v>
      </c>
      <c r="B3934" s="2">
        <v>45961</v>
      </c>
      <c r="C3934" t="s">
        <v>531</v>
      </c>
      <c r="D3934" t="s">
        <v>112</v>
      </c>
      <c r="E3934" t="s">
        <v>9</v>
      </c>
      <c r="F3934" s="3">
        <v>-22850</v>
      </c>
      <c r="G3934" s="3">
        <v>-22850</v>
      </c>
      <c r="H3934" t="s">
        <v>3</v>
      </c>
      <c r="I3934" t="s">
        <v>3</v>
      </c>
      <c r="J3934" t="s">
        <v>325</v>
      </c>
      <c r="K3934" t="s">
        <v>5</v>
      </c>
      <c r="L3934" t="s">
        <v>11</v>
      </c>
      <c r="M3934" t="s">
        <v>114</v>
      </c>
      <c r="N3934" s="2">
        <v>45962</v>
      </c>
    </row>
    <row r="3935" spans="1:14" x14ac:dyDescent="0.25">
      <c r="A3935" t="s">
        <v>531</v>
      </c>
      <c r="B3935" s="2">
        <v>45991</v>
      </c>
      <c r="C3935" t="s">
        <v>531</v>
      </c>
      <c r="D3935" t="s">
        <v>112</v>
      </c>
      <c r="E3935" t="s">
        <v>9</v>
      </c>
      <c r="F3935" s="3">
        <v>28100</v>
      </c>
      <c r="G3935" s="3">
        <v>28100</v>
      </c>
      <c r="H3935" t="s">
        <v>3</v>
      </c>
      <c r="I3935" t="s">
        <v>3</v>
      </c>
      <c r="J3935" t="s">
        <v>328</v>
      </c>
      <c r="K3935" t="s">
        <v>5</v>
      </c>
      <c r="L3935" t="s">
        <v>11</v>
      </c>
      <c r="M3935" t="s">
        <v>114</v>
      </c>
      <c r="N3935" s="2">
        <v>45991</v>
      </c>
    </row>
    <row r="3936" spans="1:14" x14ac:dyDescent="0.25">
      <c r="A3936" s="4" t="s">
        <v>226</v>
      </c>
      <c r="B3936" s="5"/>
      <c r="C3936" s="4" t="s">
        <v>9</v>
      </c>
      <c r="D3936" s="4" t="s">
        <v>9</v>
      </c>
      <c r="E3936" s="4" t="s">
        <v>9</v>
      </c>
      <c r="F3936" s="6">
        <v>0</v>
      </c>
      <c r="G3936" s="6">
        <v>0</v>
      </c>
      <c r="H3936" s="4" t="s">
        <v>9</v>
      </c>
      <c r="I3936" s="4" t="s">
        <v>3</v>
      </c>
      <c r="J3936" s="4" t="s">
        <v>9</v>
      </c>
      <c r="K3936" s="4" t="s">
        <v>9</v>
      </c>
      <c r="L3936" s="4" t="s">
        <v>9</v>
      </c>
      <c r="M3936" s="4" t="s">
        <v>9</v>
      </c>
      <c r="N3936" s="5"/>
    </row>
    <row r="3937" spans="1:14" x14ac:dyDescent="0.25">
      <c r="A3937" t="s">
        <v>531</v>
      </c>
      <c r="B3937" s="2">
        <v>46028</v>
      </c>
      <c r="C3937" t="s">
        <v>531</v>
      </c>
      <c r="D3937" t="s">
        <v>112</v>
      </c>
      <c r="E3937" t="s">
        <v>9</v>
      </c>
      <c r="F3937" s="3">
        <v>-7800</v>
      </c>
      <c r="G3937" s="3">
        <v>-7800</v>
      </c>
      <c r="H3937" t="s">
        <v>3</v>
      </c>
      <c r="I3937" t="s">
        <v>3</v>
      </c>
      <c r="J3937" t="s">
        <v>9</v>
      </c>
      <c r="K3937" t="s">
        <v>9</v>
      </c>
      <c r="L3937" t="s">
        <v>12</v>
      </c>
      <c r="M3937" t="s">
        <v>114</v>
      </c>
      <c r="N3937" s="2">
        <v>46022</v>
      </c>
    </row>
    <row r="3938" spans="1:14" x14ac:dyDescent="0.25">
      <c r="A3938" t="s">
        <v>531</v>
      </c>
      <c r="B3938" s="2">
        <v>45991</v>
      </c>
      <c r="C3938" t="s">
        <v>531</v>
      </c>
      <c r="D3938" t="s">
        <v>112</v>
      </c>
      <c r="E3938" t="s">
        <v>9</v>
      </c>
      <c r="F3938" s="3">
        <v>-28100</v>
      </c>
      <c r="G3938" s="3">
        <v>-28100</v>
      </c>
      <c r="H3938" t="s">
        <v>3</v>
      </c>
      <c r="I3938" t="s">
        <v>3</v>
      </c>
      <c r="J3938" t="s">
        <v>328</v>
      </c>
      <c r="K3938" t="s">
        <v>5</v>
      </c>
      <c r="L3938" t="s">
        <v>12</v>
      </c>
      <c r="M3938" t="s">
        <v>114</v>
      </c>
      <c r="N3938" s="2">
        <v>45992</v>
      </c>
    </row>
    <row r="3939" spans="1:14" x14ac:dyDescent="0.25">
      <c r="A3939" t="s">
        <v>531</v>
      </c>
      <c r="B3939" s="2">
        <v>46022</v>
      </c>
      <c r="C3939" t="s">
        <v>531</v>
      </c>
      <c r="D3939" t="s">
        <v>112</v>
      </c>
      <c r="E3939" t="s">
        <v>9</v>
      </c>
      <c r="F3939" s="3">
        <v>35900</v>
      </c>
      <c r="G3939" s="3">
        <v>35900</v>
      </c>
      <c r="H3939" t="s">
        <v>3</v>
      </c>
      <c r="I3939" t="s">
        <v>3</v>
      </c>
      <c r="J3939" t="s">
        <v>298</v>
      </c>
      <c r="K3939" t="s">
        <v>5</v>
      </c>
      <c r="L3939" t="s">
        <v>12</v>
      </c>
      <c r="M3939" t="s">
        <v>114</v>
      </c>
      <c r="N3939" s="2">
        <v>46022</v>
      </c>
    </row>
    <row r="3940" spans="1:14" x14ac:dyDescent="0.25">
      <c r="A3940" t="s">
        <v>531</v>
      </c>
      <c r="B3940" s="2">
        <v>46022</v>
      </c>
      <c r="C3940" t="s">
        <v>531</v>
      </c>
      <c r="D3940" t="s">
        <v>112</v>
      </c>
      <c r="E3940" t="s">
        <v>9</v>
      </c>
      <c r="F3940" s="3">
        <v>35900</v>
      </c>
      <c r="G3940" s="3">
        <v>35900</v>
      </c>
      <c r="H3940" t="s">
        <v>3</v>
      </c>
      <c r="I3940" t="s">
        <v>3</v>
      </c>
      <c r="J3940" t="s">
        <v>298</v>
      </c>
      <c r="K3940" t="s">
        <v>5</v>
      </c>
      <c r="L3940" t="s">
        <v>12</v>
      </c>
      <c r="M3940" t="s">
        <v>114</v>
      </c>
      <c r="N3940" s="2">
        <v>46022</v>
      </c>
    </row>
    <row r="3941" spans="1:14" x14ac:dyDescent="0.25">
      <c r="A3941" t="s">
        <v>531</v>
      </c>
      <c r="B3941" s="2">
        <v>46022</v>
      </c>
      <c r="C3941" t="s">
        <v>531</v>
      </c>
      <c r="D3941" t="s">
        <v>112</v>
      </c>
      <c r="E3941" t="s">
        <v>9</v>
      </c>
      <c r="F3941" s="3">
        <v>-35900</v>
      </c>
      <c r="G3941" s="3">
        <v>-35900</v>
      </c>
      <c r="H3941" t="s">
        <v>3</v>
      </c>
      <c r="I3941" t="s">
        <v>3</v>
      </c>
      <c r="J3941" t="s">
        <v>298</v>
      </c>
      <c r="K3941" t="s">
        <v>5</v>
      </c>
      <c r="L3941" t="s">
        <v>12</v>
      </c>
      <c r="M3941" t="s">
        <v>114</v>
      </c>
      <c r="N3941" s="2">
        <v>46022</v>
      </c>
    </row>
    <row r="3942" spans="1:14" x14ac:dyDescent="0.25">
      <c r="A3942" s="4" t="s">
        <v>228</v>
      </c>
      <c r="B3942" s="5"/>
      <c r="C3942" s="4" t="s">
        <v>9</v>
      </c>
      <c r="D3942" s="4" t="s">
        <v>9</v>
      </c>
      <c r="E3942" s="4" t="s">
        <v>9</v>
      </c>
      <c r="F3942" s="6">
        <v>0</v>
      </c>
      <c r="G3942" s="6">
        <v>0</v>
      </c>
      <c r="H3942" s="4" t="s">
        <v>9</v>
      </c>
      <c r="I3942" s="4" t="s">
        <v>3</v>
      </c>
      <c r="J3942" s="4" t="s">
        <v>9</v>
      </c>
      <c r="K3942" s="4" t="s">
        <v>9</v>
      </c>
      <c r="L3942" s="4" t="s">
        <v>9</v>
      </c>
      <c r="M3942" s="4" t="s">
        <v>9</v>
      </c>
      <c r="N3942" s="5"/>
    </row>
    <row r="3943" spans="1:14" x14ac:dyDescent="0.25">
      <c r="A3943" s="4" t="s">
        <v>531</v>
      </c>
      <c r="B3943" s="5"/>
      <c r="C3943" s="4" t="s">
        <v>9</v>
      </c>
      <c r="D3943" s="4" t="s">
        <v>9</v>
      </c>
      <c r="E3943" s="4" t="s">
        <v>9</v>
      </c>
      <c r="F3943" s="6">
        <v>0</v>
      </c>
      <c r="G3943" s="6">
        <v>0</v>
      </c>
      <c r="H3943" s="4" t="s">
        <v>9</v>
      </c>
      <c r="I3943" s="4" t="s">
        <v>3</v>
      </c>
      <c r="J3943" s="4" t="s">
        <v>9</v>
      </c>
      <c r="K3943" s="4" t="s">
        <v>9</v>
      </c>
      <c r="L3943" s="4" t="s">
        <v>9</v>
      </c>
      <c r="M3943" s="4" t="s">
        <v>9</v>
      </c>
      <c r="N3943" s="5"/>
    </row>
    <row r="3944" spans="1:14" x14ac:dyDescent="0.25">
      <c r="A3944" t="s">
        <v>532</v>
      </c>
      <c r="B3944" s="2">
        <v>46084</v>
      </c>
      <c r="C3944" t="s">
        <v>532</v>
      </c>
      <c r="D3944" t="s">
        <v>99</v>
      </c>
      <c r="E3944" t="s">
        <v>9</v>
      </c>
      <c r="F3944" s="3">
        <v>127.8</v>
      </c>
      <c r="G3944" s="3">
        <v>127.8</v>
      </c>
      <c r="H3944" t="s">
        <v>3</v>
      </c>
      <c r="I3944" t="s">
        <v>3</v>
      </c>
      <c r="J3944" t="s">
        <v>9</v>
      </c>
      <c r="K3944" t="s">
        <v>9</v>
      </c>
      <c r="L3944" t="s">
        <v>15</v>
      </c>
      <c r="M3944" t="s">
        <v>102</v>
      </c>
      <c r="N3944" s="2">
        <v>46081</v>
      </c>
    </row>
    <row r="3945" spans="1:14" x14ac:dyDescent="0.25">
      <c r="A3945" t="s">
        <v>532</v>
      </c>
      <c r="B3945" s="2">
        <v>46049</v>
      </c>
      <c r="C3945" t="s">
        <v>532</v>
      </c>
      <c r="D3945" t="s">
        <v>99</v>
      </c>
      <c r="E3945" t="s">
        <v>533</v>
      </c>
      <c r="F3945" s="3">
        <v>-127.8</v>
      </c>
      <c r="G3945" s="3">
        <v>-127.8</v>
      </c>
      <c r="H3945" t="s">
        <v>3</v>
      </c>
      <c r="I3945" t="s">
        <v>3</v>
      </c>
      <c r="J3945" t="s">
        <v>534</v>
      </c>
      <c r="K3945" t="s">
        <v>13</v>
      </c>
      <c r="L3945" t="s">
        <v>15</v>
      </c>
      <c r="M3945" t="s">
        <v>102</v>
      </c>
      <c r="N3945" s="2">
        <v>46058</v>
      </c>
    </row>
    <row r="3946" spans="1:14" x14ac:dyDescent="0.25">
      <c r="A3946" s="4" t="s">
        <v>239</v>
      </c>
      <c r="B3946" s="5"/>
      <c r="C3946" s="4" t="s">
        <v>9</v>
      </c>
      <c r="D3946" s="4" t="s">
        <v>9</v>
      </c>
      <c r="E3946" s="4" t="s">
        <v>9</v>
      </c>
      <c r="F3946" s="6">
        <v>0</v>
      </c>
      <c r="G3946" s="6">
        <v>0</v>
      </c>
      <c r="H3946" s="4" t="s">
        <v>9</v>
      </c>
      <c r="I3946" s="4" t="s">
        <v>3</v>
      </c>
      <c r="J3946" s="4" t="s">
        <v>9</v>
      </c>
      <c r="K3946" s="4" t="s">
        <v>9</v>
      </c>
      <c r="L3946" s="4" t="s">
        <v>9</v>
      </c>
      <c r="M3946" s="4" t="s">
        <v>9</v>
      </c>
      <c r="N3946" s="5"/>
    </row>
    <row r="3947" spans="1:14" x14ac:dyDescent="0.25">
      <c r="A3947" t="s">
        <v>532</v>
      </c>
      <c r="B3947" s="2">
        <v>46147</v>
      </c>
      <c r="C3947" t="s">
        <v>532</v>
      </c>
      <c r="D3947" t="s">
        <v>99</v>
      </c>
      <c r="E3947" t="s">
        <v>9</v>
      </c>
      <c r="F3947" s="3">
        <v>-2685.6</v>
      </c>
      <c r="G3947" s="3">
        <v>-2685.6</v>
      </c>
      <c r="H3947" t="s">
        <v>3</v>
      </c>
      <c r="I3947" t="s">
        <v>3</v>
      </c>
      <c r="J3947" t="s">
        <v>9</v>
      </c>
      <c r="K3947" t="s">
        <v>9</v>
      </c>
      <c r="L3947" t="s">
        <v>17</v>
      </c>
      <c r="M3947" t="s">
        <v>102</v>
      </c>
      <c r="N3947" s="2">
        <v>46142</v>
      </c>
    </row>
    <row r="3948" spans="1:14" x14ac:dyDescent="0.25">
      <c r="A3948" t="s">
        <v>532</v>
      </c>
      <c r="B3948" s="2">
        <v>46113</v>
      </c>
      <c r="C3948" t="s">
        <v>532</v>
      </c>
      <c r="D3948" t="s">
        <v>99</v>
      </c>
      <c r="E3948" t="s">
        <v>535</v>
      </c>
      <c r="F3948" s="3">
        <v>2685.6</v>
      </c>
      <c r="G3948" s="3">
        <v>2685.6</v>
      </c>
      <c r="H3948" t="s">
        <v>3</v>
      </c>
      <c r="I3948" t="s">
        <v>3</v>
      </c>
      <c r="J3948" t="s">
        <v>536</v>
      </c>
      <c r="K3948" t="s">
        <v>13</v>
      </c>
      <c r="L3948" t="s">
        <v>17</v>
      </c>
      <c r="M3948" t="s">
        <v>102</v>
      </c>
      <c r="N3948" s="2">
        <v>46113</v>
      </c>
    </row>
    <row r="3949" spans="1:14" x14ac:dyDescent="0.25">
      <c r="A3949" s="4" t="s">
        <v>249</v>
      </c>
      <c r="B3949" s="5"/>
      <c r="C3949" s="4" t="s">
        <v>9</v>
      </c>
      <c r="D3949" s="4" t="s">
        <v>9</v>
      </c>
      <c r="E3949" s="4" t="s">
        <v>9</v>
      </c>
      <c r="F3949" s="6">
        <v>0</v>
      </c>
      <c r="G3949" s="6">
        <v>0</v>
      </c>
      <c r="H3949" s="4" t="s">
        <v>9</v>
      </c>
      <c r="I3949" s="4" t="s">
        <v>3</v>
      </c>
      <c r="J3949" s="4" t="s">
        <v>9</v>
      </c>
      <c r="K3949" s="4" t="s">
        <v>9</v>
      </c>
      <c r="L3949" s="4" t="s">
        <v>9</v>
      </c>
      <c r="M3949" s="4" t="s">
        <v>9</v>
      </c>
      <c r="N3949" s="5"/>
    </row>
    <row r="3950" spans="1:14" x14ac:dyDescent="0.25">
      <c r="A3950" t="s">
        <v>532</v>
      </c>
      <c r="B3950" s="2">
        <v>46175</v>
      </c>
      <c r="C3950" t="s">
        <v>532</v>
      </c>
      <c r="D3950" t="s">
        <v>99</v>
      </c>
      <c r="E3950" t="s">
        <v>9</v>
      </c>
      <c r="F3950" s="3">
        <v>-11413.8</v>
      </c>
      <c r="G3950" s="3">
        <v>-11413.8</v>
      </c>
      <c r="H3950" t="s">
        <v>3</v>
      </c>
      <c r="I3950" t="s">
        <v>3</v>
      </c>
      <c r="J3950" t="s">
        <v>9</v>
      </c>
      <c r="K3950" t="s">
        <v>9</v>
      </c>
      <c r="L3950" t="s">
        <v>18</v>
      </c>
      <c r="M3950" t="s">
        <v>102</v>
      </c>
      <c r="N3950" s="2">
        <v>46173</v>
      </c>
    </row>
    <row r="3951" spans="1:14" x14ac:dyDescent="0.25">
      <c r="A3951" t="s">
        <v>532</v>
      </c>
      <c r="B3951" s="2">
        <v>46171</v>
      </c>
      <c r="C3951" t="s">
        <v>532</v>
      </c>
      <c r="D3951" t="s">
        <v>99</v>
      </c>
      <c r="E3951" t="s">
        <v>535</v>
      </c>
      <c r="F3951" s="3">
        <v>3357</v>
      </c>
      <c r="G3951" s="3">
        <v>3357</v>
      </c>
      <c r="H3951" t="s">
        <v>3</v>
      </c>
      <c r="I3951" t="s">
        <v>3</v>
      </c>
      <c r="J3951" t="s">
        <v>537</v>
      </c>
      <c r="K3951" t="s">
        <v>13</v>
      </c>
      <c r="L3951" t="s">
        <v>18</v>
      </c>
      <c r="M3951" t="s">
        <v>102</v>
      </c>
      <c r="N3951" s="2">
        <v>46171</v>
      </c>
    </row>
    <row r="3952" spans="1:14" x14ac:dyDescent="0.25">
      <c r="A3952" t="s">
        <v>532</v>
      </c>
      <c r="B3952" s="2">
        <v>46171</v>
      </c>
      <c r="C3952" t="s">
        <v>532</v>
      </c>
      <c r="D3952" t="s">
        <v>99</v>
      </c>
      <c r="E3952" t="s">
        <v>535</v>
      </c>
      <c r="F3952" s="3">
        <v>8056.8</v>
      </c>
      <c r="G3952" s="3">
        <v>8056.8</v>
      </c>
      <c r="H3952" t="s">
        <v>3</v>
      </c>
      <c r="I3952" t="s">
        <v>3</v>
      </c>
      <c r="J3952" t="s">
        <v>538</v>
      </c>
      <c r="K3952" t="s">
        <v>13</v>
      </c>
      <c r="L3952" t="s">
        <v>18</v>
      </c>
      <c r="M3952" t="s">
        <v>102</v>
      </c>
      <c r="N3952" s="2">
        <v>46171</v>
      </c>
    </row>
    <row r="3953" spans="1:14" x14ac:dyDescent="0.25">
      <c r="A3953" s="4" t="s">
        <v>223</v>
      </c>
      <c r="B3953" s="5"/>
      <c r="C3953" s="4" t="s">
        <v>9</v>
      </c>
      <c r="D3953" s="4" t="s">
        <v>9</v>
      </c>
      <c r="E3953" s="4" t="s">
        <v>9</v>
      </c>
      <c r="F3953" s="6">
        <v>0</v>
      </c>
      <c r="G3953" s="6">
        <v>0</v>
      </c>
      <c r="H3953" s="4" t="s">
        <v>9</v>
      </c>
      <c r="I3953" s="4" t="s">
        <v>3</v>
      </c>
      <c r="J3953" s="4" t="s">
        <v>9</v>
      </c>
      <c r="K3953" s="4" t="s">
        <v>9</v>
      </c>
      <c r="L3953" s="4" t="s">
        <v>9</v>
      </c>
      <c r="M3953" s="4" t="s">
        <v>9</v>
      </c>
      <c r="N3953" s="5"/>
    </row>
    <row r="3954" spans="1:14" x14ac:dyDescent="0.25">
      <c r="A3954" t="s">
        <v>532</v>
      </c>
      <c r="B3954" s="2">
        <v>46028</v>
      </c>
      <c r="C3954" t="s">
        <v>532</v>
      </c>
      <c r="D3954" t="s">
        <v>99</v>
      </c>
      <c r="E3954" t="s">
        <v>9</v>
      </c>
      <c r="F3954" s="3">
        <v>-27999</v>
      </c>
      <c r="G3954" s="3">
        <v>-27999</v>
      </c>
      <c r="H3954" t="s">
        <v>3</v>
      </c>
      <c r="I3954" t="s">
        <v>3</v>
      </c>
      <c r="J3954" t="s">
        <v>9</v>
      </c>
      <c r="K3954" t="s">
        <v>9</v>
      </c>
      <c r="L3954" t="s">
        <v>12</v>
      </c>
      <c r="M3954" t="s">
        <v>102</v>
      </c>
      <c r="N3954" s="2">
        <v>46022</v>
      </c>
    </row>
    <row r="3955" spans="1:14" x14ac:dyDescent="0.25">
      <c r="A3955" t="s">
        <v>532</v>
      </c>
      <c r="B3955" s="2">
        <v>46006</v>
      </c>
      <c r="C3955" t="s">
        <v>532</v>
      </c>
      <c r="D3955" t="s">
        <v>99</v>
      </c>
      <c r="E3955" t="s">
        <v>533</v>
      </c>
      <c r="F3955" s="3">
        <v>27999</v>
      </c>
      <c r="G3955" s="3">
        <v>27999</v>
      </c>
      <c r="H3955" t="s">
        <v>3</v>
      </c>
      <c r="I3955" t="s">
        <v>3</v>
      </c>
      <c r="J3955" t="s">
        <v>534</v>
      </c>
      <c r="K3955" t="s">
        <v>5</v>
      </c>
      <c r="L3955" t="s">
        <v>12</v>
      </c>
      <c r="M3955" t="s">
        <v>102</v>
      </c>
      <c r="N3955" s="2">
        <v>46006</v>
      </c>
    </row>
    <row r="3956" spans="1:14" x14ac:dyDescent="0.25">
      <c r="A3956" s="4" t="s">
        <v>228</v>
      </c>
      <c r="B3956" s="5"/>
      <c r="C3956" s="4" t="s">
        <v>9</v>
      </c>
      <c r="D3956" s="4" t="s">
        <v>9</v>
      </c>
      <c r="E3956" s="4" t="s">
        <v>9</v>
      </c>
      <c r="F3956" s="6">
        <v>0</v>
      </c>
      <c r="G3956" s="6">
        <v>0</v>
      </c>
      <c r="H3956" s="4" t="s">
        <v>9</v>
      </c>
      <c r="I3956" s="4" t="s">
        <v>3</v>
      </c>
      <c r="J3956" s="4" t="s">
        <v>9</v>
      </c>
      <c r="K3956" s="4" t="s">
        <v>9</v>
      </c>
      <c r="L3956" s="4" t="s">
        <v>9</v>
      </c>
      <c r="M3956" s="4" t="s">
        <v>9</v>
      </c>
      <c r="N3956" s="5"/>
    </row>
    <row r="3957" spans="1:14" x14ac:dyDescent="0.25">
      <c r="A3957" s="4" t="s">
        <v>532</v>
      </c>
      <c r="B3957" s="5"/>
      <c r="C3957" s="4" t="s">
        <v>9</v>
      </c>
      <c r="D3957" s="4" t="s">
        <v>9</v>
      </c>
      <c r="E3957" s="4" t="s">
        <v>9</v>
      </c>
      <c r="F3957" s="6">
        <v>0</v>
      </c>
      <c r="G3957" s="6">
        <v>0</v>
      </c>
      <c r="H3957" s="4" t="s">
        <v>9</v>
      </c>
      <c r="I3957" s="4" t="s">
        <v>3</v>
      </c>
      <c r="J3957" s="4" t="s">
        <v>9</v>
      </c>
      <c r="K3957" s="4" t="s">
        <v>9</v>
      </c>
      <c r="L3957" s="4" t="s">
        <v>9</v>
      </c>
      <c r="M3957" s="4" t="s">
        <v>9</v>
      </c>
      <c r="N3957" s="5"/>
    </row>
    <row r="3958" spans="1:14" x14ac:dyDescent="0.25">
      <c r="A3958" t="s">
        <v>539</v>
      </c>
      <c r="B3958" s="2">
        <v>46022</v>
      </c>
      <c r="C3958" t="s">
        <v>539</v>
      </c>
      <c r="D3958" t="s">
        <v>112</v>
      </c>
      <c r="E3958" t="s">
        <v>9</v>
      </c>
      <c r="F3958" s="3">
        <v>-18000</v>
      </c>
      <c r="G3958" s="3">
        <v>-18000</v>
      </c>
      <c r="H3958" t="s">
        <v>3</v>
      </c>
      <c r="I3958" t="s">
        <v>3</v>
      </c>
      <c r="J3958" t="s">
        <v>298</v>
      </c>
      <c r="K3958" t="s">
        <v>13</v>
      </c>
      <c r="L3958" t="s">
        <v>14</v>
      </c>
      <c r="M3958" t="s">
        <v>114</v>
      </c>
      <c r="N3958" s="2">
        <v>46023</v>
      </c>
    </row>
    <row r="3959" spans="1:14" x14ac:dyDescent="0.25">
      <c r="A3959" t="s">
        <v>539</v>
      </c>
      <c r="B3959" s="2">
        <v>46023</v>
      </c>
      <c r="C3959" t="s">
        <v>539</v>
      </c>
      <c r="D3959" t="s">
        <v>112</v>
      </c>
      <c r="E3959" t="s">
        <v>9</v>
      </c>
      <c r="F3959" s="3">
        <v>18000</v>
      </c>
      <c r="G3959" s="3">
        <v>18000</v>
      </c>
      <c r="H3959" t="s">
        <v>3</v>
      </c>
      <c r="I3959" t="s">
        <v>3</v>
      </c>
      <c r="J3959" t="s">
        <v>298</v>
      </c>
      <c r="K3959" t="s">
        <v>13</v>
      </c>
      <c r="L3959" t="s">
        <v>14</v>
      </c>
      <c r="M3959" t="s">
        <v>114</v>
      </c>
      <c r="N3959" s="2">
        <v>46023</v>
      </c>
    </row>
    <row r="3960" spans="1:14" x14ac:dyDescent="0.25">
      <c r="A3960" s="4" t="s">
        <v>234</v>
      </c>
      <c r="B3960" s="5"/>
      <c r="C3960" s="4" t="s">
        <v>9</v>
      </c>
      <c r="D3960" s="4" t="s">
        <v>9</v>
      </c>
      <c r="E3960" s="4" t="s">
        <v>9</v>
      </c>
      <c r="F3960" s="6">
        <v>0</v>
      </c>
      <c r="G3960" s="6">
        <v>0</v>
      </c>
      <c r="H3960" s="4" t="s">
        <v>9</v>
      </c>
      <c r="I3960" s="4" t="s">
        <v>3</v>
      </c>
      <c r="J3960" s="4" t="s">
        <v>9</v>
      </c>
      <c r="K3960" s="4" t="s">
        <v>9</v>
      </c>
      <c r="L3960" s="4" t="s">
        <v>9</v>
      </c>
      <c r="M3960" s="4" t="s">
        <v>9</v>
      </c>
      <c r="N3960" s="5"/>
    </row>
    <row r="3961" spans="1:14" x14ac:dyDescent="0.25">
      <c r="A3961" t="s">
        <v>539</v>
      </c>
      <c r="B3961" s="2">
        <v>46084</v>
      </c>
      <c r="C3961" t="s">
        <v>539</v>
      </c>
      <c r="D3961" t="s">
        <v>112</v>
      </c>
      <c r="E3961" t="s">
        <v>9</v>
      </c>
      <c r="F3961" s="3">
        <v>-150</v>
      </c>
      <c r="G3961" s="3">
        <v>-150</v>
      </c>
      <c r="H3961" t="s">
        <v>3</v>
      </c>
      <c r="I3961" t="s">
        <v>3</v>
      </c>
      <c r="J3961" t="s">
        <v>9</v>
      </c>
      <c r="K3961" t="s">
        <v>9</v>
      </c>
      <c r="L3961" t="s">
        <v>15</v>
      </c>
      <c r="M3961" t="s">
        <v>114</v>
      </c>
      <c r="N3961" s="2">
        <v>46081</v>
      </c>
    </row>
    <row r="3962" spans="1:14" x14ac:dyDescent="0.25">
      <c r="A3962" t="s">
        <v>539</v>
      </c>
      <c r="B3962" s="2">
        <v>46081</v>
      </c>
      <c r="C3962" t="s">
        <v>539</v>
      </c>
      <c r="D3962" t="s">
        <v>112</v>
      </c>
      <c r="E3962" t="s">
        <v>9</v>
      </c>
      <c r="F3962" s="3">
        <v>150</v>
      </c>
      <c r="G3962" s="3">
        <v>150</v>
      </c>
      <c r="H3962" t="s">
        <v>3</v>
      </c>
      <c r="I3962" t="s">
        <v>3</v>
      </c>
      <c r="J3962" t="s">
        <v>304</v>
      </c>
      <c r="K3962" t="s">
        <v>13</v>
      </c>
      <c r="L3962" t="s">
        <v>15</v>
      </c>
      <c r="M3962" t="s">
        <v>114</v>
      </c>
      <c r="N3962" s="2">
        <v>46081</v>
      </c>
    </row>
    <row r="3963" spans="1:14" x14ac:dyDescent="0.25">
      <c r="A3963" s="4" t="s">
        <v>239</v>
      </c>
      <c r="B3963" s="5"/>
      <c r="C3963" s="4" t="s">
        <v>9</v>
      </c>
      <c r="D3963" s="4" t="s">
        <v>9</v>
      </c>
      <c r="E3963" s="4" t="s">
        <v>9</v>
      </c>
      <c r="F3963" s="6">
        <v>0</v>
      </c>
      <c r="G3963" s="6">
        <v>0</v>
      </c>
      <c r="H3963" s="4" t="s">
        <v>9</v>
      </c>
      <c r="I3963" s="4" t="s">
        <v>3</v>
      </c>
      <c r="J3963" s="4" t="s">
        <v>9</v>
      </c>
      <c r="K3963" s="4" t="s">
        <v>9</v>
      </c>
      <c r="L3963" s="4" t="s">
        <v>9</v>
      </c>
      <c r="M3963" s="4" t="s">
        <v>9</v>
      </c>
      <c r="N3963" s="5"/>
    </row>
    <row r="3964" spans="1:14" x14ac:dyDescent="0.25">
      <c r="A3964" t="s">
        <v>539</v>
      </c>
      <c r="B3964" s="2">
        <v>46115</v>
      </c>
      <c r="C3964" t="s">
        <v>539</v>
      </c>
      <c r="D3964" t="s">
        <v>112</v>
      </c>
      <c r="E3964" t="s">
        <v>9</v>
      </c>
      <c r="F3964" s="3">
        <v>-950</v>
      </c>
      <c r="G3964" s="3">
        <v>-950</v>
      </c>
      <c r="H3964" t="s">
        <v>3</v>
      </c>
      <c r="I3964" t="s">
        <v>3</v>
      </c>
      <c r="J3964" t="s">
        <v>9</v>
      </c>
      <c r="K3964" t="s">
        <v>9</v>
      </c>
      <c r="L3964" t="s">
        <v>16</v>
      </c>
      <c r="M3964" t="s">
        <v>114</v>
      </c>
      <c r="N3964" s="2">
        <v>46112</v>
      </c>
    </row>
    <row r="3965" spans="1:14" x14ac:dyDescent="0.25">
      <c r="A3965" t="s">
        <v>539</v>
      </c>
      <c r="B3965" s="2">
        <v>46081</v>
      </c>
      <c r="C3965" t="s">
        <v>539</v>
      </c>
      <c r="D3965" t="s">
        <v>112</v>
      </c>
      <c r="E3965" t="s">
        <v>9</v>
      </c>
      <c r="F3965" s="3">
        <v>-150</v>
      </c>
      <c r="G3965" s="3">
        <v>-150</v>
      </c>
      <c r="H3965" t="s">
        <v>3</v>
      </c>
      <c r="I3965" t="s">
        <v>3</v>
      </c>
      <c r="J3965" t="s">
        <v>304</v>
      </c>
      <c r="K3965" t="s">
        <v>13</v>
      </c>
      <c r="L3965" t="s">
        <v>16</v>
      </c>
      <c r="M3965" t="s">
        <v>114</v>
      </c>
      <c r="N3965" s="2">
        <v>46082</v>
      </c>
    </row>
    <row r="3966" spans="1:14" x14ac:dyDescent="0.25">
      <c r="A3966" t="s">
        <v>539</v>
      </c>
      <c r="B3966" s="2">
        <v>46112</v>
      </c>
      <c r="C3966" t="s">
        <v>539</v>
      </c>
      <c r="D3966" t="s">
        <v>112</v>
      </c>
      <c r="E3966" t="s">
        <v>9</v>
      </c>
      <c r="F3966" s="3">
        <v>1100</v>
      </c>
      <c r="G3966" s="3">
        <v>1100</v>
      </c>
      <c r="H3966" t="s">
        <v>3</v>
      </c>
      <c r="I3966" t="s">
        <v>3</v>
      </c>
      <c r="J3966" t="s">
        <v>307</v>
      </c>
      <c r="K3966" t="s">
        <v>13</v>
      </c>
      <c r="L3966" t="s">
        <v>16</v>
      </c>
      <c r="M3966" t="s">
        <v>114</v>
      </c>
      <c r="N3966" s="2">
        <v>46112</v>
      </c>
    </row>
    <row r="3967" spans="1:14" x14ac:dyDescent="0.25">
      <c r="A3967" s="4" t="s">
        <v>244</v>
      </c>
      <c r="B3967" s="5"/>
      <c r="C3967" s="4" t="s">
        <v>9</v>
      </c>
      <c r="D3967" s="4" t="s">
        <v>9</v>
      </c>
      <c r="E3967" s="4" t="s">
        <v>9</v>
      </c>
      <c r="F3967" s="6">
        <v>0</v>
      </c>
      <c r="G3967" s="6">
        <v>0</v>
      </c>
      <c r="H3967" s="4" t="s">
        <v>9</v>
      </c>
      <c r="I3967" s="4" t="s">
        <v>3</v>
      </c>
      <c r="J3967" s="4" t="s">
        <v>9</v>
      </c>
      <c r="K3967" s="4" t="s">
        <v>9</v>
      </c>
      <c r="L3967" s="4" t="s">
        <v>9</v>
      </c>
      <c r="M3967" s="4" t="s">
        <v>9</v>
      </c>
      <c r="N3967" s="5"/>
    </row>
    <row r="3968" spans="1:14" x14ac:dyDescent="0.25">
      <c r="A3968" t="s">
        <v>539</v>
      </c>
      <c r="B3968" s="2">
        <v>46147</v>
      </c>
      <c r="C3968" t="s">
        <v>539</v>
      </c>
      <c r="D3968" t="s">
        <v>112</v>
      </c>
      <c r="E3968" t="s">
        <v>9</v>
      </c>
      <c r="F3968" s="3">
        <v>-300</v>
      </c>
      <c r="G3968" s="3">
        <v>-300</v>
      </c>
      <c r="H3968" t="s">
        <v>3</v>
      </c>
      <c r="I3968" t="s">
        <v>3</v>
      </c>
      <c r="J3968" t="s">
        <v>9</v>
      </c>
      <c r="K3968" t="s">
        <v>9</v>
      </c>
      <c r="L3968" t="s">
        <v>17</v>
      </c>
      <c r="M3968" t="s">
        <v>114</v>
      </c>
      <c r="N3968" s="2">
        <v>46142</v>
      </c>
    </row>
    <row r="3969" spans="1:14" x14ac:dyDescent="0.25">
      <c r="A3969" t="s">
        <v>539</v>
      </c>
      <c r="B3969" s="2">
        <v>46112</v>
      </c>
      <c r="C3969" t="s">
        <v>539</v>
      </c>
      <c r="D3969" t="s">
        <v>112</v>
      </c>
      <c r="E3969" t="s">
        <v>9</v>
      </c>
      <c r="F3969" s="3">
        <v>-1100</v>
      </c>
      <c r="G3969" s="3">
        <v>-1100</v>
      </c>
      <c r="H3969" t="s">
        <v>3</v>
      </c>
      <c r="I3969" t="s">
        <v>3</v>
      </c>
      <c r="J3969" t="s">
        <v>307</v>
      </c>
      <c r="K3969" t="s">
        <v>13</v>
      </c>
      <c r="L3969" t="s">
        <v>17</v>
      </c>
      <c r="M3969" t="s">
        <v>114</v>
      </c>
      <c r="N3969" s="2">
        <v>46113</v>
      </c>
    </row>
    <row r="3970" spans="1:14" x14ac:dyDescent="0.25">
      <c r="A3970" t="s">
        <v>539</v>
      </c>
      <c r="B3970" s="2">
        <v>46142</v>
      </c>
      <c r="C3970" t="s">
        <v>539</v>
      </c>
      <c r="D3970" t="s">
        <v>112</v>
      </c>
      <c r="E3970" t="s">
        <v>9</v>
      </c>
      <c r="F3970" s="3">
        <v>1400</v>
      </c>
      <c r="G3970" s="3">
        <v>1400</v>
      </c>
      <c r="H3970" t="s">
        <v>3</v>
      </c>
      <c r="I3970" t="s">
        <v>3</v>
      </c>
      <c r="J3970" t="s">
        <v>310</v>
      </c>
      <c r="K3970" t="s">
        <v>13</v>
      </c>
      <c r="L3970" t="s">
        <v>17</v>
      </c>
      <c r="M3970" t="s">
        <v>114</v>
      </c>
      <c r="N3970" s="2">
        <v>46142</v>
      </c>
    </row>
    <row r="3971" spans="1:14" x14ac:dyDescent="0.25">
      <c r="A3971" s="4" t="s">
        <v>249</v>
      </c>
      <c r="B3971" s="5"/>
      <c r="C3971" s="4" t="s">
        <v>9</v>
      </c>
      <c r="D3971" s="4" t="s">
        <v>9</v>
      </c>
      <c r="E3971" s="4" t="s">
        <v>9</v>
      </c>
      <c r="F3971" s="6">
        <v>0</v>
      </c>
      <c r="G3971" s="6">
        <v>0</v>
      </c>
      <c r="H3971" s="4" t="s">
        <v>9</v>
      </c>
      <c r="I3971" s="4" t="s">
        <v>3</v>
      </c>
      <c r="J3971" s="4" t="s">
        <v>9</v>
      </c>
      <c r="K3971" s="4" t="s">
        <v>9</v>
      </c>
      <c r="L3971" s="4" t="s">
        <v>9</v>
      </c>
      <c r="M3971" s="4" t="s">
        <v>9</v>
      </c>
      <c r="N3971" s="5"/>
    </row>
    <row r="3972" spans="1:14" x14ac:dyDescent="0.25">
      <c r="A3972" t="s">
        <v>539</v>
      </c>
      <c r="B3972" s="2">
        <v>46175</v>
      </c>
      <c r="C3972" t="s">
        <v>539</v>
      </c>
      <c r="D3972" t="s">
        <v>112</v>
      </c>
      <c r="E3972" t="s">
        <v>9</v>
      </c>
      <c r="F3972" s="3">
        <v>-900</v>
      </c>
      <c r="G3972" s="3">
        <v>-900</v>
      </c>
      <c r="H3972" t="s">
        <v>3</v>
      </c>
      <c r="I3972" t="s">
        <v>3</v>
      </c>
      <c r="J3972" t="s">
        <v>9</v>
      </c>
      <c r="K3972" t="s">
        <v>9</v>
      </c>
      <c r="L3972" t="s">
        <v>18</v>
      </c>
      <c r="M3972" t="s">
        <v>114</v>
      </c>
      <c r="N3972" s="2">
        <v>46173</v>
      </c>
    </row>
    <row r="3973" spans="1:14" x14ac:dyDescent="0.25">
      <c r="A3973" t="s">
        <v>539</v>
      </c>
      <c r="B3973" s="2">
        <v>46142</v>
      </c>
      <c r="C3973" t="s">
        <v>539</v>
      </c>
      <c r="D3973" t="s">
        <v>112</v>
      </c>
      <c r="E3973" t="s">
        <v>9</v>
      </c>
      <c r="F3973" s="3">
        <v>-1400</v>
      </c>
      <c r="G3973" s="3">
        <v>-1400</v>
      </c>
      <c r="H3973" t="s">
        <v>3</v>
      </c>
      <c r="I3973" t="s">
        <v>3</v>
      </c>
      <c r="J3973" t="s">
        <v>310</v>
      </c>
      <c r="K3973" t="s">
        <v>13</v>
      </c>
      <c r="L3973" t="s">
        <v>18</v>
      </c>
      <c r="M3973" t="s">
        <v>114</v>
      </c>
      <c r="N3973" s="2">
        <v>46143</v>
      </c>
    </row>
    <row r="3974" spans="1:14" x14ac:dyDescent="0.25">
      <c r="A3974" t="s">
        <v>539</v>
      </c>
      <c r="B3974" s="2">
        <v>46173</v>
      </c>
      <c r="C3974" t="s">
        <v>539</v>
      </c>
      <c r="D3974" t="s">
        <v>112</v>
      </c>
      <c r="E3974" t="s">
        <v>9</v>
      </c>
      <c r="F3974" s="3">
        <v>2300</v>
      </c>
      <c r="G3974" s="3">
        <v>2300</v>
      </c>
      <c r="H3974" t="s">
        <v>3</v>
      </c>
      <c r="I3974" t="s">
        <v>3</v>
      </c>
      <c r="J3974" t="s">
        <v>313</v>
      </c>
      <c r="K3974" t="s">
        <v>13</v>
      </c>
      <c r="L3974" t="s">
        <v>18</v>
      </c>
      <c r="M3974" t="s">
        <v>114</v>
      </c>
      <c r="N3974" s="2">
        <v>46173</v>
      </c>
    </row>
    <row r="3975" spans="1:14" x14ac:dyDescent="0.25">
      <c r="A3975" s="4" t="s">
        <v>223</v>
      </c>
      <c r="B3975" s="5"/>
      <c r="C3975" s="4" t="s">
        <v>9</v>
      </c>
      <c r="D3975" s="4" t="s">
        <v>9</v>
      </c>
      <c r="E3975" s="4" t="s">
        <v>9</v>
      </c>
      <c r="F3975" s="6">
        <v>0</v>
      </c>
      <c r="G3975" s="6">
        <v>0</v>
      </c>
      <c r="H3975" s="4" t="s">
        <v>9</v>
      </c>
      <c r="I3975" s="4" t="s">
        <v>3</v>
      </c>
      <c r="J3975" s="4" t="s">
        <v>9</v>
      </c>
      <c r="K3975" s="4" t="s">
        <v>9</v>
      </c>
      <c r="L3975" s="4" t="s">
        <v>9</v>
      </c>
      <c r="M3975" s="4" t="s">
        <v>9</v>
      </c>
      <c r="N3975" s="5"/>
    </row>
    <row r="3976" spans="1:14" x14ac:dyDescent="0.25">
      <c r="A3976" t="s">
        <v>539</v>
      </c>
      <c r="B3976" s="2">
        <v>46205</v>
      </c>
      <c r="C3976" t="s">
        <v>539</v>
      </c>
      <c r="D3976" t="s">
        <v>112</v>
      </c>
      <c r="E3976" t="s">
        <v>9</v>
      </c>
      <c r="F3976" s="3">
        <v>-2250.5500000000002</v>
      </c>
      <c r="G3976" s="3">
        <v>-2250.5500000000002</v>
      </c>
      <c r="H3976" t="s">
        <v>3</v>
      </c>
      <c r="I3976" t="s">
        <v>3</v>
      </c>
      <c r="J3976" t="s">
        <v>9</v>
      </c>
      <c r="K3976" t="s">
        <v>9</v>
      </c>
      <c r="L3976" t="s">
        <v>19</v>
      </c>
      <c r="M3976" t="s">
        <v>114</v>
      </c>
      <c r="N3976" s="2">
        <v>46203</v>
      </c>
    </row>
    <row r="3977" spans="1:14" x14ac:dyDescent="0.25">
      <c r="A3977" t="s">
        <v>539</v>
      </c>
      <c r="B3977" s="2">
        <v>46173</v>
      </c>
      <c r="C3977" t="s">
        <v>539</v>
      </c>
      <c r="D3977" t="s">
        <v>112</v>
      </c>
      <c r="E3977" t="s">
        <v>9</v>
      </c>
      <c r="F3977" s="3">
        <v>-2300</v>
      </c>
      <c r="G3977" s="3">
        <v>-2300</v>
      </c>
      <c r="H3977" t="s">
        <v>3</v>
      </c>
      <c r="I3977" t="s">
        <v>3</v>
      </c>
      <c r="J3977" t="s">
        <v>313</v>
      </c>
      <c r="K3977" t="s">
        <v>13</v>
      </c>
      <c r="L3977" t="s">
        <v>19</v>
      </c>
      <c r="M3977" t="s">
        <v>114</v>
      </c>
      <c r="N3977" s="2">
        <v>46174</v>
      </c>
    </row>
    <row r="3978" spans="1:14" x14ac:dyDescent="0.25">
      <c r="A3978" t="s">
        <v>539</v>
      </c>
      <c r="B3978" s="2">
        <v>46203</v>
      </c>
      <c r="C3978" t="s">
        <v>539</v>
      </c>
      <c r="D3978" t="s">
        <v>112</v>
      </c>
      <c r="E3978" t="s">
        <v>9</v>
      </c>
      <c r="F3978" s="3">
        <v>4550.55</v>
      </c>
      <c r="G3978" s="3">
        <v>4550.55</v>
      </c>
      <c r="H3978" t="s">
        <v>3</v>
      </c>
      <c r="I3978" t="s">
        <v>3</v>
      </c>
      <c r="J3978" t="s">
        <v>316</v>
      </c>
      <c r="K3978" t="s">
        <v>13</v>
      </c>
      <c r="L3978" t="s">
        <v>19</v>
      </c>
      <c r="M3978" t="s">
        <v>114</v>
      </c>
      <c r="N3978" s="2">
        <v>46203</v>
      </c>
    </row>
    <row r="3979" spans="1:14" x14ac:dyDescent="0.25">
      <c r="A3979" s="4" t="s">
        <v>224</v>
      </c>
      <c r="B3979" s="5"/>
      <c r="C3979" s="4" t="s">
        <v>9</v>
      </c>
      <c r="D3979" s="4" t="s">
        <v>9</v>
      </c>
      <c r="E3979" s="4" t="s">
        <v>9</v>
      </c>
      <c r="F3979" s="6">
        <v>0</v>
      </c>
      <c r="G3979" s="6">
        <v>0</v>
      </c>
      <c r="H3979" s="4" t="s">
        <v>9</v>
      </c>
      <c r="I3979" s="4" t="s">
        <v>3</v>
      </c>
      <c r="J3979" s="4" t="s">
        <v>9</v>
      </c>
      <c r="K3979" s="4" t="s">
        <v>9</v>
      </c>
      <c r="L3979" s="4" t="s">
        <v>9</v>
      </c>
      <c r="M3979" s="4" t="s">
        <v>9</v>
      </c>
      <c r="N3979" s="5"/>
    </row>
    <row r="3980" spans="1:14" x14ac:dyDescent="0.25">
      <c r="A3980" t="s">
        <v>539</v>
      </c>
      <c r="B3980" s="2">
        <v>46239</v>
      </c>
      <c r="C3980" t="s">
        <v>539</v>
      </c>
      <c r="D3980" t="s">
        <v>112</v>
      </c>
      <c r="E3980" t="s">
        <v>9</v>
      </c>
      <c r="F3980" s="3">
        <v>-3399.45</v>
      </c>
      <c r="G3980" s="3">
        <v>-3399.45</v>
      </c>
      <c r="H3980" t="s">
        <v>3</v>
      </c>
      <c r="I3980" t="s">
        <v>3</v>
      </c>
      <c r="J3980" t="s">
        <v>9</v>
      </c>
      <c r="K3980" t="s">
        <v>9</v>
      </c>
      <c r="L3980" t="s">
        <v>21</v>
      </c>
      <c r="M3980" t="s">
        <v>114</v>
      </c>
      <c r="N3980" s="2">
        <v>46234</v>
      </c>
    </row>
    <row r="3981" spans="1:14" x14ac:dyDescent="0.25">
      <c r="A3981" t="s">
        <v>539</v>
      </c>
      <c r="B3981" s="2">
        <v>46203</v>
      </c>
      <c r="C3981" t="s">
        <v>539</v>
      </c>
      <c r="D3981" t="s">
        <v>112</v>
      </c>
      <c r="E3981" t="s">
        <v>9</v>
      </c>
      <c r="F3981" s="3">
        <v>-4550.55</v>
      </c>
      <c r="G3981" s="3">
        <v>-4550.55</v>
      </c>
      <c r="H3981" t="s">
        <v>3</v>
      </c>
      <c r="I3981" t="s">
        <v>3</v>
      </c>
      <c r="J3981" t="s">
        <v>316</v>
      </c>
      <c r="K3981" t="s">
        <v>13</v>
      </c>
      <c r="L3981" t="s">
        <v>21</v>
      </c>
      <c r="M3981" t="s">
        <v>114</v>
      </c>
      <c r="N3981" s="2">
        <v>46204</v>
      </c>
    </row>
    <row r="3982" spans="1:14" x14ac:dyDescent="0.25">
      <c r="A3982" t="s">
        <v>539</v>
      </c>
      <c r="B3982" s="2">
        <v>46234</v>
      </c>
      <c r="C3982" t="s">
        <v>539</v>
      </c>
      <c r="D3982" t="s">
        <v>112</v>
      </c>
      <c r="E3982" t="s">
        <v>9</v>
      </c>
      <c r="F3982" s="3">
        <v>7950</v>
      </c>
      <c r="G3982" s="3">
        <v>7950</v>
      </c>
      <c r="H3982" t="s">
        <v>3</v>
      </c>
      <c r="I3982" t="s">
        <v>3</v>
      </c>
      <c r="J3982" t="s">
        <v>319</v>
      </c>
      <c r="K3982" t="s">
        <v>13</v>
      </c>
      <c r="L3982" t="s">
        <v>21</v>
      </c>
      <c r="M3982" t="s">
        <v>114</v>
      </c>
      <c r="N3982" s="2">
        <v>46234</v>
      </c>
    </row>
    <row r="3983" spans="1:14" x14ac:dyDescent="0.25">
      <c r="A3983" s="4" t="s">
        <v>262</v>
      </c>
      <c r="B3983" s="5"/>
      <c r="C3983" s="4" t="s">
        <v>9</v>
      </c>
      <c r="D3983" s="4" t="s">
        <v>9</v>
      </c>
      <c r="E3983" s="4" t="s">
        <v>9</v>
      </c>
      <c r="F3983" s="6">
        <v>0</v>
      </c>
      <c r="G3983" s="6">
        <v>0</v>
      </c>
      <c r="H3983" s="4" t="s">
        <v>9</v>
      </c>
      <c r="I3983" s="4" t="s">
        <v>3</v>
      </c>
      <c r="J3983" s="4" t="s">
        <v>9</v>
      </c>
      <c r="K3983" s="4" t="s">
        <v>9</v>
      </c>
      <c r="L3983" s="4" t="s">
        <v>9</v>
      </c>
      <c r="M3983" s="4" t="s">
        <v>9</v>
      </c>
      <c r="N3983" s="5"/>
    </row>
    <row r="3984" spans="1:14" x14ac:dyDescent="0.25">
      <c r="A3984" t="s">
        <v>539</v>
      </c>
      <c r="B3984" s="2">
        <v>46234</v>
      </c>
      <c r="C3984" t="s">
        <v>539</v>
      </c>
      <c r="D3984" t="s">
        <v>112</v>
      </c>
      <c r="E3984" t="s">
        <v>9</v>
      </c>
      <c r="F3984" s="3">
        <v>-7950</v>
      </c>
      <c r="G3984" s="3">
        <v>-7950</v>
      </c>
      <c r="H3984" t="s">
        <v>3</v>
      </c>
      <c r="I3984" t="s">
        <v>3</v>
      </c>
      <c r="J3984" t="s">
        <v>319</v>
      </c>
      <c r="K3984" t="s">
        <v>13</v>
      </c>
      <c r="L3984" t="s">
        <v>22</v>
      </c>
      <c r="M3984" t="s">
        <v>114</v>
      </c>
      <c r="N3984" s="2">
        <v>46235</v>
      </c>
    </row>
    <row r="3985" spans="1:14" x14ac:dyDescent="0.25">
      <c r="A3985" t="s">
        <v>539</v>
      </c>
      <c r="B3985" s="2">
        <v>46265</v>
      </c>
      <c r="C3985" t="s">
        <v>539</v>
      </c>
      <c r="D3985" t="s">
        <v>112</v>
      </c>
      <c r="E3985" t="s">
        <v>9</v>
      </c>
      <c r="F3985" s="3">
        <v>7950</v>
      </c>
      <c r="G3985" s="3">
        <v>7950</v>
      </c>
      <c r="H3985" t="s">
        <v>3</v>
      </c>
      <c r="I3985" t="s">
        <v>3</v>
      </c>
      <c r="J3985" t="s">
        <v>322</v>
      </c>
      <c r="K3985" t="s">
        <v>13</v>
      </c>
      <c r="L3985" t="s">
        <v>22</v>
      </c>
      <c r="M3985" t="s">
        <v>114</v>
      </c>
      <c r="N3985" s="2">
        <v>46265</v>
      </c>
    </row>
    <row r="3986" spans="1:14" x14ac:dyDescent="0.25">
      <c r="A3986" s="4" t="s">
        <v>267</v>
      </c>
      <c r="B3986" s="5"/>
      <c r="C3986" s="4" t="s">
        <v>9</v>
      </c>
      <c r="D3986" s="4" t="s">
        <v>9</v>
      </c>
      <c r="E3986" s="4" t="s">
        <v>9</v>
      </c>
      <c r="F3986" s="6">
        <v>0</v>
      </c>
      <c r="G3986" s="6">
        <v>0</v>
      </c>
      <c r="H3986" s="4" t="s">
        <v>9</v>
      </c>
      <c r="I3986" s="4" t="s">
        <v>3</v>
      </c>
      <c r="J3986" s="4" t="s">
        <v>9</v>
      </c>
      <c r="K3986" s="4" t="s">
        <v>9</v>
      </c>
      <c r="L3986" s="4" t="s">
        <v>9</v>
      </c>
      <c r="M3986" s="4" t="s">
        <v>9</v>
      </c>
      <c r="N3986" s="5"/>
    </row>
    <row r="3987" spans="1:14" x14ac:dyDescent="0.25">
      <c r="A3987" t="s">
        <v>539</v>
      </c>
      <c r="B3987" s="2">
        <v>45932</v>
      </c>
      <c r="C3987" t="s">
        <v>539</v>
      </c>
      <c r="D3987" t="s">
        <v>112</v>
      </c>
      <c r="E3987" t="s">
        <v>9</v>
      </c>
      <c r="F3987" s="3">
        <v>-5050</v>
      </c>
      <c r="G3987" s="3">
        <v>-5050</v>
      </c>
      <c r="H3987" t="s">
        <v>3</v>
      </c>
      <c r="I3987" t="s">
        <v>3</v>
      </c>
      <c r="J3987" t="s">
        <v>9</v>
      </c>
      <c r="K3987" t="s">
        <v>9</v>
      </c>
      <c r="L3987" t="s">
        <v>6</v>
      </c>
      <c r="M3987" t="s">
        <v>114</v>
      </c>
      <c r="N3987" s="2">
        <v>45930</v>
      </c>
    </row>
    <row r="3988" spans="1:14" x14ac:dyDescent="0.25">
      <c r="A3988" t="s">
        <v>539</v>
      </c>
      <c r="B3988" s="2">
        <v>45930</v>
      </c>
      <c r="C3988" t="s">
        <v>539</v>
      </c>
      <c r="D3988" t="s">
        <v>112</v>
      </c>
      <c r="E3988" t="s">
        <v>9</v>
      </c>
      <c r="F3988" s="3">
        <v>5050</v>
      </c>
      <c r="G3988" s="3">
        <v>5050</v>
      </c>
      <c r="H3988" t="s">
        <v>3</v>
      </c>
      <c r="I3988" t="s">
        <v>3</v>
      </c>
      <c r="J3988" t="s">
        <v>323</v>
      </c>
      <c r="K3988" t="s">
        <v>5</v>
      </c>
      <c r="L3988" t="s">
        <v>6</v>
      </c>
      <c r="M3988" t="s">
        <v>114</v>
      </c>
      <c r="N3988" s="2">
        <v>45930</v>
      </c>
    </row>
    <row r="3989" spans="1:14" x14ac:dyDescent="0.25">
      <c r="A3989" s="4" t="s">
        <v>272</v>
      </c>
      <c r="B3989" s="5"/>
      <c r="C3989" s="4" t="s">
        <v>9</v>
      </c>
      <c r="D3989" s="4" t="s">
        <v>9</v>
      </c>
      <c r="E3989" s="4" t="s">
        <v>9</v>
      </c>
      <c r="F3989" s="6">
        <v>0</v>
      </c>
      <c r="G3989" s="6">
        <v>0</v>
      </c>
      <c r="H3989" s="4" t="s">
        <v>9</v>
      </c>
      <c r="I3989" s="4" t="s">
        <v>3</v>
      </c>
      <c r="J3989" s="4" t="s">
        <v>9</v>
      </c>
      <c r="K3989" s="4" t="s">
        <v>9</v>
      </c>
      <c r="L3989" s="4" t="s">
        <v>9</v>
      </c>
      <c r="M3989" s="4" t="s">
        <v>9</v>
      </c>
      <c r="N3989" s="5"/>
    </row>
    <row r="3990" spans="1:14" x14ac:dyDescent="0.25">
      <c r="A3990" t="s">
        <v>539</v>
      </c>
      <c r="B3990" s="2">
        <v>45965</v>
      </c>
      <c r="C3990" t="s">
        <v>539</v>
      </c>
      <c r="D3990" t="s">
        <v>112</v>
      </c>
      <c r="E3990" t="s">
        <v>9</v>
      </c>
      <c r="F3990" s="3">
        <v>-8150</v>
      </c>
      <c r="G3990" s="3">
        <v>-8150</v>
      </c>
      <c r="H3990" t="s">
        <v>3</v>
      </c>
      <c r="I3990" t="s">
        <v>3</v>
      </c>
      <c r="J3990" t="s">
        <v>9</v>
      </c>
      <c r="K3990" t="s">
        <v>9</v>
      </c>
      <c r="L3990" t="s">
        <v>8</v>
      </c>
      <c r="M3990" t="s">
        <v>114</v>
      </c>
      <c r="N3990" s="2">
        <v>45961</v>
      </c>
    </row>
    <row r="3991" spans="1:14" x14ac:dyDescent="0.25">
      <c r="A3991" t="s">
        <v>539</v>
      </c>
      <c r="B3991" s="2">
        <v>45930</v>
      </c>
      <c r="C3991" t="s">
        <v>539</v>
      </c>
      <c r="D3991" t="s">
        <v>112</v>
      </c>
      <c r="E3991" t="s">
        <v>9</v>
      </c>
      <c r="F3991" s="3">
        <v>-5050</v>
      </c>
      <c r="G3991" s="3">
        <v>-5050</v>
      </c>
      <c r="H3991" t="s">
        <v>3</v>
      </c>
      <c r="I3991" t="s">
        <v>3</v>
      </c>
      <c r="J3991" t="s">
        <v>323</v>
      </c>
      <c r="K3991" t="s">
        <v>5</v>
      </c>
      <c r="L3991" t="s">
        <v>8</v>
      </c>
      <c r="M3991" t="s">
        <v>114</v>
      </c>
      <c r="N3991" s="2">
        <v>45931</v>
      </c>
    </row>
    <row r="3992" spans="1:14" x14ac:dyDescent="0.25">
      <c r="A3992" t="s">
        <v>539</v>
      </c>
      <c r="B3992" s="2">
        <v>45961</v>
      </c>
      <c r="C3992" t="s">
        <v>539</v>
      </c>
      <c r="D3992" t="s">
        <v>112</v>
      </c>
      <c r="E3992" t="s">
        <v>9</v>
      </c>
      <c r="F3992" s="3">
        <v>13200</v>
      </c>
      <c r="G3992" s="3">
        <v>13200</v>
      </c>
      <c r="H3992" t="s">
        <v>3</v>
      </c>
      <c r="I3992" t="s">
        <v>3</v>
      </c>
      <c r="J3992" t="s">
        <v>325</v>
      </c>
      <c r="K3992" t="s">
        <v>5</v>
      </c>
      <c r="L3992" t="s">
        <v>8</v>
      </c>
      <c r="M3992" t="s">
        <v>114</v>
      </c>
      <c r="N3992" s="2">
        <v>45961</v>
      </c>
    </row>
    <row r="3993" spans="1:14" x14ac:dyDescent="0.25">
      <c r="A3993" s="4" t="s">
        <v>278</v>
      </c>
      <c r="B3993" s="5"/>
      <c r="C3993" s="4" t="s">
        <v>9</v>
      </c>
      <c r="D3993" s="4" t="s">
        <v>9</v>
      </c>
      <c r="E3993" s="4" t="s">
        <v>9</v>
      </c>
      <c r="F3993" s="6">
        <v>0</v>
      </c>
      <c r="G3993" s="6">
        <v>0</v>
      </c>
      <c r="H3993" s="4" t="s">
        <v>9</v>
      </c>
      <c r="I3993" s="4" t="s">
        <v>3</v>
      </c>
      <c r="J3993" s="4" t="s">
        <v>9</v>
      </c>
      <c r="K3993" s="4" t="s">
        <v>9</v>
      </c>
      <c r="L3993" s="4" t="s">
        <v>9</v>
      </c>
      <c r="M3993" s="4" t="s">
        <v>9</v>
      </c>
      <c r="N3993" s="5"/>
    </row>
    <row r="3994" spans="1:14" x14ac:dyDescent="0.25">
      <c r="A3994" t="s">
        <v>539</v>
      </c>
      <c r="B3994" s="2">
        <v>45993</v>
      </c>
      <c r="C3994" t="s">
        <v>539</v>
      </c>
      <c r="D3994" t="s">
        <v>112</v>
      </c>
      <c r="E3994" t="s">
        <v>9</v>
      </c>
      <c r="F3994" s="3">
        <v>-4800</v>
      </c>
      <c r="G3994" s="3">
        <v>-4800</v>
      </c>
      <c r="H3994" t="s">
        <v>3</v>
      </c>
      <c r="I3994" t="s">
        <v>3</v>
      </c>
      <c r="J3994" t="s">
        <v>9</v>
      </c>
      <c r="K3994" t="s">
        <v>9</v>
      </c>
      <c r="L3994" t="s">
        <v>11</v>
      </c>
      <c r="M3994" t="s">
        <v>114</v>
      </c>
      <c r="N3994" s="2">
        <v>45991</v>
      </c>
    </row>
    <row r="3995" spans="1:14" x14ac:dyDescent="0.25">
      <c r="A3995" t="s">
        <v>539</v>
      </c>
      <c r="B3995" s="2">
        <v>45961</v>
      </c>
      <c r="C3995" t="s">
        <v>539</v>
      </c>
      <c r="D3995" t="s">
        <v>112</v>
      </c>
      <c r="E3995" t="s">
        <v>9</v>
      </c>
      <c r="F3995" s="3">
        <v>-13200</v>
      </c>
      <c r="G3995" s="3">
        <v>-13200</v>
      </c>
      <c r="H3995" t="s">
        <v>3</v>
      </c>
      <c r="I3995" t="s">
        <v>3</v>
      </c>
      <c r="J3995" t="s">
        <v>325</v>
      </c>
      <c r="K3995" t="s">
        <v>5</v>
      </c>
      <c r="L3995" t="s">
        <v>11</v>
      </c>
      <c r="M3995" t="s">
        <v>114</v>
      </c>
      <c r="N3995" s="2">
        <v>45962</v>
      </c>
    </row>
    <row r="3996" spans="1:14" x14ac:dyDescent="0.25">
      <c r="A3996" t="s">
        <v>539</v>
      </c>
      <c r="B3996" s="2">
        <v>45991</v>
      </c>
      <c r="C3996" t="s">
        <v>539</v>
      </c>
      <c r="D3996" t="s">
        <v>112</v>
      </c>
      <c r="E3996" t="s">
        <v>9</v>
      </c>
      <c r="F3996" s="3">
        <v>18000</v>
      </c>
      <c r="G3996" s="3">
        <v>18000</v>
      </c>
      <c r="H3996" t="s">
        <v>3</v>
      </c>
      <c r="I3996" t="s">
        <v>3</v>
      </c>
      <c r="J3996" t="s">
        <v>328</v>
      </c>
      <c r="K3996" t="s">
        <v>5</v>
      </c>
      <c r="L3996" t="s">
        <v>11</v>
      </c>
      <c r="M3996" t="s">
        <v>114</v>
      </c>
      <c r="N3996" s="2">
        <v>45991</v>
      </c>
    </row>
    <row r="3997" spans="1:14" x14ac:dyDescent="0.25">
      <c r="A3997" s="4" t="s">
        <v>226</v>
      </c>
      <c r="B3997" s="5"/>
      <c r="C3997" s="4" t="s">
        <v>9</v>
      </c>
      <c r="D3997" s="4" t="s">
        <v>9</v>
      </c>
      <c r="E3997" s="4" t="s">
        <v>9</v>
      </c>
      <c r="F3997" s="6">
        <v>0</v>
      </c>
      <c r="G3997" s="6">
        <v>0</v>
      </c>
      <c r="H3997" s="4" t="s">
        <v>9</v>
      </c>
      <c r="I3997" s="4" t="s">
        <v>3</v>
      </c>
      <c r="J3997" s="4" t="s">
        <v>9</v>
      </c>
      <c r="K3997" s="4" t="s">
        <v>9</v>
      </c>
      <c r="L3997" s="4" t="s">
        <v>9</v>
      </c>
      <c r="M3997" s="4" t="s">
        <v>9</v>
      </c>
      <c r="N3997" s="5"/>
    </row>
    <row r="3998" spans="1:14" x14ac:dyDescent="0.25">
      <c r="A3998" t="s">
        <v>539</v>
      </c>
      <c r="B3998" s="2">
        <v>45991</v>
      </c>
      <c r="C3998" t="s">
        <v>539</v>
      </c>
      <c r="D3998" t="s">
        <v>112</v>
      </c>
      <c r="E3998" t="s">
        <v>9</v>
      </c>
      <c r="F3998" s="3">
        <v>-18000</v>
      </c>
      <c r="G3998" s="3">
        <v>-18000</v>
      </c>
      <c r="H3998" t="s">
        <v>3</v>
      </c>
      <c r="I3998" t="s">
        <v>3</v>
      </c>
      <c r="J3998" t="s">
        <v>328</v>
      </c>
      <c r="K3998" t="s">
        <v>5</v>
      </c>
      <c r="L3998" t="s">
        <v>12</v>
      </c>
      <c r="M3998" t="s">
        <v>114</v>
      </c>
      <c r="N3998" s="2">
        <v>45992</v>
      </c>
    </row>
    <row r="3999" spans="1:14" x14ac:dyDescent="0.25">
      <c r="A3999" t="s">
        <v>539</v>
      </c>
      <c r="B3999" s="2">
        <v>46022</v>
      </c>
      <c r="C3999" t="s">
        <v>539</v>
      </c>
      <c r="D3999" t="s">
        <v>112</v>
      </c>
      <c r="E3999" t="s">
        <v>9</v>
      </c>
      <c r="F3999" s="3">
        <v>18000</v>
      </c>
      <c r="G3999" s="3">
        <v>18000</v>
      </c>
      <c r="H3999" t="s">
        <v>3</v>
      </c>
      <c r="I3999" t="s">
        <v>3</v>
      </c>
      <c r="J3999" t="s">
        <v>298</v>
      </c>
      <c r="K3999" t="s">
        <v>5</v>
      </c>
      <c r="L3999" t="s">
        <v>12</v>
      </c>
      <c r="M3999" t="s">
        <v>114</v>
      </c>
      <c r="N3999" s="2">
        <v>46022</v>
      </c>
    </row>
    <row r="4000" spans="1:14" x14ac:dyDescent="0.25">
      <c r="A4000" t="s">
        <v>539</v>
      </c>
      <c r="B4000" s="2">
        <v>46022</v>
      </c>
      <c r="C4000" t="s">
        <v>539</v>
      </c>
      <c r="D4000" t="s">
        <v>112</v>
      </c>
      <c r="E4000" t="s">
        <v>9</v>
      </c>
      <c r="F4000" s="3">
        <v>18000</v>
      </c>
      <c r="G4000" s="3">
        <v>18000</v>
      </c>
      <c r="H4000" t="s">
        <v>3</v>
      </c>
      <c r="I4000" t="s">
        <v>3</v>
      </c>
      <c r="J4000" t="s">
        <v>298</v>
      </c>
      <c r="K4000" t="s">
        <v>5</v>
      </c>
      <c r="L4000" t="s">
        <v>12</v>
      </c>
      <c r="M4000" t="s">
        <v>114</v>
      </c>
      <c r="N4000" s="2">
        <v>46022</v>
      </c>
    </row>
    <row r="4001" spans="1:14" x14ac:dyDescent="0.25">
      <c r="A4001" t="s">
        <v>539</v>
      </c>
      <c r="B4001" s="2">
        <v>46022</v>
      </c>
      <c r="C4001" t="s">
        <v>539</v>
      </c>
      <c r="D4001" t="s">
        <v>112</v>
      </c>
      <c r="E4001" t="s">
        <v>9</v>
      </c>
      <c r="F4001" s="3">
        <v>-18000</v>
      </c>
      <c r="G4001" s="3">
        <v>-18000</v>
      </c>
      <c r="H4001" t="s">
        <v>3</v>
      </c>
      <c r="I4001" t="s">
        <v>3</v>
      </c>
      <c r="J4001" t="s">
        <v>298</v>
      </c>
      <c r="K4001" t="s">
        <v>5</v>
      </c>
      <c r="L4001" t="s">
        <v>12</v>
      </c>
      <c r="M4001" t="s">
        <v>114</v>
      </c>
      <c r="N4001" s="2">
        <v>46022</v>
      </c>
    </row>
    <row r="4002" spans="1:14" x14ac:dyDescent="0.25">
      <c r="A4002" s="4" t="s">
        <v>228</v>
      </c>
      <c r="B4002" s="5"/>
      <c r="C4002" s="4" t="s">
        <v>9</v>
      </c>
      <c r="D4002" s="4" t="s">
        <v>9</v>
      </c>
      <c r="E4002" s="4" t="s">
        <v>9</v>
      </c>
      <c r="F4002" s="6">
        <v>0</v>
      </c>
      <c r="G4002" s="6">
        <v>0</v>
      </c>
      <c r="H4002" s="4" t="s">
        <v>9</v>
      </c>
      <c r="I4002" s="4" t="s">
        <v>3</v>
      </c>
      <c r="J4002" s="4" t="s">
        <v>9</v>
      </c>
      <c r="K4002" s="4" t="s">
        <v>9</v>
      </c>
      <c r="L4002" s="4" t="s">
        <v>9</v>
      </c>
      <c r="M4002" s="4" t="s">
        <v>9</v>
      </c>
      <c r="N4002" s="5"/>
    </row>
    <row r="4003" spans="1:14" x14ac:dyDescent="0.25">
      <c r="A4003" s="4" t="s">
        <v>539</v>
      </c>
      <c r="B4003" s="5"/>
      <c r="C4003" s="4" t="s">
        <v>9</v>
      </c>
      <c r="D4003" s="4" t="s">
        <v>9</v>
      </c>
      <c r="E4003" s="4" t="s">
        <v>9</v>
      </c>
      <c r="F4003" s="6">
        <v>0</v>
      </c>
      <c r="G4003" s="6">
        <v>0</v>
      </c>
      <c r="H4003" s="4" t="s">
        <v>9</v>
      </c>
      <c r="I4003" s="4" t="s">
        <v>3</v>
      </c>
      <c r="J4003" s="4" t="s">
        <v>9</v>
      </c>
      <c r="K4003" s="4" t="s">
        <v>9</v>
      </c>
      <c r="L4003" s="4" t="s">
        <v>9</v>
      </c>
      <c r="M4003" s="4" t="s">
        <v>9</v>
      </c>
      <c r="N4003" s="5"/>
    </row>
    <row r="4004" spans="1:14" x14ac:dyDescent="0.25">
      <c r="A4004" t="s">
        <v>540</v>
      </c>
      <c r="B4004" s="2">
        <v>46028</v>
      </c>
      <c r="C4004" t="s">
        <v>540</v>
      </c>
      <c r="D4004" t="s">
        <v>99</v>
      </c>
      <c r="E4004" t="s">
        <v>9</v>
      </c>
      <c r="F4004" s="3">
        <v>-8808</v>
      </c>
      <c r="G4004" s="3">
        <v>-8808</v>
      </c>
      <c r="H4004" t="s">
        <v>3</v>
      </c>
      <c r="I4004" t="s">
        <v>3</v>
      </c>
      <c r="J4004" t="s">
        <v>9</v>
      </c>
      <c r="K4004" t="s">
        <v>9</v>
      </c>
      <c r="L4004" t="s">
        <v>12</v>
      </c>
      <c r="M4004" t="s">
        <v>102</v>
      </c>
      <c r="N4004" s="2">
        <v>46022</v>
      </c>
    </row>
    <row r="4005" spans="1:14" x14ac:dyDescent="0.25">
      <c r="A4005" t="s">
        <v>540</v>
      </c>
      <c r="B4005" s="2">
        <v>45999</v>
      </c>
      <c r="C4005" t="s">
        <v>540</v>
      </c>
      <c r="D4005" t="s">
        <v>99</v>
      </c>
      <c r="E4005" t="s">
        <v>541</v>
      </c>
      <c r="F4005" s="3">
        <v>8808</v>
      </c>
      <c r="G4005" s="3">
        <v>8808</v>
      </c>
      <c r="H4005" t="s">
        <v>3</v>
      </c>
      <c r="I4005" t="s">
        <v>3</v>
      </c>
      <c r="J4005" t="s">
        <v>542</v>
      </c>
      <c r="K4005" t="s">
        <v>5</v>
      </c>
      <c r="L4005" t="s">
        <v>12</v>
      </c>
      <c r="M4005" t="s">
        <v>102</v>
      </c>
      <c r="N4005" s="2">
        <v>45999</v>
      </c>
    </row>
    <row r="4006" spans="1:14" x14ac:dyDescent="0.25">
      <c r="A4006" s="4" t="s">
        <v>228</v>
      </c>
      <c r="B4006" s="5"/>
      <c r="C4006" s="4" t="s">
        <v>9</v>
      </c>
      <c r="D4006" s="4" t="s">
        <v>9</v>
      </c>
      <c r="E4006" s="4" t="s">
        <v>9</v>
      </c>
      <c r="F4006" s="6">
        <v>0</v>
      </c>
      <c r="G4006" s="6">
        <v>0</v>
      </c>
      <c r="H4006" s="4" t="s">
        <v>9</v>
      </c>
      <c r="I4006" s="4" t="s">
        <v>3</v>
      </c>
      <c r="J4006" s="4" t="s">
        <v>9</v>
      </c>
      <c r="K4006" s="4" t="s">
        <v>9</v>
      </c>
      <c r="L4006" s="4" t="s">
        <v>9</v>
      </c>
      <c r="M4006" s="4" t="s">
        <v>9</v>
      </c>
      <c r="N4006" s="5"/>
    </row>
    <row r="4007" spans="1:14" x14ac:dyDescent="0.25">
      <c r="A4007" s="4" t="s">
        <v>540</v>
      </c>
      <c r="B4007" s="5"/>
      <c r="C4007" s="4" t="s">
        <v>9</v>
      </c>
      <c r="D4007" s="4" t="s">
        <v>9</v>
      </c>
      <c r="E4007" s="4" t="s">
        <v>9</v>
      </c>
      <c r="F4007" s="6">
        <v>0</v>
      </c>
      <c r="G4007" s="6">
        <v>0</v>
      </c>
      <c r="H4007" s="4" t="s">
        <v>9</v>
      </c>
      <c r="I4007" s="4" t="s">
        <v>3</v>
      </c>
      <c r="J4007" s="4" t="s">
        <v>9</v>
      </c>
      <c r="K4007" s="4" t="s">
        <v>9</v>
      </c>
      <c r="L4007" s="4" t="s">
        <v>9</v>
      </c>
      <c r="M4007" s="4" t="s">
        <v>9</v>
      </c>
      <c r="N4007" s="5"/>
    </row>
    <row r="4008" spans="1:14" x14ac:dyDescent="0.25">
      <c r="A4008" t="s">
        <v>543</v>
      </c>
      <c r="B4008" s="2">
        <v>46084</v>
      </c>
      <c r="C4008" t="s">
        <v>543</v>
      </c>
      <c r="D4008" t="s">
        <v>33</v>
      </c>
      <c r="E4008" t="s">
        <v>9</v>
      </c>
      <c r="F4008" s="3">
        <v>12600</v>
      </c>
      <c r="G4008" s="3">
        <v>12600</v>
      </c>
      <c r="H4008" t="s">
        <v>3</v>
      </c>
      <c r="I4008" t="s">
        <v>3</v>
      </c>
      <c r="J4008" t="s">
        <v>9</v>
      </c>
      <c r="K4008" t="s">
        <v>9</v>
      </c>
      <c r="L4008" t="s">
        <v>15</v>
      </c>
      <c r="M4008" t="s">
        <v>35</v>
      </c>
      <c r="N4008" s="2">
        <v>46081</v>
      </c>
    </row>
    <row r="4009" spans="1:14" x14ac:dyDescent="0.25">
      <c r="A4009" t="s">
        <v>543</v>
      </c>
      <c r="B4009" s="2">
        <v>46065</v>
      </c>
      <c r="C4009" t="s">
        <v>543</v>
      </c>
      <c r="D4009" t="s">
        <v>33</v>
      </c>
      <c r="E4009" t="s">
        <v>9</v>
      </c>
      <c r="F4009" s="3">
        <v>-2520</v>
      </c>
      <c r="G4009" s="3">
        <v>-2520</v>
      </c>
      <c r="H4009" t="s">
        <v>3</v>
      </c>
      <c r="I4009" t="s">
        <v>3</v>
      </c>
      <c r="J4009" t="s">
        <v>9</v>
      </c>
      <c r="K4009" t="s">
        <v>13</v>
      </c>
      <c r="L4009" t="s">
        <v>15</v>
      </c>
      <c r="M4009" t="s">
        <v>35</v>
      </c>
      <c r="N4009" s="2">
        <v>46065</v>
      </c>
    </row>
    <row r="4010" spans="1:14" x14ac:dyDescent="0.25">
      <c r="A4010" t="s">
        <v>543</v>
      </c>
      <c r="B4010" s="2">
        <v>46063</v>
      </c>
      <c r="C4010" t="s">
        <v>543</v>
      </c>
      <c r="D4010" t="s">
        <v>33</v>
      </c>
      <c r="E4010" t="s">
        <v>9</v>
      </c>
      <c r="F4010" s="3">
        <v>-10080</v>
      </c>
      <c r="G4010" s="3">
        <v>-10080</v>
      </c>
      <c r="H4010" t="s">
        <v>3</v>
      </c>
      <c r="I4010" t="s">
        <v>3</v>
      </c>
      <c r="J4010" t="s">
        <v>9</v>
      </c>
      <c r="K4010" t="s">
        <v>13</v>
      </c>
      <c r="L4010" t="s">
        <v>15</v>
      </c>
      <c r="M4010" t="s">
        <v>35</v>
      </c>
      <c r="N4010" s="2">
        <v>46063</v>
      </c>
    </row>
    <row r="4011" spans="1:14" x14ac:dyDescent="0.25">
      <c r="A4011" s="4" t="s">
        <v>239</v>
      </c>
      <c r="B4011" s="5"/>
      <c r="C4011" s="4" t="s">
        <v>9</v>
      </c>
      <c r="D4011" s="4" t="s">
        <v>9</v>
      </c>
      <c r="E4011" s="4" t="s">
        <v>9</v>
      </c>
      <c r="F4011" s="6">
        <v>0</v>
      </c>
      <c r="G4011" s="6">
        <v>0</v>
      </c>
      <c r="H4011" s="4" t="s">
        <v>9</v>
      </c>
      <c r="I4011" s="4" t="s">
        <v>3</v>
      </c>
      <c r="J4011" s="4" t="s">
        <v>9</v>
      </c>
      <c r="K4011" s="4" t="s">
        <v>9</v>
      </c>
      <c r="L4011" s="4" t="s">
        <v>9</v>
      </c>
      <c r="M4011" s="4" t="s">
        <v>9</v>
      </c>
      <c r="N4011" s="5"/>
    </row>
    <row r="4012" spans="1:14" x14ac:dyDescent="0.25">
      <c r="A4012" t="s">
        <v>543</v>
      </c>
      <c r="B4012" s="2">
        <v>46205</v>
      </c>
      <c r="C4012" t="s">
        <v>543</v>
      </c>
      <c r="D4012" t="s">
        <v>33</v>
      </c>
      <c r="E4012" t="s">
        <v>9</v>
      </c>
      <c r="F4012" s="3">
        <v>29026</v>
      </c>
      <c r="G4012" s="3">
        <v>29026</v>
      </c>
      <c r="H4012" t="s">
        <v>3</v>
      </c>
      <c r="I4012" t="s">
        <v>3</v>
      </c>
      <c r="J4012" t="s">
        <v>9</v>
      </c>
      <c r="K4012" t="s">
        <v>9</v>
      </c>
      <c r="L4012" t="s">
        <v>19</v>
      </c>
      <c r="M4012" t="s">
        <v>35</v>
      </c>
      <c r="N4012" s="2">
        <v>46203</v>
      </c>
    </row>
    <row r="4013" spans="1:14" x14ac:dyDescent="0.25">
      <c r="A4013" t="s">
        <v>543</v>
      </c>
      <c r="B4013" s="2">
        <v>46191</v>
      </c>
      <c r="C4013" t="s">
        <v>543</v>
      </c>
      <c r="D4013" t="s">
        <v>33</v>
      </c>
      <c r="E4013" t="s">
        <v>9</v>
      </c>
      <c r="F4013" s="3">
        <v>-14877</v>
      </c>
      <c r="G4013" s="3">
        <v>-14877</v>
      </c>
      <c r="H4013" t="s">
        <v>3</v>
      </c>
      <c r="I4013" t="s">
        <v>3</v>
      </c>
      <c r="J4013" t="s">
        <v>9</v>
      </c>
      <c r="K4013" t="s">
        <v>13</v>
      </c>
      <c r="L4013" t="s">
        <v>19</v>
      </c>
      <c r="M4013" t="s">
        <v>35</v>
      </c>
      <c r="N4013" s="2">
        <v>46191</v>
      </c>
    </row>
    <row r="4014" spans="1:14" x14ac:dyDescent="0.25">
      <c r="A4014" t="s">
        <v>543</v>
      </c>
      <c r="B4014" s="2">
        <v>46192</v>
      </c>
      <c r="C4014" t="s">
        <v>543</v>
      </c>
      <c r="D4014" t="s">
        <v>33</v>
      </c>
      <c r="E4014" t="s">
        <v>9</v>
      </c>
      <c r="F4014" s="3">
        <v>-14149</v>
      </c>
      <c r="G4014" s="3">
        <v>-14149</v>
      </c>
      <c r="H4014" t="s">
        <v>3</v>
      </c>
      <c r="I4014" t="s">
        <v>3</v>
      </c>
      <c r="J4014" t="s">
        <v>9</v>
      </c>
      <c r="K4014" t="s">
        <v>13</v>
      </c>
      <c r="L4014" t="s">
        <v>19</v>
      </c>
      <c r="M4014" t="s">
        <v>35</v>
      </c>
      <c r="N4014" s="2">
        <v>46192</v>
      </c>
    </row>
    <row r="4015" spans="1:14" x14ac:dyDescent="0.25">
      <c r="A4015" s="4" t="s">
        <v>224</v>
      </c>
      <c r="B4015" s="5"/>
      <c r="C4015" s="4" t="s">
        <v>9</v>
      </c>
      <c r="D4015" s="4" t="s">
        <v>9</v>
      </c>
      <c r="E4015" s="4" t="s">
        <v>9</v>
      </c>
      <c r="F4015" s="6">
        <v>0</v>
      </c>
      <c r="G4015" s="6">
        <v>0</v>
      </c>
      <c r="H4015" s="4" t="s">
        <v>9</v>
      </c>
      <c r="I4015" s="4" t="s">
        <v>3</v>
      </c>
      <c r="J4015" s="4" t="s">
        <v>9</v>
      </c>
      <c r="K4015" s="4" t="s">
        <v>9</v>
      </c>
      <c r="L4015" s="4" t="s">
        <v>9</v>
      </c>
      <c r="M4015" s="4" t="s">
        <v>9</v>
      </c>
      <c r="N4015" s="5"/>
    </row>
    <row r="4016" spans="1:14" x14ac:dyDescent="0.25">
      <c r="A4016" t="s">
        <v>543</v>
      </c>
      <c r="B4016" s="2">
        <v>46239</v>
      </c>
      <c r="C4016" t="s">
        <v>543</v>
      </c>
      <c r="D4016" t="s">
        <v>33</v>
      </c>
      <c r="E4016" t="s">
        <v>9</v>
      </c>
      <c r="F4016" s="3">
        <v>3219</v>
      </c>
      <c r="G4016" s="3">
        <v>3219</v>
      </c>
      <c r="H4016" t="s">
        <v>3</v>
      </c>
      <c r="I4016" t="s">
        <v>3</v>
      </c>
      <c r="J4016" t="s">
        <v>9</v>
      </c>
      <c r="K4016" t="s">
        <v>9</v>
      </c>
      <c r="L4016" t="s">
        <v>21</v>
      </c>
      <c r="M4016" t="s">
        <v>35</v>
      </c>
      <c r="N4016" s="2">
        <v>46234</v>
      </c>
    </row>
    <row r="4017" spans="1:14" x14ac:dyDescent="0.25">
      <c r="A4017" t="s">
        <v>543</v>
      </c>
      <c r="B4017" s="2">
        <v>46218</v>
      </c>
      <c r="C4017" t="s">
        <v>543</v>
      </c>
      <c r="D4017" t="s">
        <v>33</v>
      </c>
      <c r="E4017" t="s">
        <v>9</v>
      </c>
      <c r="F4017" s="3">
        <v>-3219</v>
      </c>
      <c r="G4017" s="3">
        <v>-3219</v>
      </c>
      <c r="H4017" t="s">
        <v>3</v>
      </c>
      <c r="I4017" t="s">
        <v>3</v>
      </c>
      <c r="J4017" t="s">
        <v>9</v>
      </c>
      <c r="K4017" t="s">
        <v>13</v>
      </c>
      <c r="L4017" t="s">
        <v>21</v>
      </c>
      <c r="M4017" t="s">
        <v>35</v>
      </c>
      <c r="N4017" s="2">
        <v>46218</v>
      </c>
    </row>
    <row r="4018" spans="1:14" x14ac:dyDescent="0.25">
      <c r="A4018" s="4" t="s">
        <v>262</v>
      </c>
      <c r="B4018" s="5"/>
      <c r="C4018" s="4" t="s">
        <v>9</v>
      </c>
      <c r="D4018" s="4" t="s">
        <v>9</v>
      </c>
      <c r="E4018" s="4" t="s">
        <v>9</v>
      </c>
      <c r="F4018" s="6">
        <v>0</v>
      </c>
      <c r="G4018" s="6">
        <v>0</v>
      </c>
      <c r="H4018" s="4" t="s">
        <v>9</v>
      </c>
      <c r="I4018" s="4" t="s">
        <v>3</v>
      </c>
      <c r="J4018" s="4" t="s">
        <v>9</v>
      </c>
      <c r="K4018" s="4" t="s">
        <v>9</v>
      </c>
      <c r="L4018" s="4" t="s">
        <v>9</v>
      </c>
      <c r="M4018" s="4" t="s">
        <v>9</v>
      </c>
      <c r="N4018" s="5"/>
    </row>
    <row r="4019" spans="1:14" x14ac:dyDescent="0.25">
      <c r="A4019" t="s">
        <v>543</v>
      </c>
      <c r="B4019" s="2">
        <v>46267</v>
      </c>
      <c r="C4019" t="s">
        <v>543</v>
      </c>
      <c r="D4019" t="s">
        <v>33</v>
      </c>
      <c r="E4019" t="s">
        <v>9</v>
      </c>
      <c r="F4019" s="3">
        <v>54685</v>
      </c>
      <c r="G4019" s="3">
        <v>54685</v>
      </c>
      <c r="H4019" t="s">
        <v>3</v>
      </c>
      <c r="I4019" t="s">
        <v>3</v>
      </c>
      <c r="J4019" t="s">
        <v>9</v>
      </c>
      <c r="K4019" t="s">
        <v>9</v>
      </c>
      <c r="L4019" t="s">
        <v>22</v>
      </c>
      <c r="M4019" t="s">
        <v>35</v>
      </c>
      <c r="N4019" s="2">
        <v>46265</v>
      </c>
    </row>
    <row r="4020" spans="1:14" x14ac:dyDescent="0.25">
      <c r="A4020" t="s">
        <v>543</v>
      </c>
      <c r="B4020" s="2">
        <v>46254</v>
      </c>
      <c r="C4020" t="s">
        <v>543</v>
      </c>
      <c r="D4020" t="s">
        <v>33</v>
      </c>
      <c r="E4020" t="s">
        <v>9</v>
      </c>
      <c r="F4020" s="3">
        <v>-2705</v>
      </c>
      <c r="G4020" s="3">
        <v>-2705</v>
      </c>
      <c r="H4020" t="s">
        <v>3</v>
      </c>
      <c r="I4020" t="s">
        <v>3</v>
      </c>
      <c r="J4020" t="s">
        <v>9</v>
      </c>
      <c r="K4020" t="s">
        <v>13</v>
      </c>
      <c r="L4020" t="s">
        <v>22</v>
      </c>
      <c r="M4020" t="s">
        <v>35</v>
      </c>
      <c r="N4020" s="2">
        <v>46254</v>
      </c>
    </row>
    <row r="4021" spans="1:14" x14ac:dyDescent="0.25">
      <c r="A4021" t="s">
        <v>543</v>
      </c>
      <c r="B4021" s="2">
        <v>46254</v>
      </c>
      <c r="C4021" t="s">
        <v>543</v>
      </c>
      <c r="D4021" t="s">
        <v>33</v>
      </c>
      <c r="E4021" t="s">
        <v>9</v>
      </c>
      <c r="F4021" s="3">
        <v>-51980</v>
      </c>
      <c r="G4021" s="3">
        <v>-51980</v>
      </c>
      <c r="H4021" t="s">
        <v>3</v>
      </c>
      <c r="I4021" t="s">
        <v>3</v>
      </c>
      <c r="J4021" t="s">
        <v>9</v>
      </c>
      <c r="K4021" t="s">
        <v>13</v>
      </c>
      <c r="L4021" t="s">
        <v>22</v>
      </c>
      <c r="M4021" t="s">
        <v>35</v>
      </c>
      <c r="N4021" s="2">
        <v>46254</v>
      </c>
    </row>
    <row r="4022" spans="1:14" x14ac:dyDescent="0.25">
      <c r="A4022" s="4" t="s">
        <v>267</v>
      </c>
      <c r="B4022" s="5"/>
      <c r="C4022" s="4" t="s">
        <v>9</v>
      </c>
      <c r="D4022" s="4" t="s">
        <v>9</v>
      </c>
      <c r="E4022" s="4" t="s">
        <v>9</v>
      </c>
      <c r="F4022" s="6">
        <v>0</v>
      </c>
      <c r="G4022" s="6">
        <v>0</v>
      </c>
      <c r="H4022" s="4" t="s">
        <v>9</v>
      </c>
      <c r="I4022" s="4" t="s">
        <v>3</v>
      </c>
      <c r="J4022" s="4" t="s">
        <v>9</v>
      </c>
      <c r="K4022" s="4" t="s">
        <v>9</v>
      </c>
      <c r="L4022" s="4" t="s">
        <v>9</v>
      </c>
      <c r="M4022" s="4" t="s">
        <v>9</v>
      </c>
      <c r="N4022" s="5"/>
    </row>
    <row r="4023" spans="1:14" x14ac:dyDescent="0.25">
      <c r="A4023" t="s">
        <v>543</v>
      </c>
      <c r="B4023" s="2">
        <v>46028</v>
      </c>
      <c r="C4023" t="s">
        <v>543</v>
      </c>
      <c r="D4023" t="s">
        <v>33</v>
      </c>
      <c r="E4023" t="s">
        <v>9</v>
      </c>
      <c r="F4023" s="3">
        <v>26654</v>
      </c>
      <c r="G4023" s="3">
        <v>26654</v>
      </c>
      <c r="H4023" t="s">
        <v>3</v>
      </c>
      <c r="I4023" t="s">
        <v>3</v>
      </c>
      <c r="J4023" t="s">
        <v>9</v>
      </c>
      <c r="K4023" t="s">
        <v>9</v>
      </c>
      <c r="L4023" t="s">
        <v>12</v>
      </c>
      <c r="M4023" t="s">
        <v>35</v>
      </c>
      <c r="N4023" s="2">
        <v>46022</v>
      </c>
    </row>
    <row r="4024" spans="1:14" x14ac:dyDescent="0.25">
      <c r="A4024" t="s">
        <v>543</v>
      </c>
      <c r="B4024" s="2">
        <v>46007</v>
      </c>
      <c r="C4024" t="s">
        <v>543</v>
      </c>
      <c r="D4024" t="s">
        <v>33</v>
      </c>
      <c r="E4024" t="s">
        <v>9</v>
      </c>
      <c r="F4024" s="3">
        <v>-21323</v>
      </c>
      <c r="G4024" s="3">
        <v>-21323</v>
      </c>
      <c r="H4024" t="s">
        <v>3</v>
      </c>
      <c r="I4024" t="s">
        <v>3</v>
      </c>
      <c r="J4024" t="s">
        <v>9</v>
      </c>
      <c r="K4024" t="s">
        <v>5</v>
      </c>
      <c r="L4024" t="s">
        <v>12</v>
      </c>
      <c r="M4024" t="s">
        <v>35</v>
      </c>
      <c r="N4024" s="2">
        <v>46007</v>
      </c>
    </row>
    <row r="4025" spans="1:14" x14ac:dyDescent="0.25">
      <c r="A4025" t="s">
        <v>543</v>
      </c>
      <c r="B4025" s="2">
        <v>46007</v>
      </c>
      <c r="C4025" t="s">
        <v>543</v>
      </c>
      <c r="D4025" t="s">
        <v>33</v>
      </c>
      <c r="E4025" t="s">
        <v>9</v>
      </c>
      <c r="F4025" s="3">
        <v>-5331</v>
      </c>
      <c r="G4025" s="3">
        <v>-5331</v>
      </c>
      <c r="H4025" t="s">
        <v>3</v>
      </c>
      <c r="I4025" t="s">
        <v>3</v>
      </c>
      <c r="J4025" t="s">
        <v>9</v>
      </c>
      <c r="K4025" t="s">
        <v>5</v>
      </c>
      <c r="L4025" t="s">
        <v>12</v>
      </c>
      <c r="M4025" t="s">
        <v>35</v>
      </c>
      <c r="N4025" s="2">
        <v>46007</v>
      </c>
    </row>
    <row r="4026" spans="1:14" x14ac:dyDescent="0.25">
      <c r="A4026" s="4" t="s">
        <v>228</v>
      </c>
      <c r="B4026" s="5"/>
      <c r="C4026" s="4" t="s">
        <v>9</v>
      </c>
      <c r="D4026" s="4" t="s">
        <v>9</v>
      </c>
      <c r="E4026" s="4" t="s">
        <v>9</v>
      </c>
      <c r="F4026" s="6">
        <v>0</v>
      </c>
      <c r="G4026" s="6">
        <v>0</v>
      </c>
      <c r="H4026" s="4" t="s">
        <v>9</v>
      </c>
      <c r="I4026" s="4" t="s">
        <v>3</v>
      </c>
      <c r="J4026" s="4" t="s">
        <v>9</v>
      </c>
      <c r="K4026" s="4" t="s">
        <v>9</v>
      </c>
      <c r="L4026" s="4" t="s">
        <v>9</v>
      </c>
      <c r="M4026" s="4" t="s">
        <v>9</v>
      </c>
      <c r="N4026" s="5"/>
    </row>
    <row r="4027" spans="1:14" x14ac:dyDescent="0.25">
      <c r="A4027" s="4" t="s">
        <v>543</v>
      </c>
      <c r="B4027" s="5"/>
      <c r="C4027" s="4" t="s">
        <v>9</v>
      </c>
      <c r="D4027" s="4" t="s">
        <v>9</v>
      </c>
      <c r="E4027" s="4" t="s">
        <v>9</v>
      </c>
      <c r="F4027" s="6">
        <v>0</v>
      </c>
      <c r="G4027" s="6">
        <v>0</v>
      </c>
      <c r="H4027" s="4" t="s">
        <v>9</v>
      </c>
      <c r="I4027" s="4" t="s">
        <v>3</v>
      </c>
      <c r="J4027" s="4" t="s">
        <v>9</v>
      </c>
      <c r="K4027" s="4" t="s">
        <v>9</v>
      </c>
      <c r="L4027" s="4" t="s">
        <v>9</v>
      </c>
      <c r="M4027" s="4" t="s">
        <v>9</v>
      </c>
      <c r="N4027" s="5"/>
    </row>
    <row r="4028" spans="1:14" x14ac:dyDescent="0.25">
      <c r="A4028" t="s">
        <v>544</v>
      </c>
      <c r="B4028" s="2">
        <v>46115</v>
      </c>
      <c r="C4028" t="s">
        <v>544</v>
      </c>
      <c r="D4028" t="s">
        <v>112</v>
      </c>
      <c r="E4028" t="s">
        <v>9</v>
      </c>
      <c r="F4028" s="3">
        <v>-42600</v>
      </c>
      <c r="G4028" s="3">
        <v>-42600</v>
      </c>
      <c r="H4028" t="s">
        <v>3</v>
      </c>
      <c r="I4028" t="s">
        <v>3</v>
      </c>
      <c r="J4028" t="s">
        <v>9</v>
      </c>
      <c r="K4028" t="s">
        <v>9</v>
      </c>
      <c r="L4028" t="s">
        <v>16</v>
      </c>
      <c r="M4028" t="s">
        <v>114</v>
      </c>
      <c r="N4028" s="2">
        <v>46112</v>
      </c>
    </row>
    <row r="4029" spans="1:14" x14ac:dyDescent="0.25">
      <c r="A4029" t="s">
        <v>544</v>
      </c>
      <c r="B4029" s="2">
        <v>46112</v>
      </c>
      <c r="C4029" t="s">
        <v>544</v>
      </c>
      <c r="D4029" t="s">
        <v>112</v>
      </c>
      <c r="E4029" t="s">
        <v>9</v>
      </c>
      <c r="F4029" s="3">
        <v>42600</v>
      </c>
      <c r="G4029" s="3">
        <v>42600</v>
      </c>
      <c r="H4029" t="s">
        <v>3</v>
      </c>
      <c r="I4029" t="s">
        <v>3</v>
      </c>
      <c r="J4029" t="s">
        <v>307</v>
      </c>
      <c r="K4029" t="s">
        <v>13</v>
      </c>
      <c r="L4029" t="s">
        <v>16</v>
      </c>
      <c r="M4029" t="s">
        <v>114</v>
      </c>
      <c r="N4029" s="2">
        <v>46112</v>
      </c>
    </row>
    <row r="4030" spans="1:14" x14ac:dyDescent="0.25">
      <c r="A4030" s="4" t="s">
        <v>244</v>
      </c>
      <c r="B4030" s="5"/>
      <c r="C4030" s="4" t="s">
        <v>9</v>
      </c>
      <c r="D4030" s="4" t="s">
        <v>9</v>
      </c>
      <c r="E4030" s="4" t="s">
        <v>9</v>
      </c>
      <c r="F4030" s="6">
        <v>0</v>
      </c>
      <c r="G4030" s="6">
        <v>0</v>
      </c>
      <c r="H4030" s="4" t="s">
        <v>9</v>
      </c>
      <c r="I4030" s="4" t="s">
        <v>3</v>
      </c>
      <c r="J4030" s="4" t="s">
        <v>9</v>
      </c>
      <c r="K4030" s="4" t="s">
        <v>9</v>
      </c>
      <c r="L4030" s="4" t="s">
        <v>9</v>
      </c>
      <c r="M4030" s="4" t="s">
        <v>9</v>
      </c>
      <c r="N4030" s="5"/>
    </row>
    <row r="4031" spans="1:14" x14ac:dyDescent="0.25">
      <c r="A4031" t="s">
        <v>544</v>
      </c>
      <c r="B4031" s="2">
        <v>46147</v>
      </c>
      <c r="C4031" t="s">
        <v>544</v>
      </c>
      <c r="D4031" t="s">
        <v>112</v>
      </c>
      <c r="E4031" t="s">
        <v>9</v>
      </c>
      <c r="F4031" s="3">
        <v>-3700</v>
      </c>
      <c r="G4031" s="3">
        <v>-3700</v>
      </c>
      <c r="H4031" t="s">
        <v>3</v>
      </c>
      <c r="I4031" t="s">
        <v>3</v>
      </c>
      <c r="J4031" t="s">
        <v>9</v>
      </c>
      <c r="K4031" t="s">
        <v>9</v>
      </c>
      <c r="L4031" t="s">
        <v>17</v>
      </c>
      <c r="M4031" t="s">
        <v>114</v>
      </c>
      <c r="N4031" s="2">
        <v>46142</v>
      </c>
    </row>
    <row r="4032" spans="1:14" x14ac:dyDescent="0.25">
      <c r="A4032" t="s">
        <v>544</v>
      </c>
      <c r="B4032" s="2">
        <v>46112</v>
      </c>
      <c r="C4032" t="s">
        <v>544</v>
      </c>
      <c r="D4032" t="s">
        <v>112</v>
      </c>
      <c r="E4032" t="s">
        <v>9</v>
      </c>
      <c r="F4032" s="3">
        <v>-42600</v>
      </c>
      <c r="G4032" s="3">
        <v>-42600</v>
      </c>
      <c r="H4032" t="s">
        <v>3</v>
      </c>
      <c r="I4032" t="s">
        <v>3</v>
      </c>
      <c r="J4032" t="s">
        <v>307</v>
      </c>
      <c r="K4032" t="s">
        <v>13</v>
      </c>
      <c r="L4032" t="s">
        <v>17</v>
      </c>
      <c r="M4032" t="s">
        <v>114</v>
      </c>
      <c r="N4032" s="2">
        <v>46113</v>
      </c>
    </row>
    <row r="4033" spans="1:14" x14ac:dyDescent="0.25">
      <c r="A4033" t="s">
        <v>544</v>
      </c>
      <c r="B4033" s="2">
        <v>46142</v>
      </c>
      <c r="C4033" t="s">
        <v>544</v>
      </c>
      <c r="D4033" t="s">
        <v>112</v>
      </c>
      <c r="E4033" t="s">
        <v>9</v>
      </c>
      <c r="F4033" s="3">
        <v>46300</v>
      </c>
      <c r="G4033" s="3">
        <v>46300</v>
      </c>
      <c r="H4033" t="s">
        <v>3</v>
      </c>
      <c r="I4033" t="s">
        <v>3</v>
      </c>
      <c r="J4033" t="s">
        <v>310</v>
      </c>
      <c r="K4033" t="s">
        <v>13</v>
      </c>
      <c r="L4033" t="s">
        <v>17</v>
      </c>
      <c r="M4033" t="s">
        <v>114</v>
      </c>
      <c r="N4033" s="2">
        <v>46142</v>
      </c>
    </row>
    <row r="4034" spans="1:14" x14ac:dyDescent="0.25">
      <c r="A4034" s="4" t="s">
        <v>249</v>
      </c>
      <c r="B4034" s="5"/>
      <c r="C4034" s="4" t="s">
        <v>9</v>
      </c>
      <c r="D4034" s="4" t="s">
        <v>9</v>
      </c>
      <c r="E4034" s="4" t="s">
        <v>9</v>
      </c>
      <c r="F4034" s="6">
        <v>0</v>
      </c>
      <c r="G4034" s="6">
        <v>0</v>
      </c>
      <c r="H4034" s="4" t="s">
        <v>9</v>
      </c>
      <c r="I4034" s="4" t="s">
        <v>3</v>
      </c>
      <c r="J4034" s="4" t="s">
        <v>9</v>
      </c>
      <c r="K4034" s="4" t="s">
        <v>9</v>
      </c>
      <c r="L4034" s="4" t="s">
        <v>9</v>
      </c>
      <c r="M4034" s="4" t="s">
        <v>9</v>
      </c>
      <c r="N4034" s="5"/>
    </row>
    <row r="4035" spans="1:14" x14ac:dyDescent="0.25">
      <c r="A4035" t="s">
        <v>544</v>
      </c>
      <c r="B4035" s="2">
        <v>46175</v>
      </c>
      <c r="C4035" t="s">
        <v>544</v>
      </c>
      <c r="D4035" t="s">
        <v>112</v>
      </c>
      <c r="E4035" t="s">
        <v>9</v>
      </c>
      <c r="F4035" s="3">
        <v>-2700</v>
      </c>
      <c r="G4035" s="3">
        <v>-2700</v>
      </c>
      <c r="H4035" t="s">
        <v>3</v>
      </c>
      <c r="I4035" t="s">
        <v>3</v>
      </c>
      <c r="J4035" t="s">
        <v>9</v>
      </c>
      <c r="K4035" t="s">
        <v>9</v>
      </c>
      <c r="L4035" t="s">
        <v>18</v>
      </c>
      <c r="M4035" t="s">
        <v>114</v>
      </c>
      <c r="N4035" s="2">
        <v>46173</v>
      </c>
    </row>
    <row r="4036" spans="1:14" x14ac:dyDescent="0.25">
      <c r="A4036" t="s">
        <v>544</v>
      </c>
      <c r="B4036" s="2">
        <v>46142</v>
      </c>
      <c r="C4036" t="s">
        <v>544</v>
      </c>
      <c r="D4036" t="s">
        <v>112</v>
      </c>
      <c r="E4036" t="s">
        <v>9</v>
      </c>
      <c r="F4036" s="3">
        <v>-46300</v>
      </c>
      <c r="G4036" s="3">
        <v>-46300</v>
      </c>
      <c r="H4036" t="s">
        <v>3</v>
      </c>
      <c r="I4036" t="s">
        <v>3</v>
      </c>
      <c r="J4036" t="s">
        <v>310</v>
      </c>
      <c r="K4036" t="s">
        <v>13</v>
      </c>
      <c r="L4036" t="s">
        <v>18</v>
      </c>
      <c r="M4036" t="s">
        <v>114</v>
      </c>
      <c r="N4036" s="2">
        <v>46143</v>
      </c>
    </row>
    <row r="4037" spans="1:14" x14ac:dyDescent="0.25">
      <c r="A4037" t="s">
        <v>544</v>
      </c>
      <c r="B4037" s="2">
        <v>46173</v>
      </c>
      <c r="C4037" t="s">
        <v>544</v>
      </c>
      <c r="D4037" t="s">
        <v>112</v>
      </c>
      <c r="E4037" t="s">
        <v>9</v>
      </c>
      <c r="F4037" s="3">
        <v>49000</v>
      </c>
      <c r="G4037" s="3">
        <v>49000</v>
      </c>
      <c r="H4037" t="s">
        <v>3</v>
      </c>
      <c r="I4037" t="s">
        <v>3</v>
      </c>
      <c r="J4037" t="s">
        <v>313</v>
      </c>
      <c r="K4037" t="s">
        <v>13</v>
      </c>
      <c r="L4037" t="s">
        <v>18</v>
      </c>
      <c r="M4037" t="s">
        <v>114</v>
      </c>
      <c r="N4037" s="2">
        <v>46173</v>
      </c>
    </row>
    <row r="4038" spans="1:14" x14ac:dyDescent="0.25">
      <c r="A4038" s="4" t="s">
        <v>223</v>
      </c>
      <c r="B4038" s="5"/>
      <c r="C4038" s="4" t="s">
        <v>9</v>
      </c>
      <c r="D4038" s="4" t="s">
        <v>9</v>
      </c>
      <c r="E4038" s="4" t="s">
        <v>9</v>
      </c>
      <c r="F4038" s="6">
        <v>0</v>
      </c>
      <c r="G4038" s="6">
        <v>0</v>
      </c>
      <c r="H4038" s="4" t="s">
        <v>9</v>
      </c>
      <c r="I4038" s="4" t="s">
        <v>3</v>
      </c>
      <c r="J4038" s="4" t="s">
        <v>9</v>
      </c>
      <c r="K4038" s="4" t="s">
        <v>9</v>
      </c>
      <c r="L4038" s="4" t="s">
        <v>9</v>
      </c>
      <c r="M4038" s="4" t="s">
        <v>9</v>
      </c>
      <c r="N4038" s="5"/>
    </row>
    <row r="4039" spans="1:14" x14ac:dyDescent="0.25">
      <c r="A4039" t="s">
        <v>544</v>
      </c>
      <c r="B4039" s="2">
        <v>46205</v>
      </c>
      <c r="C4039" t="s">
        <v>544</v>
      </c>
      <c r="D4039" t="s">
        <v>112</v>
      </c>
      <c r="E4039" t="s">
        <v>9</v>
      </c>
      <c r="F4039" s="3">
        <v>-650</v>
      </c>
      <c r="G4039" s="3">
        <v>-650</v>
      </c>
      <c r="H4039" t="s">
        <v>3</v>
      </c>
      <c r="I4039" t="s">
        <v>3</v>
      </c>
      <c r="J4039" t="s">
        <v>9</v>
      </c>
      <c r="K4039" t="s">
        <v>9</v>
      </c>
      <c r="L4039" t="s">
        <v>19</v>
      </c>
      <c r="M4039" t="s">
        <v>114</v>
      </c>
      <c r="N4039" s="2">
        <v>46203</v>
      </c>
    </row>
    <row r="4040" spans="1:14" x14ac:dyDescent="0.25">
      <c r="A4040" t="s">
        <v>544</v>
      </c>
      <c r="B4040" s="2">
        <v>46173</v>
      </c>
      <c r="C4040" t="s">
        <v>544</v>
      </c>
      <c r="D4040" t="s">
        <v>112</v>
      </c>
      <c r="E4040" t="s">
        <v>9</v>
      </c>
      <c r="F4040" s="3">
        <v>-49000</v>
      </c>
      <c r="G4040" s="3">
        <v>-49000</v>
      </c>
      <c r="H4040" t="s">
        <v>3</v>
      </c>
      <c r="I4040" t="s">
        <v>3</v>
      </c>
      <c r="J4040" t="s">
        <v>313</v>
      </c>
      <c r="K4040" t="s">
        <v>13</v>
      </c>
      <c r="L4040" t="s">
        <v>19</v>
      </c>
      <c r="M4040" t="s">
        <v>114</v>
      </c>
      <c r="N4040" s="2">
        <v>46174</v>
      </c>
    </row>
    <row r="4041" spans="1:14" x14ac:dyDescent="0.25">
      <c r="A4041" t="s">
        <v>544</v>
      </c>
      <c r="B4041" s="2">
        <v>46203</v>
      </c>
      <c r="C4041" t="s">
        <v>544</v>
      </c>
      <c r="D4041" t="s">
        <v>112</v>
      </c>
      <c r="E4041" t="s">
        <v>9</v>
      </c>
      <c r="F4041" s="3">
        <v>49650</v>
      </c>
      <c r="G4041" s="3">
        <v>49650</v>
      </c>
      <c r="H4041" t="s">
        <v>3</v>
      </c>
      <c r="I4041" t="s">
        <v>3</v>
      </c>
      <c r="J4041" t="s">
        <v>316</v>
      </c>
      <c r="K4041" t="s">
        <v>13</v>
      </c>
      <c r="L4041" t="s">
        <v>19</v>
      </c>
      <c r="M4041" t="s">
        <v>114</v>
      </c>
      <c r="N4041" s="2">
        <v>46203</v>
      </c>
    </row>
    <row r="4042" spans="1:14" x14ac:dyDescent="0.25">
      <c r="A4042" s="4" t="s">
        <v>224</v>
      </c>
      <c r="B4042" s="5"/>
      <c r="C4042" s="4" t="s">
        <v>9</v>
      </c>
      <c r="D4042" s="4" t="s">
        <v>9</v>
      </c>
      <c r="E4042" s="4" t="s">
        <v>9</v>
      </c>
      <c r="F4042" s="6">
        <v>0</v>
      </c>
      <c r="G4042" s="6">
        <v>0</v>
      </c>
      <c r="H4042" s="4" t="s">
        <v>9</v>
      </c>
      <c r="I4042" s="4" t="s">
        <v>3</v>
      </c>
      <c r="J4042" s="4" t="s">
        <v>9</v>
      </c>
      <c r="K4042" s="4" t="s">
        <v>9</v>
      </c>
      <c r="L4042" s="4" t="s">
        <v>9</v>
      </c>
      <c r="M4042" s="4" t="s">
        <v>9</v>
      </c>
      <c r="N4042" s="5"/>
    </row>
    <row r="4043" spans="1:14" x14ac:dyDescent="0.25">
      <c r="A4043" t="s">
        <v>544</v>
      </c>
      <c r="B4043" s="2">
        <v>46239</v>
      </c>
      <c r="C4043" t="s">
        <v>544</v>
      </c>
      <c r="D4043" t="s">
        <v>112</v>
      </c>
      <c r="E4043" t="s">
        <v>9</v>
      </c>
      <c r="F4043" s="3">
        <v>-2576</v>
      </c>
      <c r="G4043" s="3">
        <v>-2576</v>
      </c>
      <c r="H4043" t="s">
        <v>3</v>
      </c>
      <c r="I4043" t="s">
        <v>3</v>
      </c>
      <c r="J4043" t="s">
        <v>9</v>
      </c>
      <c r="K4043" t="s">
        <v>9</v>
      </c>
      <c r="L4043" t="s">
        <v>21</v>
      </c>
      <c r="M4043" t="s">
        <v>114</v>
      </c>
      <c r="N4043" s="2">
        <v>46234</v>
      </c>
    </row>
    <row r="4044" spans="1:14" x14ac:dyDescent="0.25">
      <c r="A4044" t="s">
        <v>544</v>
      </c>
      <c r="B4044" s="2">
        <v>46203</v>
      </c>
      <c r="C4044" t="s">
        <v>544</v>
      </c>
      <c r="D4044" t="s">
        <v>112</v>
      </c>
      <c r="E4044" t="s">
        <v>9</v>
      </c>
      <c r="F4044" s="3">
        <v>-49650</v>
      </c>
      <c r="G4044" s="3">
        <v>-49650</v>
      </c>
      <c r="H4044" t="s">
        <v>3</v>
      </c>
      <c r="I4044" t="s">
        <v>3</v>
      </c>
      <c r="J4044" t="s">
        <v>316</v>
      </c>
      <c r="K4044" t="s">
        <v>13</v>
      </c>
      <c r="L4044" t="s">
        <v>21</v>
      </c>
      <c r="M4044" t="s">
        <v>114</v>
      </c>
      <c r="N4044" s="2">
        <v>46204</v>
      </c>
    </row>
    <row r="4045" spans="1:14" x14ac:dyDescent="0.25">
      <c r="A4045" t="s">
        <v>544</v>
      </c>
      <c r="B4045" s="2">
        <v>46234</v>
      </c>
      <c r="C4045" t="s">
        <v>544</v>
      </c>
      <c r="D4045" t="s">
        <v>112</v>
      </c>
      <c r="E4045" t="s">
        <v>9</v>
      </c>
      <c r="F4045" s="3">
        <v>52226</v>
      </c>
      <c r="G4045" s="3">
        <v>52226</v>
      </c>
      <c r="H4045" t="s">
        <v>3</v>
      </c>
      <c r="I4045" t="s">
        <v>3</v>
      </c>
      <c r="J4045" t="s">
        <v>319</v>
      </c>
      <c r="K4045" t="s">
        <v>13</v>
      </c>
      <c r="L4045" t="s">
        <v>21</v>
      </c>
      <c r="M4045" t="s">
        <v>114</v>
      </c>
      <c r="N4045" s="2">
        <v>46234</v>
      </c>
    </row>
    <row r="4046" spans="1:14" x14ac:dyDescent="0.25">
      <c r="A4046" s="4" t="s">
        <v>262</v>
      </c>
      <c r="B4046" s="5"/>
      <c r="C4046" s="4" t="s">
        <v>9</v>
      </c>
      <c r="D4046" s="4" t="s">
        <v>9</v>
      </c>
      <c r="E4046" s="4" t="s">
        <v>9</v>
      </c>
      <c r="F4046" s="6">
        <v>0</v>
      </c>
      <c r="G4046" s="6">
        <v>0</v>
      </c>
      <c r="H4046" s="4" t="s">
        <v>9</v>
      </c>
      <c r="I4046" s="4" t="s">
        <v>3</v>
      </c>
      <c r="J4046" s="4" t="s">
        <v>9</v>
      </c>
      <c r="K4046" s="4" t="s">
        <v>9</v>
      </c>
      <c r="L4046" s="4" t="s">
        <v>9</v>
      </c>
      <c r="M4046" s="4" t="s">
        <v>9</v>
      </c>
      <c r="N4046" s="5"/>
    </row>
    <row r="4047" spans="1:14" x14ac:dyDescent="0.25">
      <c r="A4047" t="s">
        <v>544</v>
      </c>
      <c r="B4047" s="2">
        <v>46234</v>
      </c>
      <c r="C4047" t="s">
        <v>544</v>
      </c>
      <c r="D4047" t="s">
        <v>112</v>
      </c>
      <c r="E4047" t="s">
        <v>9</v>
      </c>
      <c r="F4047" s="3">
        <v>-52226</v>
      </c>
      <c r="G4047" s="3">
        <v>-52226</v>
      </c>
      <c r="H4047" t="s">
        <v>3</v>
      </c>
      <c r="I4047" t="s">
        <v>3</v>
      </c>
      <c r="J4047" t="s">
        <v>319</v>
      </c>
      <c r="K4047" t="s">
        <v>13</v>
      </c>
      <c r="L4047" t="s">
        <v>22</v>
      </c>
      <c r="M4047" t="s">
        <v>114</v>
      </c>
      <c r="N4047" s="2">
        <v>46235</v>
      </c>
    </row>
    <row r="4048" spans="1:14" x14ac:dyDescent="0.25">
      <c r="A4048" t="s">
        <v>544</v>
      </c>
      <c r="B4048" s="2">
        <v>46265</v>
      </c>
      <c r="C4048" t="s">
        <v>544</v>
      </c>
      <c r="D4048" t="s">
        <v>112</v>
      </c>
      <c r="E4048" t="s">
        <v>9</v>
      </c>
      <c r="F4048" s="3">
        <v>49650</v>
      </c>
      <c r="G4048" s="3">
        <v>49650</v>
      </c>
      <c r="H4048" t="s">
        <v>3</v>
      </c>
      <c r="I4048" t="s">
        <v>3</v>
      </c>
      <c r="J4048" t="s">
        <v>322</v>
      </c>
      <c r="K4048" t="s">
        <v>13</v>
      </c>
      <c r="L4048" t="s">
        <v>22</v>
      </c>
      <c r="M4048" t="s">
        <v>114</v>
      </c>
      <c r="N4048" s="2">
        <v>46265</v>
      </c>
    </row>
    <row r="4049" spans="1:14" x14ac:dyDescent="0.25">
      <c r="A4049" t="s">
        <v>544</v>
      </c>
      <c r="B4049" s="2">
        <v>46265</v>
      </c>
      <c r="C4049" t="s">
        <v>544</v>
      </c>
      <c r="D4049" t="s">
        <v>112</v>
      </c>
      <c r="E4049" t="s">
        <v>9</v>
      </c>
      <c r="F4049" s="3">
        <v>2576</v>
      </c>
      <c r="G4049" s="3">
        <v>2576</v>
      </c>
      <c r="H4049" t="s">
        <v>3</v>
      </c>
      <c r="I4049" t="s">
        <v>3</v>
      </c>
      <c r="J4049" t="s">
        <v>545</v>
      </c>
      <c r="K4049" t="s">
        <v>13</v>
      </c>
      <c r="L4049" t="s">
        <v>22</v>
      </c>
      <c r="M4049" t="s">
        <v>114</v>
      </c>
      <c r="N4049" s="2">
        <v>46265</v>
      </c>
    </row>
    <row r="4050" spans="1:14" x14ac:dyDescent="0.25">
      <c r="A4050" s="4" t="s">
        <v>267</v>
      </c>
      <c r="B4050" s="5"/>
      <c r="C4050" s="4" t="s">
        <v>9</v>
      </c>
      <c r="D4050" s="4" t="s">
        <v>9</v>
      </c>
      <c r="E4050" s="4" t="s">
        <v>9</v>
      </c>
      <c r="F4050" s="6">
        <v>0</v>
      </c>
      <c r="G4050" s="6">
        <v>0</v>
      </c>
      <c r="H4050" s="4" t="s">
        <v>9</v>
      </c>
      <c r="I4050" s="4" t="s">
        <v>3</v>
      </c>
      <c r="J4050" s="4" t="s">
        <v>9</v>
      </c>
      <c r="K4050" s="4" t="s">
        <v>9</v>
      </c>
      <c r="L4050" s="4" t="s">
        <v>9</v>
      </c>
      <c r="M4050" s="4" t="s">
        <v>9</v>
      </c>
      <c r="N4050" s="5"/>
    </row>
    <row r="4051" spans="1:14" x14ac:dyDescent="0.25">
      <c r="A4051" s="4" t="s">
        <v>544</v>
      </c>
      <c r="B4051" s="5"/>
      <c r="C4051" s="4" t="s">
        <v>9</v>
      </c>
      <c r="D4051" s="4" t="s">
        <v>9</v>
      </c>
      <c r="E4051" s="4" t="s">
        <v>9</v>
      </c>
      <c r="F4051" s="6">
        <v>0</v>
      </c>
      <c r="G4051" s="6">
        <v>0</v>
      </c>
      <c r="H4051" s="4" t="s">
        <v>9</v>
      </c>
      <c r="I4051" s="4" t="s">
        <v>3</v>
      </c>
      <c r="J4051" s="4" t="s">
        <v>9</v>
      </c>
      <c r="K4051" s="4" t="s">
        <v>9</v>
      </c>
      <c r="L4051" s="4" t="s">
        <v>9</v>
      </c>
      <c r="M4051" s="4" t="s">
        <v>9</v>
      </c>
      <c r="N4051" s="5"/>
    </row>
    <row r="4052" spans="1:14" x14ac:dyDescent="0.25">
      <c r="A4052" t="s">
        <v>546</v>
      </c>
      <c r="B4052" s="2">
        <v>46115</v>
      </c>
      <c r="C4052" t="s">
        <v>546</v>
      </c>
      <c r="D4052" t="s">
        <v>99</v>
      </c>
      <c r="E4052" t="s">
        <v>9</v>
      </c>
      <c r="F4052" s="3">
        <v>-27912.3</v>
      </c>
      <c r="G4052" s="3">
        <v>-27912.3</v>
      </c>
      <c r="H4052" t="s">
        <v>3</v>
      </c>
      <c r="I4052" t="s">
        <v>3</v>
      </c>
      <c r="J4052" t="s">
        <v>9</v>
      </c>
      <c r="K4052" t="s">
        <v>9</v>
      </c>
      <c r="L4052" t="s">
        <v>16</v>
      </c>
      <c r="M4052" t="s">
        <v>102</v>
      </c>
      <c r="N4052" s="2">
        <v>46112</v>
      </c>
    </row>
    <row r="4053" spans="1:14" x14ac:dyDescent="0.25">
      <c r="A4053" t="s">
        <v>546</v>
      </c>
      <c r="B4053" s="2">
        <v>46091</v>
      </c>
      <c r="C4053" t="s">
        <v>546</v>
      </c>
      <c r="D4053" t="s">
        <v>99</v>
      </c>
      <c r="E4053" t="s">
        <v>547</v>
      </c>
      <c r="F4053" s="3">
        <v>4800</v>
      </c>
      <c r="G4053" s="3">
        <v>4800</v>
      </c>
      <c r="H4053" t="s">
        <v>3</v>
      </c>
      <c r="I4053" t="s">
        <v>3</v>
      </c>
      <c r="J4053" t="s">
        <v>548</v>
      </c>
      <c r="K4053" t="s">
        <v>13</v>
      </c>
      <c r="L4053" t="s">
        <v>16</v>
      </c>
      <c r="M4053" t="s">
        <v>102</v>
      </c>
      <c r="N4053" s="2">
        <v>46091</v>
      </c>
    </row>
    <row r="4054" spans="1:14" x14ac:dyDescent="0.25">
      <c r="A4054" t="s">
        <v>546</v>
      </c>
      <c r="B4054" s="2">
        <v>46091</v>
      </c>
      <c r="C4054" t="s">
        <v>546</v>
      </c>
      <c r="D4054" t="s">
        <v>99</v>
      </c>
      <c r="E4054" t="s">
        <v>547</v>
      </c>
      <c r="F4054" s="3">
        <v>3600</v>
      </c>
      <c r="G4054" s="3">
        <v>3600</v>
      </c>
      <c r="H4054" t="s">
        <v>3</v>
      </c>
      <c r="I4054" t="s">
        <v>3</v>
      </c>
      <c r="J4054" t="s">
        <v>549</v>
      </c>
      <c r="K4054" t="s">
        <v>13</v>
      </c>
      <c r="L4054" t="s">
        <v>16</v>
      </c>
      <c r="M4054" t="s">
        <v>102</v>
      </c>
      <c r="N4054" s="2">
        <v>46091</v>
      </c>
    </row>
    <row r="4055" spans="1:14" x14ac:dyDescent="0.25">
      <c r="A4055" t="s">
        <v>546</v>
      </c>
      <c r="B4055" s="2">
        <v>46091</v>
      </c>
      <c r="C4055" t="s">
        <v>546</v>
      </c>
      <c r="D4055" t="s">
        <v>99</v>
      </c>
      <c r="E4055" t="s">
        <v>547</v>
      </c>
      <c r="F4055" s="3">
        <v>960</v>
      </c>
      <c r="G4055" s="3">
        <v>960</v>
      </c>
      <c r="H4055" t="s">
        <v>3</v>
      </c>
      <c r="I4055" t="s">
        <v>3</v>
      </c>
      <c r="J4055" t="s">
        <v>550</v>
      </c>
      <c r="K4055" t="s">
        <v>13</v>
      </c>
      <c r="L4055" t="s">
        <v>16</v>
      </c>
      <c r="M4055" t="s">
        <v>102</v>
      </c>
      <c r="N4055" s="2">
        <v>46091</v>
      </c>
    </row>
    <row r="4056" spans="1:14" x14ac:dyDescent="0.25">
      <c r="A4056" t="s">
        <v>546</v>
      </c>
      <c r="B4056" s="2">
        <v>46082</v>
      </c>
      <c r="C4056" t="s">
        <v>546</v>
      </c>
      <c r="D4056" t="s">
        <v>99</v>
      </c>
      <c r="E4056" t="s">
        <v>9</v>
      </c>
      <c r="F4056" s="3">
        <v>3450</v>
      </c>
      <c r="G4056" s="3">
        <v>3450</v>
      </c>
      <c r="H4056" t="s">
        <v>3</v>
      </c>
      <c r="I4056" t="s">
        <v>3</v>
      </c>
      <c r="J4056" t="s">
        <v>551</v>
      </c>
      <c r="K4056" t="s">
        <v>13</v>
      </c>
      <c r="L4056" t="s">
        <v>16</v>
      </c>
      <c r="M4056" t="s">
        <v>102</v>
      </c>
      <c r="N4056" s="2">
        <v>46082</v>
      </c>
    </row>
    <row r="4057" spans="1:14" x14ac:dyDescent="0.25">
      <c r="A4057" t="s">
        <v>546</v>
      </c>
      <c r="B4057" s="2">
        <v>46082</v>
      </c>
      <c r="C4057" t="s">
        <v>546</v>
      </c>
      <c r="D4057" t="s">
        <v>99</v>
      </c>
      <c r="E4057" t="s">
        <v>9</v>
      </c>
      <c r="F4057" s="3">
        <v>-960</v>
      </c>
      <c r="G4057" s="3">
        <v>-960</v>
      </c>
      <c r="H4057" t="s">
        <v>3</v>
      </c>
      <c r="I4057" t="s">
        <v>3</v>
      </c>
      <c r="J4057" t="s">
        <v>552</v>
      </c>
      <c r="K4057" t="s">
        <v>13</v>
      </c>
      <c r="L4057" t="s">
        <v>16</v>
      </c>
      <c r="M4057" t="s">
        <v>102</v>
      </c>
      <c r="N4057" s="2">
        <v>46082</v>
      </c>
    </row>
    <row r="4058" spans="1:14" x14ac:dyDescent="0.25">
      <c r="A4058" t="s">
        <v>546</v>
      </c>
      <c r="B4058" s="2">
        <v>46082</v>
      </c>
      <c r="C4058" t="s">
        <v>546</v>
      </c>
      <c r="D4058" t="s">
        <v>99</v>
      </c>
      <c r="E4058" t="s">
        <v>9</v>
      </c>
      <c r="F4058" s="3">
        <v>-3600</v>
      </c>
      <c r="G4058" s="3">
        <v>-3600</v>
      </c>
      <c r="H4058" t="s">
        <v>3</v>
      </c>
      <c r="I4058" t="s">
        <v>3</v>
      </c>
      <c r="J4058" t="s">
        <v>552</v>
      </c>
      <c r="K4058" t="s">
        <v>13</v>
      </c>
      <c r="L4058" t="s">
        <v>16</v>
      </c>
      <c r="M4058" t="s">
        <v>102</v>
      </c>
      <c r="N4058" s="2">
        <v>46082</v>
      </c>
    </row>
    <row r="4059" spans="1:14" x14ac:dyDescent="0.25">
      <c r="A4059" t="s">
        <v>546</v>
      </c>
      <c r="B4059" s="2">
        <v>46099</v>
      </c>
      <c r="C4059" t="s">
        <v>546</v>
      </c>
      <c r="D4059" t="s">
        <v>99</v>
      </c>
      <c r="E4059" t="s">
        <v>553</v>
      </c>
      <c r="F4059" s="3">
        <v>19662.3</v>
      </c>
      <c r="G4059" s="3">
        <v>19662.3</v>
      </c>
      <c r="H4059" t="s">
        <v>3</v>
      </c>
      <c r="I4059" t="s">
        <v>3</v>
      </c>
      <c r="J4059" t="s">
        <v>554</v>
      </c>
      <c r="K4059" t="s">
        <v>13</v>
      </c>
      <c r="L4059" t="s">
        <v>16</v>
      </c>
      <c r="M4059" t="s">
        <v>102</v>
      </c>
      <c r="N4059" s="2">
        <v>46099</v>
      </c>
    </row>
    <row r="4060" spans="1:14" x14ac:dyDescent="0.25">
      <c r="A4060" s="4" t="s">
        <v>244</v>
      </c>
      <c r="B4060" s="5"/>
      <c r="C4060" s="4" t="s">
        <v>9</v>
      </c>
      <c r="D4060" s="4" t="s">
        <v>9</v>
      </c>
      <c r="E4060" s="4" t="s">
        <v>9</v>
      </c>
      <c r="F4060" s="6">
        <v>0</v>
      </c>
      <c r="G4060" s="6">
        <v>0</v>
      </c>
      <c r="H4060" s="4" t="s">
        <v>9</v>
      </c>
      <c r="I4060" s="4" t="s">
        <v>3</v>
      </c>
      <c r="J4060" s="4" t="s">
        <v>9</v>
      </c>
      <c r="K4060" s="4" t="s">
        <v>9</v>
      </c>
      <c r="L4060" s="4" t="s">
        <v>9</v>
      </c>
      <c r="M4060" s="4" t="s">
        <v>9</v>
      </c>
      <c r="N4060" s="5"/>
    </row>
    <row r="4061" spans="1:14" x14ac:dyDescent="0.25">
      <c r="A4061" t="s">
        <v>546</v>
      </c>
      <c r="B4061" s="2">
        <v>46175</v>
      </c>
      <c r="C4061" t="s">
        <v>546</v>
      </c>
      <c r="D4061" t="s">
        <v>99</v>
      </c>
      <c r="E4061" t="s">
        <v>9</v>
      </c>
      <c r="F4061" s="3">
        <v>-3357</v>
      </c>
      <c r="G4061" s="3">
        <v>-3357</v>
      </c>
      <c r="H4061" t="s">
        <v>3</v>
      </c>
      <c r="I4061" t="s">
        <v>3</v>
      </c>
      <c r="J4061" t="s">
        <v>9</v>
      </c>
      <c r="K4061" t="s">
        <v>9</v>
      </c>
      <c r="L4061" t="s">
        <v>18</v>
      </c>
      <c r="M4061" t="s">
        <v>102</v>
      </c>
      <c r="N4061" s="2">
        <v>46173</v>
      </c>
    </row>
    <row r="4062" spans="1:14" x14ac:dyDescent="0.25">
      <c r="A4062" t="s">
        <v>546</v>
      </c>
      <c r="B4062" s="2">
        <v>46148</v>
      </c>
      <c r="C4062" t="s">
        <v>546</v>
      </c>
      <c r="D4062" t="s">
        <v>99</v>
      </c>
      <c r="E4062" t="s">
        <v>555</v>
      </c>
      <c r="F4062" s="3">
        <v>3357</v>
      </c>
      <c r="G4062" s="3">
        <v>3357</v>
      </c>
      <c r="H4062" t="s">
        <v>3</v>
      </c>
      <c r="I4062" t="s">
        <v>3</v>
      </c>
      <c r="J4062" t="s">
        <v>556</v>
      </c>
      <c r="K4062" t="s">
        <v>13</v>
      </c>
      <c r="L4062" t="s">
        <v>18</v>
      </c>
      <c r="M4062" t="s">
        <v>102</v>
      </c>
      <c r="N4062" s="2">
        <v>46148</v>
      </c>
    </row>
    <row r="4063" spans="1:14" x14ac:dyDescent="0.25">
      <c r="A4063" s="4" t="s">
        <v>223</v>
      </c>
      <c r="B4063" s="5"/>
      <c r="C4063" s="4" t="s">
        <v>9</v>
      </c>
      <c r="D4063" s="4" t="s">
        <v>9</v>
      </c>
      <c r="E4063" s="4" t="s">
        <v>9</v>
      </c>
      <c r="F4063" s="6">
        <v>0</v>
      </c>
      <c r="G4063" s="6">
        <v>0</v>
      </c>
      <c r="H4063" s="4" t="s">
        <v>9</v>
      </c>
      <c r="I4063" s="4" t="s">
        <v>3</v>
      </c>
      <c r="J4063" s="4" t="s">
        <v>9</v>
      </c>
      <c r="K4063" s="4" t="s">
        <v>9</v>
      </c>
      <c r="L4063" s="4" t="s">
        <v>9</v>
      </c>
      <c r="M4063" s="4" t="s">
        <v>9</v>
      </c>
      <c r="N4063" s="5"/>
    </row>
    <row r="4064" spans="1:14" x14ac:dyDescent="0.25">
      <c r="A4064" t="s">
        <v>546</v>
      </c>
      <c r="B4064" s="2">
        <v>46205</v>
      </c>
      <c r="C4064" t="s">
        <v>546</v>
      </c>
      <c r="D4064" t="s">
        <v>99</v>
      </c>
      <c r="E4064" t="s">
        <v>9</v>
      </c>
      <c r="F4064" s="3">
        <v>-8728.2000000000007</v>
      </c>
      <c r="G4064" s="3">
        <v>-8728.2000000000007</v>
      </c>
      <c r="H4064" t="s">
        <v>3</v>
      </c>
      <c r="I4064" t="s">
        <v>3</v>
      </c>
      <c r="J4064" t="s">
        <v>9</v>
      </c>
      <c r="K4064" t="s">
        <v>9</v>
      </c>
      <c r="L4064" t="s">
        <v>19</v>
      </c>
      <c r="M4064" t="s">
        <v>102</v>
      </c>
      <c r="N4064" s="2">
        <v>46203</v>
      </c>
    </row>
    <row r="4065" spans="1:14" x14ac:dyDescent="0.25">
      <c r="A4065" t="s">
        <v>546</v>
      </c>
      <c r="B4065" s="2">
        <v>46198</v>
      </c>
      <c r="C4065" t="s">
        <v>546</v>
      </c>
      <c r="D4065" t="s">
        <v>99</v>
      </c>
      <c r="E4065" t="s">
        <v>555</v>
      </c>
      <c r="F4065" s="3">
        <v>8728.2000000000007</v>
      </c>
      <c r="G4065" s="3">
        <v>8728.2000000000007</v>
      </c>
      <c r="H4065" t="s">
        <v>3</v>
      </c>
      <c r="I4065" t="s">
        <v>3</v>
      </c>
      <c r="J4065" t="s">
        <v>557</v>
      </c>
      <c r="K4065" t="s">
        <v>13</v>
      </c>
      <c r="L4065" t="s">
        <v>19</v>
      </c>
      <c r="M4065" t="s">
        <v>102</v>
      </c>
      <c r="N4065" s="2">
        <v>46198</v>
      </c>
    </row>
    <row r="4066" spans="1:14" x14ac:dyDescent="0.25">
      <c r="A4066" s="4" t="s">
        <v>224</v>
      </c>
      <c r="B4066" s="5"/>
      <c r="C4066" s="4" t="s">
        <v>9</v>
      </c>
      <c r="D4066" s="4" t="s">
        <v>9</v>
      </c>
      <c r="E4066" s="4" t="s">
        <v>9</v>
      </c>
      <c r="F4066" s="6">
        <v>0</v>
      </c>
      <c r="G4066" s="6">
        <v>0</v>
      </c>
      <c r="H4066" s="4" t="s">
        <v>9</v>
      </c>
      <c r="I4066" s="4" t="s">
        <v>3</v>
      </c>
      <c r="J4066" s="4" t="s">
        <v>9</v>
      </c>
      <c r="K4066" s="4" t="s">
        <v>9</v>
      </c>
      <c r="L4066" s="4" t="s">
        <v>9</v>
      </c>
      <c r="M4066" s="4" t="s">
        <v>9</v>
      </c>
      <c r="N4066" s="5"/>
    </row>
    <row r="4067" spans="1:14" x14ac:dyDescent="0.25">
      <c r="A4067" t="s">
        <v>546</v>
      </c>
      <c r="B4067" s="2">
        <v>45993</v>
      </c>
      <c r="C4067" t="s">
        <v>546</v>
      </c>
      <c r="D4067" t="s">
        <v>99</v>
      </c>
      <c r="E4067" t="s">
        <v>9</v>
      </c>
      <c r="F4067" s="3">
        <v>-3666</v>
      </c>
      <c r="G4067" s="3">
        <v>-3666</v>
      </c>
      <c r="H4067" t="s">
        <v>3</v>
      </c>
      <c r="I4067" t="s">
        <v>3</v>
      </c>
      <c r="J4067" t="s">
        <v>9</v>
      </c>
      <c r="K4067" t="s">
        <v>9</v>
      </c>
      <c r="L4067" t="s">
        <v>11</v>
      </c>
      <c r="M4067" t="s">
        <v>102</v>
      </c>
      <c r="N4067" s="2">
        <v>45991</v>
      </c>
    </row>
    <row r="4068" spans="1:14" x14ac:dyDescent="0.25">
      <c r="A4068" t="s">
        <v>546</v>
      </c>
      <c r="B4068" s="2">
        <v>45991</v>
      </c>
      <c r="C4068" t="s">
        <v>546</v>
      </c>
      <c r="D4068" t="s">
        <v>99</v>
      </c>
      <c r="E4068" t="s">
        <v>9</v>
      </c>
      <c r="F4068" s="3">
        <v>3666</v>
      </c>
      <c r="G4068" s="3">
        <v>3666</v>
      </c>
      <c r="H4068" t="s">
        <v>3</v>
      </c>
      <c r="I4068" t="s">
        <v>3</v>
      </c>
      <c r="J4068" t="s">
        <v>558</v>
      </c>
      <c r="K4068" t="s">
        <v>5</v>
      </c>
      <c r="L4068" t="s">
        <v>11</v>
      </c>
      <c r="M4068" t="s">
        <v>102</v>
      </c>
      <c r="N4068" s="2">
        <v>45991</v>
      </c>
    </row>
    <row r="4069" spans="1:14" x14ac:dyDescent="0.25">
      <c r="A4069" s="4" t="s">
        <v>226</v>
      </c>
      <c r="B4069" s="5"/>
      <c r="C4069" s="4" t="s">
        <v>9</v>
      </c>
      <c r="D4069" s="4" t="s">
        <v>9</v>
      </c>
      <c r="E4069" s="4" t="s">
        <v>9</v>
      </c>
      <c r="F4069" s="6">
        <v>0</v>
      </c>
      <c r="G4069" s="6">
        <v>0</v>
      </c>
      <c r="H4069" s="4" t="s">
        <v>9</v>
      </c>
      <c r="I4069" s="4" t="s">
        <v>3</v>
      </c>
      <c r="J4069" s="4" t="s">
        <v>9</v>
      </c>
      <c r="K4069" s="4" t="s">
        <v>9</v>
      </c>
      <c r="L4069" s="4" t="s">
        <v>9</v>
      </c>
      <c r="M4069" s="4" t="s">
        <v>9</v>
      </c>
      <c r="N4069" s="5"/>
    </row>
    <row r="4070" spans="1:14" x14ac:dyDescent="0.25">
      <c r="A4070" t="s">
        <v>546</v>
      </c>
      <c r="B4070" s="2">
        <v>46028</v>
      </c>
      <c r="C4070" t="s">
        <v>546</v>
      </c>
      <c r="D4070" t="s">
        <v>99</v>
      </c>
      <c r="E4070" t="s">
        <v>9</v>
      </c>
      <c r="F4070" s="3">
        <v>-17152</v>
      </c>
      <c r="G4070" s="3">
        <v>-17152</v>
      </c>
      <c r="H4070" t="s">
        <v>3</v>
      </c>
      <c r="I4070" t="s">
        <v>3</v>
      </c>
      <c r="J4070" t="s">
        <v>9</v>
      </c>
      <c r="K4070" t="s">
        <v>9</v>
      </c>
      <c r="L4070" t="s">
        <v>12</v>
      </c>
      <c r="M4070" t="s">
        <v>102</v>
      </c>
      <c r="N4070" s="2">
        <v>46022</v>
      </c>
    </row>
    <row r="4071" spans="1:14" x14ac:dyDescent="0.25">
      <c r="A4071" t="s">
        <v>546</v>
      </c>
      <c r="B4071" s="2">
        <v>45992</v>
      </c>
      <c r="C4071" t="s">
        <v>546</v>
      </c>
      <c r="D4071" t="s">
        <v>99</v>
      </c>
      <c r="E4071" t="s">
        <v>9</v>
      </c>
      <c r="F4071" s="3">
        <v>4672</v>
      </c>
      <c r="G4071" s="3">
        <v>4672</v>
      </c>
      <c r="H4071" t="s">
        <v>3</v>
      </c>
      <c r="I4071" t="s">
        <v>3</v>
      </c>
      <c r="J4071" t="s">
        <v>559</v>
      </c>
      <c r="K4071" t="s">
        <v>5</v>
      </c>
      <c r="L4071" t="s">
        <v>12</v>
      </c>
      <c r="M4071" t="s">
        <v>102</v>
      </c>
      <c r="N4071" s="2">
        <v>45992</v>
      </c>
    </row>
    <row r="4072" spans="1:14" x14ac:dyDescent="0.25">
      <c r="A4072" t="s">
        <v>546</v>
      </c>
      <c r="B4072" s="2">
        <v>46006</v>
      </c>
      <c r="C4072" t="s">
        <v>546</v>
      </c>
      <c r="D4072" t="s">
        <v>99</v>
      </c>
      <c r="E4072" t="s">
        <v>547</v>
      </c>
      <c r="F4072" s="3">
        <v>3720</v>
      </c>
      <c r="G4072" s="3">
        <v>3720</v>
      </c>
      <c r="H4072" t="s">
        <v>3</v>
      </c>
      <c r="I4072" t="s">
        <v>3</v>
      </c>
      <c r="J4072" t="s">
        <v>548</v>
      </c>
      <c r="K4072" t="s">
        <v>5</v>
      </c>
      <c r="L4072" t="s">
        <v>12</v>
      </c>
      <c r="M4072" t="s">
        <v>102</v>
      </c>
      <c r="N4072" s="2">
        <v>46006</v>
      </c>
    </row>
    <row r="4073" spans="1:14" x14ac:dyDescent="0.25">
      <c r="A4073" t="s">
        <v>546</v>
      </c>
      <c r="B4073" s="2">
        <v>46006</v>
      </c>
      <c r="C4073" t="s">
        <v>546</v>
      </c>
      <c r="D4073" t="s">
        <v>99</v>
      </c>
      <c r="E4073" t="s">
        <v>547</v>
      </c>
      <c r="F4073" s="3">
        <v>6336</v>
      </c>
      <c r="G4073" s="3">
        <v>6336</v>
      </c>
      <c r="H4073" t="s">
        <v>3</v>
      </c>
      <c r="I4073" t="s">
        <v>3</v>
      </c>
      <c r="J4073" t="s">
        <v>549</v>
      </c>
      <c r="K4073" t="s">
        <v>5</v>
      </c>
      <c r="L4073" t="s">
        <v>12</v>
      </c>
      <c r="M4073" t="s">
        <v>102</v>
      </c>
      <c r="N4073" s="2">
        <v>46006</v>
      </c>
    </row>
    <row r="4074" spans="1:14" x14ac:dyDescent="0.25">
      <c r="A4074" t="s">
        <v>546</v>
      </c>
      <c r="B4074" s="2">
        <v>46006</v>
      </c>
      <c r="C4074" t="s">
        <v>546</v>
      </c>
      <c r="D4074" t="s">
        <v>99</v>
      </c>
      <c r="E4074" t="s">
        <v>547</v>
      </c>
      <c r="F4074" s="3">
        <v>1032</v>
      </c>
      <c r="G4074" s="3">
        <v>1032</v>
      </c>
      <c r="H4074" t="s">
        <v>3</v>
      </c>
      <c r="I4074" t="s">
        <v>3</v>
      </c>
      <c r="J4074" t="s">
        <v>550</v>
      </c>
      <c r="K4074" t="s">
        <v>5</v>
      </c>
      <c r="L4074" t="s">
        <v>12</v>
      </c>
      <c r="M4074" t="s">
        <v>102</v>
      </c>
      <c r="N4074" s="2">
        <v>46006</v>
      </c>
    </row>
    <row r="4075" spans="1:14" x14ac:dyDescent="0.25">
      <c r="A4075" t="s">
        <v>546</v>
      </c>
      <c r="B4075" s="2">
        <v>46027</v>
      </c>
      <c r="C4075" t="s">
        <v>546</v>
      </c>
      <c r="D4075" t="s">
        <v>99</v>
      </c>
      <c r="E4075" t="s">
        <v>547</v>
      </c>
      <c r="F4075" s="3">
        <v>600</v>
      </c>
      <c r="G4075" s="3">
        <v>600</v>
      </c>
      <c r="H4075" t="s">
        <v>3</v>
      </c>
      <c r="I4075" t="s">
        <v>3</v>
      </c>
      <c r="J4075" t="s">
        <v>548</v>
      </c>
      <c r="K4075" t="s">
        <v>5</v>
      </c>
      <c r="L4075" t="s">
        <v>12</v>
      </c>
      <c r="M4075" t="s">
        <v>102</v>
      </c>
      <c r="N4075" s="2">
        <v>46020</v>
      </c>
    </row>
    <row r="4076" spans="1:14" x14ac:dyDescent="0.25">
      <c r="A4076" t="s">
        <v>546</v>
      </c>
      <c r="B4076" s="2">
        <v>46027</v>
      </c>
      <c r="C4076" t="s">
        <v>546</v>
      </c>
      <c r="D4076" t="s">
        <v>99</v>
      </c>
      <c r="E4076" t="s">
        <v>547</v>
      </c>
      <c r="F4076" s="3">
        <v>384</v>
      </c>
      <c r="G4076" s="3">
        <v>384</v>
      </c>
      <c r="H4076" t="s">
        <v>3</v>
      </c>
      <c r="I4076" t="s">
        <v>3</v>
      </c>
      <c r="J4076" t="s">
        <v>549</v>
      </c>
      <c r="K4076" t="s">
        <v>5</v>
      </c>
      <c r="L4076" t="s">
        <v>12</v>
      </c>
      <c r="M4076" t="s">
        <v>102</v>
      </c>
      <c r="N4076" s="2">
        <v>46020</v>
      </c>
    </row>
    <row r="4077" spans="1:14" x14ac:dyDescent="0.25">
      <c r="A4077" t="s">
        <v>546</v>
      </c>
      <c r="B4077" s="2">
        <v>46027</v>
      </c>
      <c r="C4077" t="s">
        <v>546</v>
      </c>
      <c r="D4077" t="s">
        <v>99</v>
      </c>
      <c r="E4077" t="s">
        <v>547</v>
      </c>
      <c r="F4077" s="3">
        <v>408</v>
      </c>
      <c r="G4077" s="3">
        <v>408</v>
      </c>
      <c r="H4077" t="s">
        <v>3</v>
      </c>
      <c r="I4077" t="s">
        <v>3</v>
      </c>
      <c r="J4077" t="s">
        <v>550</v>
      </c>
      <c r="K4077" t="s">
        <v>5</v>
      </c>
      <c r="L4077" t="s">
        <v>12</v>
      </c>
      <c r="M4077" t="s">
        <v>102</v>
      </c>
      <c r="N4077" s="2">
        <v>46020</v>
      </c>
    </row>
    <row r="4078" spans="1:14" x14ac:dyDescent="0.25">
      <c r="A4078" s="4" t="s">
        <v>228</v>
      </c>
      <c r="B4078" s="5"/>
      <c r="C4078" s="4" t="s">
        <v>9</v>
      </c>
      <c r="D4078" s="4" t="s">
        <v>9</v>
      </c>
      <c r="E4078" s="4" t="s">
        <v>9</v>
      </c>
      <c r="F4078" s="6">
        <v>0</v>
      </c>
      <c r="G4078" s="6">
        <v>0</v>
      </c>
      <c r="H4078" s="4" t="s">
        <v>9</v>
      </c>
      <c r="I4078" s="4" t="s">
        <v>3</v>
      </c>
      <c r="J4078" s="4" t="s">
        <v>9</v>
      </c>
      <c r="K4078" s="4" t="s">
        <v>9</v>
      </c>
      <c r="L4078" s="4" t="s">
        <v>9</v>
      </c>
      <c r="M4078" s="4" t="s">
        <v>9</v>
      </c>
      <c r="N4078" s="5"/>
    </row>
    <row r="4079" spans="1:14" x14ac:dyDescent="0.25">
      <c r="A4079" s="4" t="s">
        <v>546</v>
      </c>
      <c r="B4079" s="5"/>
      <c r="C4079" s="4" t="s">
        <v>9</v>
      </c>
      <c r="D4079" s="4" t="s">
        <v>9</v>
      </c>
      <c r="E4079" s="4" t="s">
        <v>9</v>
      </c>
      <c r="F4079" s="6">
        <v>0</v>
      </c>
      <c r="G4079" s="6">
        <v>0</v>
      </c>
      <c r="H4079" s="4" t="s">
        <v>9</v>
      </c>
      <c r="I4079" s="4" t="s">
        <v>3</v>
      </c>
      <c r="J4079" s="4" t="s">
        <v>9</v>
      </c>
      <c r="K4079" s="4" t="s">
        <v>9</v>
      </c>
      <c r="L4079" s="4" t="s">
        <v>9</v>
      </c>
      <c r="M4079" s="4" t="s">
        <v>9</v>
      </c>
      <c r="N4079" s="5"/>
    </row>
    <row r="4080" spans="1:14" x14ac:dyDescent="0.25">
      <c r="A4080" t="s">
        <v>560</v>
      </c>
      <c r="B4080" s="2">
        <v>46084</v>
      </c>
      <c r="C4080" t="s">
        <v>560</v>
      </c>
      <c r="D4080" t="s">
        <v>33</v>
      </c>
      <c r="E4080" t="s">
        <v>9</v>
      </c>
      <c r="F4080" s="3">
        <v>1155</v>
      </c>
      <c r="G4080" s="3">
        <v>1155</v>
      </c>
      <c r="H4080" t="s">
        <v>3</v>
      </c>
      <c r="I4080" t="s">
        <v>3</v>
      </c>
      <c r="J4080" t="s">
        <v>9</v>
      </c>
      <c r="K4080" t="s">
        <v>9</v>
      </c>
      <c r="L4080" t="s">
        <v>15</v>
      </c>
      <c r="M4080" t="s">
        <v>35</v>
      </c>
      <c r="N4080" s="2">
        <v>46081</v>
      </c>
    </row>
    <row r="4081" spans="1:14" x14ac:dyDescent="0.25">
      <c r="A4081" t="s">
        <v>560</v>
      </c>
      <c r="B4081" s="2">
        <v>46065</v>
      </c>
      <c r="C4081" t="s">
        <v>560</v>
      </c>
      <c r="D4081" t="s">
        <v>33</v>
      </c>
      <c r="E4081" t="s">
        <v>9</v>
      </c>
      <c r="F4081" s="3">
        <v>-1155</v>
      </c>
      <c r="G4081" s="3">
        <v>-1155</v>
      </c>
      <c r="H4081" t="s">
        <v>3</v>
      </c>
      <c r="I4081" t="s">
        <v>3</v>
      </c>
      <c r="J4081" t="s">
        <v>9</v>
      </c>
      <c r="K4081" t="s">
        <v>13</v>
      </c>
      <c r="L4081" t="s">
        <v>15</v>
      </c>
      <c r="M4081" t="s">
        <v>35</v>
      </c>
      <c r="N4081" s="2">
        <v>46065</v>
      </c>
    </row>
    <row r="4082" spans="1:14" x14ac:dyDescent="0.25">
      <c r="A4082" s="4" t="s">
        <v>239</v>
      </c>
      <c r="B4082" s="5"/>
      <c r="C4082" s="4" t="s">
        <v>9</v>
      </c>
      <c r="D4082" s="4" t="s">
        <v>9</v>
      </c>
      <c r="E4082" s="4" t="s">
        <v>9</v>
      </c>
      <c r="F4082" s="6">
        <v>0</v>
      </c>
      <c r="G4082" s="6">
        <v>0</v>
      </c>
      <c r="H4082" s="4" t="s">
        <v>9</v>
      </c>
      <c r="I4082" s="4" t="s">
        <v>3</v>
      </c>
      <c r="J4082" s="4" t="s">
        <v>9</v>
      </c>
      <c r="K4082" s="4" t="s">
        <v>9</v>
      </c>
      <c r="L4082" s="4" t="s">
        <v>9</v>
      </c>
      <c r="M4082" s="4" t="s">
        <v>9</v>
      </c>
      <c r="N4082" s="5"/>
    </row>
    <row r="4083" spans="1:14" x14ac:dyDescent="0.25">
      <c r="A4083" t="s">
        <v>560</v>
      </c>
      <c r="B4083" s="2">
        <v>46115</v>
      </c>
      <c r="C4083" t="s">
        <v>560</v>
      </c>
      <c r="D4083" t="s">
        <v>33</v>
      </c>
      <c r="E4083" t="s">
        <v>9</v>
      </c>
      <c r="F4083" s="3">
        <v>1470</v>
      </c>
      <c r="G4083" s="3">
        <v>1470</v>
      </c>
      <c r="H4083" t="s">
        <v>3</v>
      </c>
      <c r="I4083" t="s">
        <v>3</v>
      </c>
      <c r="J4083" t="s">
        <v>9</v>
      </c>
      <c r="K4083" t="s">
        <v>9</v>
      </c>
      <c r="L4083" t="s">
        <v>16</v>
      </c>
      <c r="M4083" t="s">
        <v>35</v>
      </c>
      <c r="N4083" s="2">
        <v>46112</v>
      </c>
    </row>
    <row r="4084" spans="1:14" x14ac:dyDescent="0.25">
      <c r="A4084" t="s">
        <v>560</v>
      </c>
      <c r="B4084" s="2">
        <v>46100</v>
      </c>
      <c r="C4084" t="s">
        <v>560</v>
      </c>
      <c r="D4084" t="s">
        <v>33</v>
      </c>
      <c r="E4084" t="s">
        <v>9</v>
      </c>
      <c r="F4084" s="3">
        <v>-1470</v>
      </c>
      <c r="G4084" s="3">
        <v>-1470</v>
      </c>
      <c r="H4084" t="s">
        <v>3</v>
      </c>
      <c r="I4084" t="s">
        <v>3</v>
      </c>
      <c r="J4084" t="s">
        <v>9</v>
      </c>
      <c r="K4084" t="s">
        <v>13</v>
      </c>
      <c r="L4084" t="s">
        <v>16</v>
      </c>
      <c r="M4084" t="s">
        <v>35</v>
      </c>
      <c r="N4084" s="2">
        <v>46100</v>
      </c>
    </row>
    <row r="4085" spans="1:14" x14ac:dyDescent="0.25">
      <c r="A4085" s="4" t="s">
        <v>244</v>
      </c>
      <c r="B4085" s="5"/>
      <c r="C4085" s="4" t="s">
        <v>9</v>
      </c>
      <c r="D4085" s="4" t="s">
        <v>9</v>
      </c>
      <c r="E4085" s="4" t="s">
        <v>9</v>
      </c>
      <c r="F4085" s="6">
        <v>0</v>
      </c>
      <c r="G4085" s="6">
        <v>0</v>
      </c>
      <c r="H4085" s="4" t="s">
        <v>9</v>
      </c>
      <c r="I4085" s="4" t="s">
        <v>3</v>
      </c>
      <c r="J4085" s="4" t="s">
        <v>9</v>
      </c>
      <c r="K4085" s="4" t="s">
        <v>9</v>
      </c>
      <c r="L4085" s="4" t="s">
        <v>9</v>
      </c>
      <c r="M4085" s="4" t="s">
        <v>9</v>
      </c>
      <c r="N4085" s="5"/>
    </row>
    <row r="4086" spans="1:14" x14ac:dyDescent="0.25">
      <c r="A4086" t="s">
        <v>560</v>
      </c>
      <c r="B4086" s="2">
        <v>46147</v>
      </c>
      <c r="C4086" t="s">
        <v>560</v>
      </c>
      <c r="D4086" t="s">
        <v>33</v>
      </c>
      <c r="E4086" t="s">
        <v>9</v>
      </c>
      <c r="F4086" s="3">
        <v>6607</v>
      </c>
      <c r="G4086" s="3">
        <v>6607</v>
      </c>
      <c r="H4086" t="s">
        <v>3</v>
      </c>
      <c r="I4086" t="s">
        <v>3</v>
      </c>
      <c r="J4086" t="s">
        <v>9</v>
      </c>
      <c r="K4086" t="s">
        <v>9</v>
      </c>
      <c r="L4086" t="s">
        <v>17</v>
      </c>
      <c r="M4086" t="s">
        <v>35</v>
      </c>
      <c r="N4086" s="2">
        <v>46142</v>
      </c>
    </row>
    <row r="4087" spans="1:14" x14ac:dyDescent="0.25">
      <c r="A4087" t="s">
        <v>560</v>
      </c>
      <c r="B4087" s="2">
        <v>46127</v>
      </c>
      <c r="C4087" t="s">
        <v>560</v>
      </c>
      <c r="D4087" t="s">
        <v>33</v>
      </c>
      <c r="E4087" t="s">
        <v>9</v>
      </c>
      <c r="F4087" s="3">
        <v>-6607</v>
      </c>
      <c r="G4087" s="3">
        <v>-6607</v>
      </c>
      <c r="H4087" t="s">
        <v>3</v>
      </c>
      <c r="I4087" t="s">
        <v>3</v>
      </c>
      <c r="J4087" t="s">
        <v>9</v>
      </c>
      <c r="K4087" t="s">
        <v>13</v>
      </c>
      <c r="L4087" t="s">
        <v>17</v>
      </c>
      <c r="M4087" t="s">
        <v>35</v>
      </c>
      <c r="N4087" s="2">
        <v>46127</v>
      </c>
    </row>
    <row r="4088" spans="1:14" x14ac:dyDescent="0.25">
      <c r="A4088" s="4" t="s">
        <v>249</v>
      </c>
      <c r="B4088" s="5"/>
      <c r="C4088" s="4" t="s">
        <v>9</v>
      </c>
      <c r="D4088" s="4" t="s">
        <v>9</v>
      </c>
      <c r="E4088" s="4" t="s">
        <v>9</v>
      </c>
      <c r="F4088" s="6">
        <v>0</v>
      </c>
      <c r="G4088" s="6">
        <v>0</v>
      </c>
      <c r="H4088" s="4" t="s">
        <v>9</v>
      </c>
      <c r="I4088" s="4" t="s">
        <v>3</v>
      </c>
      <c r="J4088" s="4" t="s">
        <v>9</v>
      </c>
      <c r="K4088" s="4" t="s">
        <v>9</v>
      </c>
      <c r="L4088" s="4" t="s">
        <v>9</v>
      </c>
      <c r="M4088" s="4" t="s">
        <v>9</v>
      </c>
      <c r="N4088" s="5"/>
    </row>
    <row r="4089" spans="1:14" x14ac:dyDescent="0.25">
      <c r="A4089" t="s">
        <v>560</v>
      </c>
      <c r="B4089" s="2">
        <v>46175</v>
      </c>
      <c r="C4089" t="s">
        <v>560</v>
      </c>
      <c r="D4089" t="s">
        <v>33</v>
      </c>
      <c r="E4089" t="s">
        <v>9</v>
      </c>
      <c r="F4089" s="3">
        <v>7371</v>
      </c>
      <c r="G4089" s="3">
        <v>7371</v>
      </c>
      <c r="H4089" t="s">
        <v>3</v>
      </c>
      <c r="I4089" t="s">
        <v>3</v>
      </c>
      <c r="J4089" t="s">
        <v>9</v>
      </c>
      <c r="K4089" t="s">
        <v>9</v>
      </c>
      <c r="L4089" t="s">
        <v>18</v>
      </c>
      <c r="M4089" t="s">
        <v>35</v>
      </c>
      <c r="N4089" s="2">
        <v>46173</v>
      </c>
    </row>
    <row r="4090" spans="1:14" x14ac:dyDescent="0.25">
      <c r="A4090" t="s">
        <v>560</v>
      </c>
      <c r="B4090" s="2">
        <v>46161</v>
      </c>
      <c r="C4090" t="s">
        <v>560</v>
      </c>
      <c r="D4090" t="s">
        <v>33</v>
      </c>
      <c r="E4090" t="s">
        <v>9</v>
      </c>
      <c r="F4090" s="3">
        <v>-7371</v>
      </c>
      <c r="G4090" s="3">
        <v>-7371</v>
      </c>
      <c r="H4090" t="s">
        <v>3</v>
      </c>
      <c r="I4090" t="s">
        <v>3</v>
      </c>
      <c r="J4090" t="s">
        <v>9</v>
      </c>
      <c r="K4090" t="s">
        <v>13</v>
      </c>
      <c r="L4090" t="s">
        <v>18</v>
      </c>
      <c r="M4090" t="s">
        <v>35</v>
      </c>
      <c r="N4090" s="2">
        <v>46161</v>
      </c>
    </row>
    <row r="4091" spans="1:14" x14ac:dyDescent="0.25">
      <c r="A4091" s="4" t="s">
        <v>223</v>
      </c>
      <c r="B4091" s="5"/>
      <c r="C4091" s="4" t="s">
        <v>9</v>
      </c>
      <c r="D4091" s="4" t="s">
        <v>9</v>
      </c>
      <c r="E4091" s="4" t="s">
        <v>9</v>
      </c>
      <c r="F4091" s="6">
        <v>0</v>
      </c>
      <c r="G4091" s="6">
        <v>0</v>
      </c>
      <c r="H4091" s="4" t="s">
        <v>9</v>
      </c>
      <c r="I4091" s="4" t="s">
        <v>3</v>
      </c>
      <c r="J4091" s="4" t="s">
        <v>9</v>
      </c>
      <c r="K4091" s="4" t="s">
        <v>9</v>
      </c>
      <c r="L4091" s="4" t="s">
        <v>9</v>
      </c>
      <c r="M4091" s="4" t="s">
        <v>9</v>
      </c>
      <c r="N4091" s="5"/>
    </row>
    <row r="4092" spans="1:14" x14ac:dyDescent="0.25">
      <c r="A4092" t="s">
        <v>560</v>
      </c>
      <c r="B4092" s="2">
        <v>46205</v>
      </c>
      <c r="C4092" t="s">
        <v>560</v>
      </c>
      <c r="D4092" t="s">
        <v>33</v>
      </c>
      <c r="E4092" t="s">
        <v>9</v>
      </c>
      <c r="F4092" s="3">
        <v>16262</v>
      </c>
      <c r="G4092" s="3">
        <v>16262</v>
      </c>
      <c r="H4092" t="s">
        <v>3</v>
      </c>
      <c r="I4092" t="s">
        <v>3</v>
      </c>
      <c r="J4092" t="s">
        <v>9</v>
      </c>
      <c r="K4092" t="s">
        <v>9</v>
      </c>
      <c r="L4092" t="s">
        <v>19</v>
      </c>
      <c r="M4092" t="s">
        <v>35</v>
      </c>
      <c r="N4092" s="2">
        <v>46203</v>
      </c>
    </row>
    <row r="4093" spans="1:14" x14ac:dyDescent="0.25">
      <c r="A4093" t="s">
        <v>560</v>
      </c>
      <c r="B4093" s="2">
        <v>46192</v>
      </c>
      <c r="C4093" t="s">
        <v>560</v>
      </c>
      <c r="D4093" t="s">
        <v>33</v>
      </c>
      <c r="E4093" t="s">
        <v>9</v>
      </c>
      <c r="F4093" s="3">
        <v>-16262</v>
      </c>
      <c r="G4093" s="3">
        <v>-16262</v>
      </c>
      <c r="H4093" t="s">
        <v>3</v>
      </c>
      <c r="I4093" t="s">
        <v>3</v>
      </c>
      <c r="J4093" t="s">
        <v>9</v>
      </c>
      <c r="K4093" t="s">
        <v>13</v>
      </c>
      <c r="L4093" t="s">
        <v>19</v>
      </c>
      <c r="M4093" t="s">
        <v>35</v>
      </c>
      <c r="N4093" s="2">
        <v>46192</v>
      </c>
    </row>
    <row r="4094" spans="1:14" x14ac:dyDescent="0.25">
      <c r="A4094" s="4" t="s">
        <v>224</v>
      </c>
      <c r="B4094" s="5"/>
      <c r="C4094" s="4" t="s">
        <v>9</v>
      </c>
      <c r="D4094" s="4" t="s">
        <v>9</v>
      </c>
      <c r="E4094" s="4" t="s">
        <v>9</v>
      </c>
      <c r="F4094" s="6">
        <v>0</v>
      </c>
      <c r="G4094" s="6">
        <v>0</v>
      </c>
      <c r="H4094" s="4" t="s">
        <v>9</v>
      </c>
      <c r="I4094" s="4" t="s">
        <v>3</v>
      </c>
      <c r="J4094" s="4" t="s">
        <v>9</v>
      </c>
      <c r="K4094" s="4" t="s">
        <v>9</v>
      </c>
      <c r="L4094" s="4" t="s">
        <v>9</v>
      </c>
      <c r="M4094" s="4" t="s">
        <v>9</v>
      </c>
      <c r="N4094" s="5"/>
    </row>
    <row r="4095" spans="1:14" x14ac:dyDescent="0.25">
      <c r="A4095" t="s">
        <v>560</v>
      </c>
      <c r="B4095" s="2">
        <v>46267</v>
      </c>
      <c r="C4095" t="s">
        <v>560</v>
      </c>
      <c r="D4095" t="s">
        <v>33</v>
      </c>
      <c r="E4095" t="s">
        <v>9</v>
      </c>
      <c r="F4095" s="3">
        <v>36130</v>
      </c>
      <c r="G4095" s="3">
        <v>36130</v>
      </c>
      <c r="H4095" t="s">
        <v>3</v>
      </c>
      <c r="I4095" t="s">
        <v>3</v>
      </c>
      <c r="J4095" t="s">
        <v>9</v>
      </c>
      <c r="K4095" t="s">
        <v>9</v>
      </c>
      <c r="L4095" t="s">
        <v>22</v>
      </c>
      <c r="M4095" t="s">
        <v>35</v>
      </c>
      <c r="N4095" s="2">
        <v>46265</v>
      </c>
    </row>
    <row r="4096" spans="1:14" x14ac:dyDescent="0.25">
      <c r="A4096" t="s">
        <v>560</v>
      </c>
      <c r="B4096" s="2">
        <v>46246</v>
      </c>
      <c r="C4096" t="s">
        <v>560</v>
      </c>
      <c r="D4096" t="s">
        <v>33</v>
      </c>
      <c r="E4096" t="s">
        <v>9</v>
      </c>
      <c r="F4096" s="3">
        <v>-26630</v>
      </c>
      <c r="G4096" s="3">
        <v>-26630</v>
      </c>
      <c r="H4096" t="s">
        <v>3</v>
      </c>
      <c r="I4096" t="s">
        <v>3</v>
      </c>
      <c r="J4096" t="s">
        <v>9</v>
      </c>
      <c r="K4096" t="s">
        <v>13</v>
      </c>
      <c r="L4096" t="s">
        <v>22</v>
      </c>
      <c r="M4096" t="s">
        <v>35</v>
      </c>
      <c r="N4096" s="2">
        <v>46246</v>
      </c>
    </row>
    <row r="4097" spans="1:14" x14ac:dyDescent="0.25">
      <c r="A4097" t="s">
        <v>560</v>
      </c>
      <c r="B4097" s="2">
        <v>46254</v>
      </c>
      <c r="C4097" t="s">
        <v>560</v>
      </c>
      <c r="D4097" t="s">
        <v>33</v>
      </c>
      <c r="E4097" t="s">
        <v>9</v>
      </c>
      <c r="F4097" s="3">
        <v>-9500</v>
      </c>
      <c r="G4097" s="3">
        <v>-9500</v>
      </c>
      <c r="H4097" t="s">
        <v>3</v>
      </c>
      <c r="I4097" t="s">
        <v>3</v>
      </c>
      <c r="J4097" t="s">
        <v>9</v>
      </c>
      <c r="K4097" t="s">
        <v>13</v>
      </c>
      <c r="L4097" t="s">
        <v>22</v>
      </c>
      <c r="M4097" t="s">
        <v>35</v>
      </c>
      <c r="N4097" s="2">
        <v>46254</v>
      </c>
    </row>
    <row r="4098" spans="1:14" x14ac:dyDescent="0.25">
      <c r="A4098" s="4" t="s">
        <v>267</v>
      </c>
      <c r="B4098" s="5"/>
      <c r="C4098" s="4" t="s">
        <v>9</v>
      </c>
      <c r="D4098" s="4" t="s">
        <v>9</v>
      </c>
      <c r="E4098" s="4" t="s">
        <v>9</v>
      </c>
      <c r="F4098" s="6">
        <v>0</v>
      </c>
      <c r="G4098" s="6">
        <v>0</v>
      </c>
      <c r="H4098" s="4" t="s">
        <v>9</v>
      </c>
      <c r="I4098" s="4" t="s">
        <v>3</v>
      </c>
      <c r="J4098" s="4" t="s">
        <v>9</v>
      </c>
      <c r="K4098" s="4" t="s">
        <v>9</v>
      </c>
      <c r="L4098" s="4" t="s">
        <v>9</v>
      </c>
      <c r="M4098" s="4" t="s">
        <v>9</v>
      </c>
      <c r="N4098" s="5"/>
    </row>
    <row r="4099" spans="1:14" x14ac:dyDescent="0.25">
      <c r="A4099" t="s">
        <v>560</v>
      </c>
      <c r="B4099" s="2">
        <v>46028</v>
      </c>
      <c r="C4099" t="s">
        <v>560</v>
      </c>
      <c r="D4099" t="s">
        <v>33</v>
      </c>
      <c r="E4099" t="s">
        <v>9</v>
      </c>
      <c r="F4099" s="3">
        <v>1155</v>
      </c>
      <c r="G4099" s="3">
        <v>1155</v>
      </c>
      <c r="H4099" t="s">
        <v>3</v>
      </c>
      <c r="I4099" t="s">
        <v>3</v>
      </c>
      <c r="J4099" t="s">
        <v>9</v>
      </c>
      <c r="K4099" t="s">
        <v>9</v>
      </c>
      <c r="L4099" t="s">
        <v>12</v>
      </c>
      <c r="M4099" t="s">
        <v>35</v>
      </c>
      <c r="N4099" s="2">
        <v>46022</v>
      </c>
    </row>
    <row r="4100" spans="1:14" x14ac:dyDescent="0.25">
      <c r="A4100" t="s">
        <v>560</v>
      </c>
      <c r="B4100" s="2">
        <v>46007</v>
      </c>
      <c r="C4100" t="s">
        <v>560</v>
      </c>
      <c r="D4100" t="s">
        <v>33</v>
      </c>
      <c r="E4100" t="s">
        <v>9</v>
      </c>
      <c r="F4100" s="3">
        <v>-1155</v>
      </c>
      <c r="G4100" s="3">
        <v>-1155</v>
      </c>
      <c r="H4100" t="s">
        <v>3</v>
      </c>
      <c r="I4100" t="s">
        <v>3</v>
      </c>
      <c r="J4100" t="s">
        <v>9</v>
      </c>
      <c r="K4100" t="s">
        <v>5</v>
      </c>
      <c r="L4100" t="s">
        <v>12</v>
      </c>
      <c r="M4100" t="s">
        <v>35</v>
      </c>
      <c r="N4100" s="2">
        <v>46007</v>
      </c>
    </row>
    <row r="4101" spans="1:14" x14ac:dyDescent="0.25">
      <c r="A4101" s="4" t="s">
        <v>228</v>
      </c>
      <c r="B4101" s="5"/>
      <c r="C4101" s="4" t="s">
        <v>9</v>
      </c>
      <c r="D4101" s="4" t="s">
        <v>9</v>
      </c>
      <c r="E4101" s="4" t="s">
        <v>9</v>
      </c>
      <c r="F4101" s="6">
        <v>0</v>
      </c>
      <c r="G4101" s="6">
        <v>0</v>
      </c>
      <c r="H4101" s="4" t="s">
        <v>9</v>
      </c>
      <c r="I4101" s="4" t="s">
        <v>3</v>
      </c>
      <c r="J4101" s="4" t="s">
        <v>9</v>
      </c>
      <c r="K4101" s="4" t="s">
        <v>9</v>
      </c>
      <c r="L4101" s="4" t="s">
        <v>9</v>
      </c>
      <c r="M4101" s="4" t="s">
        <v>9</v>
      </c>
      <c r="N4101" s="5"/>
    </row>
    <row r="4102" spans="1:14" x14ac:dyDescent="0.25">
      <c r="A4102" s="4" t="s">
        <v>560</v>
      </c>
      <c r="B4102" s="5"/>
      <c r="C4102" s="4" t="s">
        <v>9</v>
      </c>
      <c r="D4102" s="4" t="s">
        <v>9</v>
      </c>
      <c r="E4102" s="4" t="s">
        <v>9</v>
      </c>
      <c r="F4102" s="6">
        <v>0</v>
      </c>
      <c r="G4102" s="6">
        <v>0</v>
      </c>
      <c r="H4102" s="4" t="s">
        <v>9</v>
      </c>
      <c r="I4102" s="4" t="s">
        <v>3</v>
      </c>
      <c r="J4102" s="4" t="s">
        <v>9</v>
      </c>
      <c r="K4102" s="4" t="s">
        <v>9</v>
      </c>
      <c r="L4102" s="4" t="s">
        <v>9</v>
      </c>
      <c r="M4102" s="4" t="s">
        <v>9</v>
      </c>
      <c r="N4102" s="5"/>
    </row>
    <row r="4103" spans="1:14" x14ac:dyDescent="0.25">
      <c r="A4103" t="s">
        <v>561</v>
      </c>
      <c r="B4103" s="2">
        <v>46056</v>
      </c>
      <c r="C4103" t="s">
        <v>561</v>
      </c>
      <c r="D4103" t="s">
        <v>112</v>
      </c>
      <c r="E4103" t="s">
        <v>9</v>
      </c>
      <c r="F4103" s="3">
        <v>-1100</v>
      </c>
      <c r="G4103" s="3">
        <v>-1100</v>
      </c>
      <c r="H4103" t="s">
        <v>3</v>
      </c>
      <c r="I4103" t="s">
        <v>3</v>
      </c>
      <c r="J4103" t="s">
        <v>9</v>
      </c>
      <c r="K4103" t="s">
        <v>9</v>
      </c>
      <c r="L4103" t="s">
        <v>14</v>
      </c>
      <c r="M4103" t="s">
        <v>114</v>
      </c>
      <c r="N4103" s="2">
        <v>46053</v>
      </c>
    </row>
    <row r="4104" spans="1:14" x14ac:dyDescent="0.25">
      <c r="A4104" t="s">
        <v>561</v>
      </c>
      <c r="B4104" s="2">
        <v>46022</v>
      </c>
      <c r="C4104" t="s">
        <v>561</v>
      </c>
      <c r="D4104" t="s">
        <v>112</v>
      </c>
      <c r="E4104" t="s">
        <v>9</v>
      </c>
      <c r="F4104" s="3">
        <v>-1100</v>
      </c>
      <c r="G4104" s="3">
        <v>-1100</v>
      </c>
      <c r="H4104" t="s">
        <v>3</v>
      </c>
      <c r="I4104" t="s">
        <v>3</v>
      </c>
      <c r="J4104" t="s">
        <v>298</v>
      </c>
      <c r="K4104" t="s">
        <v>13</v>
      </c>
      <c r="L4104" t="s">
        <v>14</v>
      </c>
      <c r="M4104" t="s">
        <v>114</v>
      </c>
      <c r="N4104" s="2">
        <v>46023</v>
      </c>
    </row>
    <row r="4105" spans="1:14" x14ac:dyDescent="0.25">
      <c r="A4105" t="s">
        <v>561</v>
      </c>
      <c r="B4105" s="2">
        <v>46023</v>
      </c>
      <c r="C4105" t="s">
        <v>561</v>
      </c>
      <c r="D4105" t="s">
        <v>112</v>
      </c>
      <c r="E4105" t="s">
        <v>9</v>
      </c>
      <c r="F4105" s="3">
        <v>1100</v>
      </c>
      <c r="G4105" s="3">
        <v>1100</v>
      </c>
      <c r="H4105" t="s">
        <v>3</v>
      </c>
      <c r="I4105" t="s">
        <v>3</v>
      </c>
      <c r="J4105" t="s">
        <v>298</v>
      </c>
      <c r="K4105" t="s">
        <v>13</v>
      </c>
      <c r="L4105" t="s">
        <v>14</v>
      </c>
      <c r="M4105" t="s">
        <v>114</v>
      </c>
      <c r="N4105" s="2">
        <v>46023</v>
      </c>
    </row>
    <row r="4106" spans="1:14" x14ac:dyDescent="0.25">
      <c r="A4106" t="s">
        <v>561</v>
      </c>
      <c r="B4106" s="2">
        <v>46053</v>
      </c>
      <c r="C4106" t="s">
        <v>561</v>
      </c>
      <c r="D4106" t="s">
        <v>112</v>
      </c>
      <c r="E4106" t="s">
        <v>9</v>
      </c>
      <c r="F4106" s="3">
        <v>1100</v>
      </c>
      <c r="G4106" s="3">
        <v>1100</v>
      </c>
      <c r="H4106" t="s">
        <v>3</v>
      </c>
      <c r="I4106" t="s">
        <v>3</v>
      </c>
      <c r="J4106" t="s">
        <v>300</v>
      </c>
      <c r="K4106" t="s">
        <v>13</v>
      </c>
      <c r="L4106" t="s">
        <v>14</v>
      </c>
      <c r="M4106" t="s">
        <v>114</v>
      </c>
      <c r="N4106" s="2">
        <v>46053</v>
      </c>
    </row>
    <row r="4107" spans="1:14" x14ac:dyDescent="0.25">
      <c r="A4107" s="4" t="s">
        <v>234</v>
      </c>
      <c r="B4107" s="5"/>
      <c r="C4107" s="4" t="s">
        <v>9</v>
      </c>
      <c r="D4107" s="4" t="s">
        <v>9</v>
      </c>
      <c r="E4107" s="4" t="s">
        <v>9</v>
      </c>
      <c r="F4107" s="6">
        <v>0</v>
      </c>
      <c r="G4107" s="6">
        <v>0</v>
      </c>
      <c r="H4107" s="4" t="s">
        <v>9</v>
      </c>
      <c r="I4107" s="4" t="s">
        <v>3</v>
      </c>
      <c r="J4107" s="4" t="s">
        <v>9</v>
      </c>
      <c r="K4107" s="4" t="s">
        <v>9</v>
      </c>
      <c r="L4107" s="4" t="s">
        <v>9</v>
      </c>
      <c r="M4107" s="4" t="s">
        <v>9</v>
      </c>
      <c r="N4107" s="5"/>
    </row>
    <row r="4108" spans="1:14" x14ac:dyDescent="0.25">
      <c r="A4108" t="s">
        <v>561</v>
      </c>
      <c r="B4108" s="2">
        <v>46084</v>
      </c>
      <c r="C4108" t="s">
        <v>561</v>
      </c>
      <c r="D4108" t="s">
        <v>112</v>
      </c>
      <c r="E4108" t="s">
        <v>9</v>
      </c>
      <c r="F4108" s="3">
        <v>-1400</v>
      </c>
      <c r="G4108" s="3">
        <v>-1400</v>
      </c>
      <c r="H4108" t="s">
        <v>3</v>
      </c>
      <c r="I4108" t="s">
        <v>3</v>
      </c>
      <c r="J4108" t="s">
        <v>9</v>
      </c>
      <c r="K4108" t="s">
        <v>9</v>
      </c>
      <c r="L4108" t="s">
        <v>15</v>
      </c>
      <c r="M4108" t="s">
        <v>114</v>
      </c>
      <c r="N4108" s="2">
        <v>46081</v>
      </c>
    </row>
    <row r="4109" spans="1:14" x14ac:dyDescent="0.25">
      <c r="A4109" t="s">
        <v>561</v>
      </c>
      <c r="B4109" s="2">
        <v>46054</v>
      </c>
      <c r="C4109" t="s">
        <v>561</v>
      </c>
      <c r="D4109" t="s">
        <v>112</v>
      </c>
      <c r="E4109" t="s">
        <v>9</v>
      </c>
      <c r="F4109" s="3">
        <v>-1100</v>
      </c>
      <c r="G4109" s="3">
        <v>-1100</v>
      </c>
      <c r="H4109" t="s">
        <v>3</v>
      </c>
      <c r="I4109" t="s">
        <v>3</v>
      </c>
      <c r="J4109" t="s">
        <v>300</v>
      </c>
      <c r="K4109" t="s">
        <v>13</v>
      </c>
      <c r="L4109" t="s">
        <v>15</v>
      </c>
      <c r="M4109" t="s">
        <v>114</v>
      </c>
      <c r="N4109" s="2">
        <v>46054</v>
      </c>
    </row>
    <row r="4110" spans="1:14" x14ac:dyDescent="0.25">
      <c r="A4110" t="s">
        <v>561</v>
      </c>
      <c r="B4110" s="2">
        <v>46054</v>
      </c>
      <c r="C4110" t="s">
        <v>561</v>
      </c>
      <c r="D4110" t="s">
        <v>112</v>
      </c>
      <c r="E4110" t="s">
        <v>9</v>
      </c>
      <c r="F4110" s="3">
        <v>1100</v>
      </c>
      <c r="G4110" s="3">
        <v>1100</v>
      </c>
      <c r="H4110" t="s">
        <v>3</v>
      </c>
      <c r="I4110" t="s">
        <v>3</v>
      </c>
      <c r="J4110" t="s">
        <v>300</v>
      </c>
      <c r="K4110" t="s">
        <v>13</v>
      </c>
      <c r="L4110" t="s">
        <v>15</v>
      </c>
      <c r="M4110" t="s">
        <v>114</v>
      </c>
      <c r="N4110" s="2">
        <v>46055</v>
      </c>
    </row>
    <row r="4111" spans="1:14" x14ac:dyDescent="0.25">
      <c r="A4111" t="s">
        <v>561</v>
      </c>
      <c r="B4111" s="2">
        <v>46054</v>
      </c>
      <c r="C4111" t="s">
        <v>561</v>
      </c>
      <c r="D4111" t="s">
        <v>112</v>
      </c>
      <c r="E4111" t="s">
        <v>9</v>
      </c>
      <c r="F4111" s="3">
        <v>-1100</v>
      </c>
      <c r="G4111" s="3">
        <v>-1100</v>
      </c>
      <c r="H4111" t="s">
        <v>3</v>
      </c>
      <c r="I4111" t="s">
        <v>3</v>
      </c>
      <c r="J4111" t="s">
        <v>300</v>
      </c>
      <c r="K4111" t="s">
        <v>13</v>
      </c>
      <c r="L4111" t="s">
        <v>15</v>
      </c>
      <c r="M4111" t="s">
        <v>114</v>
      </c>
      <c r="N4111" s="2">
        <v>46054</v>
      </c>
    </row>
    <row r="4112" spans="1:14" x14ac:dyDescent="0.25">
      <c r="A4112" t="s">
        <v>561</v>
      </c>
      <c r="B4112" s="2">
        <v>46081</v>
      </c>
      <c r="C4112" t="s">
        <v>561</v>
      </c>
      <c r="D4112" t="s">
        <v>112</v>
      </c>
      <c r="E4112" t="s">
        <v>9</v>
      </c>
      <c r="F4112" s="3">
        <v>2500</v>
      </c>
      <c r="G4112" s="3">
        <v>2500</v>
      </c>
      <c r="H4112" t="s">
        <v>3</v>
      </c>
      <c r="I4112" t="s">
        <v>3</v>
      </c>
      <c r="J4112" t="s">
        <v>304</v>
      </c>
      <c r="K4112" t="s">
        <v>13</v>
      </c>
      <c r="L4112" t="s">
        <v>15</v>
      </c>
      <c r="M4112" t="s">
        <v>114</v>
      </c>
      <c r="N4112" s="2">
        <v>46081</v>
      </c>
    </row>
    <row r="4113" spans="1:14" x14ac:dyDescent="0.25">
      <c r="A4113" s="4" t="s">
        <v>239</v>
      </c>
      <c r="B4113" s="5"/>
      <c r="C4113" s="4" t="s">
        <v>9</v>
      </c>
      <c r="D4113" s="4" t="s">
        <v>9</v>
      </c>
      <c r="E4113" s="4" t="s">
        <v>9</v>
      </c>
      <c r="F4113" s="6">
        <v>0</v>
      </c>
      <c r="G4113" s="6">
        <v>0</v>
      </c>
      <c r="H4113" s="4" t="s">
        <v>9</v>
      </c>
      <c r="I4113" s="4" t="s">
        <v>3</v>
      </c>
      <c r="J4113" s="4" t="s">
        <v>9</v>
      </c>
      <c r="K4113" s="4" t="s">
        <v>9</v>
      </c>
      <c r="L4113" s="4" t="s">
        <v>9</v>
      </c>
      <c r="M4113" s="4" t="s">
        <v>9</v>
      </c>
      <c r="N4113" s="5"/>
    </row>
    <row r="4114" spans="1:14" x14ac:dyDescent="0.25">
      <c r="A4114" t="s">
        <v>561</v>
      </c>
      <c r="B4114" s="2">
        <v>46115</v>
      </c>
      <c r="C4114" t="s">
        <v>561</v>
      </c>
      <c r="D4114" t="s">
        <v>112</v>
      </c>
      <c r="E4114" t="s">
        <v>9</v>
      </c>
      <c r="F4114" s="3">
        <v>-6292</v>
      </c>
      <c r="G4114" s="3">
        <v>-6292</v>
      </c>
      <c r="H4114" t="s">
        <v>3</v>
      </c>
      <c r="I4114" t="s">
        <v>3</v>
      </c>
      <c r="J4114" t="s">
        <v>9</v>
      </c>
      <c r="K4114" t="s">
        <v>9</v>
      </c>
      <c r="L4114" t="s">
        <v>16</v>
      </c>
      <c r="M4114" t="s">
        <v>114</v>
      </c>
      <c r="N4114" s="2">
        <v>46112</v>
      </c>
    </row>
    <row r="4115" spans="1:14" x14ac:dyDescent="0.25">
      <c r="A4115" t="s">
        <v>561</v>
      </c>
      <c r="B4115" s="2">
        <v>46081</v>
      </c>
      <c r="C4115" t="s">
        <v>561</v>
      </c>
      <c r="D4115" t="s">
        <v>112</v>
      </c>
      <c r="E4115" t="s">
        <v>9</v>
      </c>
      <c r="F4115" s="3">
        <v>-2500</v>
      </c>
      <c r="G4115" s="3">
        <v>-2500</v>
      </c>
      <c r="H4115" t="s">
        <v>3</v>
      </c>
      <c r="I4115" t="s">
        <v>3</v>
      </c>
      <c r="J4115" t="s">
        <v>304</v>
      </c>
      <c r="K4115" t="s">
        <v>13</v>
      </c>
      <c r="L4115" t="s">
        <v>16</v>
      </c>
      <c r="M4115" t="s">
        <v>114</v>
      </c>
      <c r="N4115" s="2">
        <v>46082</v>
      </c>
    </row>
    <row r="4116" spans="1:14" x14ac:dyDescent="0.25">
      <c r="A4116" t="s">
        <v>561</v>
      </c>
      <c r="B4116" s="2">
        <v>46112</v>
      </c>
      <c r="C4116" t="s">
        <v>561</v>
      </c>
      <c r="D4116" t="s">
        <v>112</v>
      </c>
      <c r="E4116" t="s">
        <v>9</v>
      </c>
      <c r="F4116" s="3">
        <v>8792</v>
      </c>
      <c r="G4116" s="3">
        <v>8792</v>
      </c>
      <c r="H4116" t="s">
        <v>3</v>
      </c>
      <c r="I4116" t="s">
        <v>3</v>
      </c>
      <c r="J4116" t="s">
        <v>307</v>
      </c>
      <c r="K4116" t="s">
        <v>13</v>
      </c>
      <c r="L4116" t="s">
        <v>16</v>
      </c>
      <c r="M4116" t="s">
        <v>114</v>
      </c>
      <c r="N4116" s="2">
        <v>46112</v>
      </c>
    </row>
    <row r="4117" spans="1:14" x14ac:dyDescent="0.25">
      <c r="A4117" s="4" t="s">
        <v>244</v>
      </c>
      <c r="B4117" s="5"/>
      <c r="C4117" s="4" t="s">
        <v>9</v>
      </c>
      <c r="D4117" s="4" t="s">
        <v>9</v>
      </c>
      <c r="E4117" s="4" t="s">
        <v>9</v>
      </c>
      <c r="F4117" s="6">
        <v>0</v>
      </c>
      <c r="G4117" s="6">
        <v>0</v>
      </c>
      <c r="H4117" s="4" t="s">
        <v>9</v>
      </c>
      <c r="I4117" s="4" t="s">
        <v>3</v>
      </c>
      <c r="J4117" s="4" t="s">
        <v>9</v>
      </c>
      <c r="K4117" s="4" t="s">
        <v>9</v>
      </c>
      <c r="L4117" s="4" t="s">
        <v>9</v>
      </c>
      <c r="M4117" s="4" t="s">
        <v>9</v>
      </c>
      <c r="N4117" s="5"/>
    </row>
    <row r="4118" spans="1:14" x14ac:dyDescent="0.25">
      <c r="A4118" t="s">
        <v>561</v>
      </c>
      <c r="B4118" s="2">
        <v>46147</v>
      </c>
      <c r="C4118" t="s">
        <v>561</v>
      </c>
      <c r="D4118" t="s">
        <v>112</v>
      </c>
      <c r="E4118" t="s">
        <v>9</v>
      </c>
      <c r="F4118" s="3">
        <v>-7020</v>
      </c>
      <c r="G4118" s="3">
        <v>-7020</v>
      </c>
      <c r="H4118" t="s">
        <v>3</v>
      </c>
      <c r="I4118" t="s">
        <v>3</v>
      </c>
      <c r="J4118" t="s">
        <v>9</v>
      </c>
      <c r="K4118" t="s">
        <v>9</v>
      </c>
      <c r="L4118" t="s">
        <v>17</v>
      </c>
      <c r="M4118" t="s">
        <v>114</v>
      </c>
      <c r="N4118" s="2">
        <v>46142</v>
      </c>
    </row>
    <row r="4119" spans="1:14" x14ac:dyDescent="0.25">
      <c r="A4119" t="s">
        <v>561</v>
      </c>
      <c r="B4119" s="2">
        <v>46112</v>
      </c>
      <c r="C4119" t="s">
        <v>561</v>
      </c>
      <c r="D4119" t="s">
        <v>112</v>
      </c>
      <c r="E4119" t="s">
        <v>9</v>
      </c>
      <c r="F4119" s="3">
        <v>-8792</v>
      </c>
      <c r="G4119" s="3">
        <v>-8792</v>
      </c>
      <c r="H4119" t="s">
        <v>3</v>
      </c>
      <c r="I4119" t="s">
        <v>3</v>
      </c>
      <c r="J4119" t="s">
        <v>307</v>
      </c>
      <c r="K4119" t="s">
        <v>13</v>
      </c>
      <c r="L4119" t="s">
        <v>17</v>
      </c>
      <c r="M4119" t="s">
        <v>114</v>
      </c>
      <c r="N4119" s="2">
        <v>46113</v>
      </c>
    </row>
    <row r="4120" spans="1:14" x14ac:dyDescent="0.25">
      <c r="A4120" t="s">
        <v>561</v>
      </c>
      <c r="B4120" s="2">
        <v>46142</v>
      </c>
      <c r="C4120" t="s">
        <v>561</v>
      </c>
      <c r="D4120" t="s">
        <v>112</v>
      </c>
      <c r="E4120" t="s">
        <v>9</v>
      </c>
      <c r="F4120" s="3">
        <v>15812</v>
      </c>
      <c r="G4120" s="3">
        <v>15812</v>
      </c>
      <c r="H4120" t="s">
        <v>3</v>
      </c>
      <c r="I4120" t="s">
        <v>3</v>
      </c>
      <c r="J4120" t="s">
        <v>310</v>
      </c>
      <c r="K4120" t="s">
        <v>13</v>
      </c>
      <c r="L4120" t="s">
        <v>17</v>
      </c>
      <c r="M4120" t="s">
        <v>114</v>
      </c>
      <c r="N4120" s="2">
        <v>46142</v>
      </c>
    </row>
    <row r="4121" spans="1:14" x14ac:dyDescent="0.25">
      <c r="A4121" s="4" t="s">
        <v>249</v>
      </c>
      <c r="B4121" s="5"/>
      <c r="C4121" s="4" t="s">
        <v>9</v>
      </c>
      <c r="D4121" s="4" t="s">
        <v>9</v>
      </c>
      <c r="E4121" s="4" t="s">
        <v>9</v>
      </c>
      <c r="F4121" s="6">
        <v>0</v>
      </c>
      <c r="G4121" s="6">
        <v>0</v>
      </c>
      <c r="H4121" s="4" t="s">
        <v>9</v>
      </c>
      <c r="I4121" s="4" t="s">
        <v>3</v>
      </c>
      <c r="J4121" s="4" t="s">
        <v>9</v>
      </c>
      <c r="K4121" s="4" t="s">
        <v>9</v>
      </c>
      <c r="L4121" s="4" t="s">
        <v>9</v>
      </c>
      <c r="M4121" s="4" t="s">
        <v>9</v>
      </c>
      <c r="N4121" s="5"/>
    </row>
    <row r="4122" spans="1:14" x14ac:dyDescent="0.25">
      <c r="A4122" t="s">
        <v>561</v>
      </c>
      <c r="B4122" s="2">
        <v>46175</v>
      </c>
      <c r="C4122" t="s">
        <v>561</v>
      </c>
      <c r="D4122" t="s">
        <v>112</v>
      </c>
      <c r="E4122" t="s">
        <v>9</v>
      </c>
      <c r="F4122" s="3">
        <v>-15488</v>
      </c>
      <c r="G4122" s="3">
        <v>-15488</v>
      </c>
      <c r="H4122" t="s">
        <v>3</v>
      </c>
      <c r="I4122" t="s">
        <v>3</v>
      </c>
      <c r="J4122" t="s">
        <v>9</v>
      </c>
      <c r="K4122" t="s">
        <v>9</v>
      </c>
      <c r="L4122" t="s">
        <v>18</v>
      </c>
      <c r="M4122" t="s">
        <v>114</v>
      </c>
      <c r="N4122" s="2">
        <v>46173</v>
      </c>
    </row>
    <row r="4123" spans="1:14" x14ac:dyDescent="0.25">
      <c r="A4123" t="s">
        <v>561</v>
      </c>
      <c r="B4123" s="2">
        <v>46142</v>
      </c>
      <c r="C4123" t="s">
        <v>561</v>
      </c>
      <c r="D4123" t="s">
        <v>112</v>
      </c>
      <c r="E4123" t="s">
        <v>9</v>
      </c>
      <c r="F4123" s="3">
        <v>-15812</v>
      </c>
      <c r="G4123" s="3">
        <v>-15812</v>
      </c>
      <c r="H4123" t="s">
        <v>3</v>
      </c>
      <c r="I4123" t="s">
        <v>3</v>
      </c>
      <c r="J4123" t="s">
        <v>310</v>
      </c>
      <c r="K4123" t="s">
        <v>13</v>
      </c>
      <c r="L4123" t="s">
        <v>18</v>
      </c>
      <c r="M4123" t="s">
        <v>114</v>
      </c>
      <c r="N4123" s="2">
        <v>46143</v>
      </c>
    </row>
    <row r="4124" spans="1:14" x14ac:dyDescent="0.25">
      <c r="A4124" t="s">
        <v>561</v>
      </c>
      <c r="B4124" s="2">
        <v>46173</v>
      </c>
      <c r="C4124" t="s">
        <v>561</v>
      </c>
      <c r="D4124" t="s">
        <v>112</v>
      </c>
      <c r="E4124" t="s">
        <v>9</v>
      </c>
      <c r="F4124" s="3">
        <v>26932</v>
      </c>
      <c r="G4124" s="3">
        <v>26932</v>
      </c>
      <c r="H4124" t="s">
        <v>3</v>
      </c>
      <c r="I4124" t="s">
        <v>3</v>
      </c>
      <c r="J4124" t="s">
        <v>313</v>
      </c>
      <c r="K4124" t="s">
        <v>13</v>
      </c>
      <c r="L4124" t="s">
        <v>18</v>
      </c>
      <c r="M4124" t="s">
        <v>114</v>
      </c>
      <c r="N4124" s="2">
        <v>46173</v>
      </c>
    </row>
    <row r="4125" spans="1:14" x14ac:dyDescent="0.25">
      <c r="A4125" t="s">
        <v>561</v>
      </c>
      <c r="B4125" s="2">
        <v>46173</v>
      </c>
      <c r="C4125" t="s">
        <v>561</v>
      </c>
      <c r="D4125" t="s">
        <v>112</v>
      </c>
      <c r="E4125" t="s">
        <v>9</v>
      </c>
      <c r="F4125" s="3">
        <v>4368</v>
      </c>
      <c r="G4125" s="3">
        <v>4368</v>
      </c>
      <c r="H4125" t="s">
        <v>3</v>
      </c>
      <c r="I4125" t="s">
        <v>3</v>
      </c>
      <c r="J4125" t="s">
        <v>562</v>
      </c>
      <c r="K4125" t="s">
        <v>13</v>
      </c>
      <c r="L4125" t="s">
        <v>18</v>
      </c>
      <c r="M4125" t="s">
        <v>114</v>
      </c>
      <c r="N4125" s="2">
        <v>46173</v>
      </c>
    </row>
    <row r="4126" spans="1:14" x14ac:dyDescent="0.25">
      <c r="A4126" s="4" t="s">
        <v>223</v>
      </c>
      <c r="B4126" s="5"/>
      <c r="C4126" s="4" t="s">
        <v>9</v>
      </c>
      <c r="D4126" s="4" t="s">
        <v>9</v>
      </c>
      <c r="E4126" s="4" t="s">
        <v>9</v>
      </c>
      <c r="F4126" s="6">
        <v>0</v>
      </c>
      <c r="G4126" s="6">
        <v>0</v>
      </c>
      <c r="H4126" s="4" t="s">
        <v>9</v>
      </c>
      <c r="I4126" s="4" t="s">
        <v>3</v>
      </c>
      <c r="J4126" s="4" t="s">
        <v>9</v>
      </c>
      <c r="K4126" s="4" t="s">
        <v>9</v>
      </c>
      <c r="L4126" s="4" t="s">
        <v>9</v>
      </c>
      <c r="M4126" s="4" t="s">
        <v>9</v>
      </c>
      <c r="N4126" s="5"/>
    </row>
    <row r="4127" spans="1:14" x14ac:dyDescent="0.25">
      <c r="A4127" t="s">
        <v>561</v>
      </c>
      <c r="B4127" s="2">
        <v>46205</v>
      </c>
      <c r="C4127" t="s">
        <v>561</v>
      </c>
      <c r="D4127" t="s">
        <v>112</v>
      </c>
      <c r="E4127" t="s">
        <v>9</v>
      </c>
      <c r="F4127" s="3">
        <v>-25361.64</v>
      </c>
      <c r="G4127" s="3">
        <v>-25361.64</v>
      </c>
      <c r="H4127" t="s">
        <v>3</v>
      </c>
      <c r="I4127" t="s">
        <v>3</v>
      </c>
      <c r="J4127" t="s">
        <v>9</v>
      </c>
      <c r="K4127" t="s">
        <v>9</v>
      </c>
      <c r="L4127" t="s">
        <v>19</v>
      </c>
      <c r="M4127" t="s">
        <v>114</v>
      </c>
      <c r="N4127" s="2">
        <v>46203</v>
      </c>
    </row>
    <row r="4128" spans="1:14" x14ac:dyDescent="0.25">
      <c r="A4128" t="s">
        <v>561</v>
      </c>
      <c r="B4128" s="2">
        <v>46173</v>
      </c>
      <c r="C4128" t="s">
        <v>561</v>
      </c>
      <c r="D4128" t="s">
        <v>112</v>
      </c>
      <c r="E4128" t="s">
        <v>9</v>
      </c>
      <c r="F4128" s="3">
        <v>-26932</v>
      </c>
      <c r="G4128" s="3">
        <v>-26932</v>
      </c>
      <c r="H4128" t="s">
        <v>3</v>
      </c>
      <c r="I4128" t="s">
        <v>3</v>
      </c>
      <c r="J4128" t="s">
        <v>313</v>
      </c>
      <c r="K4128" t="s">
        <v>13</v>
      </c>
      <c r="L4128" t="s">
        <v>19</v>
      </c>
      <c r="M4128" t="s">
        <v>114</v>
      </c>
      <c r="N4128" s="2">
        <v>46174</v>
      </c>
    </row>
    <row r="4129" spans="1:14" x14ac:dyDescent="0.25">
      <c r="A4129" t="s">
        <v>561</v>
      </c>
      <c r="B4129" s="2">
        <v>46173</v>
      </c>
      <c r="C4129" t="s">
        <v>561</v>
      </c>
      <c r="D4129" t="s">
        <v>112</v>
      </c>
      <c r="E4129" t="s">
        <v>9</v>
      </c>
      <c r="F4129" s="3">
        <v>-4368</v>
      </c>
      <c r="G4129" s="3">
        <v>-4368</v>
      </c>
      <c r="H4129" t="s">
        <v>3</v>
      </c>
      <c r="I4129" t="s">
        <v>3</v>
      </c>
      <c r="J4129" t="s">
        <v>562</v>
      </c>
      <c r="K4129" t="s">
        <v>13</v>
      </c>
      <c r="L4129" t="s">
        <v>19</v>
      </c>
      <c r="M4129" t="s">
        <v>114</v>
      </c>
      <c r="N4129" s="2">
        <v>46174</v>
      </c>
    </row>
    <row r="4130" spans="1:14" x14ac:dyDescent="0.25">
      <c r="A4130" t="s">
        <v>561</v>
      </c>
      <c r="B4130" s="2">
        <v>46203</v>
      </c>
      <c r="C4130" t="s">
        <v>561</v>
      </c>
      <c r="D4130" t="s">
        <v>112</v>
      </c>
      <c r="E4130" t="s">
        <v>9</v>
      </c>
      <c r="F4130" s="3">
        <v>52293.64</v>
      </c>
      <c r="G4130" s="3">
        <v>52293.64</v>
      </c>
      <c r="H4130" t="s">
        <v>3</v>
      </c>
      <c r="I4130" t="s">
        <v>3</v>
      </c>
      <c r="J4130" t="s">
        <v>316</v>
      </c>
      <c r="K4130" t="s">
        <v>13</v>
      </c>
      <c r="L4130" t="s">
        <v>19</v>
      </c>
      <c r="M4130" t="s">
        <v>114</v>
      </c>
      <c r="N4130" s="2">
        <v>46203</v>
      </c>
    </row>
    <row r="4131" spans="1:14" x14ac:dyDescent="0.25">
      <c r="A4131" t="s">
        <v>561</v>
      </c>
      <c r="B4131" s="2">
        <v>46203</v>
      </c>
      <c r="C4131" t="s">
        <v>561</v>
      </c>
      <c r="D4131" t="s">
        <v>112</v>
      </c>
      <c r="E4131" t="s">
        <v>9</v>
      </c>
      <c r="F4131" s="3">
        <v>4368</v>
      </c>
      <c r="G4131" s="3">
        <v>4368</v>
      </c>
      <c r="H4131" t="s">
        <v>3</v>
      </c>
      <c r="I4131" t="s">
        <v>3</v>
      </c>
      <c r="J4131" t="s">
        <v>563</v>
      </c>
      <c r="K4131" t="s">
        <v>13</v>
      </c>
      <c r="L4131" t="s">
        <v>19</v>
      </c>
      <c r="M4131" t="s">
        <v>114</v>
      </c>
      <c r="N4131" s="2">
        <v>46203</v>
      </c>
    </row>
    <row r="4132" spans="1:14" x14ac:dyDescent="0.25">
      <c r="A4132" s="4" t="s">
        <v>224</v>
      </c>
      <c r="B4132" s="5"/>
      <c r="C4132" s="4" t="s">
        <v>9</v>
      </c>
      <c r="D4132" s="4" t="s">
        <v>9</v>
      </c>
      <c r="E4132" s="4" t="s">
        <v>9</v>
      </c>
      <c r="F4132" s="6">
        <v>0</v>
      </c>
      <c r="G4132" s="6">
        <v>0</v>
      </c>
      <c r="H4132" s="4" t="s">
        <v>9</v>
      </c>
      <c r="I4132" s="4" t="s">
        <v>3</v>
      </c>
      <c r="J4132" s="4" t="s">
        <v>9</v>
      </c>
      <c r="K4132" s="4" t="s">
        <v>9</v>
      </c>
      <c r="L4132" s="4" t="s">
        <v>9</v>
      </c>
      <c r="M4132" s="4" t="s">
        <v>9</v>
      </c>
      <c r="N4132" s="5"/>
    </row>
    <row r="4133" spans="1:14" x14ac:dyDescent="0.25">
      <c r="A4133" t="s">
        <v>561</v>
      </c>
      <c r="B4133" s="2">
        <v>46239</v>
      </c>
      <c r="C4133" t="s">
        <v>561</v>
      </c>
      <c r="D4133" t="s">
        <v>112</v>
      </c>
      <c r="E4133" t="s">
        <v>9</v>
      </c>
      <c r="F4133" s="3">
        <v>-9048.36</v>
      </c>
      <c r="G4133" s="3">
        <v>-9048.36</v>
      </c>
      <c r="H4133" t="s">
        <v>3</v>
      </c>
      <c r="I4133" t="s">
        <v>3</v>
      </c>
      <c r="J4133" t="s">
        <v>9</v>
      </c>
      <c r="K4133" t="s">
        <v>9</v>
      </c>
      <c r="L4133" t="s">
        <v>21</v>
      </c>
      <c r="M4133" t="s">
        <v>114</v>
      </c>
      <c r="N4133" s="2">
        <v>46234</v>
      </c>
    </row>
    <row r="4134" spans="1:14" x14ac:dyDescent="0.25">
      <c r="A4134" t="s">
        <v>561</v>
      </c>
      <c r="B4134" s="2">
        <v>46203</v>
      </c>
      <c r="C4134" t="s">
        <v>561</v>
      </c>
      <c r="D4134" t="s">
        <v>112</v>
      </c>
      <c r="E4134" t="s">
        <v>9</v>
      </c>
      <c r="F4134" s="3">
        <v>-52293.64</v>
      </c>
      <c r="G4134" s="3">
        <v>-52293.64</v>
      </c>
      <c r="H4134" t="s">
        <v>3</v>
      </c>
      <c r="I4134" t="s">
        <v>3</v>
      </c>
      <c r="J4134" t="s">
        <v>316</v>
      </c>
      <c r="K4134" t="s">
        <v>13</v>
      </c>
      <c r="L4134" t="s">
        <v>21</v>
      </c>
      <c r="M4134" t="s">
        <v>114</v>
      </c>
      <c r="N4134" s="2">
        <v>46204</v>
      </c>
    </row>
    <row r="4135" spans="1:14" x14ac:dyDescent="0.25">
      <c r="A4135" t="s">
        <v>561</v>
      </c>
      <c r="B4135" s="2">
        <v>46203</v>
      </c>
      <c r="C4135" t="s">
        <v>561</v>
      </c>
      <c r="D4135" t="s">
        <v>112</v>
      </c>
      <c r="E4135" t="s">
        <v>9</v>
      </c>
      <c r="F4135" s="3">
        <v>-4368</v>
      </c>
      <c r="G4135" s="3">
        <v>-4368</v>
      </c>
      <c r="H4135" t="s">
        <v>3</v>
      </c>
      <c r="I4135" t="s">
        <v>3</v>
      </c>
      <c r="J4135" t="s">
        <v>563</v>
      </c>
      <c r="K4135" t="s">
        <v>13</v>
      </c>
      <c r="L4135" t="s">
        <v>21</v>
      </c>
      <c r="M4135" t="s">
        <v>114</v>
      </c>
      <c r="N4135" s="2">
        <v>46204</v>
      </c>
    </row>
    <row r="4136" spans="1:14" x14ac:dyDescent="0.25">
      <c r="A4136" t="s">
        <v>561</v>
      </c>
      <c r="B4136" s="2">
        <v>46234</v>
      </c>
      <c r="C4136" t="s">
        <v>561</v>
      </c>
      <c r="D4136" t="s">
        <v>112</v>
      </c>
      <c r="E4136" t="s">
        <v>9</v>
      </c>
      <c r="F4136" s="3">
        <v>61342</v>
      </c>
      <c r="G4136" s="3">
        <v>61342</v>
      </c>
      <c r="H4136" t="s">
        <v>3</v>
      </c>
      <c r="I4136" t="s">
        <v>3</v>
      </c>
      <c r="J4136" t="s">
        <v>319</v>
      </c>
      <c r="K4136" t="s">
        <v>13</v>
      </c>
      <c r="L4136" t="s">
        <v>21</v>
      </c>
      <c r="M4136" t="s">
        <v>114</v>
      </c>
      <c r="N4136" s="2">
        <v>46234</v>
      </c>
    </row>
    <row r="4137" spans="1:14" x14ac:dyDescent="0.25">
      <c r="A4137" t="s">
        <v>561</v>
      </c>
      <c r="B4137" s="2">
        <v>46234</v>
      </c>
      <c r="C4137" t="s">
        <v>561</v>
      </c>
      <c r="D4137" t="s">
        <v>112</v>
      </c>
      <c r="E4137" t="s">
        <v>9</v>
      </c>
      <c r="F4137" s="3">
        <v>4368</v>
      </c>
      <c r="G4137" s="3">
        <v>4368</v>
      </c>
      <c r="H4137" t="s">
        <v>3</v>
      </c>
      <c r="I4137" t="s">
        <v>3</v>
      </c>
      <c r="J4137" t="s">
        <v>564</v>
      </c>
      <c r="K4137" t="s">
        <v>13</v>
      </c>
      <c r="L4137" t="s">
        <v>21</v>
      </c>
      <c r="M4137" t="s">
        <v>114</v>
      </c>
      <c r="N4137" s="2">
        <v>46234</v>
      </c>
    </row>
    <row r="4138" spans="1:14" x14ac:dyDescent="0.25">
      <c r="A4138" s="4" t="s">
        <v>262</v>
      </c>
      <c r="B4138" s="5"/>
      <c r="C4138" s="4" t="s">
        <v>9</v>
      </c>
      <c r="D4138" s="4" t="s">
        <v>9</v>
      </c>
      <c r="E4138" s="4" t="s">
        <v>9</v>
      </c>
      <c r="F4138" s="6">
        <v>0</v>
      </c>
      <c r="G4138" s="6">
        <v>0</v>
      </c>
      <c r="H4138" s="4" t="s">
        <v>9</v>
      </c>
      <c r="I4138" s="4" t="s">
        <v>3</v>
      </c>
      <c r="J4138" s="4" t="s">
        <v>9</v>
      </c>
      <c r="K4138" s="4" t="s">
        <v>9</v>
      </c>
      <c r="L4138" s="4" t="s">
        <v>9</v>
      </c>
      <c r="M4138" s="4" t="s">
        <v>9</v>
      </c>
      <c r="N4138" s="5"/>
    </row>
    <row r="4139" spans="1:14" x14ac:dyDescent="0.25">
      <c r="A4139" t="s">
        <v>561</v>
      </c>
      <c r="B4139" s="2">
        <v>46267</v>
      </c>
      <c r="C4139" t="s">
        <v>561</v>
      </c>
      <c r="D4139" t="s">
        <v>112</v>
      </c>
      <c r="E4139" t="s">
        <v>9</v>
      </c>
      <c r="F4139" s="3">
        <v>-20532</v>
      </c>
      <c r="G4139" s="3">
        <v>-20532</v>
      </c>
      <c r="H4139" t="s">
        <v>3</v>
      </c>
      <c r="I4139" t="s">
        <v>3</v>
      </c>
      <c r="J4139" t="s">
        <v>9</v>
      </c>
      <c r="K4139" t="s">
        <v>9</v>
      </c>
      <c r="L4139" t="s">
        <v>22</v>
      </c>
      <c r="M4139" t="s">
        <v>114</v>
      </c>
      <c r="N4139" s="2">
        <v>46265</v>
      </c>
    </row>
    <row r="4140" spans="1:14" x14ac:dyDescent="0.25">
      <c r="A4140" t="s">
        <v>561</v>
      </c>
      <c r="B4140" s="2">
        <v>46234</v>
      </c>
      <c r="C4140" t="s">
        <v>561</v>
      </c>
      <c r="D4140" t="s">
        <v>112</v>
      </c>
      <c r="E4140" t="s">
        <v>9</v>
      </c>
      <c r="F4140" s="3">
        <v>-61342</v>
      </c>
      <c r="G4140" s="3">
        <v>-61342</v>
      </c>
      <c r="H4140" t="s">
        <v>3</v>
      </c>
      <c r="I4140" t="s">
        <v>3</v>
      </c>
      <c r="J4140" t="s">
        <v>319</v>
      </c>
      <c r="K4140" t="s">
        <v>13</v>
      </c>
      <c r="L4140" t="s">
        <v>22</v>
      </c>
      <c r="M4140" t="s">
        <v>114</v>
      </c>
      <c r="N4140" s="2">
        <v>46235</v>
      </c>
    </row>
    <row r="4141" spans="1:14" x14ac:dyDescent="0.25">
      <c r="A4141" t="s">
        <v>561</v>
      </c>
      <c r="B4141" s="2">
        <v>46234</v>
      </c>
      <c r="C4141" t="s">
        <v>561</v>
      </c>
      <c r="D4141" t="s">
        <v>112</v>
      </c>
      <c r="E4141" t="s">
        <v>9</v>
      </c>
      <c r="F4141" s="3">
        <v>-4368</v>
      </c>
      <c r="G4141" s="3">
        <v>-4368</v>
      </c>
      <c r="H4141" t="s">
        <v>3</v>
      </c>
      <c r="I4141" t="s">
        <v>3</v>
      </c>
      <c r="J4141" t="s">
        <v>564</v>
      </c>
      <c r="K4141" t="s">
        <v>13</v>
      </c>
      <c r="L4141" t="s">
        <v>22</v>
      </c>
      <c r="M4141" t="s">
        <v>114</v>
      </c>
      <c r="N4141" s="2">
        <v>46235</v>
      </c>
    </row>
    <row r="4142" spans="1:14" x14ac:dyDescent="0.25">
      <c r="A4142" t="s">
        <v>561</v>
      </c>
      <c r="B4142" s="2">
        <v>46265</v>
      </c>
      <c r="C4142" t="s">
        <v>561</v>
      </c>
      <c r="D4142" t="s">
        <v>112</v>
      </c>
      <c r="E4142" t="s">
        <v>9</v>
      </c>
      <c r="F4142" s="3">
        <v>68266</v>
      </c>
      <c r="G4142" s="3">
        <v>68266</v>
      </c>
      <c r="H4142" t="s">
        <v>3</v>
      </c>
      <c r="I4142" t="s">
        <v>3</v>
      </c>
      <c r="J4142" t="s">
        <v>322</v>
      </c>
      <c r="K4142" t="s">
        <v>13</v>
      </c>
      <c r="L4142" t="s">
        <v>22</v>
      </c>
      <c r="M4142" t="s">
        <v>114</v>
      </c>
      <c r="N4142" s="2">
        <v>46265</v>
      </c>
    </row>
    <row r="4143" spans="1:14" x14ac:dyDescent="0.25">
      <c r="A4143" t="s">
        <v>561</v>
      </c>
      <c r="B4143" s="2">
        <v>46265</v>
      </c>
      <c r="C4143" t="s">
        <v>561</v>
      </c>
      <c r="D4143" t="s">
        <v>112</v>
      </c>
      <c r="E4143" t="s">
        <v>9</v>
      </c>
      <c r="F4143" s="3">
        <v>17976</v>
      </c>
      <c r="G4143" s="3">
        <v>17976</v>
      </c>
      <c r="H4143" t="s">
        <v>3</v>
      </c>
      <c r="I4143" t="s">
        <v>3</v>
      </c>
      <c r="J4143" t="s">
        <v>545</v>
      </c>
      <c r="K4143" t="s">
        <v>13</v>
      </c>
      <c r="L4143" t="s">
        <v>22</v>
      </c>
      <c r="M4143" t="s">
        <v>114</v>
      </c>
      <c r="N4143" s="2">
        <v>46265</v>
      </c>
    </row>
    <row r="4144" spans="1:14" x14ac:dyDescent="0.25">
      <c r="A4144" s="4" t="s">
        <v>267</v>
      </c>
      <c r="B4144" s="5"/>
      <c r="C4144" s="4" t="s">
        <v>9</v>
      </c>
      <c r="D4144" s="4" t="s">
        <v>9</v>
      </c>
      <c r="E4144" s="4" t="s">
        <v>9</v>
      </c>
      <c r="F4144" s="6">
        <v>0</v>
      </c>
      <c r="G4144" s="6">
        <v>0</v>
      </c>
      <c r="H4144" s="4" t="s">
        <v>9</v>
      </c>
      <c r="I4144" s="4" t="s">
        <v>3</v>
      </c>
      <c r="J4144" s="4" t="s">
        <v>9</v>
      </c>
      <c r="K4144" s="4" t="s">
        <v>9</v>
      </c>
      <c r="L4144" s="4" t="s">
        <v>9</v>
      </c>
      <c r="M4144" s="4" t="s">
        <v>9</v>
      </c>
      <c r="N4144" s="5"/>
    </row>
    <row r="4145" spans="1:14" x14ac:dyDescent="0.25">
      <c r="A4145" t="s">
        <v>561</v>
      </c>
      <c r="B4145" s="2">
        <v>46028</v>
      </c>
      <c r="C4145" t="s">
        <v>561</v>
      </c>
      <c r="D4145" t="s">
        <v>112</v>
      </c>
      <c r="E4145" t="s">
        <v>9</v>
      </c>
      <c r="F4145" s="3">
        <v>-1100</v>
      </c>
      <c r="G4145" s="3">
        <v>-1100</v>
      </c>
      <c r="H4145" t="s">
        <v>3</v>
      </c>
      <c r="I4145" t="s">
        <v>3</v>
      </c>
      <c r="J4145" t="s">
        <v>9</v>
      </c>
      <c r="K4145" t="s">
        <v>9</v>
      </c>
      <c r="L4145" t="s">
        <v>12</v>
      </c>
      <c r="M4145" t="s">
        <v>114</v>
      </c>
      <c r="N4145" s="2">
        <v>46022</v>
      </c>
    </row>
    <row r="4146" spans="1:14" x14ac:dyDescent="0.25">
      <c r="A4146" t="s">
        <v>561</v>
      </c>
      <c r="B4146" s="2">
        <v>46022</v>
      </c>
      <c r="C4146" t="s">
        <v>561</v>
      </c>
      <c r="D4146" t="s">
        <v>112</v>
      </c>
      <c r="E4146" t="s">
        <v>9</v>
      </c>
      <c r="F4146" s="3">
        <v>1100</v>
      </c>
      <c r="G4146" s="3">
        <v>1100</v>
      </c>
      <c r="H4146" t="s">
        <v>3</v>
      </c>
      <c r="I4146" t="s">
        <v>3</v>
      </c>
      <c r="J4146" t="s">
        <v>298</v>
      </c>
      <c r="K4146" t="s">
        <v>5</v>
      </c>
      <c r="L4146" t="s">
        <v>12</v>
      </c>
      <c r="M4146" t="s">
        <v>114</v>
      </c>
      <c r="N4146" s="2">
        <v>46022</v>
      </c>
    </row>
    <row r="4147" spans="1:14" x14ac:dyDescent="0.25">
      <c r="A4147" t="s">
        <v>561</v>
      </c>
      <c r="B4147" s="2">
        <v>46022</v>
      </c>
      <c r="C4147" t="s">
        <v>561</v>
      </c>
      <c r="D4147" t="s">
        <v>112</v>
      </c>
      <c r="E4147" t="s">
        <v>9</v>
      </c>
      <c r="F4147" s="3">
        <v>1100</v>
      </c>
      <c r="G4147" s="3">
        <v>1100</v>
      </c>
      <c r="H4147" t="s">
        <v>3</v>
      </c>
      <c r="I4147" t="s">
        <v>3</v>
      </c>
      <c r="J4147" t="s">
        <v>298</v>
      </c>
      <c r="K4147" t="s">
        <v>5</v>
      </c>
      <c r="L4147" t="s">
        <v>12</v>
      </c>
      <c r="M4147" t="s">
        <v>114</v>
      </c>
      <c r="N4147" s="2">
        <v>46022</v>
      </c>
    </row>
    <row r="4148" spans="1:14" x14ac:dyDescent="0.25">
      <c r="A4148" t="s">
        <v>561</v>
      </c>
      <c r="B4148" s="2">
        <v>46022</v>
      </c>
      <c r="C4148" t="s">
        <v>561</v>
      </c>
      <c r="D4148" t="s">
        <v>112</v>
      </c>
      <c r="E4148" t="s">
        <v>9</v>
      </c>
      <c r="F4148" s="3">
        <v>-1100</v>
      </c>
      <c r="G4148" s="3">
        <v>-1100</v>
      </c>
      <c r="H4148" t="s">
        <v>3</v>
      </c>
      <c r="I4148" t="s">
        <v>3</v>
      </c>
      <c r="J4148" t="s">
        <v>298</v>
      </c>
      <c r="K4148" t="s">
        <v>5</v>
      </c>
      <c r="L4148" t="s">
        <v>12</v>
      </c>
      <c r="M4148" t="s">
        <v>114</v>
      </c>
      <c r="N4148" s="2">
        <v>46022</v>
      </c>
    </row>
    <row r="4149" spans="1:14" x14ac:dyDescent="0.25">
      <c r="A4149" s="4" t="s">
        <v>228</v>
      </c>
      <c r="B4149" s="5"/>
      <c r="C4149" s="4" t="s">
        <v>9</v>
      </c>
      <c r="D4149" s="4" t="s">
        <v>9</v>
      </c>
      <c r="E4149" s="4" t="s">
        <v>9</v>
      </c>
      <c r="F4149" s="6">
        <v>0</v>
      </c>
      <c r="G4149" s="6">
        <v>0</v>
      </c>
      <c r="H4149" s="4" t="s">
        <v>9</v>
      </c>
      <c r="I4149" s="4" t="s">
        <v>3</v>
      </c>
      <c r="J4149" s="4" t="s">
        <v>9</v>
      </c>
      <c r="K4149" s="4" t="s">
        <v>9</v>
      </c>
      <c r="L4149" s="4" t="s">
        <v>9</v>
      </c>
      <c r="M4149" s="4" t="s">
        <v>9</v>
      </c>
      <c r="N4149" s="5"/>
    </row>
    <row r="4150" spans="1:14" x14ac:dyDescent="0.25">
      <c r="A4150" s="4" t="s">
        <v>561</v>
      </c>
      <c r="B4150" s="5"/>
      <c r="C4150" s="4" t="s">
        <v>9</v>
      </c>
      <c r="D4150" s="4" t="s">
        <v>9</v>
      </c>
      <c r="E4150" s="4" t="s">
        <v>9</v>
      </c>
      <c r="F4150" s="6">
        <v>0</v>
      </c>
      <c r="G4150" s="6">
        <v>0</v>
      </c>
      <c r="H4150" s="4" t="s">
        <v>9</v>
      </c>
      <c r="I4150" s="4" t="s">
        <v>3</v>
      </c>
      <c r="J4150" s="4" t="s">
        <v>9</v>
      </c>
      <c r="K4150" s="4" t="s">
        <v>9</v>
      </c>
      <c r="L4150" s="4" t="s">
        <v>9</v>
      </c>
      <c r="M4150" s="4" t="s">
        <v>9</v>
      </c>
      <c r="N4150" s="5"/>
    </row>
    <row r="4151" spans="1:14" x14ac:dyDescent="0.25">
      <c r="A4151" t="s">
        <v>565</v>
      </c>
      <c r="B4151" s="2">
        <v>46056</v>
      </c>
      <c r="C4151" t="s">
        <v>565</v>
      </c>
      <c r="D4151" t="s">
        <v>112</v>
      </c>
      <c r="E4151" t="s">
        <v>9</v>
      </c>
      <c r="F4151" s="3">
        <v>-350</v>
      </c>
      <c r="G4151" s="3">
        <v>-350</v>
      </c>
      <c r="H4151" t="s">
        <v>3</v>
      </c>
      <c r="I4151" t="s">
        <v>3</v>
      </c>
      <c r="J4151" t="s">
        <v>9</v>
      </c>
      <c r="K4151" t="s">
        <v>9</v>
      </c>
      <c r="L4151" t="s">
        <v>14</v>
      </c>
      <c r="M4151" t="s">
        <v>114</v>
      </c>
      <c r="N4151" s="2">
        <v>46053</v>
      </c>
    </row>
    <row r="4152" spans="1:14" x14ac:dyDescent="0.25">
      <c r="A4152" t="s">
        <v>565</v>
      </c>
      <c r="B4152" s="2">
        <v>46022</v>
      </c>
      <c r="C4152" t="s">
        <v>565</v>
      </c>
      <c r="D4152" t="s">
        <v>112</v>
      </c>
      <c r="E4152" t="s">
        <v>9</v>
      </c>
      <c r="F4152" s="3">
        <v>-4400</v>
      </c>
      <c r="G4152" s="3">
        <v>-4400</v>
      </c>
      <c r="H4152" t="s">
        <v>3</v>
      </c>
      <c r="I4152" t="s">
        <v>3</v>
      </c>
      <c r="J4152" t="s">
        <v>298</v>
      </c>
      <c r="K4152" t="s">
        <v>13</v>
      </c>
      <c r="L4152" t="s">
        <v>14</v>
      </c>
      <c r="M4152" t="s">
        <v>114</v>
      </c>
      <c r="N4152" s="2">
        <v>46023</v>
      </c>
    </row>
    <row r="4153" spans="1:14" x14ac:dyDescent="0.25">
      <c r="A4153" t="s">
        <v>565</v>
      </c>
      <c r="B4153" s="2">
        <v>46023</v>
      </c>
      <c r="C4153" t="s">
        <v>565</v>
      </c>
      <c r="D4153" t="s">
        <v>112</v>
      </c>
      <c r="E4153" t="s">
        <v>9</v>
      </c>
      <c r="F4153" s="3">
        <v>4400</v>
      </c>
      <c r="G4153" s="3">
        <v>4400</v>
      </c>
      <c r="H4153" t="s">
        <v>3</v>
      </c>
      <c r="I4153" t="s">
        <v>3</v>
      </c>
      <c r="J4153" t="s">
        <v>298</v>
      </c>
      <c r="K4153" t="s">
        <v>13</v>
      </c>
      <c r="L4153" t="s">
        <v>14</v>
      </c>
      <c r="M4153" t="s">
        <v>114</v>
      </c>
      <c r="N4153" s="2">
        <v>46023</v>
      </c>
    </row>
    <row r="4154" spans="1:14" x14ac:dyDescent="0.25">
      <c r="A4154" t="s">
        <v>565</v>
      </c>
      <c r="B4154" s="2">
        <v>46053</v>
      </c>
      <c r="C4154" t="s">
        <v>565</v>
      </c>
      <c r="D4154" t="s">
        <v>112</v>
      </c>
      <c r="E4154" t="s">
        <v>9</v>
      </c>
      <c r="F4154" s="3">
        <v>350</v>
      </c>
      <c r="G4154" s="3">
        <v>350</v>
      </c>
      <c r="H4154" t="s">
        <v>3</v>
      </c>
      <c r="I4154" t="s">
        <v>3</v>
      </c>
      <c r="J4154" t="s">
        <v>300</v>
      </c>
      <c r="K4154" t="s">
        <v>13</v>
      </c>
      <c r="L4154" t="s">
        <v>14</v>
      </c>
      <c r="M4154" t="s">
        <v>114</v>
      </c>
      <c r="N4154" s="2">
        <v>46053</v>
      </c>
    </row>
    <row r="4155" spans="1:14" x14ac:dyDescent="0.25">
      <c r="A4155" s="4" t="s">
        <v>234</v>
      </c>
      <c r="B4155" s="5"/>
      <c r="C4155" s="4" t="s">
        <v>9</v>
      </c>
      <c r="D4155" s="4" t="s">
        <v>9</v>
      </c>
      <c r="E4155" s="4" t="s">
        <v>9</v>
      </c>
      <c r="F4155" s="6">
        <v>0</v>
      </c>
      <c r="G4155" s="6">
        <v>0</v>
      </c>
      <c r="H4155" s="4" t="s">
        <v>9</v>
      </c>
      <c r="I4155" s="4" t="s">
        <v>3</v>
      </c>
      <c r="J4155" s="4" t="s">
        <v>9</v>
      </c>
      <c r="K4155" s="4" t="s">
        <v>9</v>
      </c>
      <c r="L4155" s="4" t="s">
        <v>9</v>
      </c>
      <c r="M4155" s="4" t="s">
        <v>9</v>
      </c>
      <c r="N4155" s="5"/>
    </row>
    <row r="4156" spans="1:14" x14ac:dyDescent="0.25">
      <c r="A4156" t="s">
        <v>565</v>
      </c>
      <c r="B4156" s="2">
        <v>46084</v>
      </c>
      <c r="C4156" t="s">
        <v>565</v>
      </c>
      <c r="D4156" t="s">
        <v>112</v>
      </c>
      <c r="E4156" t="s">
        <v>9</v>
      </c>
      <c r="F4156" s="3">
        <v>-600</v>
      </c>
      <c r="G4156" s="3">
        <v>-600</v>
      </c>
      <c r="H4156" t="s">
        <v>3</v>
      </c>
      <c r="I4156" t="s">
        <v>3</v>
      </c>
      <c r="J4156" t="s">
        <v>9</v>
      </c>
      <c r="K4156" t="s">
        <v>9</v>
      </c>
      <c r="L4156" t="s">
        <v>15</v>
      </c>
      <c r="M4156" t="s">
        <v>114</v>
      </c>
      <c r="N4156" s="2">
        <v>46081</v>
      </c>
    </row>
    <row r="4157" spans="1:14" x14ac:dyDescent="0.25">
      <c r="A4157" t="s">
        <v>565</v>
      </c>
      <c r="B4157" s="2">
        <v>46054</v>
      </c>
      <c r="C4157" t="s">
        <v>565</v>
      </c>
      <c r="D4157" t="s">
        <v>112</v>
      </c>
      <c r="E4157" t="s">
        <v>9</v>
      </c>
      <c r="F4157" s="3">
        <v>-350</v>
      </c>
      <c r="G4157" s="3">
        <v>-350</v>
      </c>
      <c r="H4157" t="s">
        <v>3</v>
      </c>
      <c r="I4157" t="s">
        <v>3</v>
      </c>
      <c r="J4157" t="s">
        <v>300</v>
      </c>
      <c r="K4157" t="s">
        <v>13</v>
      </c>
      <c r="L4157" t="s">
        <v>15</v>
      </c>
      <c r="M4157" t="s">
        <v>114</v>
      </c>
      <c r="N4157" s="2">
        <v>46054</v>
      </c>
    </row>
    <row r="4158" spans="1:14" x14ac:dyDescent="0.25">
      <c r="A4158" t="s">
        <v>565</v>
      </c>
      <c r="B4158" s="2">
        <v>46054</v>
      </c>
      <c r="C4158" t="s">
        <v>565</v>
      </c>
      <c r="D4158" t="s">
        <v>112</v>
      </c>
      <c r="E4158" t="s">
        <v>9</v>
      </c>
      <c r="F4158" s="3">
        <v>350</v>
      </c>
      <c r="G4158" s="3">
        <v>350</v>
      </c>
      <c r="H4158" t="s">
        <v>3</v>
      </c>
      <c r="I4158" t="s">
        <v>3</v>
      </c>
      <c r="J4158" t="s">
        <v>300</v>
      </c>
      <c r="K4158" t="s">
        <v>13</v>
      </c>
      <c r="L4158" t="s">
        <v>15</v>
      </c>
      <c r="M4158" t="s">
        <v>114</v>
      </c>
      <c r="N4158" s="2">
        <v>46055</v>
      </c>
    </row>
    <row r="4159" spans="1:14" x14ac:dyDescent="0.25">
      <c r="A4159" t="s">
        <v>565</v>
      </c>
      <c r="B4159" s="2">
        <v>46054</v>
      </c>
      <c r="C4159" t="s">
        <v>565</v>
      </c>
      <c r="D4159" t="s">
        <v>112</v>
      </c>
      <c r="E4159" t="s">
        <v>9</v>
      </c>
      <c r="F4159" s="3">
        <v>-350</v>
      </c>
      <c r="G4159" s="3">
        <v>-350</v>
      </c>
      <c r="H4159" t="s">
        <v>3</v>
      </c>
      <c r="I4159" t="s">
        <v>3</v>
      </c>
      <c r="J4159" t="s">
        <v>300</v>
      </c>
      <c r="K4159" t="s">
        <v>13</v>
      </c>
      <c r="L4159" t="s">
        <v>15</v>
      </c>
      <c r="M4159" t="s">
        <v>114</v>
      </c>
      <c r="N4159" s="2">
        <v>46054</v>
      </c>
    </row>
    <row r="4160" spans="1:14" x14ac:dyDescent="0.25">
      <c r="A4160" t="s">
        <v>565</v>
      </c>
      <c r="B4160" s="2">
        <v>46081</v>
      </c>
      <c r="C4160" t="s">
        <v>565</v>
      </c>
      <c r="D4160" t="s">
        <v>112</v>
      </c>
      <c r="E4160" t="s">
        <v>9</v>
      </c>
      <c r="F4160" s="3">
        <v>950</v>
      </c>
      <c r="G4160" s="3">
        <v>950</v>
      </c>
      <c r="H4160" t="s">
        <v>3</v>
      </c>
      <c r="I4160" t="s">
        <v>3</v>
      </c>
      <c r="J4160" t="s">
        <v>304</v>
      </c>
      <c r="K4160" t="s">
        <v>13</v>
      </c>
      <c r="L4160" t="s">
        <v>15</v>
      </c>
      <c r="M4160" t="s">
        <v>114</v>
      </c>
      <c r="N4160" s="2">
        <v>46081</v>
      </c>
    </row>
    <row r="4161" spans="1:14" x14ac:dyDescent="0.25">
      <c r="A4161" s="4" t="s">
        <v>239</v>
      </c>
      <c r="B4161" s="5"/>
      <c r="C4161" s="4" t="s">
        <v>9</v>
      </c>
      <c r="D4161" s="4" t="s">
        <v>9</v>
      </c>
      <c r="E4161" s="4" t="s">
        <v>9</v>
      </c>
      <c r="F4161" s="6">
        <v>0</v>
      </c>
      <c r="G4161" s="6">
        <v>0</v>
      </c>
      <c r="H4161" s="4" t="s">
        <v>9</v>
      </c>
      <c r="I4161" s="4" t="s">
        <v>3</v>
      </c>
      <c r="J4161" s="4" t="s">
        <v>9</v>
      </c>
      <c r="K4161" s="4" t="s">
        <v>9</v>
      </c>
      <c r="L4161" s="4" t="s">
        <v>9</v>
      </c>
      <c r="M4161" s="4" t="s">
        <v>9</v>
      </c>
      <c r="N4161" s="5"/>
    </row>
    <row r="4162" spans="1:14" x14ac:dyDescent="0.25">
      <c r="A4162" t="s">
        <v>565</v>
      </c>
      <c r="B4162" s="2">
        <v>46115</v>
      </c>
      <c r="C4162" t="s">
        <v>565</v>
      </c>
      <c r="D4162" t="s">
        <v>112</v>
      </c>
      <c r="E4162" t="s">
        <v>9</v>
      </c>
      <c r="F4162" s="3">
        <v>-4678</v>
      </c>
      <c r="G4162" s="3">
        <v>-4678</v>
      </c>
      <c r="H4162" t="s">
        <v>3</v>
      </c>
      <c r="I4162" t="s">
        <v>3</v>
      </c>
      <c r="J4162" t="s">
        <v>9</v>
      </c>
      <c r="K4162" t="s">
        <v>9</v>
      </c>
      <c r="L4162" t="s">
        <v>16</v>
      </c>
      <c r="M4162" t="s">
        <v>114</v>
      </c>
      <c r="N4162" s="2">
        <v>46112</v>
      </c>
    </row>
    <row r="4163" spans="1:14" x14ac:dyDescent="0.25">
      <c r="A4163" t="s">
        <v>565</v>
      </c>
      <c r="B4163" s="2">
        <v>46081</v>
      </c>
      <c r="C4163" t="s">
        <v>565</v>
      </c>
      <c r="D4163" t="s">
        <v>112</v>
      </c>
      <c r="E4163" t="s">
        <v>9</v>
      </c>
      <c r="F4163" s="3">
        <v>-950</v>
      </c>
      <c r="G4163" s="3">
        <v>-950</v>
      </c>
      <c r="H4163" t="s">
        <v>3</v>
      </c>
      <c r="I4163" t="s">
        <v>3</v>
      </c>
      <c r="J4163" t="s">
        <v>304</v>
      </c>
      <c r="K4163" t="s">
        <v>13</v>
      </c>
      <c r="L4163" t="s">
        <v>16</v>
      </c>
      <c r="M4163" t="s">
        <v>114</v>
      </c>
      <c r="N4163" s="2">
        <v>46082</v>
      </c>
    </row>
    <row r="4164" spans="1:14" x14ac:dyDescent="0.25">
      <c r="A4164" t="s">
        <v>565</v>
      </c>
      <c r="B4164" s="2">
        <v>46112</v>
      </c>
      <c r="C4164" t="s">
        <v>565</v>
      </c>
      <c r="D4164" t="s">
        <v>112</v>
      </c>
      <c r="E4164" t="s">
        <v>9</v>
      </c>
      <c r="F4164" s="3">
        <v>1350</v>
      </c>
      <c r="G4164" s="3">
        <v>1350</v>
      </c>
      <c r="H4164" t="s">
        <v>3</v>
      </c>
      <c r="I4164" t="s">
        <v>3</v>
      </c>
      <c r="J4164" t="s">
        <v>307</v>
      </c>
      <c r="K4164" t="s">
        <v>13</v>
      </c>
      <c r="L4164" t="s">
        <v>16</v>
      </c>
      <c r="M4164" t="s">
        <v>114</v>
      </c>
      <c r="N4164" s="2">
        <v>46112</v>
      </c>
    </row>
    <row r="4165" spans="1:14" x14ac:dyDescent="0.25">
      <c r="A4165" t="s">
        <v>565</v>
      </c>
      <c r="B4165" s="2">
        <v>46112</v>
      </c>
      <c r="C4165" t="s">
        <v>565</v>
      </c>
      <c r="D4165" t="s">
        <v>112</v>
      </c>
      <c r="E4165" t="s">
        <v>9</v>
      </c>
      <c r="F4165" s="3">
        <v>4278</v>
      </c>
      <c r="G4165" s="3">
        <v>4278</v>
      </c>
      <c r="H4165" t="s">
        <v>3</v>
      </c>
      <c r="I4165" t="s">
        <v>3</v>
      </c>
      <c r="J4165" t="s">
        <v>395</v>
      </c>
      <c r="K4165" t="s">
        <v>13</v>
      </c>
      <c r="L4165" t="s">
        <v>16</v>
      </c>
      <c r="M4165" t="s">
        <v>114</v>
      </c>
      <c r="N4165" s="2">
        <v>46112</v>
      </c>
    </row>
    <row r="4166" spans="1:14" x14ac:dyDescent="0.25">
      <c r="A4166" s="4" t="s">
        <v>244</v>
      </c>
      <c r="B4166" s="5"/>
      <c r="C4166" s="4" t="s">
        <v>9</v>
      </c>
      <c r="D4166" s="4" t="s">
        <v>9</v>
      </c>
      <c r="E4166" s="4" t="s">
        <v>9</v>
      </c>
      <c r="F4166" s="6">
        <v>0</v>
      </c>
      <c r="G4166" s="6">
        <v>0</v>
      </c>
      <c r="H4166" s="4" t="s">
        <v>9</v>
      </c>
      <c r="I4166" s="4" t="s">
        <v>3</v>
      </c>
      <c r="J4166" s="4" t="s">
        <v>9</v>
      </c>
      <c r="K4166" s="4" t="s">
        <v>9</v>
      </c>
      <c r="L4166" s="4" t="s">
        <v>9</v>
      </c>
      <c r="M4166" s="4" t="s">
        <v>9</v>
      </c>
      <c r="N4166" s="5"/>
    </row>
    <row r="4167" spans="1:14" x14ac:dyDescent="0.25">
      <c r="A4167" t="s">
        <v>565</v>
      </c>
      <c r="B4167" s="2">
        <v>46147</v>
      </c>
      <c r="C4167" t="s">
        <v>565</v>
      </c>
      <c r="D4167" t="s">
        <v>112</v>
      </c>
      <c r="E4167" t="s">
        <v>9</v>
      </c>
      <c r="F4167" s="3">
        <v>-372</v>
      </c>
      <c r="G4167" s="3">
        <v>-372</v>
      </c>
      <c r="H4167" t="s">
        <v>3</v>
      </c>
      <c r="I4167" t="s">
        <v>3</v>
      </c>
      <c r="J4167" t="s">
        <v>9</v>
      </c>
      <c r="K4167" t="s">
        <v>9</v>
      </c>
      <c r="L4167" t="s">
        <v>17</v>
      </c>
      <c r="M4167" t="s">
        <v>114</v>
      </c>
      <c r="N4167" s="2">
        <v>46142</v>
      </c>
    </row>
    <row r="4168" spans="1:14" x14ac:dyDescent="0.25">
      <c r="A4168" t="s">
        <v>565</v>
      </c>
      <c r="B4168" s="2">
        <v>46112</v>
      </c>
      <c r="C4168" t="s">
        <v>565</v>
      </c>
      <c r="D4168" t="s">
        <v>112</v>
      </c>
      <c r="E4168" t="s">
        <v>9</v>
      </c>
      <c r="F4168" s="3">
        <v>-1350</v>
      </c>
      <c r="G4168" s="3">
        <v>-1350</v>
      </c>
      <c r="H4168" t="s">
        <v>3</v>
      </c>
      <c r="I4168" t="s">
        <v>3</v>
      </c>
      <c r="J4168" t="s">
        <v>307</v>
      </c>
      <c r="K4168" t="s">
        <v>13</v>
      </c>
      <c r="L4168" t="s">
        <v>17</v>
      </c>
      <c r="M4168" t="s">
        <v>114</v>
      </c>
      <c r="N4168" s="2">
        <v>46113</v>
      </c>
    </row>
    <row r="4169" spans="1:14" x14ac:dyDescent="0.25">
      <c r="A4169" t="s">
        <v>565</v>
      </c>
      <c r="B4169" s="2">
        <v>46112</v>
      </c>
      <c r="C4169" t="s">
        <v>565</v>
      </c>
      <c r="D4169" t="s">
        <v>112</v>
      </c>
      <c r="E4169" t="s">
        <v>9</v>
      </c>
      <c r="F4169" s="3">
        <v>-4278</v>
      </c>
      <c r="G4169" s="3">
        <v>-4278</v>
      </c>
      <c r="H4169" t="s">
        <v>3</v>
      </c>
      <c r="I4169" t="s">
        <v>3</v>
      </c>
      <c r="J4169" t="s">
        <v>395</v>
      </c>
      <c r="K4169" t="s">
        <v>13</v>
      </c>
      <c r="L4169" t="s">
        <v>17</v>
      </c>
      <c r="M4169" t="s">
        <v>114</v>
      </c>
      <c r="N4169" s="2">
        <v>46113</v>
      </c>
    </row>
    <row r="4170" spans="1:14" x14ac:dyDescent="0.25">
      <c r="A4170" t="s">
        <v>565</v>
      </c>
      <c r="B4170" s="2">
        <v>46142</v>
      </c>
      <c r="C4170" t="s">
        <v>565</v>
      </c>
      <c r="D4170" t="s">
        <v>112</v>
      </c>
      <c r="E4170" t="s">
        <v>9</v>
      </c>
      <c r="F4170" s="3">
        <v>1350</v>
      </c>
      <c r="G4170" s="3">
        <v>1350</v>
      </c>
      <c r="H4170" t="s">
        <v>3</v>
      </c>
      <c r="I4170" t="s">
        <v>3</v>
      </c>
      <c r="J4170" t="s">
        <v>310</v>
      </c>
      <c r="K4170" t="s">
        <v>13</v>
      </c>
      <c r="L4170" t="s">
        <v>17</v>
      </c>
      <c r="M4170" t="s">
        <v>114</v>
      </c>
      <c r="N4170" s="2">
        <v>46142</v>
      </c>
    </row>
    <row r="4171" spans="1:14" x14ac:dyDescent="0.25">
      <c r="A4171" t="s">
        <v>565</v>
      </c>
      <c r="B4171" s="2">
        <v>46142</v>
      </c>
      <c r="C4171" t="s">
        <v>565</v>
      </c>
      <c r="D4171" t="s">
        <v>112</v>
      </c>
      <c r="E4171" t="s">
        <v>9</v>
      </c>
      <c r="F4171" s="3">
        <v>4650</v>
      </c>
      <c r="G4171" s="3">
        <v>4650</v>
      </c>
      <c r="H4171" t="s">
        <v>3</v>
      </c>
      <c r="I4171" t="s">
        <v>3</v>
      </c>
      <c r="J4171" t="s">
        <v>423</v>
      </c>
      <c r="K4171" t="s">
        <v>13</v>
      </c>
      <c r="L4171" t="s">
        <v>17</v>
      </c>
      <c r="M4171" t="s">
        <v>114</v>
      </c>
      <c r="N4171" s="2">
        <v>46142</v>
      </c>
    </row>
    <row r="4172" spans="1:14" x14ac:dyDescent="0.25">
      <c r="A4172" s="4" t="s">
        <v>249</v>
      </c>
      <c r="B4172" s="5"/>
      <c r="C4172" s="4" t="s">
        <v>9</v>
      </c>
      <c r="D4172" s="4" t="s">
        <v>9</v>
      </c>
      <c r="E4172" s="4" t="s">
        <v>9</v>
      </c>
      <c r="F4172" s="6">
        <v>0</v>
      </c>
      <c r="G4172" s="6">
        <v>0</v>
      </c>
      <c r="H4172" s="4" t="s">
        <v>9</v>
      </c>
      <c r="I4172" s="4" t="s">
        <v>3</v>
      </c>
      <c r="J4172" s="4" t="s">
        <v>9</v>
      </c>
      <c r="K4172" s="4" t="s">
        <v>9</v>
      </c>
      <c r="L4172" s="4" t="s">
        <v>9</v>
      </c>
      <c r="M4172" s="4" t="s">
        <v>9</v>
      </c>
      <c r="N4172" s="5"/>
    </row>
    <row r="4173" spans="1:14" x14ac:dyDescent="0.25">
      <c r="A4173" t="s">
        <v>565</v>
      </c>
      <c r="B4173" s="2">
        <v>46142</v>
      </c>
      <c r="C4173" t="s">
        <v>565</v>
      </c>
      <c r="D4173" t="s">
        <v>112</v>
      </c>
      <c r="E4173" t="s">
        <v>9</v>
      </c>
      <c r="F4173" s="3">
        <v>-1350</v>
      </c>
      <c r="G4173" s="3">
        <v>-1350</v>
      </c>
      <c r="H4173" t="s">
        <v>3</v>
      </c>
      <c r="I4173" t="s">
        <v>3</v>
      </c>
      <c r="J4173" t="s">
        <v>310</v>
      </c>
      <c r="K4173" t="s">
        <v>13</v>
      </c>
      <c r="L4173" t="s">
        <v>18</v>
      </c>
      <c r="M4173" t="s">
        <v>114</v>
      </c>
      <c r="N4173" s="2">
        <v>46143</v>
      </c>
    </row>
    <row r="4174" spans="1:14" x14ac:dyDescent="0.25">
      <c r="A4174" t="s">
        <v>565</v>
      </c>
      <c r="B4174" s="2">
        <v>46142</v>
      </c>
      <c r="C4174" t="s">
        <v>565</v>
      </c>
      <c r="D4174" t="s">
        <v>112</v>
      </c>
      <c r="E4174" t="s">
        <v>9</v>
      </c>
      <c r="F4174" s="3">
        <v>-4650</v>
      </c>
      <c r="G4174" s="3">
        <v>-4650</v>
      </c>
      <c r="H4174" t="s">
        <v>3</v>
      </c>
      <c r="I4174" t="s">
        <v>3</v>
      </c>
      <c r="J4174" t="s">
        <v>423</v>
      </c>
      <c r="K4174" t="s">
        <v>13</v>
      </c>
      <c r="L4174" t="s">
        <v>18</v>
      </c>
      <c r="M4174" t="s">
        <v>114</v>
      </c>
      <c r="N4174" s="2">
        <v>46143</v>
      </c>
    </row>
    <row r="4175" spans="1:14" x14ac:dyDescent="0.25">
      <c r="A4175" t="s">
        <v>565</v>
      </c>
      <c r="B4175" s="2">
        <v>46173</v>
      </c>
      <c r="C4175" t="s">
        <v>565</v>
      </c>
      <c r="D4175" t="s">
        <v>112</v>
      </c>
      <c r="E4175" t="s">
        <v>9</v>
      </c>
      <c r="F4175" s="3">
        <v>1350</v>
      </c>
      <c r="G4175" s="3">
        <v>1350</v>
      </c>
      <c r="H4175" t="s">
        <v>3</v>
      </c>
      <c r="I4175" t="s">
        <v>3</v>
      </c>
      <c r="J4175" t="s">
        <v>313</v>
      </c>
      <c r="K4175" t="s">
        <v>13</v>
      </c>
      <c r="L4175" t="s">
        <v>18</v>
      </c>
      <c r="M4175" t="s">
        <v>114</v>
      </c>
      <c r="N4175" s="2">
        <v>46173</v>
      </c>
    </row>
    <row r="4176" spans="1:14" x14ac:dyDescent="0.25">
      <c r="A4176" t="s">
        <v>565</v>
      </c>
      <c r="B4176" s="2">
        <v>46173</v>
      </c>
      <c r="C4176" t="s">
        <v>565</v>
      </c>
      <c r="D4176" t="s">
        <v>112</v>
      </c>
      <c r="E4176" t="s">
        <v>9</v>
      </c>
      <c r="F4176" s="3">
        <v>4650</v>
      </c>
      <c r="G4176" s="3">
        <v>4650</v>
      </c>
      <c r="H4176" t="s">
        <v>3</v>
      </c>
      <c r="I4176" t="s">
        <v>3</v>
      </c>
      <c r="J4176" t="s">
        <v>427</v>
      </c>
      <c r="K4176" t="s">
        <v>13</v>
      </c>
      <c r="L4176" t="s">
        <v>18</v>
      </c>
      <c r="M4176" t="s">
        <v>114</v>
      </c>
      <c r="N4176" s="2">
        <v>46173</v>
      </c>
    </row>
    <row r="4177" spans="1:14" x14ac:dyDescent="0.25">
      <c r="A4177" s="4" t="s">
        <v>223</v>
      </c>
      <c r="B4177" s="5"/>
      <c r="C4177" s="4" t="s">
        <v>9</v>
      </c>
      <c r="D4177" s="4" t="s">
        <v>9</v>
      </c>
      <c r="E4177" s="4" t="s">
        <v>9</v>
      </c>
      <c r="F4177" s="6">
        <v>0</v>
      </c>
      <c r="G4177" s="6">
        <v>0</v>
      </c>
      <c r="H4177" s="4" t="s">
        <v>9</v>
      </c>
      <c r="I4177" s="4" t="s">
        <v>3</v>
      </c>
      <c r="J4177" s="4" t="s">
        <v>9</v>
      </c>
      <c r="K4177" s="4" t="s">
        <v>9</v>
      </c>
      <c r="L4177" s="4" t="s">
        <v>9</v>
      </c>
      <c r="M4177" s="4" t="s">
        <v>9</v>
      </c>
      <c r="N4177" s="5"/>
    </row>
    <row r="4178" spans="1:14" x14ac:dyDescent="0.25">
      <c r="A4178" t="s">
        <v>565</v>
      </c>
      <c r="B4178" s="2">
        <v>46205</v>
      </c>
      <c r="C4178" t="s">
        <v>565</v>
      </c>
      <c r="D4178" t="s">
        <v>112</v>
      </c>
      <c r="E4178" t="s">
        <v>9</v>
      </c>
      <c r="F4178" s="3">
        <v>-139.5</v>
      </c>
      <c r="G4178" s="3">
        <v>-139.5</v>
      </c>
      <c r="H4178" t="s">
        <v>3</v>
      </c>
      <c r="I4178" t="s">
        <v>3</v>
      </c>
      <c r="J4178" t="s">
        <v>9</v>
      </c>
      <c r="K4178" t="s">
        <v>9</v>
      </c>
      <c r="L4178" t="s">
        <v>19</v>
      </c>
      <c r="M4178" t="s">
        <v>114</v>
      </c>
      <c r="N4178" s="2">
        <v>46203</v>
      </c>
    </row>
    <row r="4179" spans="1:14" x14ac:dyDescent="0.25">
      <c r="A4179" t="s">
        <v>565</v>
      </c>
      <c r="B4179" s="2">
        <v>46173</v>
      </c>
      <c r="C4179" t="s">
        <v>565</v>
      </c>
      <c r="D4179" t="s">
        <v>112</v>
      </c>
      <c r="E4179" t="s">
        <v>9</v>
      </c>
      <c r="F4179" s="3">
        <v>-1350</v>
      </c>
      <c r="G4179" s="3">
        <v>-1350</v>
      </c>
      <c r="H4179" t="s">
        <v>3</v>
      </c>
      <c r="I4179" t="s">
        <v>3</v>
      </c>
      <c r="J4179" t="s">
        <v>313</v>
      </c>
      <c r="K4179" t="s">
        <v>13</v>
      </c>
      <c r="L4179" t="s">
        <v>19</v>
      </c>
      <c r="M4179" t="s">
        <v>114</v>
      </c>
      <c r="N4179" s="2">
        <v>46174</v>
      </c>
    </row>
    <row r="4180" spans="1:14" x14ac:dyDescent="0.25">
      <c r="A4180" t="s">
        <v>565</v>
      </c>
      <c r="B4180" s="2">
        <v>46173</v>
      </c>
      <c r="C4180" t="s">
        <v>565</v>
      </c>
      <c r="D4180" t="s">
        <v>112</v>
      </c>
      <c r="E4180" t="s">
        <v>9</v>
      </c>
      <c r="F4180" s="3">
        <v>-4650</v>
      </c>
      <c r="G4180" s="3">
        <v>-4650</v>
      </c>
      <c r="H4180" t="s">
        <v>3</v>
      </c>
      <c r="I4180" t="s">
        <v>3</v>
      </c>
      <c r="J4180" t="s">
        <v>427</v>
      </c>
      <c r="K4180" t="s">
        <v>13</v>
      </c>
      <c r="L4180" t="s">
        <v>19</v>
      </c>
      <c r="M4180" t="s">
        <v>114</v>
      </c>
      <c r="N4180" s="2">
        <v>46174</v>
      </c>
    </row>
    <row r="4181" spans="1:14" x14ac:dyDescent="0.25">
      <c r="A4181" t="s">
        <v>565</v>
      </c>
      <c r="B4181" s="2">
        <v>46203</v>
      </c>
      <c r="C4181" t="s">
        <v>565</v>
      </c>
      <c r="D4181" t="s">
        <v>112</v>
      </c>
      <c r="E4181" t="s">
        <v>9</v>
      </c>
      <c r="F4181" s="3">
        <v>1350</v>
      </c>
      <c r="G4181" s="3">
        <v>1350</v>
      </c>
      <c r="H4181" t="s">
        <v>3</v>
      </c>
      <c r="I4181" t="s">
        <v>3</v>
      </c>
      <c r="J4181" t="s">
        <v>316</v>
      </c>
      <c r="K4181" t="s">
        <v>13</v>
      </c>
      <c r="L4181" t="s">
        <v>19</v>
      </c>
      <c r="M4181" t="s">
        <v>114</v>
      </c>
      <c r="N4181" s="2">
        <v>46203</v>
      </c>
    </row>
    <row r="4182" spans="1:14" x14ac:dyDescent="0.25">
      <c r="A4182" t="s">
        <v>565</v>
      </c>
      <c r="B4182" s="2">
        <v>46203</v>
      </c>
      <c r="C4182" t="s">
        <v>565</v>
      </c>
      <c r="D4182" t="s">
        <v>112</v>
      </c>
      <c r="E4182" t="s">
        <v>9</v>
      </c>
      <c r="F4182" s="3">
        <v>4789.5</v>
      </c>
      <c r="G4182" s="3">
        <v>4789.5</v>
      </c>
      <c r="H4182" t="s">
        <v>3</v>
      </c>
      <c r="I4182" t="s">
        <v>3</v>
      </c>
      <c r="J4182" t="s">
        <v>428</v>
      </c>
      <c r="K4182" t="s">
        <v>13</v>
      </c>
      <c r="L4182" t="s">
        <v>19</v>
      </c>
      <c r="M4182" t="s">
        <v>114</v>
      </c>
      <c r="N4182" s="2">
        <v>46203</v>
      </c>
    </row>
    <row r="4183" spans="1:14" x14ac:dyDescent="0.25">
      <c r="A4183" s="4" t="s">
        <v>224</v>
      </c>
      <c r="B4183" s="5"/>
      <c r="C4183" s="4" t="s">
        <v>9</v>
      </c>
      <c r="D4183" s="4" t="s">
        <v>9</v>
      </c>
      <c r="E4183" s="4" t="s">
        <v>9</v>
      </c>
      <c r="F4183" s="6">
        <v>0</v>
      </c>
      <c r="G4183" s="6">
        <v>0</v>
      </c>
      <c r="H4183" s="4" t="s">
        <v>9</v>
      </c>
      <c r="I4183" s="4" t="s">
        <v>3</v>
      </c>
      <c r="J4183" s="4" t="s">
        <v>9</v>
      </c>
      <c r="K4183" s="4" t="s">
        <v>9</v>
      </c>
      <c r="L4183" s="4" t="s">
        <v>9</v>
      </c>
      <c r="M4183" s="4" t="s">
        <v>9</v>
      </c>
      <c r="N4183" s="5"/>
    </row>
    <row r="4184" spans="1:14" x14ac:dyDescent="0.25">
      <c r="A4184" t="s">
        <v>565</v>
      </c>
      <c r="B4184" s="2">
        <v>46203</v>
      </c>
      <c r="C4184" t="s">
        <v>565</v>
      </c>
      <c r="D4184" t="s">
        <v>112</v>
      </c>
      <c r="E4184" t="s">
        <v>9</v>
      </c>
      <c r="F4184" s="3">
        <v>-1350</v>
      </c>
      <c r="G4184" s="3">
        <v>-1350</v>
      </c>
      <c r="H4184" t="s">
        <v>3</v>
      </c>
      <c r="I4184" t="s">
        <v>3</v>
      </c>
      <c r="J4184" t="s">
        <v>316</v>
      </c>
      <c r="K4184" t="s">
        <v>13</v>
      </c>
      <c r="L4184" t="s">
        <v>21</v>
      </c>
      <c r="M4184" t="s">
        <v>114</v>
      </c>
      <c r="N4184" s="2">
        <v>46204</v>
      </c>
    </row>
    <row r="4185" spans="1:14" x14ac:dyDescent="0.25">
      <c r="A4185" t="s">
        <v>565</v>
      </c>
      <c r="B4185" s="2">
        <v>46203</v>
      </c>
      <c r="C4185" t="s">
        <v>565</v>
      </c>
      <c r="D4185" t="s">
        <v>112</v>
      </c>
      <c r="E4185" t="s">
        <v>9</v>
      </c>
      <c r="F4185" s="3">
        <v>-4789.5</v>
      </c>
      <c r="G4185" s="3">
        <v>-4789.5</v>
      </c>
      <c r="H4185" t="s">
        <v>3</v>
      </c>
      <c r="I4185" t="s">
        <v>3</v>
      </c>
      <c r="J4185" t="s">
        <v>428</v>
      </c>
      <c r="K4185" t="s">
        <v>13</v>
      </c>
      <c r="L4185" t="s">
        <v>21</v>
      </c>
      <c r="M4185" t="s">
        <v>114</v>
      </c>
      <c r="N4185" s="2">
        <v>46204</v>
      </c>
    </row>
    <row r="4186" spans="1:14" x14ac:dyDescent="0.25">
      <c r="A4186" t="s">
        <v>565</v>
      </c>
      <c r="B4186" s="2">
        <v>46234</v>
      </c>
      <c r="C4186" t="s">
        <v>565</v>
      </c>
      <c r="D4186" t="s">
        <v>112</v>
      </c>
      <c r="E4186" t="s">
        <v>9</v>
      </c>
      <c r="F4186" s="3">
        <v>1350</v>
      </c>
      <c r="G4186" s="3">
        <v>1350</v>
      </c>
      <c r="H4186" t="s">
        <v>3</v>
      </c>
      <c r="I4186" t="s">
        <v>3</v>
      </c>
      <c r="J4186" t="s">
        <v>319</v>
      </c>
      <c r="K4186" t="s">
        <v>13</v>
      </c>
      <c r="L4186" t="s">
        <v>21</v>
      </c>
      <c r="M4186" t="s">
        <v>114</v>
      </c>
      <c r="N4186" s="2">
        <v>46234</v>
      </c>
    </row>
    <row r="4187" spans="1:14" x14ac:dyDescent="0.25">
      <c r="A4187" t="s">
        <v>565</v>
      </c>
      <c r="B4187" s="2">
        <v>46234</v>
      </c>
      <c r="C4187" t="s">
        <v>565</v>
      </c>
      <c r="D4187" t="s">
        <v>112</v>
      </c>
      <c r="E4187" t="s">
        <v>9</v>
      </c>
      <c r="F4187" s="3">
        <v>4789.5</v>
      </c>
      <c r="G4187" s="3">
        <v>4789.5</v>
      </c>
      <c r="H4187" t="s">
        <v>3</v>
      </c>
      <c r="I4187" t="s">
        <v>3</v>
      </c>
      <c r="J4187" t="s">
        <v>429</v>
      </c>
      <c r="K4187" t="s">
        <v>13</v>
      </c>
      <c r="L4187" t="s">
        <v>21</v>
      </c>
      <c r="M4187" t="s">
        <v>114</v>
      </c>
      <c r="N4187" s="2">
        <v>46234</v>
      </c>
    </row>
    <row r="4188" spans="1:14" x14ac:dyDescent="0.25">
      <c r="A4188" s="4" t="s">
        <v>262</v>
      </c>
      <c r="B4188" s="5"/>
      <c r="C4188" s="4" t="s">
        <v>9</v>
      </c>
      <c r="D4188" s="4" t="s">
        <v>9</v>
      </c>
      <c r="E4188" s="4" t="s">
        <v>9</v>
      </c>
      <c r="F4188" s="6">
        <v>0</v>
      </c>
      <c r="G4188" s="6">
        <v>0</v>
      </c>
      <c r="H4188" s="4" t="s">
        <v>9</v>
      </c>
      <c r="I4188" s="4" t="s">
        <v>3</v>
      </c>
      <c r="J4188" s="4" t="s">
        <v>9</v>
      </c>
      <c r="K4188" s="4" t="s">
        <v>9</v>
      </c>
      <c r="L4188" s="4" t="s">
        <v>9</v>
      </c>
      <c r="M4188" s="4" t="s">
        <v>9</v>
      </c>
      <c r="N4188" s="5"/>
    </row>
    <row r="4189" spans="1:14" x14ac:dyDescent="0.25">
      <c r="A4189" t="s">
        <v>565</v>
      </c>
      <c r="B4189" s="2">
        <v>46267</v>
      </c>
      <c r="C4189" t="s">
        <v>565</v>
      </c>
      <c r="D4189" t="s">
        <v>112</v>
      </c>
      <c r="E4189" t="s">
        <v>9</v>
      </c>
      <c r="F4189" s="3">
        <v>-558</v>
      </c>
      <c r="G4189" s="3">
        <v>-558</v>
      </c>
      <c r="H4189" t="s">
        <v>3</v>
      </c>
      <c r="I4189" t="s">
        <v>3</v>
      </c>
      <c r="J4189" t="s">
        <v>9</v>
      </c>
      <c r="K4189" t="s">
        <v>9</v>
      </c>
      <c r="L4189" t="s">
        <v>22</v>
      </c>
      <c r="M4189" t="s">
        <v>114</v>
      </c>
      <c r="N4189" s="2">
        <v>46265</v>
      </c>
    </row>
    <row r="4190" spans="1:14" x14ac:dyDescent="0.25">
      <c r="A4190" t="s">
        <v>565</v>
      </c>
      <c r="B4190" s="2">
        <v>46234</v>
      </c>
      <c r="C4190" t="s">
        <v>565</v>
      </c>
      <c r="D4190" t="s">
        <v>112</v>
      </c>
      <c r="E4190" t="s">
        <v>9</v>
      </c>
      <c r="F4190" s="3">
        <v>-1350</v>
      </c>
      <c r="G4190" s="3">
        <v>-1350</v>
      </c>
      <c r="H4190" t="s">
        <v>3</v>
      </c>
      <c r="I4190" t="s">
        <v>3</v>
      </c>
      <c r="J4190" t="s">
        <v>319</v>
      </c>
      <c r="K4190" t="s">
        <v>13</v>
      </c>
      <c r="L4190" t="s">
        <v>22</v>
      </c>
      <c r="M4190" t="s">
        <v>114</v>
      </c>
      <c r="N4190" s="2">
        <v>46235</v>
      </c>
    </row>
    <row r="4191" spans="1:14" x14ac:dyDescent="0.25">
      <c r="A4191" t="s">
        <v>565</v>
      </c>
      <c r="B4191" s="2">
        <v>46234</v>
      </c>
      <c r="C4191" t="s">
        <v>565</v>
      </c>
      <c r="D4191" t="s">
        <v>112</v>
      </c>
      <c r="E4191" t="s">
        <v>9</v>
      </c>
      <c r="F4191" s="3">
        <v>-4789.5</v>
      </c>
      <c r="G4191" s="3">
        <v>-4789.5</v>
      </c>
      <c r="H4191" t="s">
        <v>3</v>
      </c>
      <c r="I4191" t="s">
        <v>3</v>
      </c>
      <c r="J4191" t="s">
        <v>429</v>
      </c>
      <c r="K4191" t="s">
        <v>13</v>
      </c>
      <c r="L4191" t="s">
        <v>22</v>
      </c>
      <c r="M4191" t="s">
        <v>114</v>
      </c>
      <c r="N4191" s="2">
        <v>46235</v>
      </c>
    </row>
    <row r="4192" spans="1:14" x14ac:dyDescent="0.25">
      <c r="A4192" t="s">
        <v>565</v>
      </c>
      <c r="B4192" s="2">
        <v>46265</v>
      </c>
      <c r="C4192" t="s">
        <v>565</v>
      </c>
      <c r="D4192" t="s">
        <v>112</v>
      </c>
      <c r="E4192" t="s">
        <v>9</v>
      </c>
      <c r="F4192" s="3">
        <v>1908</v>
      </c>
      <c r="G4192" s="3">
        <v>1908</v>
      </c>
      <c r="H4192" t="s">
        <v>3</v>
      </c>
      <c r="I4192" t="s">
        <v>3</v>
      </c>
      <c r="J4192" t="s">
        <v>322</v>
      </c>
      <c r="K4192" t="s">
        <v>13</v>
      </c>
      <c r="L4192" t="s">
        <v>22</v>
      </c>
      <c r="M4192" t="s">
        <v>114</v>
      </c>
      <c r="N4192" s="2">
        <v>46265</v>
      </c>
    </row>
    <row r="4193" spans="1:14" x14ac:dyDescent="0.25">
      <c r="A4193" t="s">
        <v>565</v>
      </c>
      <c r="B4193" s="2">
        <v>46265</v>
      </c>
      <c r="C4193" t="s">
        <v>565</v>
      </c>
      <c r="D4193" t="s">
        <v>112</v>
      </c>
      <c r="E4193" t="s">
        <v>9</v>
      </c>
      <c r="F4193" s="3">
        <v>4789.5</v>
      </c>
      <c r="G4193" s="3">
        <v>4789.5</v>
      </c>
      <c r="H4193" t="s">
        <v>3</v>
      </c>
      <c r="I4193" t="s">
        <v>3</v>
      </c>
      <c r="J4193" t="s">
        <v>431</v>
      </c>
      <c r="K4193" t="s">
        <v>13</v>
      </c>
      <c r="L4193" t="s">
        <v>22</v>
      </c>
      <c r="M4193" t="s">
        <v>114</v>
      </c>
      <c r="N4193" s="2">
        <v>46265</v>
      </c>
    </row>
    <row r="4194" spans="1:14" x14ac:dyDescent="0.25">
      <c r="A4194" s="4" t="s">
        <v>267</v>
      </c>
      <c r="B4194" s="5"/>
      <c r="C4194" s="4" t="s">
        <v>9</v>
      </c>
      <c r="D4194" s="4" t="s">
        <v>9</v>
      </c>
      <c r="E4194" s="4" t="s">
        <v>9</v>
      </c>
      <c r="F4194" s="6">
        <v>0</v>
      </c>
      <c r="G4194" s="6">
        <v>0</v>
      </c>
      <c r="H4194" s="4" t="s">
        <v>9</v>
      </c>
      <c r="I4194" s="4" t="s">
        <v>3</v>
      </c>
      <c r="J4194" s="4" t="s">
        <v>9</v>
      </c>
      <c r="K4194" s="4" t="s">
        <v>9</v>
      </c>
      <c r="L4194" s="4" t="s">
        <v>9</v>
      </c>
      <c r="M4194" s="4" t="s">
        <v>9</v>
      </c>
      <c r="N4194" s="5"/>
    </row>
    <row r="4195" spans="1:14" x14ac:dyDescent="0.25">
      <c r="A4195" t="s">
        <v>565</v>
      </c>
      <c r="B4195" s="2">
        <v>45932</v>
      </c>
      <c r="C4195" t="s">
        <v>565</v>
      </c>
      <c r="D4195" t="s">
        <v>112</v>
      </c>
      <c r="E4195" t="s">
        <v>9</v>
      </c>
      <c r="F4195" s="3">
        <v>-1200</v>
      </c>
      <c r="G4195" s="3">
        <v>-1200</v>
      </c>
      <c r="H4195" t="s">
        <v>3</v>
      </c>
      <c r="I4195" t="s">
        <v>3</v>
      </c>
      <c r="J4195" t="s">
        <v>9</v>
      </c>
      <c r="K4195" t="s">
        <v>9</v>
      </c>
      <c r="L4195" t="s">
        <v>6</v>
      </c>
      <c r="M4195" t="s">
        <v>114</v>
      </c>
      <c r="N4195" s="2">
        <v>45930</v>
      </c>
    </row>
    <row r="4196" spans="1:14" x14ac:dyDescent="0.25">
      <c r="A4196" t="s">
        <v>565</v>
      </c>
      <c r="B4196" s="2">
        <v>45930</v>
      </c>
      <c r="C4196" t="s">
        <v>565</v>
      </c>
      <c r="D4196" t="s">
        <v>112</v>
      </c>
      <c r="E4196" t="s">
        <v>9</v>
      </c>
      <c r="F4196" s="3">
        <v>1200</v>
      </c>
      <c r="G4196" s="3">
        <v>1200</v>
      </c>
      <c r="H4196" t="s">
        <v>3</v>
      </c>
      <c r="I4196" t="s">
        <v>3</v>
      </c>
      <c r="J4196" t="s">
        <v>323</v>
      </c>
      <c r="K4196" t="s">
        <v>5</v>
      </c>
      <c r="L4196" t="s">
        <v>6</v>
      </c>
      <c r="M4196" t="s">
        <v>114</v>
      </c>
      <c r="N4196" s="2">
        <v>45930</v>
      </c>
    </row>
    <row r="4197" spans="1:14" x14ac:dyDescent="0.25">
      <c r="A4197" s="4" t="s">
        <v>272</v>
      </c>
      <c r="B4197" s="5"/>
      <c r="C4197" s="4" t="s">
        <v>9</v>
      </c>
      <c r="D4197" s="4" t="s">
        <v>9</v>
      </c>
      <c r="E4197" s="4" t="s">
        <v>9</v>
      </c>
      <c r="F4197" s="6">
        <v>0</v>
      </c>
      <c r="G4197" s="6">
        <v>0</v>
      </c>
      <c r="H4197" s="4" t="s">
        <v>9</v>
      </c>
      <c r="I4197" s="4" t="s">
        <v>3</v>
      </c>
      <c r="J4197" s="4" t="s">
        <v>9</v>
      </c>
      <c r="K4197" s="4" t="s">
        <v>9</v>
      </c>
      <c r="L4197" s="4" t="s">
        <v>9</v>
      </c>
      <c r="M4197" s="4" t="s">
        <v>9</v>
      </c>
      <c r="N4197" s="5"/>
    </row>
    <row r="4198" spans="1:14" x14ac:dyDescent="0.25">
      <c r="A4198" t="s">
        <v>565</v>
      </c>
      <c r="B4198" s="2">
        <v>45965</v>
      </c>
      <c r="C4198" t="s">
        <v>565</v>
      </c>
      <c r="D4198" t="s">
        <v>112</v>
      </c>
      <c r="E4198" t="s">
        <v>9</v>
      </c>
      <c r="F4198" s="3">
        <v>-2600</v>
      </c>
      <c r="G4198" s="3">
        <v>-2600</v>
      </c>
      <c r="H4198" t="s">
        <v>3</v>
      </c>
      <c r="I4198" t="s">
        <v>3</v>
      </c>
      <c r="J4198" t="s">
        <v>9</v>
      </c>
      <c r="K4198" t="s">
        <v>9</v>
      </c>
      <c r="L4198" t="s">
        <v>8</v>
      </c>
      <c r="M4198" t="s">
        <v>114</v>
      </c>
      <c r="N4198" s="2">
        <v>45961</v>
      </c>
    </row>
    <row r="4199" spans="1:14" x14ac:dyDescent="0.25">
      <c r="A4199" t="s">
        <v>565</v>
      </c>
      <c r="B4199" s="2">
        <v>45930</v>
      </c>
      <c r="C4199" t="s">
        <v>565</v>
      </c>
      <c r="D4199" t="s">
        <v>112</v>
      </c>
      <c r="E4199" t="s">
        <v>9</v>
      </c>
      <c r="F4199" s="3">
        <v>-1200</v>
      </c>
      <c r="G4199" s="3">
        <v>-1200</v>
      </c>
      <c r="H4199" t="s">
        <v>3</v>
      </c>
      <c r="I4199" t="s">
        <v>3</v>
      </c>
      <c r="J4199" t="s">
        <v>323</v>
      </c>
      <c r="K4199" t="s">
        <v>5</v>
      </c>
      <c r="L4199" t="s">
        <v>8</v>
      </c>
      <c r="M4199" t="s">
        <v>114</v>
      </c>
      <c r="N4199" s="2">
        <v>45931</v>
      </c>
    </row>
    <row r="4200" spans="1:14" x14ac:dyDescent="0.25">
      <c r="A4200" t="s">
        <v>565</v>
      </c>
      <c r="B4200" s="2">
        <v>45961</v>
      </c>
      <c r="C4200" t="s">
        <v>565</v>
      </c>
      <c r="D4200" t="s">
        <v>112</v>
      </c>
      <c r="E4200" t="s">
        <v>9</v>
      </c>
      <c r="F4200" s="3">
        <v>3800</v>
      </c>
      <c r="G4200" s="3">
        <v>3800</v>
      </c>
      <c r="H4200" t="s">
        <v>3</v>
      </c>
      <c r="I4200" t="s">
        <v>3</v>
      </c>
      <c r="J4200" t="s">
        <v>325</v>
      </c>
      <c r="K4200" t="s">
        <v>5</v>
      </c>
      <c r="L4200" t="s">
        <v>8</v>
      </c>
      <c r="M4200" t="s">
        <v>114</v>
      </c>
      <c r="N4200" s="2">
        <v>45961</v>
      </c>
    </row>
    <row r="4201" spans="1:14" x14ac:dyDescent="0.25">
      <c r="A4201" s="4" t="s">
        <v>278</v>
      </c>
      <c r="B4201" s="5"/>
      <c r="C4201" s="4" t="s">
        <v>9</v>
      </c>
      <c r="D4201" s="4" t="s">
        <v>9</v>
      </c>
      <c r="E4201" s="4" t="s">
        <v>9</v>
      </c>
      <c r="F4201" s="6">
        <v>0</v>
      </c>
      <c r="G4201" s="6">
        <v>0</v>
      </c>
      <c r="H4201" s="4" t="s">
        <v>9</v>
      </c>
      <c r="I4201" s="4" t="s">
        <v>3</v>
      </c>
      <c r="J4201" s="4" t="s">
        <v>9</v>
      </c>
      <c r="K4201" s="4" t="s">
        <v>9</v>
      </c>
      <c r="L4201" s="4" t="s">
        <v>9</v>
      </c>
      <c r="M4201" s="4" t="s">
        <v>9</v>
      </c>
      <c r="N4201" s="5"/>
    </row>
    <row r="4202" spans="1:14" x14ac:dyDescent="0.25">
      <c r="A4202" t="s">
        <v>565</v>
      </c>
      <c r="B4202" s="2">
        <v>45961</v>
      </c>
      <c r="C4202" t="s">
        <v>565</v>
      </c>
      <c r="D4202" t="s">
        <v>112</v>
      </c>
      <c r="E4202" t="s">
        <v>9</v>
      </c>
      <c r="F4202" s="3">
        <v>-3800</v>
      </c>
      <c r="G4202" s="3">
        <v>-3800</v>
      </c>
      <c r="H4202" t="s">
        <v>3</v>
      </c>
      <c r="I4202" t="s">
        <v>3</v>
      </c>
      <c r="J4202" t="s">
        <v>325</v>
      </c>
      <c r="K4202" t="s">
        <v>5</v>
      </c>
      <c r="L4202" t="s">
        <v>11</v>
      </c>
      <c r="M4202" t="s">
        <v>114</v>
      </c>
      <c r="N4202" s="2">
        <v>45962</v>
      </c>
    </row>
    <row r="4203" spans="1:14" x14ac:dyDescent="0.25">
      <c r="A4203" t="s">
        <v>565</v>
      </c>
      <c r="B4203" s="2">
        <v>45991</v>
      </c>
      <c r="C4203" t="s">
        <v>565</v>
      </c>
      <c r="D4203" t="s">
        <v>112</v>
      </c>
      <c r="E4203" t="s">
        <v>9</v>
      </c>
      <c r="F4203" s="3">
        <v>3800</v>
      </c>
      <c r="G4203" s="3">
        <v>3800</v>
      </c>
      <c r="H4203" t="s">
        <v>3</v>
      </c>
      <c r="I4203" t="s">
        <v>3</v>
      </c>
      <c r="J4203" t="s">
        <v>328</v>
      </c>
      <c r="K4203" t="s">
        <v>5</v>
      </c>
      <c r="L4203" t="s">
        <v>11</v>
      </c>
      <c r="M4203" t="s">
        <v>114</v>
      </c>
      <c r="N4203" s="2">
        <v>45991</v>
      </c>
    </row>
    <row r="4204" spans="1:14" x14ac:dyDescent="0.25">
      <c r="A4204" s="4" t="s">
        <v>226</v>
      </c>
      <c r="B4204" s="5"/>
      <c r="C4204" s="4" t="s">
        <v>9</v>
      </c>
      <c r="D4204" s="4" t="s">
        <v>9</v>
      </c>
      <c r="E4204" s="4" t="s">
        <v>9</v>
      </c>
      <c r="F4204" s="6">
        <v>0</v>
      </c>
      <c r="G4204" s="6">
        <v>0</v>
      </c>
      <c r="H4204" s="4" t="s">
        <v>9</v>
      </c>
      <c r="I4204" s="4" t="s">
        <v>3</v>
      </c>
      <c r="J4204" s="4" t="s">
        <v>9</v>
      </c>
      <c r="K4204" s="4" t="s">
        <v>9</v>
      </c>
      <c r="L4204" s="4" t="s">
        <v>9</v>
      </c>
      <c r="M4204" s="4" t="s">
        <v>9</v>
      </c>
      <c r="N4204" s="5"/>
    </row>
    <row r="4205" spans="1:14" x14ac:dyDescent="0.25">
      <c r="A4205" t="s">
        <v>565</v>
      </c>
      <c r="B4205" s="2">
        <v>46028</v>
      </c>
      <c r="C4205" t="s">
        <v>565</v>
      </c>
      <c r="D4205" t="s">
        <v>112</v>
      </c>
      <c r="E4205" t="s">
        <v>9</v>
      </c>
      <c r="F4205" s="3">
        <v>-600</v>
      </c>
      <c r="G4205" s="3">
        <v>-600</v>
      </c>
      <c r="H4205" t="s">
        <v>3</v>
      </c>
      <c r="I4205" t="s">
        <v>3</v>
      </c>
      <c r="J4205" t="s">
        <v>9</v>
      </c>
      <c r="K4205" t="s">
        <v>9</v>
      </c>
      <c r="L4205" t="s">
        <v>12</v>
      </c>
      <c r="M4205" t="s">
        <v>114</v>
      </c>
      <c r="N4205" s="2">
        <v>46022</v>
      </c>
    </row>
    <row r="4206" spans="1:14" x14ac:dyDescent="0.25">
      <c r="A4206" t="s">
        <v>565</v>
      </c>
      <c r="B4206" s="2">
        <v>45991</v>
      </c>
      <c r="C4206" t="s">
        <v>565</v>
      </c>
      <c r="D4206" t="s">
        <v>112</v>
      </c>
      <c r="E4206" t="s">
        <v>9</v>
      </c>
      <c r="F4206" s="3">
        <v>-3800</v>
      </c>
      <c r="G4206" s="3">
        <v>-3800</v>
      </c>
      <c r="H4206" t="s">
        <v>3</v>
      </c>
      <c r="I4206" t="s">
        <v>3</v>
      </c>
      <c r="J4206" t="s">
        <v>328</v>
      </c>
      <c r="K4206" t="s">
        <v>5</v>
      </c>
      <c r="L4206" t="s">
        <v>12</v>
      </c>
      <c r="M4206" t="s">
        <v>114</v>
      </c>
      <c r="N4206" s="2">
        <v>45992</v>
      </c>
    </row>
    <row r="4207" spans="1:14" x14ac:dyDescent="0.25">
      <c r="A4207" t="s">
        <v>565</v>
      </c>
      <c r="B4207" s="2">
        <v>46022</v>
      </c>
      <c r="C4207" t="s">
        <v>565</v>
      </c>
      <c r="D4207" t="s">
        <v>112</v>
      </c>
      <c r="E4207" t="s">
        <v>9</v>
      </c>
      <c r="F4207" s="3">
        <v>4400</v>
      </c>
      <c r="G4207" s="3">
        <v>4400</v>
      </c>
      <c r="H4207" t="s">
        <v>3</v>
      </c>
      <c r="I4207" t="s">
        <v>3</v>
      </c>
      <c r="J4207" t="s">
        <v>298</v>
      </c>
      <c r="K4207" t="s">
        <v>5</v>
      </c>
      <c r="L4207" t="s">
        <v>12</v>
      </c>
      <c r="M4207" t="s">
        <v>114</v>
      </c>
      <c r="N4207" s="2">
        <v>46022</v>
      </c>
    </row>
    <row r="4208" spans="1:14" x14ac:dyDescent="0.25">
      <c r="A4208" t="s">
        <v>565</v>
      </c>
      <c r="B4208" s="2">
        <v>46022</v>
      </c>
      <c r="C4208" t="s">
        <v>565</v>
      </c>
      <c r="D4208" t="s">
        <v>112</v>
      </c>
      <c r="E4208" t="s">
        <v>9</v>
      </c>
      <c r="F4208" s="3">
        <v>4400</v>
      </c>
      <c r="G4208" s="3">
        <v>4400</v>
      </c>
      <c r="H4208" t="s">
        <v>3</v>
      </c>
      <c r="I4208" t="s">
        <v>3</v>
      </c>
      <c r="J4208" t="s">
        <v>298</v>
      </c>
      <c r="K4208" t="s">
        <v>5</v>
      </c>
      <c r="L4208" t="s">
        <v>12</v>
      </c>
      <c r="M4208" t="s">
        <v>114</v>
      </c>
      <c r="N4208" s="2">
        <v>46022</v>
      </c>
    </row>
    <row r="4209" spans="1:14" x14ac:dyDescent="0.25">
      <c r="A4209" t="s">
        <v>565</v>
      </c>
      <c r="B4209" s="2">
        <v>46022</v>
      </c>
      <c r="C4209" t="s">
        <v>565</v>
      </c>
      <c r="D4209" t="s">
        <v>112</v>
      </c>
      <c r="E4209" t="s">
        <v>9</v>
      </c>
      <c r="F4209" s="3">
        <v>-4400</v>
      </c>
      <c r="G4209" s="3">
        <v>-4400</v>
      </c>
      <c r="H4209" t="s">
        <v>3</v>
      </c>
      <c r="I4209" t="s">
        <v>3</v>
      </c>
      <c r="J4209" t="s">
        <v>298</v>
      </c>
      <c r="K4209" t="s">
        <v>5</v>
      </c>
      <c r="L4209" t="s">
        <v>12</v>
      </c>
      <c r="M4209" t="s">
        <v>114</v>
      </c>
      <c r="N4209" s="2">
        <v>46022</v>
      </c>
    </row>
    <row r="4210" spans="1:14" x14ac:dyDescent="0.25">
      <c r="A4210" s="4" t="s">
        <v>228</v>
      </c>
      <c r="B4210" s="5"/>
      <c r="C4210" s="4" t="s">
        <v>9</v>
      </c>
      <c r="D4210" s="4" t="s">
        <v>9</v>
      </c>
      <c r="E4210" s="4" t="s">
        <v>9</v>
      </c>
      <c r="F4210" s="6">
        <v>0</v>
      </c>
      <c r="G4210" s="6">
        <v>0</v>
      </c>
      <c r="H4210" s="4" t="s">
        <v>9</v>
      </c>
      <c r="I4210" s="4" t="s">
        <v>3</v>
      </c>
      <c r="J4210" s="4" t="s">
        <v>9</v>
      </c>
      <c r="K4210" s="4" t="s">
        <v>9</v>
      </c>
      <c r="L4210" s="4" t="s">
        <v>9</v>
      </c>
      <c r="M4210" s="4" t="s">
        <v>9</v>
      </c>
      <c r="N4210" s="5"/>
    </row>
    <row r="4211" spans="1:14" x14ac:dyDescent="0.25">
      <c r="A4211" s="4" t="s">
        <v>565</v>
      </c>
      <c r="B4211" s="5"/>
      <c r="C4211" s="4" t="s">
        <v>9</v>
      </c>
      <c r="D4211" s="4" t="s">
        <v>9</v>
      </c>
      <c r="E4211" s="4" t="s">
        <v>9</v>
      </c>
      <c r="F4211" s="6">
        <v>0</v>
      </c>
      <c r="G4211" s="6">
        <v>0</v>
      </c>
      <c r="H4211" s="4" t="s">
        <v>9</v>
      </c>
      <c r="I4211" s="4" t="s">
        <v>3</v>
      </c>
      <c r="J4211" s="4" t="s">
        <v>9</v>
      </c>
      <c r="K4211" s="4" t="s">
        <v>9</v>
      </c>
      <c r="L4211" s="4" t="s">
        <v>9</v>
      </c>
      <c r="M4211" s="4" t="s">
        <v>9</v>
      </c>
      <c r="N4211" s="5"/>
    </row>
    <row r="4212" spans="1:14" x14ac:dyDescent="0.25">
      <c r="A4212" t="s">
        <v>566</v>
      </c>
      <c r="B4212" s="2">
        <v>45993</v>
      </c>
      <c r="C4212" t="s">
        <v>566</v>
      </c>
      <c r="D4212" t="s">
        <v>99</v>
      </c>
      <c r="E4212" t="s">
        <v>9</v>
      </c>
      <c r="F4212" s="3">
        <v>-910.25</v>
      </c>
      <c r="G4212" s="3">
        <v>-910.25</v>
      </c>
      <c r="H4212" t="s">
        <v>3</v>
      </c>
      <c r="I4212" t="s">
        <v>3</v>
      </c>
      <c r="J4212" t="s">
        <v>9</v>
      </c>
      <c r="K4212" t="s">
        <v>9</v>
      </c>
      <c r="L4212" t="s">
        <v>11</v>
      </c>
      <c r="M4212" t="s">
        <v>102</v>
      </c>
      <c r="N4212" s="2">
        <v>45991</v>
      </c>
    </row>
    <row r="4213" spans="1:14" x14ac:dyDescent="0.25">
      <c r="A4213" t="s">
        <v>566</v>
      </c>
      <c r="B4213" s="2">
        <v>45992</v>
      </c>
      <c r="C4213" t="s">
        <v>566</v>
      </c>
      <c r="D4213" t="s">
        <v>99</v>
      </c>
      <c r="E4213" t="s">
        <v>567</v>
      </c>
      <c r="F4213" s="3">
        <v>910.25</v>
      </c>
      <c r="G4213" s="3">
        <v>910.25</v>
      </c>
      <c r="H4213" t="s">
        <v>3</v>
      </c>
      <c r="I4213" t="s">
        <v>3</v>
      </c>
      <c r="J4213" t="s">
        <v>568</v>
      </c>
      <c r="K4213" t="s">
        <v>5</v>
      </c>
      <c r="L4213" t="s">
        <v>11</v>
      </c>
      <c r="M4213" t="s">
        <v>102</v>
      </c>
      <c r="N4213" s="2">
        <v>45991</v>
      </c>
    </row>
    <row r="4214" spans="1:14" x14ac:dyDescent="0.25">
      <c r="A4214" s="4" t="s">
        <v>226</v>
      </c>
      <c r="B4214" s="5"/>
      <c r="C4214" s="4" t="s">
        <v>9</v>
      </c>
      <c r="D4214" s="4" t="s">
        <v>9</v>
      </c>
      <c r="E4214" s="4" t="s">
        <v>9</v>
      </c>
      <c r="F4214" s="6">
        <v>0</v>
      </c>
      <c r="G4214" s="6">
        <v>0</v>
      </c>
      <c r="H4214" s="4" t="s">
        <v>9</v>
      </c>
      <c r="I4214" s="4" t="s">
        <v>3</v>
      </c>
      <c r="J4214" s="4" t="s">
        <v>9</v>
      </c>
      <c r="K4214" s="4" t="s">
        <v>9</v>
      </c>
      <c r="L4214" s="4" t="s">
        <v>9</v>
      </c>
      <c r="M4214" s="4" t="s">
        <v>9</v>
      </c>
      <c r="N4214" s="5"/>
    </row>
    <row r="4215" spans="1:14" x14ac:dyDescent="0.25">
      <c r="A4215" t="s">
        <v>566</v>
      </c>
      <c r="B4215" s="2">
        <v>46028</v>
      </c>
      <c r="C4215" t="s">
        <v>566</v>
      </c>
      <c r="D4215" t="s">
        <v>99</v>
      </c>
      <c r="E4215" t="s">
        <v>9</v>
      </c>
      <c r="F4215" s="3">
        <v>-14456.25</v>
      </c>
      <c r="G4215" s="3">
        <v>-14456.25</v>
      </c>
      <c r="H4215" t="s">
        <v>3</v>
      </c>
      <c r="I4215" t="s">
        <v>3</v>
      </c>
      <c r="J4215" t="s">
        <v>9</v>
      </c>
      <c r="K4215" t="s">
        <v>9</v>
      </c>
      <c r="L4215" t="s">
        <v>12</v>
      </c>
      <c r="M4215" t="s">
        <v>102</v>
      </c>
      <c r="N4215" s="2">
        <v>46022</v>
      </c>
    </row>
    <row r="4216" spans="1:14" x14ac:dyDescent="0.25">
      <c r="A4216" t="s">
        <v>566</v>
      </c>
      <c r="B4216" s="2">
        <v>46008</v>
      </c>
      <c r="C4216" t="s">
        <v>566</v>
      </c>
      <c r="D4216" t="s">
        <v>99</v>
      </c>
      <c r="E4216" t="s">
        <v>567</v>
      </c>
      <c r="F4216" s="3">
        <v>14456.25</v>
      </c>
      <c r="G4216" s="3">
        <v>14456.25</v>
      </c>
      <c r="H4216" t="s">
        <v>3</v>
      </c>
      <c r="I4216" t="s">
        <v>3</v>
      </c>
      <c r="J4216" t="s">
        <v>569</v>
      </c>
      <c r="K4216" t="s">
        <v>5</v>
      </c>
      <c r="L4216" t="s">
        <v>12</v>
      </c>
      <c r="M4216" t="s">
        <v>102</v>
      </c>
      <c r="N4216" s="2">
        <v>46008</v>
      </c>
    </row>
    <row r="4217" spans="1:14" x14ac:dyDescent="0.25">
      <c r="A4217" s="4" t="s">
        <v>228</v>
      </c>
      <c r="B4217" s="5"/>
      <c r="C4217" s="4" t="s">
        <v>9</v>
      </c>
      <c r="D4217" s="4" t="s">
        <v>9</v>
      </c>
      <c r="E4217" s="4" t="s">
        <v>9</v>
      </c>
      <c r="F4217" s="6">
        <v>0</v>
      </c>
      <c r="G4217" s="6">
        <v>0</v>
      </c>
      <c r="H4217" s="4" t="s">
        <v>9</v>
      </c>
      <c r="I4217" s="4" t="s">
        <v>3</v>
      </c>
      <c r="J4217" s="4" t="s">
        <v>9</v>
      </c>
      <c r="K4217" s="4" t="s">
        <v>9</v>
      </c>
      <c r="L4217" s="4" t="s">
        <v>9</v>
      </c>
      <c r="M4217" s="4" t="s">
        <v>9</v>
      </c>
      <c r="N4217" s="5"/>
    </row>
    <row r="4218" spans="1:14" x14ac:dyDescent="0.25">
      <c r="A4218" s="4" t="s">
        <v>566</v>
      </c>
      <c r="B4218" s="5"/>
      <c r="C4218" s="4" t="s">
        <v>9</v>
      </c>
      <c r="D4218" s="4" t="s">
        <v>9</v>
      </c>
      <c r="E4218" s="4" t="s">
        <v>9</v>
      </c>
      <c r="F4218" s="6">
        <v>0</v>
      </c>
      <c r="G4218" s="6">
        <v>0</v>
      </c>
      <c r="H4218" s="4" t="s">
        <v>9</v>
      </c>
      <c r="I4218" s="4" t="s">
        <v>3</v>
      </c>
      <c r="J4218" s="4" t="s">
        <v>9</v>
      </c>
      <c r="K4218" s="4" t="s">
        <v>9</v>
      </c>
      <c r="L4218" s="4" t="s">
        <v>9</v>
      </c>
      <c r="M4218" s="4" t="s">
        <v>9</v>
      </c>
      <c r="N4218" s="5"/>
    </row>
    <row r="4219" spans="1:14" x14ac:dyDescent="0.25">
      <c r="A4219" t="s">
        <v>570</v>
      </c>
      <c r="B4219" s="2">
        <v>46022</v>
      </c>
      <c r="C4219" t="s">
        <v>570</v>
      </c>
      <c r="D4219" t="s">
        <v>112</v>
      </c>
      <c r="E4219" t="s">
        <v>9</v>
      </c>
      <c r="F4219" s="3">
        <v>-43150</v>
      </c>
      <c r="G4219" s="3">
        <v>-43150</v>
      </c>
      <c r="H4219" t="s">
        <v>3</v>
      </c>
      <c r="I4219" t="s">
        <v>3</v>
      </c>
      <c r="J4219" t="s">
        <v>298</v>
      </c>
      <c r="K4219" t="s">
        <v>13</v>
      </c>
      <c r="L4219" t="s">
        <v>14</v>
      </c>
      <c r="M4219" t="s">
        <v>114</v>
      </c>
      <c r="N4219" s="2">
        <v>46023</v>
      </c>
    </row>
    <row r="4220" spans="1:14" x14ac:dyDescent="0.25">
      <c r="A4220" t="s">
        <v>570</v>
      </c>
      <c r="B4220" s="2">
        <v>46023</v>
      </c>
      <c r="C4220" t="s">
        <v>570</v>
      </c>
      <c r="D4220" t="s">
        <v>112</v>
      </c>
      <c r="E4220" t="s">
        <v>9</v>
      </c>
      <c r="F4220" s="3">
        <v>43150</v>
      </c>
      <c r="G4220" s="3">
        <v>43150</v>
      </c>
      <c r="H4220" t="s">
        <v>3</v>
      </c>
      <c r="I4220" t="s">
        <v>3</v>
      </c>
      <c r="J4220" t="s">
        <v>298</v>
      </c>
      <c r="K4220" t="s">
        <v>13</v>
      </c>
      <c r="L4220" t="s">
        <v>14</v>
      </c>
      <c r="M4220" t="s">
        <v>114</v>
      </c>
      <c r="N4220" s="2">
        <v>46023</v>
      </c>
    </row>
    <row r="4221" spans="1:14" x14ac:dyDescent="0.25">
      <c r="A4221" s="4" t="s">
        <v>234</v>
      </c>
      <c r="B4221" s="5"/>
      <c r="C4221" s="4" t="s">
        <v>9</v>
      </c>
      <c r="D4221" s="4" t="s">
        <v>9</v>
      </c>
      <c r="E4221" s="4" t="s">
        <v>9</v>
      </c>
      <c r="F4221" s="6">
        <v>0</v>
      </c>
      <c r="G4221" s="6">
        <v>0</v>
      </c>
      <c r="H4221" s="4" t="s">
        <v>9</v>
      </c>
      <c r="I4221" s="4" t="s">
        <v>3</v>
      </c>
      <c r="J4221" s="4" t="s">
        <v>9</v>
      </c>
      <c r="K4221" s="4" t="s">
        <v>9</v>
      </c>
      <c r="L4221" s="4" t="s">
        <v>9</v>
      </c>
      <c r="M4221" s="4" t="s">
        <v>9</v>
      </c>
      <c r="N4221" s="5"/>
    </row>
    <row r="4222" spans="1:14" x14ac:dyDescent="0.25">
      <c r="A4222" t="s">
        <v>570</v>
      </c>
      <c r="B4222" s="2">
        <v>45965</v>
      </c>
      <c r="C4222" t="s">
        <v>570</v>
      </c>
      <c r="D4222" t="s">
        <v>112</v>
      </c>
      <c r="E4222" t="s">
        <v>9</v>
      </c>
      <c r="F4222" s="3">
        <v>-36100</v>
      </c>
      <c r="G4222" s="3">
        <v>-36100</v>
      </c>
      <c r="H4222" t="s">
        <v>3</v>
      </c>
      <c r="I4222" t="s">
        <v>3</v>
      </c>
      <c r="J4222" t="s">
        <v>9</v>
      </c>
      <c r="K4222" t="s">
        <v>9</v>
      </c>
      <c r="L4222" t="s">
        <v>8</v>
      </c>
      <c r="M4222" t="s">
        <v>114</v>
      </c>
      <c r="N4222" s="2">
        <v>45961</v>
      </c>
    </row>
    <row r="4223" spans="1:14" x14ac:dyDescent="0.25">
      <c r="A4223" t="s">
        <v>570</v>
      </c>
      <c r="B4223" s="2">
        <v>45961</v>
      </c>
      <c r="C4223" t="s">
        <v>570</v>
      </c>
      <c r="D4223" t="s">
        <v>112</v>
      </c>
      <c r="E4223" t="s">
        <v>9</v>
      </c>
      <c r="F4223" s="3">
        <v>36100</v>
      </c>
      <c r="G4223" s="3">
        <v>36100</v>
      </c>
      <c r="H4223" t="s">
        <v>3</v>
      </c>
      <c r="I4223" t="s">
        <v>3</v>
      </c>
      <c r="J4223" t="s">
        <v>325</v>
      </c>
      <c r="K4223" t="s">
        <v>5</v>
      </c>
      <c r="L4223" t="s">
        <v>8</v>
      </c>
      <c r="M4223" t="s">
        <v>114</v>
      </c>
      <c r="N4223" s="2">
        <v>45961</v>
      </c>
    </row>
    <row r="4224" spans="1:14" x14ac:dyDescent="0.25">
      <c r="A4224" s="4" t="s">
        <v>278</v>
      </c>
      <c r="B4224" s="5"/>
      <c r="C4224" s="4" t="s">
        <v>9</v>
      </c>
      <c r="D4224" s="4" t="s">
        <v>9</v>
      </c>
      <c r="E4224" s="4" t="s">
        <v>9</v>
      </c>
      <c r="F4224" s="6">
        <v>0</v>
      </c>
      <c r="G4224" s="6">
        <v>0</v>
      </c>
      <c r="H4224" s="4" t="s">
        <v>9</v>
      </c>
      <c r="I4224" s="4" t="s">
        <v>3</v>
      </c>
      <c r="J4224" s="4" t="s">
        <v>9</v>
      </c>
      <c r="K4224" s="4" t="s">
        <v>9</v>
      </c>
      <c r="L4224" s="4" t="s">
        <v>9</v>
      </c>
      <c r="M4224" s="4" t="s">
        <v>9</v>
      </c>
      <c r="N4224" s="5"/>
    </row>
    <row r="4225" spans="1:14" x14ac:dyDescent="0.25">
      <c r="A4225" t="s">
        <v>570</v>
      </c>
      <c r="B4225" s="2">
        <v>45993</v>
      </c>
      <c r="C4225" t="s">
        <v>570</v>
      </c>
      <c r="D4225" t="s">
        <v>112</v>
      </c>
      <c r="E4225" t="s">
        <v>9</v>
      </c>
      <c r="F4225" s="3">
        <v>-3050</v>
      </c>
      <c r="G4225" s="3">
        <v>-3050</v>
      </c>
      <c r="H4225" t="s">
        <v>3</v>
      </c>
      <c r="I4225" t="s">
        <v>3</v>
      </c>
      <c r="J4225" t="s">
        <v>9</v>
      </c>
      <c r="K4225" t="s">
        <v>9</v>
      </c>
      <c r="L4225" t="s">
        <v>11</v>
      </c>
      <c r="M4225" t="s">
        <v>114</v>
      </c>
      <c r="N4225" s="2">
        <v>45991</v>
      </c>
    </row>
    <row r="4226" spans="1:14" x14ac:dyDescent="0.25">
      <c r="A4226" t="s">
        <v>570</v>
      </c>
      <c r="B4226" s="2">
        <v>45961</v>
      </c>
      <c r="C4226" t="s">
        <v>570</v>
      </c>
      <c r="D4226" t="s">
        <v>112</v>
      </c>
      <c r="E4226" t="s">
        <v>9</v>
      </c>
      <c r="F4226" s="3">
        <v>-36100</v>
      </c>
      <c r="G4226" s="3">
        <v>-36100</v>
      </c>
      <c r="H4226" t="s">
        <v>3</v>
      </c>
      <c r="I4226" t="s">
        <v>3</v>
      </c>
      <c r="J4226" t="s">
        <v>325</v>
      </c>
      <c r="K4226" t="s">
        <v>5</v>
      </c>
      <c r="L4226" t="s">
        <v>11</v>
      </c>
      <c r="M4226" t="s">
        <v>114</v>
      </c>
      <c r="N4226" s="2">
        <v>45962</v>
      </c>
    </row>
    <row r="4227" spans="1:14" x14ac:dyDescent="0.25">
      <c r="A4227" t="s">
        <v>570</v>
      </c>
      <c r="B4227" s="2">
        <v>45991</v>
      </c>
      <c r="C4227" t="s">
        <v>570</v>
      </c>
      <c r="D4227" t="s">
        <v>112</v>
      </c>
      <c r="E4227" t="s">
        <v>9</v>
      </c>
      <c r="F4227" s="3">
        <v>39150</v>
      </c>
      <c r="G4227" s="3">
        <v>39150</v>
      </c>
      <c r="H4227" t="s">
        <v>3</v>
      </c>
      <c r="I4227" t="s">
        <v>3</v>
      </c>
      <c r="J4227" t="s">
        <v>328</v>
      </c>
      <c r="K4227" t="s">
        <v>5</v>
      </c>
      <c r="L4227" t="s">
        <v>11</v>
      </c>
      <c r="M4227" t="s">
        <v>114</v>
      </c>
      <c r="N4227" s="2">
        <v>45991</v>
      </c>
    </row>
    <row r="4228" spans="1:14" x14ac:dyDescent="0.25">
      <c r="A4228" s="4" t="s">
        <v>226</v>
      </c>
      <c r="B4228" s="5"/>
      <c r="C4228" s="4" t="s">
        <v>9</v>
      </c>
      <c r="D4228" s="4" t="s">
        <v>9</v>
      </c>
      <c r="E4228" s="4" t="s">
        <v>9</v>
      </c>
      <c r="F4228" s="6">
        <v>0</v>
      </c>
      <c r="G4228" s="6">
        <v>0</v>
      </c>
      <c r="H4228" s="4" t="s">
        <v>9</v>
      </c>
      <c r="I4228" s="4" t="s">
        <v>3</v>
      </c>
      <c r="J4228" s="4" t="s">
        <v>9</v>
      </c>
      <c r="K4228" s="4" t="s">
        <v>9</v>
      </c>
      <c r="L4228" s="4" t="s">
        <v>9</v>
      </c>
      <c r="M4228" s="4" t="s">
        <v>9</v>
      </c>
      <c r="N4228" s="5"/>
    </row>
    <row r="4229" spans="1:14" x14ac:dyDescent="0.25">
      <c r="A4229" t="s">
        <v>570</v>
      </c>
      <c r="B4229" s="2">
        <v>46028</v>
      </c>
      <c r="C4229" t="s">
        <v>570</v>
      </c>
      <c r="D4229" t="s">
        <v>112</v>
      </c>
      <c r="E4229" t="s">
        <v>9</v>
      </c>
      <c r="F4229" s="3">
        <v>-4000</v>
      </c>
      <c r="G4229" s="3">
        <v>-4000</v>
      </c>
      <c r="H4229" t="s">
        <v>3</v>
      </c>
      <c r="I4229" t="s">
        <v>3</v>
      </c>
      <c r="J4229" t="s">
        <v>9</v>
      </c>
      <c r="K4229" t="s">
        <v>9</v>
      </c>
      <c r="L4229" t="s">
        <v>12</v>
      </c>
      <c r="M4229" t="s">
        <v>114</v>
      </c>
      <c r="N4229" s="2">
        <v>46022</v>
      </c>
    </row>
    <row r="4230" spans="1:14" x14ac:dyDescent="0.25">
      <c r="A4230" t="s">
        <v>570</v>
      </c>
      <c r="B4230" s="2">
        <v>45991</v>
      </c>
      <c r="C4230" t="s">
        <v>570</v>
      </c>
      <c r="D4230" t="s">
        <v>112</v>
      </c>
      <c r="E4230" t="s">
        <v>9</v>
      </c>
      <c r="F4230" s="3">
        <v>-39150</v>
      </c>
      <c r="G4230" s="3">
        <v>-39150</v>
      </c>
      <c r="H4230" t="s">
        <v>3</v>
      </c>
      <c r="I4230" t="s">
        <v>3</v>
      </c>
      <c r="J4230" t="s">
        <v>328</v>
      </c>
      <c r="K4230" t="s">
        <v>5</v>
      </c>
      <c r="L4230" t="s">
        <v>12</v>
      </c>
      <c r="M4230" t="s">
        <v>114</v>
      </c>
      <c r="N4230" s="2">
        <v>45992</v>
      </c>
    </row>
    <row r="4231" spans="1:14" x14ac:dyDescent="0.25">
      <c r="A4231" t="s">
        <v>570</v>
      </c>
      <c r="B4231" s="2">
        <v>46022</v>
      </c>
      <c r="C4231" t="s">
        <v>570</v>
      </c>
      <c r="D4231" t="s">
        <v>112</v>
      </c>
      <c r="E4231" t="s">
        <v>9</v>
      </c>
      <c r="F4231" s="3">
        <v>43150</v>
      </c>
      <c r="G4231" s="3">
        <v>43150</v>
      </c>
      <c r="H4231" t="s">
        <v>3</v>
      </c>
      <c r="I4231" t="s">
        <v>3</v>
      </c>
      <c r="J4231" t="s">
        <v>298</v>
      </c>
      <c r="K4231" t="s">
        <v>5</v>
      </c>
      <c r="L4231" t="s">
        <v>12</v>
      </c>
      <c r="M4231" t="s">
        <v>114</v>
      </c>
      <c r="N4231" s="2">
        <v>46022</v>
      </c>
    </row>
    <row r="4232" spans="1:14" x14ac:dyDescent="0.25">
      <c r="A4232" t="s">
        <v>570</v>
      </c>
      <c r="B4232" s="2">
        <v>46022</v>
      </c>
      <c r="C4232" t="s">
        <v>570</v>
      </c>
      <c r="D4232" t="s">
        <v>112</v>
      </c>
      <c r="E4232" t="s">
        <v>9</v>
      </c>
      <c r="F4232" s="3">
        <v>43150</v>
      </c>
      <c r="G4232" s="3">
        <v>43150</v>
      </c>
      <c r="H4232" t="s">
        <v>3</v>
      </c>
      <c r="I4232" t="s">
        <v>3</v>
      </c>
      <c r="J4232" t="s">
        <v>298</v>
      </c>
      <c r="K4232" t="s">
        <v>5</v>
      </c>
      <c r="L4232" t="s">
        <v>12</v>
      </c>
      <c r="M4232" t="s">
        <v>114</v>
      </c>
      <c r="N4232" s="2">
        <v>46022</v>
      </c>
    </row>
    <row r="4233" spans="1:14" x14ac:dyDescent="0.25">
      <c r="A4233" t="s">
        <v>570</v>
      </c>
      <c r="B4233" s="2">
        <v>46022</v>
      </c>
      <c r="C4233" t="s">
        <v>570</v>
      </c>
      <c r="D4233" t="s">
        <v>112</v>
      </c>
      <c r="E4233" t="s">
        <v>9</v>
      </c>
      <c r="F4233" s="3">
        <v>-43150</v>
      </c>
      <c r="G4233" s="3">
        <v>-43150</v>
      </c>
      <c r="H4233" t="s">
        <v>3</v>
      </c>
      <c r="I4233" t="s">
        <v>3</v>
      </c>
      <c r="J4233" t="s">
        <v>298</v>
      </c>
      <c r="K4233" t="s">
        <v>5</v>
      </c>
      <c r="L4233" t="s">
        <v>12</v>
      </c>
      <c r="M4233" t="s">
        <v>114</v>
      </c>
      <c r="N4233" s="2">
        <v>46022</v>
      </c>
    </row>
    <row r="4234" spans="1:14" x14ac:dyDescent="0.25">
      <c r="A4234" s="4" t="s">
        <v>228</v>
      </c>
      <c r="B4234" s="5"/>
      <c r="C4234" s="4" t="s">
        <v>9</v>
      </c>
      <c r="D4234" s="4" t="s">
        <v>9</v>
      </c>
      <c r="E4234" s="4" t="s">
        <v>9</v>
      </c>
      <c r="F4234" s="6">
        <v>0</v>
      </c>
      <c r="G4234" s="6">
        <v>0</v>
      </c>
      <c r="H4234" s="4" t="s">
        <v>9</v>
      </c>
      <c r="I4234" s="4" t="s">
        <v>3</v>
      </c>
      <c r="J4234" s="4" t="s">
        <v>9</v>
      </c>
      <c r="K4234" s="4" t="s">
        <v>9</v>
      </c>
      <c r="L4234" s="4" t="s">
        <v>9</v>
      </c>
      <c r="M4234" s="4" t="s">
        <v>9</v>
      </c>
      <c r="N4234" s="5"/>
    </row>
    <row r="4235" spans="1:14" x14ac:dyDescent="0.25">
      <c r="A4235" s="4" t="s">
        <v>570</v>
      </c>
      <c r="B4235" s="5"/>
      <c r="C4235" s="4" t="s">
        <v>9</v>
      </c>
      <c r="D4235" s="4" t="s">
        <v>9</v>
      </c>
      <c r="E4235" s="4" t="s">
        <v>9</v>
      </c>
      <c r="F4235" s="6">
        <v>0</v>
      </c>
      <c r="G4235" s="6">
        <v>0</v>
      </c>
      <c r="H4235" s="4" t="s">
        <v>9</v>
      </c>
      <c r="I4235" s="4" t="s">
        <v>3</v>
      </c>
      <c r="J4235" s="4" t="s">
        <v>9</v>
      </c>
      <c r="K4235" s="4" t="s">
        <v>9</v>
      </c>
      <c r="L4235" s="4" t="s">
        <v>9</v>
      </c>
      <c r="M4235" s="4" t="s">
        <v>9</v>
      </c>
      <c r="N4235" s="5"/>
    </row>
    <row r="4236" spans="1:14" x14ac:dyDescent="0.25">
      <c r="A4236" t="s">
        <v>571</v>
      </c>
      <c r="B4236" s="2">
        <v>46084</v>
      </c>
      <c r="C4236" t="s">
        <v>571</v>
      </c>
      <c r="D4236" t="s">
        <v>33</v>
      </c>
      <c r="E4236" t="s">
        <v>9</v>
      </c>
      <c r="F4236" s="3">
        <v>109027</v>
      </c>
      <c r="G4236" s="3">
        <v>109027</v>
      </c>
      <c r="H4236" t="s">
        <v>3</v>
      </c>
      <c r="I4236" t="s">
        <v>3</v>
      </c>
      <c r="J4236" t="s">
        <v>9</v>
      </c>
      <c r="K4236" t="s">
        <v>9</v>
      </c>
      <c r="L4236" t="s">
        <v>15</v>
      </c>
      <c r="M4236" t="s">
        <v>35</v>
      </c>
      <c r="N4236" s="2">
        <v>46081</v>
      </c>
    </row>
    <row r="4237" spans="1:14" x14ac:dyDescent="0.25">
      <c r="A4237" t="s">
        <v>571</v>
      </c>
      <c r="B4237" s="2">
        <v>46065</v>
      </c>
      <c r="C4237" t="s">
        <v>571</v>
      </c>
      <c r="D4237" t="s">
        <v>33</v>
      </c>
      <c r="E4237" t="s">
        <v>9</v>
      </c>
      <c r="F4237" s="3">
        <v>-109027</v>
      </c>
      <c r="G4237" s="3">
        <v>-109027</v>
      </c>
      <c r="H4237" t="s">
        <v>3</v>
      </c>
      <c r="I4237" t="s">
        <v>3</v>
      </c>
      <c r="J4237" t="s">
        <v>9</v>
      </c>
      <c r="K4237" t="s">
        <v>13</v>
      </c>
      <c r="L4237" t="s">
        <v>15</v>
      </c>
      <c r="M4237" t="s">
        <v>35</v>
      </c>
      <c r="N4237" s="2">
        <v>46065</v>
      </c>
    </row>
    <row r="4238" spans="1:14" x14ac:dyDescent="0.25">
      <c r="A4238" s="4" t="s">
        <v>239</v>
      </c>
      <c r="B4238" s="5"/>
      <c r="C4238" s="4" t="s">
        <v>9</v>
      </c>
      <c r="D4238" s="4" t="s">
        <v>9</v>
      </c>
      <c r="E4238" s="4" t="s">
        <v>9</v>
      </c>
      <c r="F4238" s="6">
        <v>0</v>
      </c>
      <c r="G4238" s="6">
        <v>0</v>
      </c>
      <c r="H4238" s="4" t="s">
        <v>9</v>
      </c>
      <c r="I4238" s="4" t="s">
        <v>3</v>
      </c>
      <c r="J4238" s="4" t="s">
        <v>9</v>
      </c>
      <c r="K4238" s="4" t="s">
        <v>9</v>
      </c>
      <c r="L4238" s="4" t="s">
        <v>9</v>
      </c>
      <c r="M4238" s="4" t="s">
        <v>9</v>
      </c>
      <c r="N4238" s="5"/>
    </row>
    <row r="4239" spans="1:14" x14ac:dyDescent="0.25">
      <c r="A4239" t="s">
        <v>571</v>
      </c>
      <c r="B4239" s="2">
        <v>46115</v>
      </c>
      <c r="C4239" t="s">
        <v>571</v>
      </c>
      <c r="D4239" t="s">
        <v>33</v>
      </c>
      <c r="E4239" t="s">
        <v>9</v>
      </c>
      <c r="F4239" s="3">
        <v>161052</v>
      </c>
      <c r="G4239" s="3">
        <v>161052</v>
      </c>
      <c r="H4239" t="s">
        <v>3</v>
      </c>
      <c r="I4239" t="s">
        <v>3</v>
      </c>
      <c r="J4239" t="s">
        <v>9</v>
      </c>
      <c r="K4239" t="s">
        <v>9</v>
      </c>
      <c r="L4239" t="s">
        <v>16</v>
      </c>
      <c r="M4239" t="s">
        <v>35</v>
      </c>
      <c r="N4239" s="2">
        <v>46112</v>
      </c>
    </row>
    <row r="4240" spans="1:14" x14ac:dyDescent="0.25">
      <c r="A4240" t="s">
        <v>571</v>
      </c>
      <c r="B4240" s="2">
        <v>46100</v>
      </c>
      <c r="C4240" t="s">
        <v>571</v>
      </c>
      <c r="D4240" t="s">
        <v>33</v>
      </c>
      <c r="E4240" t="s">
        <v>9</v>
      </c>
      <c r="F4240" s="3">
        <v>-161052</v>
      </c>
      <c r="G4240" s="3">
        <v>-161052</v>
      </c>
      <c r="H4240" t="s">
        <v>3</v>
      </c>
      <c r="I4240" t="s">
        <v>3</v>
      </c>
      <c r="J4240" t="s">
        <v>9</v>
      </c>
      <c r="K4240" t="s">
        <v>13</v>
      </c>
      <c r="L4240" t="s">
        <v>16</v>
      </c>
      <c r="M4240" t="s">
        <v>35</v>
      </c>
      <c r="N4240" s="2">
        <v>46100</v>
      </c>
    </row>
    <row r="4241" spans="1:14" x14ac:dyDescent="0.25">
      <c r="A4241" s="4" t="s">
        <v>244</v>
      </c>
      <c r="B4241" s="5"/>
      <c r="C4241" s="4" t="s">
        <v>9</v>
      </c>
      <c r="D4241" s="4" t="s">
        <v>9</v>
      </c>
      <c r="E4241" s="4" t="s">
        <v>9</v>
      </c>
      <c r="F4241" s="6">
        <v>0</v>
      </c>
      <c r="G4241" s="6">
        <v>0</v>
      </c>
      <c r="H4241" s="4" t="s">
        <v>9</v>
      </c>
      <c r="I4241" s="4" t="s">
        <v>3</v>
      </c>
      <c r="J4241" s="4" t="s">
        <v>9</v>
      </c>
      <c r="K4241" s="4" t="s">
        <v>9</v>
      </c>
      <c r="L4241" s="4" t="s">
        <v>9</v>
      </c>
      <c r="M4241" s="4" t="s">
        <v>9</v>
      </c>
      <c r="N4241" s="5"/>
    </row>
    <row r="4242" spans="1:14" x14ac:dyDescent="0.25">
      <c r="A4242" t="s">
        <v>571</v>
      </c>
      <c r="B4242" s="2">
        <v>46147</v>
      </c>
      <c r="C4242" t="s">
        <v>571</v>
      </c>
      <c r="D4242" t="s">
        <v>33</v>
      </c>
      <c r="E4242" t="s">
        <v>9</v>
      </c>
      <c r="F4242" s="3">
        <v>197211</v>
      </c>
      <c r="G4242" s="3">
        <v>197211</v>
      </c>
      <c r="H4242" t="s">
        <v>3</v>
      </c>
      <c r="I4242" t="s">
        <v>3</v>
      </c>
      <c r="J4242" t="s">
        <v>9</v>
      </c>
      <c r="K4242" t="s">
        <v>9</v>
      </c>
      <c r="L4242" t="s">
        <v>17</v>
      </c>
      <c r="M4242" t="s">
        <v>35</v>
      </c>
      <c r="N4242" s="2">
        <v>46142</v>
      </c>
    </row>
    <row r="4243" spans="1:14" x14ac:dyDescent="0.25">
      <c r="A4243" t="s">
        <v>571</v>
      </c>
      <c r="B4243" s="2">
        <v>46127</v>
      </c>
      <c r="C4243" t="s">
        <v>571</v>
      </c>
      <c r="D4243" t="s">
        <v>33</v>
      </c>
      <c r="E4243" t="s">
        <v>9</v>
      </c>
      <c r="F4243" s="3">
        <v>-197211</v>
      </c>
      <c r="G4243" s="3">
        <v>-197211</v>
      </c>
      <c r="H4243" t="s">
        <v>3</v>
      </c>
      <c r="I4243" t="s">
        <v>3</v>
      </c>
      <c r="J4243" t="s">
        <v>9</v>
      </c>
      <c r="K4243" t="s">
        <v>13</v>
      </c>
      <c r="L4243" t="s">
        <v>17</v>
      </c>
      <c r="M4243" t="s">
        <v>35</v>
      </c>
      <c r="N4243" s="2">
        <v>46127</v>
      </c>
    </row>
    <row r="4244" spans="1:14" x14ac:dyDescent="0.25">
      <c r="A4244" t="s">
        <v>571</v>
      </c>
      <c r="B4244" s="2">
        <v>46127</v>
      </c>
      <c r="C4244" t="s">
        <v>571</v>
      </c>
      <c r="D4244" t="s">
        <v>33</v>
      </c>
      <c r="E4244" t="s">
        <v>9</v>
      </c>
      <c r="F4244" s="3">
        <v>-5040</v>
      </c>
      <c r="G4244" s="3">
        <v>-5040</v>
      </c>
      <c r="H4244" t="s">
        <v>3</v>
      </c>
      <c r="I4244" t="s">
        <v>3</v>
      </c>
      <c r="J4244" t="s">
        <v>9</v>
      </c>
      <c r="K4244" t="s">
        <v>13</v>
      </c>
      <c r="L4244" t="s">
        <v>17</v>
      </c>
      <c r="M4244" t="s">
        <v>35</v>
      </c>
      <c r="N4244" s="2">
        <v>46127</v>
      </c>
    </row>
    <row r="4245" spans="1:14" x14ac:dyDescent="0.25">
      <c r="A4245" t="s">
        <v>571</v>
      </c>
      <c r="B4245" s="2">
        <v>46127</v>
      </c>
      <c r="C4245" t="s">
        <v>571</v>
      </c>
      <c r="D4245" t="s">
        <v>33</v>
      </c>
      <c r="E4245" t="s">
        <v>9</v>
      </c>
      <c r="F4245" s="3">
        <v>-8815</v>
      </c>
      <c r="G4245" s="3">
        <v>-8815</v>
      </c>
      <c r="H4245" t="s">
        <v>3</v>
      </c>
      <c r="I4245" t="s">
        <v>3</v>
      </c>
      <c r="J4245" t="s">
        <v>9</v>
      </c>
      <c r="K4245" t="s">
        <v>13</v>
      </c>
      <c r="L4245" t="s">
        <v>17</v>
      </c>
      <c r="M4245" t="s">
        <v>35</v>
      </c>
      <c r="N4245" s="2">
        <v>46127</v>
      </c>
    </row>
    <row r="4246" spans="1:14" x14ac:dyDescent="0.25">
      <c r="A4246" t="s">
        <v>571</v>
      </c>
      <c r="B4246" s="2">
        <v>46142</v>
      </c>
      <c r="C4246" t="s">
        <v>571</v>
      </c>
      <c r="D4246" t="s">
        <v>33</v>
      </c>
      <c r="E4246" t="s">
        <v>9</v>
      </c>
      <c r="F4246" s="3">
        <v>5040</v>
      </c>
      <c r="G4246" s="3">
        <v>5040</v>
      </c>
      <c r="H4246" t="s">
        <v>3</v>
      </c>
      <c r="I4246" t="s">
        <v>3</v>
      </c>
      <c r="J4246" t="s">
        <v>45</v>
      </c>
      <c r="K4246" t="s">
        <v>13</v>
      </c>
      <c r="L4246" t="s">
        <v>17</v>
      </c>
      <c r="M4246" t="s">
        <v>35</v>
      </c>
      <c r="N4246" s="2">
        <v>46142</v>
      </c>
    </row>
    <row r="4247" spans="1:14" x14ac:dyDescent="0.25">
      <c r="A4247" t="s">
        <v>571</v>
      </c>
      <c r="B4247" s="2">
        <v>46142</v>
      </c>
      <c r="C4247" t="s">
        <v>571</v>
      </c>
      <c r="D4247" t="s">
        <v>33</v>
      </c>
      <c r="E4247" t="s">
        <v>9</v>
      </c>
      <c r="F4247" s="3">
        <v>8815</v>
      </c>
      <c r="G4247" s="3">
        <v>8815</v>
      </c>
      <c r="H4247" t="s">
        <v>3</v>
      </c>
      <c r="I4247" t="s">
        <v>3</v>
      </c>
      <c r="J4247" t="s">
        <v>45</v>
      </c>
      <c r="K4247" t="s">
        <v>13</v>
      </c>
      <c r="L4247" t="s">
        <v>17</v>
      </c>
      <c r="M4247" t="s">
        <v>35</v>
      </c>
      <c r="N4247" s="2">
        <v>46142</v>
      </c>
    </row>
    <row r="4248" spans="1:14" x14ac:dyDescent="0.25">
      <c r="A4248" s="4" t="s">
        <v>249</v>
      </c>
      <c r="B4248" s="5"/>
      <c r="C4248" s="4" t="s">
        <v>9</v>
      </c>
      <c r="D4248" s="4" t="s">
        <v>9</v>
      </c>
      <c r="E4248" s="4" t="s">
        <v>9</v>
      </c>
      <c r="F4248" s="6">
        <v>0</v>
      </c>
      <c r="G4248" s="6">
        <v>0</v>
      </c>
      <c r="H4248" s="4" t="s">
        <v>9</v>
      </c>
      <c r="I4248" s="4" t="s">
        <v>3</v>
      </c>
      <c r="J4248" s="4" t="s">
        <v>9</v>
      </c>
      <c r="K4248" s="4" t="s">
        <v>9</v>
      </c>
      <c r="L4248" s="4" t="s">
        <v>9</v>
      </c>
      <c r="M4248" s="4" t="s">
        <v>9</v>
      </c>
      <c r="N4248" s="5"/>
    </row>
    <row r="4249" spans="1:14" x14ac:dyDescent="0.25">
      <c r="A4249" t="s">
        <v>571</v>
      </c>
      <c r="B4249" s="2">
        <v>46175</v>
      </c>
      <c r="C4249" t="s">
        <v>571</v>
      </c>
      <c r="D4249" t="s">
        <v>33</v>
      </c>
      <c r="E4249" t="s">
        <v>9</v>
      </c>
      <c r="F4249" s="3">
        <v>382790</v>
      </c>
      <c r="G4249" s="3">
        <v>382790</v>
      </c>
      <c r="H4249" t="s">
        <v>3</v>
      </c>
      <c r="I4249" t="s">
        <v>3</v>
      </c>
      <c r="J4249" t="s">
        <v>9</v>
      </c>
      <c r="K4249" t="s">
        <v>9</v>
      </c>
      <c r="L4249" t="s">
        <v>18</v>
      </c>
      <c r="M4249" t="s">
        <v>35</v>
      </c>
      <c r="N4249" s="2">
        <v>46173</v>
      </c>
    </row>
    <row r="4250" spans="1:14" x14ac:dyDescent="0.25">
      <c r="A4250" t="s">
        <v>571</v>
      </c>
      <c r="B4250" s="2">
        <v>46161</v>
      </c>
      <c r="C4250" t="s">
        <v>571</v>
      </c>
      <c r="D4250" t="s">
        <v>33</v>
      </c>
      <c r="E4250" t="s">
        <v>9</v>
      </c>
      <c r="F4250" s="3">
        <v>-382790</v>
      </c>
      <c r="G4250" s="3">
        <v>-382790</v>
      </c>
      <c r="H4250" t="s">
        <v>3</v>
      </c>
      <c r="I4250" t="s">
        <v>3</v>
      </c>
      <c r="J4250" t="s">
        <v>9</v>
      </c>
      <c r="K4250" t="s">
        <v>13</v>
      </c>
      <c r="L4250" t="s">
        <v>18</v>
      </c>
      <c r="M4250" t="s">
        <v>35</v>
      </c>
      <c r="N4250" s="2">
        <v>46161</v>
      </c>
    </row>
    <row r="4251" spans="1:14" x14ac:dyDescent="0.25">
      <c r="A4251" s="4" t="s">
        <v>223</v>
      </c>
      <c r="B4251" s="5"/>
      <c r="C4251" s="4" t="s">
        <v>9</v>
      </c>
      <c r="D4251" s="4" t="s">
        <v>9</v>
      </c>
      <c r="E4251" s="4" t="s">
        <v>9</v>
      </c>
      <c r="F4251" s="6">
        <v>0</v>
      </c>
      <c r="G4251" s="6">
        <v>0</v>
      </c>
      <c r="H4251" s="4" t="s">
        <v>9</v>
      </c>
      <c r="I4251" s="4" t="s">
        <v>3</v>
      </c>
      <c r="J4251" s="4" t="s">
        <v>9</v>
      </c>
      <c r="K4251" s="4" t="s">
        <v>9</v>
      </c>
      <c r="L4251" s="4" t="s">
        <v>9</v>
      </c>
      <c r="M4251" s="4" t="s">
        <v>9</v>
      </c>
      <c r="N4251" s="5"/>
    </row>
    <row r="4252" spans="1:14" x14ac:dyDescent="0.25">
      <c r="A4252" t="s">
        <v>571</v>
      </c>
      <c r="B4252" s="2">
        <v>46205</v>
      </c>
      <c r="C4252" t="s">
        <v>571</v>
      </c>
      <c r="D4252" t="s">
        <v>33</v>
      </c>
      <c r="E4252" t="s">
        <v>9</v>
      </c>
      <c r="F4252" s="3">
        <v>411463</v>
      </c>
      <c r="G4252" s="3">
        <v>411463</v>
      </c>
      <c r="H4252" t="s">
        <v>3</v>
      </c>
      <c r="I4252" t="s">
        <v>3</v>
      </c>
      <c r="J4252" t="s">
        <v>9</v>
      </c>
      <c r="K4252" t="s">
        <v>9</v>
      </c>
      <c r="L4252" t="s">
        <v>19</v>
      </c>
      <c r="M4252" t="s">
        <v>35</v>
      </c>
      <c r="N4252" s="2">
        <v>46203</v>
      </c>
    </row>
    <row r="4253" spans="1:14" x14ac:dyDescent="0.25">
      <c r="A4253" t="s">
        <v>571</v>
      </c>
      <c r="B4253" s="2">
        <v>46192</v>
      </c>
      <c r="C4253" t="s">
        <v>571</v>
      </c>
      <c r="D4253" t="s">
        <v>33</v>
      </c>
      <c r="E4253" t="s">
        <v>9</v>
      </c>
      <c r="F4253" s="3">
        <v>-411463</v>
      </c>
      <c r="G4253" s="3">
        <v>-411463</v>
      </c>
      <c r="H4253" t="s">
        <v>3</v>
      </c>
      <c r="I4253" t="s">
        <v>3</v>
      </c>
      <c r="J4253" t="s">
        <v>9</v>
      </c>
      <c r="K4253" t="s">
        <v>13</v>
      </c>
      <c r="L4253" t="s">
        <v>19</v>
      </c>
      <c r="M4253" t="s">
        <v>35</v>
      </c>
      <c r="N4253" s="2">
        <v>46192</v>
      </c>
    </row>
    <row r="4254" spans="1:14" x14ac:dyDescent="0.25">
      <c r="A4254" s="4" t="s">
        <v>224</v>
      </c>
      <c r="B4254" s="5"/>
      <c r="C4254" s="4" t="s">
        <v>9</v>
      </c>
      <c r="D4254" s="4" t="s">
        <v>9</v>
      </c>
      <c r="E4254" s="4" t="s">
        <v>9</v>
      </c>
      <c r="F4254" s="6">
        <v>0</v>
      </c>
      <c r="G4254" s="6">
        <v>0</v>
      </c>
      <c r="H4254" s="4" t="s">
        <v>9</v>
      </c>
      <c r="I4254" s="4" t="s">
        <v>3</v>
      </c>
      <c r="J4254" s="4" t="s">
        <v>9</v>
      </c>
      <c r="K4254" s="4" t="s">
        <v>9</v>
      </c>
      <c r="L4254" s="4" t="s">
        <v>9</v>
      </c>
      <c r="M4254" s="4" t="s">
        <v>9</v>
      </c>
      <c r="N4254" s="5"/>
    </row>
    <row r="4255" spans="1:14" x14ac:dyDescent="0.25">
      <c r="A4255" t="s">
        <v>571</v>
      </c>
      <c r="B4255" s="2">
        <v>46239</v>
      </c>
      <c r="C4255" t="s">
        <v>571</v>
      </c>
      <c r="D4255" t="s">
        <v>33</v>
      </c>
      <c r="E4255" t="s">
        <v>9</v>
      </c>
      <c r="F4255" s="3">
        <v>632353</v>
      </c>
      <c r="G4255" s="3">
        <v>632353</v>
      </c>
      <c r="H4255" t="s">
        <v>3</v>
      </c>
      <c r="I4255" t="s">
        <v>3</v>
      </c>
      <c r="J4255" t="s">
        <v>9</v>
      </c>
      <c r="K4255" t="s">
        <v>9</v>
      </c>
      <c r="L4255" t="s">
        <v>21</v>
      </c>
      <c r="M4255" t="s">
        <v>35</v>
      </c>
      <c r="N4255" s="2">
        <v>46234</v>
      </c>
    </row>
    <row r="4256" spans="1:14" x14ac:dyDescent="0.25">
      <c r="A4256" t="s">
        <v>571</v>
      </c>
      <c r="B4256" s="2">
        <v>46218</v>
      </c>
      <c r="C4256" t="s">
        <v>571</v>
      </c>
      <c r="D4256" t="s">
        <v>33</v>
      </c>
      <c r="E4256" t="s">
        <v>9</v>
      </c>
      <c r="F4256" s="3">
        <v>-632353</v>
      </c>
      <c r="G4256" s="3">
        <v>-632353</v>
      </c>
      <c r="H4256" t="s">
        <v>3</v>
      </c>
      <c r="I4256" t="s">
        <v>3</v>
      </c>
      <c r="J4256" t="s">
        <v>9</v>
      </c>
      <c r="K4256" t="s">
        <v>13</v>
      </c>
      <c r="L4256" t="s">
        <v>21</v>
      </c>
      <c r="M4256" t="s">
        <v>35</v>
      </c>
      <c r="N4256" s="2">
        <v>46218</v>
      </c>
    </row>
    <row r="4257" spans="1:14" x14ac:dyDescent="0.25">
      <c r="A4257" s="4" t="s">
        <v>262</v>
      </c>
      <c r="B4257" s="5"/>
      <c r="C4257" s="4" t="s">
        <v>9</v>
      </c>
      <c r="D4257" s="4" t="s">
        <v>9</v>
      </c>
      <c r="E4257" s="4" t="s">
        <v>9</v>
      </c>
      <c r="F4257" s="6">
        <v>0</v>
      </c>
      <c r="G4257" s="6">
        <v>0</v>
      </c>
      <c r="H4257" s="4" t="s">
        <v>9</v>
      </c>
      <c r="I4257" s="4" t="s">
        <v>3</v>
      </c>
      <c r="J4257" s="4" t="s">
        <v>9</v>
      </c>
      <c r="K4257" s="4" t="s">
        <v>9</v>
      </c>
      <c r="L4257" s="4" t="s">
        <v>9</v>
      </c>
      <c r="M4257" s="4" t="s">
        <v>9</v>
      </c>
      <c r="N4257" s="5"/>
    </row>
    <row r="4258" spans="1:14" x14ac:dyDescent="0.25">
      <c r="A4258" t="s">
        <v>571</v>
      </c>
      <c r="B4258" s="2">
        <v>46267</v>
      </c>
      <c r="C4258" t="s">
        <v>571</v>
      </c>
      <c r="D4258" t="s">
        <v>33</v>
      </c>
      <c r="E4258" t="s">
        <v>9</v>
      </c>
      <c r="F4258" s="3">
        <v>915701</v>
      </c>
      <c r="G4258" s="3">
        <v>915701</v>
      </c>
      <c r="H4258" t="s">
        <v>3</v>
      </c>
      <c r="I4258" t="s">
        <v>3</v>
      </c>
      <c r="J4258" t="s">
        <v>9</v>
      </c>
      <c r="K4258" t="s">
        <v>9</v>
      </c>
      <c r="L4258" t="s">
        <v>22</v>
      </c>
      <c r="M4258" t="s">
        <v>35</v>
      </c>
      <c r="N4258" s="2">
        <v>46265</v>
      </c>
    </row>
    <row r="4259" spans="1:14" x14ac:dyDescent="0.25">
      <c r="A4259" t="s">
        <v>571</v>
      </c>
      <c r="B4259" s="2">
        <v>46254</v>
      </c>
      <c r="C4259" t="s">
        <v>571</v>
      </c>
      <c r="D4259" t="s">
        <v>33</v>
      </c>
      <c r="E4259" t="s">
        <v>9</v>
      </c>
      <c r="F4259" s="3">
        <v>-915701</v>
      </c>
      <c r="G4259" s="3">
        <v>-915701</v>
      </c>
      <c r="H4259" t="s">
        <v>3</v>
      </c>
      <c r="I4259" t="s">
        <v>3</v>
      </c>
      <c r="J4259" t="s">
        <v>9</v>
      </c>
      <c r="K4259" t="s">
        <v>13</v>
      </c>
      <c r="L4259" t="s">
        <v>22</v>
      </c>
      <c r="M4259" t="s">
        <v>35</v>
      </c>
      <c r="N4259" s="2">
        <v>46254</v>
      </c>
    </row>
    <row r="4260" spans="1:14" x14ac:dyDescent="0.25">
      <c r="A4260" s="4" t="s">
        <v>267</v>
      </c>
      <c r="B4260" s="5"/>
      <c r="C4260" s="4" t="s">
        <v>9</v>
      </c>
      <c r="D4260" s="4" t="s">
        <v>9</v>
      </c>
      <c r="E4260" s="4" t="s">
        <v>9</v>
      </c>
      <c r="F4260" s="6">
        <v>0</v>
      </c>
      <c r="G4260" s="6">
        <v>0</v>
      </c>
      <c r="H4260" s="4" t="s">
        <v>9</v>
      </c>
      <c r="I4260" s="4" t="s">
        <v>3</v>
      </c>
      <c r="J4260" s="4" t="s">
        <v>9</v>
      </c>
      <c r="K4260" s="4" t="s">
        <v>9</v>
      </c>
      <c r="L4260" s="4" t="s">
        <v>9</v>
      </c>
      <c r="M4260" s="4" t="s">
        <v>9</v>
      </c>
      <c r="N4260" s="5"/>
    </row>
    <row r="4261" spans="1:14" x14ac:dyDescent="0.25">
      <c r="A4261" t="s">
        <v>571</v>
      </c>
      <c r="B4261" s="2">
        <v>46028</v>
      </c>
      <c r="C4261" t="s">
        <v>571</v>
      </c>
      <c r="D4261" t="s">
        <v>33</v>
      </c>
      <c r="E4261" t="s">
        <v>9</v>
      </c>
      <c r="F4261" s="3">
        <v>758435</v>
      </c>
      <c r="G4261" s="3">
        <v>758435</v>
      </c>
      <c r="H4261" t="s">
        <v>3</v>
      </c>
      <c r="I4261" t="s">
        <v>3</v>
      </c>
      <c r="J4261" t="s">
        <v>9</v>
      </c>
      <c r="K4261" t="s">
        <v>9</v>
      </c>
      <c r="L4261" t="s">
        <v>12</v>
      </c>
      <c r="M4261" t="s">
        <v>35</v>
      </c>
      <c r="N4261" s="2">
        <v>46022</v>
      </c>
    </row>
    <row r="4262" spans="1:14" x14ac:dyDescent="0.25">
      <c r="A4262" t="s">
        <v>571</v>
      </c>
      <c r="B4262" s="2">
        <v>46007</v>
      </c>
      <c r="C4262" t="s">
        <v>571</v>
      </c>
      <c r="D4262" t="s">
        <v>33</v>
      </c>
      <c r="E4262" t="s">
        <v>9</v>
      </c>
      <c r="F4262" s="3">
        <v>-749303</v>
      </c>
      <c r="G4262" s="3">
        <v>-749303</v>
      </c>
      <c r="H4262" t="s">
        <v>3</v>
      </c>
      <c r="I4262" t="s">
        <v>3</v>
      </c>
      <c r="J4262" t="s">
        <v>9</v>
      </c>
      <c r="K4262" t="s">
        <v>5</v>
      </c>
      <c r="L4262" t="s">
        <v>12</v>
      </c>
      <c r="M4262" t="s">
        <v>35</v>
      </c>
      <c r="N4262" s="2">
        <v>46007</v>
      </c>
    </row>
    <row r="4263" spans="1:14" x14ac:dyDescent="0.25">
      <c r="A4263" t="s">
        <v>571</v>
      </c>
      <c r="B4263" s="2">
        <v>46007</v>
      </c>
      <c r="C4263" t="s">
        <v>571</v>
      </c>
      <c r="D4263" t="s">
        <v>33</v>
      </c>
      <c r="E4263" t="s">
        <v>9</v>
      </c>
      <c r="F4263" s="3">
        <v>-9132</v>
      </c>
      <c r="G4263" s="3">
        <v>-9132</v>
      </c>
      <c r="H4263" t="s">
        <v>3</v>
      </c>
      <c r="I4263" t="s">
        <v>3</v>
      </c>
      <c r="J4263" t="s">
        <v>9</v>
      </c>
      <c r="K4263" t="s">
        <v>5</v>
      </c>
      <c r="L4263" t="s">
        <v>12</v>
      </c>
      <c r="M4263" t="s">
        <v>35</v>
      </c>
      <c r="N4263" s="2">
        <v>46007</v>
      </c>
    </row>
    <row r="4264" spans="1:14" x14ac:dyDescent="0.25">
      <c r="A4264" s="4" t="s">
        <v>228</v>
      </c>
      <c r="B4264" s="5"/>
      <c r="C4264" s="4" t="s">
        <v>9</v>
      </c>
      <c r="D4264" s="4" t="s">
        <v>9</v>
      </c>
      <c r="E4264" s="4" t="s">
        <v>9</v>
      </c>
      <c r="F4264" s="6">
        <v>0</v>
      </c>
      <c r="G4264" s="6">
        <v>0</v>
      </c>
      <c r="H4264" s="4" t="s">
        <v>9</v>
      </c>
      <c r="I4264" s="4" t="s">
        <v>3</v>
      </c>
      <c r="J4264" s="4" t="s">
        <v>9</v>
      </c>
      <c r="K4264" s="4" t="s">
        <v>9</v>
      </c>
      <c r="L4264" s="4" t="s">
        <v>9</v>
      </c>
      <c r="M4264" s="4" t="s">
        <v>9</v>
      </c>
      <c r="N4264" s="5"/>
    </row>
    <row r="4265" spans="1:14" x14ac:dyDescent="0.25">
      <c r="A4265" s="4" t="s">
        <v>571</v>
      </c>
      <c r="B4265" s="5"/>
      <c r="C4265" s="4" t="s">
        <v>9</v>
      </c>
      <c r="D4265" s="4" t="s">
        <v>9</v>
      </c>
      <c r="E4265" s="4" t="s">
        <v>9</v>
      </c>
      <c r="F4265" s="6">
        <v>0</v>
      </c>
      <c r="G4265" s="6">
        <v>0</v>
      </c>
      <c r="H4265" s="4" t="s">
        <v>9</v>
      </c>
      <c r="I4265" s="4" t="s">
        <v>3</v>
      </c>
      <c r="J4265" s="4" t="s">
        <v>9</v>
      </c>
      <c r="K4265" s="4" t="s">
        <v>9</v>
      </c>
      <c r="L4265" s="4" t="s">
        <v>9</v>
      </c>
      <c r="M4265" s="4" t="s">
        <v>9</v>
      </c>
      <c r="N4265" s="5"/>
    </row>
    <row r="4266" spans="1:14" x14ac:dyDescent="0.25">
      <c r="A4266" t="s">
        <v>572</v>
      </c>
      <c r="B4266" s="2">
        <v>46056</v>
      </c>
      <c r="C4266" t="s">
        <v>572</v>
      </c>
      <c r="D4266" t="s">
        <v>112</v>
      </c>
      <c r="E4266" t="s">
        <v>9</v>
      </c>
      <c r="F4266" s="3">
        <v>-103835</v>
      </c>
      <c r="G4266" s="3">
        <v>-103835</v>
      </c>
      <c r="H4266" t="s">
        <v>3</v>
      </c>
      <c r="I4266" t="s">
        <v>3</v>
      </c>
      <c r="J4266" t="s">
        <v>9</v>
      </c>
      <c r="K4266" t="s">
        <v>9</v>
      </c>
      <c r="L4266" t="s">
        <v>14</v>
      </c>
      <c r="M4266" t="s">
        <v>114</v>
      </c>
      <c r="N4266" s="2">
        <v>46053</v>
      </c>
    </row>
    <row r="4267" spans="1:14" x14ac:dyDescent="0.25">
      <c r="A4267" t="s">
        <v>572</v>
      </c>
      <c r="B4267" s="2">
        <v>46022</v>
      </c>
      <c r="C4267" t="s">
        <v>572</v>
      </c>
      <c r="D4267" t="s">
        <v>112</v>
      </c>
      <c r="E4267" t="s">
        <v>9</v>
      </c>
      <c r="F4267" s="3">
        <v>-139900</v>
      </c>
      <c r="G4267" s="3">
        <v>-139900</v>
      </c>
      <c r="H4267" t="s">
        <v>3</v>
      </c>
      <c r="I4267" t="s">
        <v>3</v>
      </c>
      <c r="J4267" t="s">
        <v>298</v>
      </c>
      <c r="K4267" t="s">
        <v>13</v>
      </c>
      <c r="L4267" t="s">
        <v>14</v>
      </c>
      <c r="M4267" t="s">
        <v>114</v>
      </c>
      <c r="N4267" s="2">
        <v>46023</v>
      </c>
    </row>
    <row r="4268" spans="1:14" x14ac:dyDescent="0.25">
      <c r="A4268" t="s">
        <v>572</v>
      </c>
      <c r="B4268" s="2">
        <v>46022</v>
      </c>
      <c r="C4268" t="s">
        <v>572</v>
      </c>
      <c r="D4268" t="s">
        <v>112</v>
      </c>
      <c r="E4268" t="s">
        <v>9</v>
      </c>
      <c r="F4268" s="3">
        <v>-2500</v>
      </c>
      <c r="G4268" s="3">
        <v>-2500</v>
      </c>
      <c r="H4268" t="s">
        <v>3</v>
      </c>
      <c r="I4268" t="s">
        <v>3</v>
      </c>
      <c r="J4268" t="s">
        <v>381</v>
      </c>
      <c r="K4268" t="s">
        <v>13</v>
      </c>
      <c r="L4268" t="s">
        <v>14</v>
      </c>
      <c r="M4268" t="s">
        <v>114</v>
      </c>
      <c r="N4268" s="2">
        <v>46023</v>
      </c>
    </row>
    <row r="4269" spans="1:14" x14ac:dyDescent="0.25">
      <c r="A4269" t="s">
        <v>572</v>
      </c>
      <c r="B4269" s="2">
        <v>46023</v>
      </c>
      <c r="C4269" t="s">
        <v>572</v>
      </c>
      <c r="D4269" t="s">
        <v>112</v>
      </c>
      <c r="E4269" t="s">
        <v>9</v>
      </c>
      <c r="F4269" s="3">
        <v>139900</v>
      </c>
      <c r="G4269" s="3">
        <v>139900</v>
      </c>
      <c r="H4269" t="s">
        <v>3</v>
      </c>
      <c r="I4269" t="s">
        <v>3</v>
      </c>
      <c r="J4269" t="s">
        <v>298</v>
      </c>
      <c r="K4269" t="s">
        <v>13</v>
      </c>
      <c r="L4269" t="s">
        <v>14</v>
      </c>
      <c r="M4269" t="s">
        <v>114</v>
      </c>
      <c r="N4269" s="2">
        <v>46023</v>
      </c>
    </row>
    <row r="4270" spans="1:14" x14ac:dyDescent="0.25">
      <c r="A4270" t="s">
        <v>572</v>
      </c>
      <c r="B4270" s="2">
        <v>46023</v>
      </c>
      <c r="C4270" t="s">
        <v>572</v>
      </c>
      <c r="D4270" t="s">
        <v>112</v>
      </c>
      <c r="E4270" t="s">
        <v>9</v>
      </c>
      <c r="F4270" s="3">
        <v>2500</v>
      </c>
      <c r="G4270" s="3">
        <v>2500</v>
      </c>
      <c r="H4270" t="s">
        <v>3</v>
      </c>
      <c r="I4270" t="s">
        <v>3</v>
      </c>
      <c r="J4270" t="s">
        <v>381</v>
      </c>
      <c r="K4270" t="s">
        <v>13</v>
      </c>
      <c r="L4270" t="s">
        <v>14</v>
      </c>
      <c r="M4270" t="s">
        <v>114</v>
      </c>
      <c r="N4270" s="2">
        <v>46023</v>
      </c>
    </row>
    <row r="4271" spans="1:14" x14ac:dyDescent="0.25">
      <c r="A4271" t="s">
        <v>572</v>
      </c>
      <c r="B4271" s="2">
        <v>46053</v>
      </c>
      <c r="C4271" t="s">
        <v>572</v>
      </c>
      <c r="D4271" t="s">
        <v>112</v>
      </c>
      <c r="E4271" t="s">
        <v>9</v>
      </c>
      <c r="F4271" s="3">
        <v>74650</v>
      </c>
      <c r="G4271" s="3">
        <v>74650</v>
      </c>
      <c r="H4271" t="s">
        <v>3</v>
      </c>
      <c r="I4271" t="s">
        <v>3</v>
      </c>
      <c r="J4271" t="s">
        <v>300</v>
      </c>
      <c r="K4271" t="s">
        <v>13</v>
      </c>
      <c r="L4271" t="s">
        <v>14</v>
      </c>
      <c r="M4271" t="s">
        <v>114</v>
      </c>
      <c r="N4271" s="2">
        <v>46053</v>
      </c>
    </row>
    <row r="4272" spans="1:14" x14ac:dyDescent="0.25">
      <c r="A4272" t="s">
        <v>572</v>
      </c>
      <c r="B4272" s="2">
        <v>46053</v>
      </c>
      <c r="C4272" t="s">
        <v>572</v>
      </c>
      <c r="D4272" t="s">
        <v>112</v>
      </c>
      <c r="E4272" t="s">
        <v>9</v>
      </c>
      <c r="F4272" s="3">
        <v>29185</v>
      </c>
      <c r="G4272" s="3">
        <v>29185</v>
      </c>
      <c r="H4272" t="s">
        <v>3</v>
      </c>
      <c r="I4272" t="s">
        <v>3</v>
      </c>
      <c r="J4272" t="s">
        <v>391</v>
      </c>
      <c r="K4272" t="s">
        <v>13</v>
      </c>
      <c r="L4272" t="s">
        <v>14</v>
      </c>
      <c r="M4272" t="s">
        <v>114</v>
      </c>
      <c r="N4272" s="2">
        <v>46053</v>
      </c>
    </row>
    <row r="4273" spans="1:14" x14ac:dyDescent="0.25">
      <c r="A4273" s="4" t="s">
        <v>234</v>
      </c>
      <c r="B4273" s="5"/>
      <c r="C4273" s="4" t="s">
        <v>9</v>
      </c>
      <c r="D4273" s="4" t="s">
        <v>9</v>
      </c>
      <c r="E4273" s="4" t="s">
        <v>9</v>
      </c>
      <c r="F4273" s="6">
        <v>0</v>
      </c>
      <c r="G4273" s="6">
        <v>0</v>
      </c>
      <c r="H4273" s="4" t="s">
        <v>9</v>
      </c>
      <c r="I4273" s="4" t="s">
        <v>3</v>
      </c>
      <c r="J4273" s="4" t="s">
        <v>9</v>
      </c>
      <c r="K4273" s="4" t="s">
        <v>9</v>
      </c>
      <c r="L4273" s="4" t="s">
        <v>9</v>
      </c>
      <c r="M4273" s="4" t="s">
        <v>9</v>
      </c>
      <c r="N4273" s="5"/>
    </row>
    <row r="4274" spans="1:14" x14ac:dyDescent="0.25">
      <c r="A4274" t="s">
        <v>572</v>
      </c>
      <c r="B4274" s="2">
        <v>46084</v>
      </c>
      <c r="C4274" t="s">
        <v>572</v>
      </c>
      <c r="D4274" t="s">
        <v>112</v>
      </c>
      <c r="E4274" t="s">
        <v>9</v>
      </c>
      <c r="F4274" s="3">
        <v>-85530</v>
      </c>
      <c r="G4274" s="3">
        <v>-85530</v>
      </c>
      <c r="H4274" t="s">
        <v>3</v>
      </c>
      <c r="I4274" t="s">
        <v>3</v>
      </c>
      <c r="J4274" t="s">
        <v>9</v>
      </c>
      <c r="K4274" t="s">
        <v>9</v>
      </c>
      <c r="L4274" t="s">
        <v>15</v>
      </c>
      <c r="M4274" t="s">
        <v>114</v>
      </c>
      <c r="N4274" s="2">
        <v>46081</v>
      </c>
    </row>
    <row r="4275" spans="1:14" x14ac:dyDescent="0.25">
      <c r="A4275" t="s">
        <v>572</v>
      </c>
      <c r="B4275" s="2">
        <v>46054</v>
      </c>
      <c r="C4275" t="s">
        <v>572</v>
      </c>
      <c r="D4275" t="s">
        <v>112</v>
      </c>
      <c r="E4275" t="s">
        <v>9</v>
      </c>
      <c r="F4275" s="3">
        <v>-74650</v>
      </c>
      <c r="G4275" s="3">
        <v>-74650</v>
      </c>
      <c r="H4275" t="s">
        <v>3</v>
      </c>
      <c r="I4275" t="s">
        <v>3</v>
      </c>
      <c r="J4275" t="s">
        <v>300</v>
      </c>
      <c r="K4275" t="s">
        <v>13</v>
      </c>
      <c r="L4275" t="s">
        <v>15</v>
      </c>
      <c r="M4275" t="s">
        <v>114</v>
      </c>
      <c r="N4275" s="2">
        <v>46054</v>
      </c>
    </row>
    <row r="4276" spans="1:14" x14ac:dyDescent="0.25">
      <c r="A4276" t="s">
        <v>572</v>
      </c>
      <c r="B4276" s="2">
        <v>46054</v>
      </c>
      <c r="C4276" t="s">
        <v>572</v>
      </c>
      <c r="D4276" t="s">
        <v>112</v>
      </c>
      <c r="E4276" t="s">
        <v>9</v>
      </c>
      <c r="F4276" s="3">
        <v>-29185</v>
      </c>
      <c r="G4276" s="3">
        <v>-29185</v>
      </c>
      <c r="H4276" t="s">
        <v>3</v>
      </c>
      <c r="I4276" t="s">
        <v>3</v>
      </c>
      <c r="J4276" t="s">
        <v>391</v>
      </c>
      <c r="K4276" t="s">
        <v>13</v>
      </c>
      <c r="L4276" t="s">
        <v>15</v>
      </c>
      <c r="M4276" t="s">
        <v>114</v>
      </c>
      <c r="N4276" s="2">
        <v>46054</v>
      </c>
    </row>
    <row r="4277" spans="1:14" x14ac:dyDescent="0.25">
      <c r="A4277" t="s">
        <v>572</v>
      </c>
      <c r="B4277" s="2">
        <v>46054</v>
      </c>
      <c r="C4277" t="s">
        <v>572</v>
      </c>
      <c r="D4277" t="s">
        <v>112</v>
      </c>
      <c r="E4277" t="s">
        <v>9</v>
      </c>
      <c r="F4277" s="3">
        <v>74650</v>
      </c>
      <c r="G4277" s="3">
        <v>74650</v>
      </c>
      <c r="H4277" t="s">
        <v>3</v>
      </c>
      <c r="I4277" t="s">
        <v>3</v>
      </c>
      <c r="J4277" t="s">
        <v>300</v>
      </c>
      <c r="K4277" t="s">
        <v>13</v>
      </c>
      <c r="L4277" t="s">
        <v>15</v>
      </c>
      <c r="M4277" t="s">
        <v>114</v>
      </c>
      <c r="N4277" s="2">
        <v>46055</v>
      </c>
    </row>
    <row r="4278" spans="1:14" x14ac:dyDescent="0.25">
      <c r="A4278" t="s">
        <v>572</v>
      </c>
      <c r="B4278" s="2">
        <v>46054</v>
      </c>
      <c r="C4278" t="s">
        <v>572</v>
      </c>
      <c r="D4278" t="s">
        <v>112</v>
      </c>
      <c r="E4278" t="s">
        <v>9</v>
      </c>
      <c r="F4278" s="3">
        <v>29185</v>
      </c>
      <c r="G4278" s="3">
        <v>29185</v>
      </c>
      <c r="H4278" t="s">
        <v>3</v>
      </c>
      <c r="I4278" t="s">
        <v>3</v>
      </c>
      <c r="J4278" t="s">
        <v>391</v>
      </c>
      <c r="K4278" t="s">
        <v>13</v>
      </c>
      <c r="L4278" t="s">
        <v>15</v>
      </c>
      <c r="M4278" t="s">
        <v>114</v>
      </c>
      <c r="N4278" s="2">
        <v>46055</v>
      </c>
    </row>
    <row r="4279" spans="1:14" x14ac:dyDescent="0.25">
      <c r="A4279" t="s">
        <v>572</v>
      </c>
      <c r="B4279" s="2">
        <v>46054</v>
      </c>
      <c r="C4279" t="s">
        <v>572</v>
      </c>
      <c r="D4279" t="s">
        <v>112</v>
      </c>
      <c r="E4279" t="s">
        <v>9</v>
      </c>
      <c r="F4279" s="3">
        <v>-74650</v>
      </c>
      <c r="G4279" s="3">
        <v>-74650</v>
      </c>
      <c r="H4279" t="s">
        <v>3</v>
      </c>
      <c r="I4279" t="s">
        <v>3</v>
      </c>
      <c r="J4279" t="s">
        <v>300</v>
      </c>
      <c r="K4279" t="s">
        <v>13</v>
      </c>
      <c r="L4279" t="s">
        <v>15</v>
      </c>
      <c r="M4279" t="s">
        <v>114</v>
      </c>
      <c r="N4279" s="2">
        <v>46054</v>
      </c>
    </row>
    <row r="4280" spans="1:14" x14ac:dyDescent="0.25">
      <c r="A4280" t="s">
        <v>572</v>
      </c>
      <c r="B4280" s="2">
        <v>46054</v>
      </c>
      <c r="C4280" t="s">
        <v>572</v>
      </c>
      <c r="D4280" t="s">
        <v>112</v>
      </c>
      <c r="E4280" t="s">
        <v>9</v>
      </c>
      <c r="F4280" s="3">
        <v>-29185</v>
      </c>
      <c r="G4280" s="3">
        <v>-29185</v>
      </c>
      <c r="H4280" t="s">
        <v>3</v>
      </c>
      <c r="I4280" t="s">
        <v>3</v>
      </c>
      <c r="J4280" t="s">
        <v>391</v>
      </c>
      <c r="K4280" t="s">
        <v>13</v>
      </c>
      <c r="L4280" t="s">
        <v>15</v>
      </c>
      <c r="M4280" t="s">
        <v>114</v>
      </c>
      <c r="N4280" s="2">
        <v>46054</v>
      </c>
    </row>
    <row r="4281" spans="1:14" x14ac:dyDescent="0.25">
      <c r="A4281" t="s">
        <v>572</v>
      </c>
      <c r="B4281" s="2">
        <v>46081</v>
      </c>
      <c r="C4281" t="s">
        <v>572</v>
      </c>
      <c r="D4281" t="s">
        <v>112</v>
      </c>
      <c r="E4281" t="s">
        <v>9</v>
      </c>
      <c r="F4281" s="3">
        <v>123000</v>
      </c>
      <c r="G4281" s="3">
        <v>123000</v>
      </c>
      <c r="H4281" t="s">
        <v>3</v>
      </c>
      <c r="I4281" t="s">
        <v>3</v>
      </c>
      <c r="J4281" t="s">
        <v>304</v>
      </c>
      <c r="K4281" t="s">
        <v>13</v>
      </c>
      <c r="L4281" t="s">
        <v>15</v>
      </c>
      <c r="M4281" t="s">
        <v>114</v>
      </c>
      <c r="N4281" s="2">
        <v>46081</v>
      </c>
    </row>
    <row r="4282" spans="1:14" x14ac:dyDescent="0.25">
      <c r="A4282" t="s">
        <v>572</v>
      </c>
      <c r="B4282" s="2">
        <v>46081</v>
      </c>
      <c r="C4282" t="s">
        <v>572</v>
      </c>
      <c r="D4282" t="s">
        <v>112</v>
      </c>
      <c r="E4282" t="s">
        <v>9</v>
      </c>
      <c r="F4282" s="3">
        <v>66365</v>
      </c>
      <c r="G4282" s="3">
        <v>66365</v>
      </c>
      <c r="H4282" t="s">
        <v>3</v>
      </c>
      <c r="I4282" t="s">
        <v>3</v>
      </c>
      <c r="J4282" t="s">
        <v>393</v>
      </c>
      <c r="K4282" t="s">
        <v>13</v>
      </c>
      <c r="L4282" t="s">
        <v>15</v>
      </c>
      <c r="M4282" t="s">
        <v>114</v>
      </c>
      <c r="N4282" s="2">
        <v>46081</v>
      </c>
    </row>
    <row r="4283" spans="1:14" x14ac:dyDescent="0.25">
      <c r="A4283" s="4" t="s">
        <v>239</v>
      </c>
      <c r="B4283" s="5"/>
      <c r="C4283" s="4" t="s">
        <v>9</v>
      </c>
      <c r="D4283" s="4" t="s">
        <v>9</v>
      </c>
      <c r="E4283" s="4" t="s">
        <v>9</v>
      </c>
      <c r="F4283" s="6">
        <v>0</v>
      </c>
      <c r="G4283" s="6">
        <v>0</v>
      </c>
      <c r="H4283" s="4" t="s">
        <v>9</v>
      </c>
      <c r="I4283" s="4" t="s">
        <v>3</v>
      </c>
      <c r="J4283" s="4" t="s">
        <v>9</v>
      </c>
      <c r="K4283" s="4" t="s">
        <v>9</v>
      </c>
      <c r="L4283" s="4" t="s">
        <v>9</v>
      </c>
      <c r="M4283" s="4" t="s">
        <v>9</v>
      </c>
      <c r="N4283" s="5"/>
    </row>
    <row r="4284" spans="1:14" x14ac:dyDescent="0.25">
      <c r="A4284" t="s">
        <v>572</v>
      </c>
      <c r="B4284" s="2">
        <v>46115</v>
      </c>
      <c r="C4284" t="s">
        <v>572</v>
      </c>
      <c r="D4284" t="s">
        <v>112</v>
      </c>
      <c r="E4284" t="s">
        <v>9</v>
      </c>
      <c r="F4284" s="3">
        <v>-154883</v>
      </c>
      <c r="G4284" s="3">
        <v>-154883</v>
      </c>
      <c r="H4284" t="s">
        <v>3</v>
      </c>
      <c r="I4284" t="s">
        <v>3</v>
      </c>
      <c r="J4284" t="s">
        <v>9</v>
      </c>
      <c r="K4284" t="s">
        <v>9</v>
      </c>
      <c r="L4284" t="s">
        <v>16</v>
      </c>
      <c r="M4284" t="s">
        <v>114</v>
      </c>
      <c r="N4284" s="2">
        <v>46112</v>
      </c>
    </row>
    <row r="4285" spans="1:14" x14ac:dyDescent="0.25">
      <c r="A4285" t="s">
        <v>572</v>
      </c>
      <c r="B4285" s="2">
        <v>46081</v>
      </c>
      <c r="C4285" t="s">
        <v>572</v>
      </c>
      <c r="D4285" t="s">
        <v>112</v>
      </c>
      <c r="E4285" t="s">
        <v>9</v>
      </c>
      <c r="F4285" s="3">
        <v>-123000</v>
      </c>
      <c r="G4285" s="3">
        <v>-123000</v>
      </c>
      <c r="H4285" t="s">
        <v>3</v>
      </c>
      <c r="I4285" t="s">
        <v>3</v>
      </c>
      <c r="J4285" t="s">
        <v>304</v>
      </c>
      <c r="K4285" t="s">
        <v>13</v>
      </c>
      <c r="L4285" t="s">
        <v>16</v>
      </c>
      <c r="M4285" t="s">
        <v>114</v>
      </c>
      <c r="N4285" s="2">
        <v>46082</v>
      </c>
    </row>
    <row r="4286" spans="1:14" x14ac:dyDescent="0.25">
      <c r="A4286" t="s">
        <v>572</v>
      </c>
      <c r="B4286" s="2">
        <v>46081</v>
      </c>
      <c r="C4286" t="s">
        <v>572</v>
      </c>
      <c r="D4286" t="s">
        <v>112</v>
      </c>
      <c r="E4286" t="s">
        <v>9</v>
      </c>
      <c r="F4286" s="3">
        <v>-66365</v>
      </c>
      <c r="G4286" s="3">
        <v>-66365</v>
      </c>
      <c r="H4286" t="s">
        <v>3</v>
      </c>
      <c r="I4286" t="s">
        <v>3</v>
      </c>
      <c r="J4286" t="s">
        <v>393</v>
      </c>
      <c r="K4286" t="s">
        <v>13</v>
      </c>
      <c r="L4286" t="s">
        <v>16</v>
      </c>
      <c r="M4286" t="s">
        <v>114</v>
      </c>
      <c r="N4286" s="2">
        <v>46082</v>
      </c>
    </row>
    <row r="4287" spans="1:14" x14ac:dyDescent="0.25">
      <c r="A4287" t="s">
        <v>572</v>
      </c>
      <c r="B4287" s="2">
        <v>46112</v>
      </c>
      <c r="C4287" t="s">
        <v>572</v>
      </c>
      <c r="D4287" t="s">
        <v>112</v>
      </c>
      <c r="E4287" t="s">
        <v>9</v>
      </c>
      <c r="F4287" s="3">
        <v>236323</v>
      </c>
      <c r="G4287" s="3">
        <v>236323</v>
      </c>
      <c r="H4287" t="s">
        <v>3</v>
      </c>
      <c r="I4287" t="s">
        <v>3</v>
      </c>
      <c r="J4287" t="s">
        <v>307</v>
      </c>
      <c r="K4287" t="s">
        <v>13</v>
      </c>
      <c r="L4287" t="s">
        <v>16</v>
      </c>
      <c r="M4287" t="s">
        <v>114</v>
      </c>
      <c r="N4287" s="2">
        <v>46112</v>
      </c>
    </row>
    <row r="4288" spans="1:14" x14ac:dyDescent="0.25">
      <c r="A4288" t="s">
        <v>572</v>
      </c>
      <c r="B4288" s="2">
        <v>46112</v>
      </c>
      <c r="C4288" t="s">
        <v>572</v>
      </c>
      <c r="D4288" t="s">
        <v>112</v>
      </c>
      <c r="E4288" t="s">
        <v>9</v>
      </c>
      <c r="F4288" s="3">
        <v>107925</v>
      </c>
      <c r="G4288" s="3">
        <v>107925</v>
      </c>
      <c r="H4288" t="s">
        <v>3</v>
      </c>
      <c r="I4288" t="s">
        <v>3</v>
      </c>
      <c r="J4288" t="s">
        <v>395</v>
      </c>
      <c r="K4288" t="s">
        <v>13</v>
      </c>
      <c r="L4288" t="s">
        <v>16</v>
      </c>
      <c r="M4288" t="s">
        <v>114</v>
      </c>
      <c r="N4288" s="2">
        <v>46112</v>
      </c>
    </row>
    <row r="4289" spans="1:14" x14ac:dyDescent="0.25">
      <c r="A4289" s="4" t="s">
        <v>244</v>
      </c>
      <c r="B4289" s="5"/>
      <c r="C4289" s="4" t="s">
        <v>9</v>
      </c>
      <c r="D4289" s="4" t="s">
        <v>9</v>
      </c>
      <c r="E4289" s="4" t="s">
        <v>9</v>
      </c>
      <c r="F4289" s="6">
        <v>0</v>
      </c>
      <c r="G4289" s="6">
        <v>0</v>
      </c>
      <c r="H4289" s="4" t="s">
        <v>9</v>
      </c>
      <c r="I4289" s="4" t="s">
        <v>3</v>
      </c>
      <c r="J4289" s="4" t="s">
        <v>9</v>
      </c>
      <c r="K4289" s="4" t="s">
        <v>9</v>
      </c>
      <c r="L4289" s="4" t="s">
        <v>9</v>
      </c>
      <c r="M4289" s="4" t="s">
        <v>9</v>
      </c>
      <c r="N4289" s="5"/>
    </row>
    <row r="4290" spans="1:14" x14ac:dyDescent="0.25">
      <c r="A4290" t="s">
        <v>572</v>
      </c>
      <c r="B4290" s="2">
        <v>46147</v>
      </c>
      <c r="C4290" t="s">
        <v>572</v>
      </c>
      <c r="D4290" t="s">
        <v>112</v>
      </c>
      <c r="E4290" t="s">
        <v>9</v>
      </c>
      <c r="F4290" s="3">
        <v>-96456</v>
      </c>
      <c r="G4290" s="3">
        <v>-96456</v>
      </c>
      <c r="H4290" t="s">
        <v>3</v>
      </c>
      <c r="I4290" t="s">
        <v>3</v>
      </c>
      <c r="J4290" t="s">
        <v>9</v>
      </c>
      <c r="K4290" t="s">
        <v>9</v>
      </c>
      <c r="L4290" t="s">
        <v>17</v>
      </c>
      <c r="M4290" t="s">
        <v>114</v>
      </c>
      <c r="N4290" s="2">
        <v>46142</v>
      </c>
    </row>
    <row r="4291" spans="1:14" x14ac:dyDescent="0.25">
      <c r="A4291" t="s">
        <v>572</v>
      </c>
      <c r="B4291" s="2">
        <v>46112</v>
      </c>
      <c r="C4291" t="s">
        <v>572</v>
      </c>
      <c r="D4291" t="s">
        <v>112</v>
      </c>
      <c r="E4291" t="s">
        <v>9</v>
      </c>
      <c r="F4291" s="3">
        <v>-236323</v>
      </c>
      <c r="G4291" s="3">
        <v>-236323</v>
      </c>
      <c r="H4291" t="s">
        <v>3</v>
      </c>
      <c r="I4291" t="s">
        <v>3</v>
      </c>
      <c r="J4291" t="s">
        <v>307</v>
      </c>
      <c r="K4291" t="s">
        <v>13</v>
      </c>
      <c r="L4291" t="s">
        <v>17</v>
      </c>
      <c r="M4291" t="s">
        <v>114</v>
      </c>
      <c r="N4291" s="2">
        <v>46113</v>
      </c>
    </row>
    <row r="4292" spans="1:14" x14ac:dyDescent="0.25">
      <c r="A4292" t="s">
        <v>572</v>
      </c>
      <c r="B4292" s="2">
        <v>46112</v>
      </c>
      <c r="C4292" t="s">
        <v>572</v>
      </c>
      <c r="D4292" t="s">
        <v>112</v>
      </c>
      <c r="E4292" t="s">
        <v>9</v>
      </c>
      <c r="F4292" s="3">
        <v>-107925</v>
      </c>
      <c r="G4292" s="3">
        <v>-107925</v>
      </c>
      <c r="H4292" t="s">
        <v>3</v>
      </c>
      <c r="I4292" t="s">
        <v>3</v>
      </c>
      <c r="J4292" t="s">
        <v>395</v>
      </c>
      <c r="K4292" t="s">
        <v>13</v>
      </c>
      <c r="L4292" t="s">
        <v>17</v>
      </c>
      <c r="M4292" t="s">
        <v>114</v>
      </c>
      <c r="N4292" s="2">
        <v>46113</v>
      </c>
    </row>
    <row r="4293" spans="1:14" x14ac:dyDescent="0.25">
      <c r="A4293" t="s">
        <v>572</v>
      </c>
      <c r="B4293" s="2">
        <v>46142</v>
      </c>
      <c r="C4293" t="s">
        <v>572</v>
      </c>
      <c r="D4293" t="s">
        <v>112</v>
      </c>
      <c r="E4293" t="s">
        <v>9</v>
      </c>
      <c r="F4293" s="3">
        <v>294219</v>
      </c>
      <c r="G4293" s="3">
        <v>294219</v>
      </c>
      <c r="H4293" t="s">
        <v>3</v>
      </c>
      <c r="I4293" t="s">
        <v>3</v>
      </c>
      <c r="J4293" t="s">
        <v>310</v>
      </c>
      <c r="K4293" t="s">
        <v>13</v>
      </c>
      <c r="L4293" t="s">
        <v>17</v>
      </c>
      <c r="M4293" t="s">
        <v>114</v>
      </c>
      <c r="N4293" s="2">
        <v>46142</v>
      </c>
    </row>
    <row r="4294" spans="1:14" x14ac:dyDescent="0.25">
      <c r="A4294" t="s">
        <v>572</v>
      </c>
      <c r="B4294" s="2">
        <v>46142</v>
      </c>
      <c r="C4294" t="s">
        <v>572</v>
      </c>
      <c r="D4294" t="s">
        <v>112</v>
      </c>
      <c r="E4294" t="s">
        <v>9</v>
      </c>
      <c r="F4294" s="3">
        <v>128885</v>
      </c>
      <c r="G4294" s="3">
        <v>128885</v>
      </c>
      <c r="H4294" t="s">
        <v>3</v>
      </c>
      <c r="I4294" t="s">
        <v>3</v>
      </c>
      <c r="J4294" t="s">
        <v>423</v>
      </c>
      <c r="K4294" t="s">
        <v>13</v>
      </c>
      <c r="L4294" t="s">
        <v>17</v>
      </c>
      <c r="M4294" t="s">
        <v>114</v>
      </c>
      <c r="N4294" s="2">
        <v>46142</v>
      </c>
    </row>
    <row r="4295" spans="1:14" x14ac:dyDescent="0.25">
      <c r="A4295" t="s">
        <v>572</v>
      </c>
      <c r="B4295" s="2">
        <v>46142</v>
      </c>
      <c r="C4295" t="s">
        <v>572</v>
      </c>
      <c r="D4295" t="s">
        <v>112</v>
      </c>
      <c r="E4295" t="s">
        <v>9</v>
      </c>
      <c r="F4295" s="3">
        <v>17600</v>
      </c>
      <c r="G4295" s="3">
        <v>17600</v>
      </c>
      <c r="H4295" t="s">
        <v>3</v>
      </c>
      <c r="I4295" t="s">
        <v>3</v>
      </c>
      <c r="J4295" t="s">
        <v>573</v>
      </c>
      <c r="K4295" t="s">
        <v>13</v>
      </c>
      <c r="L4295" t="s">
        <v>17</v>
      </c>
      <c r="M4295" t="s">
        <v>114</v>
      </c>
      <c r="N4295" s="2">
        <v>46142</v>
      </c>
    </row>
    <row r="4296" spans="1:14" x14ac:dyDescent="0.25">
      <c r="A4296" s="4" t="s">
        <v>249</v>
      </c>
      <c r="B4296" s="5"/>
      <c r="C4296" s="4" t="s">
        <v>9</v>
      </c>
      <c r="D4296" s="4" t="s">
        <v>9</v>
      </c>
      <c r="E4296" s="4" t="s">
        <v>9</v>
      </c>
      <c r="F4296" s="6">
        <v>0</v>
      </c>
      <c r="G4296" s="6">
        <v>0</v>
      </c>
      <c r="H4296" s="4" t="s">
        <v>9</v>
      </c>
      <c r="I4296" s="4" t="s">
        <v>3</v>
      </c>
      <c r="J4296" s="4" t="s">
        <v>9</v>
      </c>
      <c r="K4296" s="4" t="s">
        <v>9</v>
      </c>
      <c r="L4296" s="4" t="s">
        <v>9</v>
      </c>
      <c r="M4296" s="4" t="s">
        <v>9</v>
      </c>
      <c r="N4296" s="5"/>
    </row>
    <row r="4297" spans="1:14" x14ac:dyDescent="0.25">
      <c r="A4297" t="s">
        <v>572</v>
      </c>
      <c r="B4297" s="2">
        <v>46175</v>
      </c>
      <c r="C4297" t="s">
        <v>572</v>
      </c>
      <c r="D4297" t="s">
        <v>112</v>
      </c>
      <c r="E4297" t="s">
        <v>9</v>
      </c>
      <c r="F4297" s="3">
        <v>-127014</v>
      </c>
      <c r="G4297" s="3">
        <v>-127014</v>
      </c>
      <c r="H4297" t="s">
        <v>3</v>
      </c>
      <c r="I4297" t="s">
        <v>3</v>
      </c>
      <c r="J4297" t="s">
        <v>9</v>
      </c>
      <c r="K4297" t="s">
        <v>9</v>
      </c>
      <c r="L4297" t="s">
        <v>18</v>
      </c>
      <c r="M4297" t="s">
        <v>114</v>
      </c>
      <c r="N4297" s="2">
        <v>46173</v>
      </c>
    </row>
    <row r="4298" spans="1:14" x14ac:dyDescent="0.25">
      <c r="A4298" t="s">
        <v>572</v>
      </c>
      <c r="B4298" s="2">
        <v>46142</v>
      </c>
      <c r="C4298" t="s">
        <v>572</v>
      </c>
      <c r="D4298" t="s">
        <v>112</v>
      </c>
      <c r="E4298" t="s">
        <v>9</v>
      </c>
      <c r="F4298" s="3">
        <v>-294219</v>
      </c>
      <c r="G4298" s="3">
        <v>-294219</v>
      </c>
      <c r="H4298" t="s">
        <v>3</v>
      </c>
      <c r="I4298" t="s">
        <v>3</v>
      </c>
      <c r="J4298" t="s">
        <v>310</v>
      </c>
      <c r="K4298" t="s">
        <v>13</v>
      </c>
      <c r="L4298" t="s">
        <v>18</v>
      </c>
      <c r="M4298" t="s">
        <v>114</v>
      </c>
      <c r="N4298" s="2">
        <v>46143</v>
      </c>
    </row>
    <row r="4299" spans="1:14" x14ac:dyDescent="0.25">
      <c r="A4299" t="s">
        <v>572</v>
      </c>
      <c r="B4299" s="2">
        <v>46142</v>
      </c>
      <c r="C4299" t="s">
        <v>572</v>
      </c>
      <c r="D4299" t="s">
        <v>112</v>
      </c>
      <c r="E4299" t="s">
        <v>9</v>
      </c>
      <c r="F4299" s="3">
        <v>-128885</v>
      </c>
      <c r="G4299" s="3">
        <v>-128885</v>
      </c>
      <c r="H4299" t="s">
        <v>3</v>
      </c>
      <c r="I4299" t="s">
        <v>3</v>
      </c>
      <c r="J4299" t="s">
        <v>423</v>
      </c>
      <c r="K4299" t="s">
        <v>13</v>
      </c>
      <c r="L4299" t="s">
        <v>18</v>
      </c>
      <c r="M4299" t="s">
        <v>114</v>
      </c>
      <c r="N4299" s="2">
        <v>46143</v>
      </c>
    </row>
    <row r="4300" spans="1:14" x14ac:dyDescent="0.25">
      <c r="A4300" t="s">
        <v>572</v>
      </c>
      <c r="B4300" s="2">
        <v>46142</v>
      </c>
      <c r="C4300" t="s">
        <v>572</v>
      </c>
      <c r="D4300" t="s">
        <v>112</v>
      </c>
      <c r="E4300" t="s">
        <v>9</v>
      </c>
      <c r="F4300" s="3">
        <v>-17600</v>
      </c>
      <c r="G4300" s="3">
        <v>-17600</v>
      </c>
      <c r="H4300" t="s">
        <v>3</v>
      </c>
      <c r="I4300" t="s">
        <v>3</v>
      </c>
      <c r="J4300" t="s">
        <v>573</v>
      </c>
      <c r="K4300" t="s">
        <v>13</v>
      </c>
      <c r="L4300" t="s">
        <v>18</v>
      </c>
      <c r="M4300" t="s">
        <v>114</v>
      </c>
      <c r="N4300" s="2">
        <v>46143</v>
      </c>
    </row>
    <row r="4301" spans="1:14" x14ac:dyDescent="0.25">
      <c r="A4301" t="s">
        <v>572</v>
      </c>
      <c r="B4301" s="2">
        <v>46173</v>
      </c>
      <c r="C4301" t="s">
        <v>572</v>
      </c>
      <c r="D4301" t="s">
        <v>112</v>
      </c>
      <c r="E4301" t="s">
        <v>9</v>
      </c>
      <c r="F4301" s="3">
        <v>373643</v>
      </c>
      <c r="G4301" s="3">
        <v>373643</v>
      </c>
      <c r="H4301" t="s">
        <v>3</v>
      </c>
      <c r="I4301" t="s">
        <v>3</v>
      </c>
      <c r="J4301" t="s">
        <v>313</v>
      </c>
      <c r="K4301" t="s">
        <v>13</v>
      </c>
      <c r="L4301" t="s">
        <v>18</v>
      </c>
      <c r="M4301" t="s">
        <v>114</v>
      </c>
      <c r="N4301" s="2">
        <v>46173</v>
      </c>
    </row>
    <row r="4302" spans="1:14" x14ac:dyDescent="0.25">
      <c r="A4302" t="s">
        <v>572</v>
      </c>
      <c r="B4302" s="2">
        <v>46173</v>
      </c>
      <c r="C4302" t="s">
        <v>572</v>
      </c>
      <c r="D4302" t="s">
        <v>112</v>
      </c>
      <c r="E4302" t="s">
        <v>9</v>
      </c>
      <c r="F4302" s="3">
        <v>166635</v>
      </c>
      <c r="G4302" s="3">
        <v>166635</v>
      </c>
      <c r="H4302" t="s">
        <v>3</v>
      </c>
      <c r="I4302" t="s">
        <v>3</v>
      </c>
      <c r="J4302" t="s">
        <v>427</v>
      </c>
      <c r="K4302" t="s">
        <v>13</v>
      </c>
      <c r="L4302" t="s">
        <v>18</v>
      </c>
      <c r="M4302" t="s">
        <v>114</v>
      </c>
      <c r="N4302" s="2">
        <v>46173</v>
      </c>
    </row>
    <row r="4303" spans="1:14" x14ac:dyDescent="0.25">
      <c r="A4303" t="s">
        <v>572</v>
      </c>
      <c r="B4303" s="2">
        <v>46173</v>
      </c>
      <c r="C4303" t="s">
        <v>572</v>
      </c>
      <c r="D4303" t="s">
        <v>112</v>
      </c>
      <c r="E4303" t="s">
        <v>9</v>
      </c>
      <c r="F4303" s="3">
        <v>27440</v>
      </c>
      <c r="G4303" s="3">
        <v>27440</v>
      </c>
      <c r="H4303" t="s">
        <v>3</v>
      </c>
      <c r="I4303" t="s">
        <v>3</v>
      </c>
      <c r="J4303" t="s">
        <v>562</v>
      </c>
      <c r="K4303" t="s">
        <v>13</v>
      </c>
      <c r="L4303" t="s">
        <v>18</v>
      </c>
      <c r="M4303" t="s">
        <v>114</v>
      </c>
      <c r="N4303" s="2">
        <v>46173</v>
      </c>
    </row>
    <row r="4304" spans="1:14" x14ac:dyDescent="0.25">
      <c r="A4304" s="4" t="s">
        <v>223</v>
      </c>
      <c r="B4304" s="5"/>
      <c r="C4304" s="4" t="s">
        <v>9</v>
      </c>
      <c r="D4304" s="4" t="s">
        <v>9</v>
      </c>
      <c r="E4304" s="4" t="s">
        <v>9</v>
      </c>
      <c r="F4304" s="6">
        <v>0</v>
      </c>
      <c r="G4304" s="6">
        <v>0</v>
      </c>
      <c r="H4304" s="4" t="s">
        <v>9</v>
      </c>
      <c r="I4304" s="4" t="s">
        <v>3</v>
      </c>
      <c r="J4304" s="4" t="s">
        <v>9</v>
      </c>
      <c r="K4304" s="4" t="s">
        <v>9</v>
      </c>
      <c r="L4304" s="4" t="s">
        <v>9</v>
      </c>
      <c r="M4304" s="4" t="s">
        <v>9</v>
      </c>
      <c r="N4304" s="5"/>
    </row>
    <row r="4305" spans="1:14" x14ac:dyDescent="0.25">
      <c r="A4305" t="s">
        <v>572</v>
      </c>
      <c r="B4305" s="2">
        <v>46205</v>
      </c>
      <c r="C4305" t="s">
        <v>572</v>
      </c>
      <c r="D4305" t="s">
        <v>112</v>
      </c>
      <c r="E4305" t="s">
        <v>9</v>
      </c>
      <c r="F4305" s="3">
        <v>-199956.05</v>
      </c>
      <c r="G4305" s="3">
        <v>-199956.05</v>
      </c>
      <c r="H4305" t="s">
        <v>3</v>
      </c>
      <c r="I4305" t="s">
        <v>3</v>
      </c>
      <c r="J4305" t="s">
        <v>9</v>
      </c>
      <c r="K4305" t="s">
        <v>9</v>
      </c>
      <c r="L4305" t="s">
        <v>19</v>
      </c>
      <c r="M4305" t="s">
        <v>114</v>
      </c>
      <c r="N4305" s="2">
        <v>46203</v>
      </c>
    </row>
    <row r="4306" spans="1:14" x14ac:dyDescent="0.25">
      <c r="A4306" t="s">
        <v>572</v>
      </c>
      <c r="B4306" s="2">
        <v>46173</v>
      </c>
      <c r="C4306" t="s">
        <v>572</v>
      </c>
      <c r="D4306" t="s">
        <v>112</v>
      </c>
      <c r="E4306" t="s">
        <v>9</v>
      </c>
      <c r="F4306" s="3">
        <v>-373643</v>
      </c>
      <c r="G4306" s="3">
        <v>-373643</v>
      </c>
      <c r="H4306" t="s">
        <v>3</v>
      </c>
      <c r="I4306" t="s">
        <v>3</v>
      </c>
      <c r="J4306" t="s">
        <v>313</v>
      </c>
      <c r="K4306" t="s">
        <v>13</v>
      </c>
      <c r="L4306" t="s">
        <v>19</v>
      </c>
      <c r="M4306" t="s">
        <v>114</v>
      </c>
      <c r="N4306" s="2">
        <v>46174</v>
      </c>
    </row>
    <row r="4307" spans="1:14" x14ac:dyDescent="0.25">
      <c r="A4307" t="s">
        <v>572</v>
      </c>
      <c r="B4307" s="2">
        <v>46173</v>
      </c>
      <c r="C4307" t="s">
        <v>572</v>
      </c>
      <c r="D4307" t="s">
        <v>112</v>
      </c>
      <c r="E4307" t="s">
        <v>9</v>
      </c>
      <c r="F4307" s="3">
        <v>-166635</v>
      </c>
      <c r="G4307" s="3">
        <v>-166635</v>
      </c>
      <c r="H4307" t="s">
        <v>3</v>
      </c>
      <c r="I4307" t="s">
        <v>3</v>
      </c>
      <c r="J4307" t="s">
        <v>427</v>
      </c>
      <c r="K4307" t="s">
        <v>13</v>
      </c>
      <c r="L4307" t="s">
        <v>19</v>
      </c>
      <c r="M4307" t="s">
        <v>114</v>
      </c>
      <c r="N4307" s="2">
        <v>46174</v>
      </c>
    </row>
    <row r="4308" spans="1:14" x14ac:dyDescent="0.25">
      <c r="A4308" t="s">
        <v>572</v>
      </c>
      <c r="B4308" s="2">
        <v>46173</v>
      </c>
      <c r="C4308" t="s">
        <v>572</v>
      </c>
      <c r="D4308" t="s">
        <v>112</v>
      </c>
      <c r="E4308" t="s">
        <v>9</v>
      </c>
      <c r="F4308" s="3">
        <v>-27440</v>
      </c>
      <c r="G4308" s="3">
        <v>-27440</v>
      </c>
      <c r="H4308" t="s">
        <v>3</v>
      </c>
      <c r="I4308" t="s">
        <v>3</v>
      </c>
      <c r="J4308" t="s">
        <v>562</v>
      </c>
      <c r="K4308" t="s">
        <v>13</v>
      </c>
      <c r="L4308" t="s">
        <v>19</v>
      </c>
      <c r="M4308" t="s">
        <v>114</v>
      </c>
      <c r="N4308" s="2">
        <v>46174</v>
      </c>
    </row>
    <row r="4309" spans="1:14" x14ac:dyDescent="0.25">
      <c r="A4309" t="s">
        <v>572</v>
      </c>
      <c r="B4309" s="2">
        <v>46203</v>
      </c>
      <c r="C4309" t="s">
        <v>572</v>
      </c>
      <c r="D4309" t="s">
        <v>112</v>
      </c>
      <c r="E4309" t="s">
        <v>9</v>
      </c>
      <c r="F4309" s="3">
        <v>532446.57999999996</v>
      </c>
      <c r="G4309" s="3">
        <v>532446.57999999996</v>
      </c>
      <c r="H4309" t="s">
        <v>3</v>
      </c>
      <c r="I4309" t="s">
        <v>3</v>
      </c>
      <c r="J4309" t="s">
        <v>316</v>
      </c>
      <c r="K4309" t="s">
        <v>13</v>
      </c>
      <c r="L4309" t="s">
        <v>19</v>
      </c>
      <c r="M4309" t="s">
        <v>114</v>
      </c>
      <c r="N4309" s="2">
        <v>46203</v>
      </c>
    </row>
    <row r="4310" spans="1:14" x14ac:dyDescent="0.25">
      <c r="A4310" t="s">
        <v>572</v>
      </c>
      <c r="B4310" s="2">
        <v>46203</v>
      </c>
      <c r="C4310" t="s">
        <v>572</v>
      </c>
      <c r="D4310" t="s">
        <v>112</v>
      </c>
      <c r="E4310" t="s">
        <v>9</v>
      </c>
      <c r="F4310" s="3">
        <v>207787.47</v>
      </c>
      <c r="G4310" s="3">
        <v>207787.47</v>
      </c>
      <c r="H4310" t="s">
        <v>3</v>
      </c>
      <c r="I4310" t="s">
        <v>3</v>
      </c>
      <c r="J4310" t="s">
        <v>428</v>
      </c>
      <c r="K4310" t="s">
        <v>13</v>
      </c>
      <c r="L4310" t="s">
        <v>19</v>
      </c>
      <c r="M4310" t="s">
        <v>114</v>
      </c>
      <c r="N4310" s="2">
        <v>46203</v>
      </c>
    </row>
    <row r="4311" spans="1:14" x14ac:dyDescent="0.25">
      <c r="A4311" t="s">
        <v>572</v>
      </c>
      <c r="B4311" s="2">
        <v>46203</v>
      </c>
      <c r="C4311" t="s">
        <v>572</v>
      </c>
      <c r="D4311" t="s">
        <v>112</v>
      </c>
      <c r="E4311" t="s">
        <v>9</v>
      </c>
      <c r="F4311" s="3">
        <v>27440</v>
      </c>
      <c r="G4311" s="3">
        <v>27440</v>
      </c>
      <c r="H4311" t="s">
        <v>3</v>
      </c>
      <c r="I4311" t="s">
        <v>3</v>
      </c>
      <c r="J4311" t="s">
        <v>563</v>
      </c>
      <c r="K4311" t="s">
        <v>13</v>
      </c>
      <c r="L4311" t="s">
        <v>19</v>
      </c>
      <c r="M4311" t="s">
        <v>114</v>
      </c>
      <c r="N4311" s="2">
        <v>46203</v>
      </c>
    </row>
    <row r="4312" spans="1:14" x14ac:dyDescent="0.25">
      <c r="A4312" s="4" t="s">
        <v>224</v>
      </c>
      <c r="B4312" s="5"/>
      <c r="C4312" s="4" t="s">
        <v>9</v>
      </c>
      <c r="D4312" s="4" t="s">
        <v>9</v>
      </c>
      <c r="E4312" s="4" t="s">
        <v>9</v>
      </c>
      <c r="F4312" s="6">
        <v>0</v>
      </c>
      <c r="G4312" s="6">
        <v>0</v>
      </c>
      <c r="H4312" s="4" t="s">
        <v>9</v>
      </c>
      <c r="I4312" s="4" t="s">
        <v>3</v>
      </c>
      <c r="J4312" s="4" t="s">
        <v>9</v>
      </c>
      <c r="K4312" s="4" t="s">
        <v>9</v>
      </c>
      <c r="L4312" s="4" t="s">
        <v>9</v>
      </c>
      <c r="M4312" s="4" t="s">
        <v>9</v>
      </c>
      <c r="N4312" s="5"/>
    </row>
    <row r="4313" spans="1:14" x14ac:dyDescent="0.25">
      <c r="A4313" t="s">
        <v>572</v>
      </c>
      <c r="B4313" s="2">
        <v>46239</v>
      </c>
      <c r="C4313" t="s">
        <v>572</v>
      </c>
      <c r="D4313" t="s">
        <v>112</v>
      </c>
      <c r="E4313" t="s">
        <v>9</v>
      </c>
      <c r="F4313" s="3">
        <v>-188597.7</v>
      </c>
      <c r="G4313" s="3">
        <v>-188597.7</v>
      </c>
      <c r="H4313" t="s">
        <v>3</v>
      </c>
      <c r="I4313" t="s">
        <v>3</v>
      </c>
      <c r="J4313" t="s">
        <v>9</v>
      </c>
      <c r="K4313" t="s">
        <v>9</v>
      </c>
      <c r="L4313" t="s">
        <v>21</v>
      </c>
      <c r="M4313" t="s">
        <v>114</v>
      </c>
      <c r="N4313" s="2">
        <v>46234</v>
      </c>
    </row>
    <row r="4314" spans="1:14" x14ac:dyDescent="0.25">
      <c r="A4314" t="s">
        <v>572</v>
      </c>
      <c r="B4314" s="2">
        <v>46203</v>
      </c>
      <c r="C4314" t="s">
        <v>572</v>
      </c>
      <c r="D4314" t="s">
        <v>112</v>
      </c>
      <c r="E4314" t="s">
        <v>9</v>
      </c>
      <c r="F4314" s="3">
        <v>-532446.57999999996</v>
      </c>
      <c r="G4314" s="3">
        <v>-532446.57999999996</v>
      </c>
      <c r="H4314" t="s">
        <v>3</v>
      </c>
      <c r="I4314" t="s">
        <v>3</v>
      </c>
      <c r="J4314" t="s">
        <v>316</v>
      </c>
      <c r="K4314" t="s">
        <v>13</v>
      </c>
      <c r="L4314" t="s">
        <v>21</v>
      </c>
      <c r="M4314" t="s">
        <v>114</v>
      </c>
      <c r="N4314" s="2">
        <v>46204</v>
      </c>
    </row>
    <row r="4315" spans="1:14" x14ac:dyDescent="0.25">
      <c r="A4315" t="s">
        <v>572</v>
      </c>
      <c r="B4315" s="2">
        <v>46203</v>
      </c>
      <c r="C4315" t="s">
        <v>572</v>
      </c>
      <c r="D4315" t="s">
        <v>112</v>
      </c>
      <c r="E4315" t="s">
        <v>9</v>
      </c>
      <c r="F4315" s="3">
        <v>-207787.47</v>
      </c>
      <c r="G4315" s="3">
        <v>-207787.47</v>
      </c>
      <c r="H4315" t="s">
        <v>3</v>
      </c>
      <c r="I4315" t="s">
        <v>3</v>
      </c>
      <c r="J4315" t="s">
        <v>428</v>
      </c>
      <c r="K4315" t="s">
        <v>13</v>
      </c>
      <c r="L4315" t="s">
        <v>21</v>
      </c>
      <c r="M4315" t="s">
        <v>114</v>
      </c>
      <c r="N4315" s="2">
        <v>46204</v>
      </c>
    </row>
    <row r="4316" spans="1:14" x14ac:dyDescent="0.25">
      <c r="A4316" t="s">
        <v>572</v>
      </c>
      <c r="B4316" s="2">
        <v>46203</v>
      </c>
      <c r="C4316" t="s">
        <v>572</v>
      </c>
      <c r="D4316" t="s">
        <v>112</v>
      </c>
      <c r="E4316" t="s">
        <v>9</v>
      </c>
      <c r="F4316" s="3">
        <v>-27440</v>
      </c>
      <c r="G4316" s="3">
        <v>-27440</v>
      </c>
      <c r="H4316" t="s">
        <v>3</v>
      </c>
      <c r="I4316" t="s">
        <v>3</v>
      </c>
      <c r="J4316" t="s">
        <v>563</v>
      </c>
      <c r="K4316" t="s">
        <v>13</v>
      </c>
      <c r="L4316" t="s">
        <v>21</v>
      </c>
      <c r="M4316" t="s">
        <v>114</v>
      </c>
      <c r="N4316" s="2">
        <v>46204</v>
      </c>
    </row>
    <row r="4317" spans="1:14" x14ac:dyDescent="0.25">
      <c r="A4317" t="s">
        <v>572</v>
      </c>
      <c r="B4317" s="2">
        <v>46234</v>
      </c>
      <c r="C4317" t="s">
        <v>572</v>
      </c>
      <c r="D4317" t="s">
        <v>112</v>
      </c>
      <c r="E4317" t="s">
        <v>9</v>
      </c>
      <c r="F4317" s="3">
        <v>695438</v>
      </c>
      <c r="G4317" s="3">
        <v>695438</v>
      </c>
      <c r="H4317" t="s">
        <v>3</v>
      </c>
      <c r="I4317" t="s">
        <v>3</v>
      </c>
      <c r="J4317" t="s">
        <v>319</v>
      </c>
      <c r="K4317" t="s">
        <v>13</v>
      </c>
      <c r="L4317" t="s">
        <v>21</v>
      </c>
      <c r="M4317" t="s">
        <v>114</v>
      </c>
      <c r="N4317" s="2">
        <v>46234</v>
      </c>
    </row>
    <row r="4318" spans="1:14" x14ac:dyDescent="0.25">
      <c r="A4318" t="s">
        <v>572</v>
      </c>
      <c r="B4318" s="2">
        <v>46234</v>
      </c>
      <c r="C4318" t="s">
        <v>572</v>
      </c>
      <c r="D4318" t="s">
        <v>112</v>
      </c>
      <c r="E4318" t="s">
        <v>9</v>
      </c>
      <c r="F4318" s="3">
        <v>233393.75</v>
      </c>
      <c r="G4318" s="3">
        <v>233393.75</v>
      </c>
      <c r="H4318" t="s">
        <v>3</v>
      </c>
      <c r="I4318" t="s">
        <v>3</v>
      </c>
      <c r="J4318" t="s">
        <v>429</v>
      </c>
      <c r="K4318" t="s">
        <v>13</v>
      </c>
      <c r="L4318" t="s">
        <v>21</v>
      </c>
      <c r="M4318" t="s">
        <v>114</v>
      </c>
      <c r="N4318" s="2">
        <v>46234</v>
      </c>
    </row>
    <row r="4319" spans="1:14" x14ac:dyDescent="0.25">
      <c r="A4319" t="s">
        <v>572</v>
      </c>
      <c r="B4319" s="2">
        <v>46234</v>
      </c>
      <c r="C4319" t="s">
        <v>572</v>
      </c>
      <c r="D4319" t="s">
        <v>112</v>
      </c>
      <c r="E4319" t="s">
        <v>9</v>
      </c>
      <c r="F4319" s="3">
        <v>27440</v>
      </c>
      <c r="G4319" s="3">
        <v>27440</v>
      </c>
      <c r="H4319" t="s">
        <v>3</v>
      </c>
      <c r="I4319" t="s">
        <v>3</v>
      </c>
      <c r="J4319" t="s">
        <v>564</v>
      </c>
      <c r="K4319" t="s">
        <v>13</v>
      </c>
      <c r="L4319" t="s">
        <v>21</v>
      </c>
      <c r="M4319" t="s">
        <v>114</v>
      </c>
      <c r="N4319" s="2">
        <v>46234</v>
      </c>
    </row>
    <row r="4320" spans="1:14" x14ac:dyDescent="0.25">
      <c r="A4320" s="4" t="s">
        <v>262</v>
      </c>
      <c r="B4320" s="5"/>
      <c r="C4320" s="4" t="s">
        <v>9</v>
      </c>
      <c r="D4320" s="4" t="s">
        <v>9</v>
      </c>
      <c r="E4320" s="4" t="s">
        <v>9</v>
      </c>
      <c r="F4320" s="6">
        <v>0</v>
      </c>
      <c r="G4320" s="6">
        <v>0</v>
      </c>
      <c r="H4320" s="4" t="s">
        <v>9</v>
      </c>
      <c r="I4320" s="4" t="s">
        <v>3</v>
      </c>
      <c r="J4320" s="4" t="s">
        <v>9</v>
      </c>
      <c r="K4320" s="4" t="s">
        <v>9</v>
      </c>
      <c r="L4320" s="4" t="s">
        <v>9</v>
      </c>
      <c r="M4320" s="4" t="s">
        <v>9</v>
      </c>
      <c r="N4320" s="5"/>
    </row>
    <row r="4321" spans="1:14" x14ac:dyDescent="0.25">
      <c r="A4321" t="s">
        <v>572</v>
      </c>
      <c r="B4321" s="2">
        <v>46267</v>
      </c>
      <c r="C4321" t="s">
        <v>572</v>
      </c>
      <c r="D4321" t="s">
        <v>112</v>
      </c>
      <c r="E4321" t="s">
        <v>9</v>
      </c>
      <c r="F4321" s="3">
        <v>-151311</v>
      </c>
      <c r="G4321" s="3">
        <v>-151311</v>
      </c>
      <c r="H4321" t="s">
        <v>3</v>
      </c>
      <c r="I4321" t="s">
        <v>3</v>
      </c>
      <c r="J4321" t="s">
        <v>9</v>
      </c>
      <c r="K4321" t="s">
        <v>9</v>
      </c>
      <c r="L4321" t="s">
        <v>22</v>
      </c>
      <c r="M4321" t="s">
        <v>114</v>
      </c>
      <c r="N4321" s="2">
        <v>46265</v>
      </c>
    </row>
    <row r="4322" spans="1:14" x14ac:dyDescent="0.25">
      <c r="A4322" t="s">
        <v>572</v>
      </c>
      <c r="B4322" s="2">
        <v>46234</v>
      </c>
      <c r="C4322" t="s">
        <v>572</v>
      </c>
      <c r="D4322" t="s">
        <v>112</v>
      </c>
      <c r="E4322" t="s">
        <v>9</v>
      </c>
      <c r="F4322" s="3">
        <v>-695438</v>
      </c>
      <c r="G4322" s="3">
        <v>-695438</v>
      </c>
      <c r="H4322" t="s">
        <v>3</v>
      </c>
      <c r="I4322" t="s">
        <v>3</v>
      </c>
      <c r="J4322" t="s">
        <v>319</v>
      </c>
      <c r="K4322" t="s">
        <v>13</v>
      </c>
      <c r="L4322" t="s">
        <v>22</v>
      </c>
      <c r="M4322" t="s">
        <v>114</v>
      </c>
      <c r="N4322" s="2">
        <v>46235</v>
      </c>
    </row>
    <row r="4323" spans="1:14" x14ac:dyDescent="0.25">
      <c r="A4323" t="s">
        <v>572</v>
      </c>
      <c r="B4323" s="2">
        <v>46234</v>
      </c>
      <c r="C4323" t="s">
        <v>572</v>
      </c>
      <c r="D4323" t="s">
        <v>112</v>
      </c>
      <c r="E4323" t="s">
        <v>9</v>
      </c>
      <c r="F4323" s="3">
        <v>-233393.75</v>
      </c>
      <c r="G4323" s="3">
        <v>-233393.75</v>
      </c>
      <c r="H4323" t="s">
        <v>3</v>
      </c>
      <c r="I4323" t="s">
        <v>3</v>
      </c>
      <c r="J4323" t="s">
        <v>429</v>
      </c>
      <c r="K4323" t="s">
        <v>13</v>
      </c>
      <c r="L4323" t="s">
        <v>22</v>
      </c>
      <c r="M4323" t="s">
        <v>114</v>
      </c>
      <c r="N4323" s="2">
        <v>46235</v>
      </c>
    </row>
    <row r="4324" spans="1:14" x14ac:dyDescent="0.25">
      <c r="A4324" t="s">
        <v>572</v>
      </c>
      <c r="B4324" s="2">
        <v>46234</v>
      </c>
      <c r="C4324" t="s">
        <v>572</v>
      </c>
      <c r="D4324" t="s">
        <v>112</v>
      </c>
      <c r="E4324" t="s">
        <v>9</v>
      </c>
      <c r="F4324" s="3">
        <v>-27440</v>
      </c>
      <c r="G4324" s="3">
        <v>-27440</v>
      </c>
      <c r="H4324" t="s">
        <v>3</v>
      </c>
      <c r="I4324" t="s">
        <v>3</v>
      </c>
      <c r="J4324" t="s">
        <v>564</v>
      </c>
      <c r="K4324" t="s">
        <v>13</v>
      </c>
      <c r="L4324" t="s">
        <v>22</v>
      </c>
      <c r="M4324" t="s">
        <v>114</v>
      </c>
      <c r="N4324" s="2">
        <v>46235</v>
      </c>
    </row>
    <row r="4325" spans="1:14" x14ac:dyDescent="0.25">
      <c r="A4325" t="s">
        <v>572</v>
      </c>
      <c r="B4325" s="2">
        <v>46265</v>
      </c>
      <c r="C4325" t="s">
        <v>572</v>
      </c>
      <c r="D4325" t="s">
        <v>112</v>
      </c>
      <c r="E4325" t="s">
        <v>9</v>
      </c>
      <c r="F4325" s="3">
        <v>774432</v>
      </c>
      <c r="G4325" s="3">
        <v>774432</v>
      </c>
      <c r="H4325" t="s">
        <v>3</v>
      </c>
      <c r="I4325" t="s">
        <v>3</v>
      </c>
      <c r="J4325" t="s">
        <v>322</v>
      </c>
      <c r="K4325" t="s">
        <v>13</v>
      </c>
      <c r="L4325" t="s">
        <v>22</v>
      </c>
      <c r="M4325" t="s">
        <v>114</v>
      </c>
      <c r="N4325" s="2">
        <v>46265</v>
      </c>
    </row>
    <row r="4326" spans="1:14" x14ac:dyDescent="0.25">
      <c r="A4326" t="s">
        <v>572</v>
      </c>
      <c r="B4326" s="2">
        <v>46265</v>
      </c>
      <c r="C4326" t="s">
        <v>572</v>
      </c>
      <c r="D4326" t="s">
        <v>112</v>
      </c>
      <c r="E4326" t="s">
        <v>9</v>
      </c>
      <c r="F4326" s="3">
        <v>264393.75</v>
      </c>
      <c r="G4326" s="3">
        <v>264393.75</v>
      </c>
      <c r="H4326" t="s">
        <v>3</v>
      </c>
      <c r="I4326" t="s">
        <v>3</v>
      </c>
      <c r="J4326" t="s">
        <v>431</v>
      </c>
      <c r="K4326" t="s">
        <v>13</v>
      </c>
      <c r="L4326" t="s">
        <v>22</v>
      </c>
      <c r="M4326" t="s">
        <v>114</v>
      </c>
      <c r="N4326" s="2">
        <v>46265</v>
      </c>
    </row>
    <row r="4327" spans="1:14" x14ac:dyDescent="0.25">
      <c r="A4327" t="s">
        <v>572</v>
      </c>
      <c r="B4327" s="2">
        <v>46265</v>
      </c>
      <c r="C4327" t="s">
        <v>572</v>
      </c>
      <c r="D4327" t="s">
        <v>112</v>
      </c>
      <c r="E4327" t="s">
        <v>9</v>
      </c>
      <c r="F4327" s="3">
        <v>48552</v>
      </c>
      <c r="G4327" s="3">
        <v>48552</v>
      </c>
      <c r="H4327" t="s">
        <v>3</v>
      </c>
      <c r="I4327" t="s">
        <v>3</v>
      </c>
      <c r="J4327" t="s">
        <v>545</v>
      </c>
      <c r="K4327" t="s">
        <v>13</v>
      </c>
      <c r="L4327" t="s">
        <v>22</v>
      </c>
      <c r="M4327" t="s">
        <v>114</v>
      </c>
      <c r="N4327" s="2">
        <v>46265</v>
      </c>
    </row>
    <row r="4328" spans="1:14" x14ac:dyDescent="0.25">
      <c r="A4328" t="s">
        <v>572</v>
      </c>
      <c r="B4328" s="2">
        <v>46265</v>
      </c>
      <c r="C4328" t="s">
        <v>572</v>
      </c>
      <c r="D4328" t="s">
        <v>112</v>
      </c>
      <c r="E4328" t="s">
        <v>9</v>
      </c>
      <c r="F4328" s="3">
        <v>20205</v>
      </c>
      <c r="G4328" s="3">
        <v>20205</v>
      </c>
      <c r="H4328" t="s">
        <v>3</v>
      </c>
      <c r="I4328" t="s">
        <v>3</v>
      </c>
      <c r="J4328" t="s">
        <v>511</v>
      </c>
      <c r="K4328" t="s">
        <v>13</v>
      </c>
      <c r="L4328" t="s">
        <v>22</v>
      </c>
      <c r="M4328" t="s">
        <v>114</v>
      </c>
      <c r="N4328" s="2">
        <v>46265</v>
      </c>
    </row>
    <row r="4329" spans="1:14" x14ac:dyDescent="0.25">
      <c r="A4329" s="4" t="s">
        <v>267</v>
      </c>
      <c r="B4329" s="5"/>
      <c r="C4329" s="4" t="s">
        <v>9</v>
      </c>
      <c r="D4329" s="4" t="s">
        <v>9</v>
      </c>
      <c r="E4329" s="4" t="s">
        <v>9</v>
      </c>
      <c r="F4329" s="6">
        <v>0</v>
      </c>
      <c r="G4329" s="6">
        <v>0</v>
      </c>
      <c r="H4329" s="4" t="s">
        <v>9</v>
      </c>
      <c r="I4329" s="4" t="s">
        <v>3</v>
      </c>
      <c r="J4329" s="4" t="s">
        <v>9</v>
      </c>
      <c r="K4329" s="4" t="s">
        <v>9</v>
      </c>
      <c r="L4329" s="4" t="s">
        <v>9</v>
      </c>
      <c r="M4329" s="4" t="s">
        <v>9</v>
      </c>
      <c r="N4329" s="5"/>
    </row>
    <row r="4330" spans="1:14" x14ac:dyDescent="0.25">
      <c r="A4330" t="s">
        <v>572</v>
      </c>
      <c r="B4330" s="2">
        <v>45993</v>
      </c>
      <c r="C4330" t="s">
        <v>572</v>
      </c>
      <c r="D4330" t="s">
        <v>51</v>
      </c>
      <c r="E4330" t="s">
        <v>9</v>
      </c>
      <c r="F4330" s="3">
        <v>-2843.67</v>
      </c>
      <c r="G4330" s="3">
        <v>-2843.67</v>
      </c>
      <c r="H4330" t="s">
        <v>3</v>
      </c>
      <c r="I4330" t="s">
        <v>3</v>
      </c>
      <c r="J4330" t="s">
        <v>9</v>
      </c>
      <c r="K4330" t="s">
        <v>9</v>
      </c>
      <c r="L4330" t="s">
        <v>11</v>
      </c>
      <c r="M4330" t="s">
        <v>53</v>
      </c>
      <c r="N4330" s="2">
        <v>45991</v>
      </c>
    </row>
    <row r="4331" spans="1:14" x14ac:dyDescent="0.25">
      <c r="A4331" t="s">
        <v>572</v>
      </c>
      <c r="B4331" s="2">
        <v>45993</v>
      </c>
      <c r="C4331" t="s">
        <v>572</v>
      </c>
      <c r="D4331" t="s">
        <v>112</v>
      </c>
      <c r="E4331" t="s">
        <v>9</v>
      </c>
      <c r="F4331" s="3">
        <v>-63950</v>
      </c>
      <c r="G4331" s="3">
        <v>-63950</v>
      </c>
      <c r="H4331" t="s">
        <v>3</v>
      </c>
      <c r="I4331" t="s">
        <v>3</v>
      </c>
      <c r="J4331" t="s">
        <v>9</v>
      </c>
      <c r="K4331" t="s">
        <v>9</v>
      </c>
      <c r="L4331" t="s">
        <v>11</v>
      </c>
      <c r="M4331" t="s">
        <v>114</v>
      </c>
      <c r="N4331" s="2">
        <v>45991</v>
      </c>
    </row>
    <row r="4332" spans="1:14" x14ac:dyDescent="0.25">
      <c r="A4332" t="s">
        <v>572</v>
      </c>
      <c r="B4332" s="2">
        <v>45962</v>
      </c>
      <c r="C4332" t="s">
        <v>572</v>
      </c>
      <c r="D4332" t="s">
        <v>51</v>
      </c>
      <c r="E4332" t="s">
        <v>9</v>
      </c>
      <c r="F4332" s="3">
        <v>2843.67</v>
      </c>
      <c r="G4332" s="3">
        <v>2843.67</v>
      </c>
      <c r="H4332" t="s">
        <v>3</v>
      </c>
      <c r="I4332" t="s">
        <v>3</v>
      </c>
      <c r="J4332" t="s">
        <v>574</v>
      </c>
      <c r="K4332" t="s">
        <v>5</v>
      </c>
      <c r="L4332" t="s">
        <v>11</v>
      </c>
      <c r="M4332" t="s">
        <v>53</v>
      </c>
      <c r="N4332" s="2">
        <v>45962</v>
      </c>
    </row>
    <row r="4333" spans="1:14" x14ac:dyDescent="0.25">
      <c r="A4333" t="s">
        <v>572</v>
      </c>
      <c r="B4333" s="2">
        <v>45991</v>
      </c>
      <c r="C4333" t="s">
        <v>572</v>
      </c>
      <c r="D4333" t="s">
        <v>112</v>
      </c>
      <c r="E4333" t="s">
        <v>9</v>
      </c>
      <c r="F4333" s="3">
        <v>62650</v>
      </c>
      <c r="G4333" s="3">
        <v>62650</v>
      </c>
      <c r="H4333" t="s">
        <v>3</v>
      </c>
      <c r="I4333" t="s">
        <v>3</v>
      </c>
      <c r="J4333" t="s">
        <v>328</v>
      </c>
      <c r="K4333" t="s">
        <v>5</v>
      </c>
      <c r="L4333" t="s">
        <v>11</v>
      </c>
      <c r="M4333" t="s">
        <v>114</v>
      </c>
      <c r="N4333" s="2">
        <v>45991</v>
      </c>
    </row>
    <row r="4334" spans="1:14" x14ac:dyDescent="0.25">
      <c r="A4334" t="s">
        <v>572</v>
      </c>
      <c r="B4334" s="2">
        <v>45991</v>
      </c>
      <c r="C4334" t="s">
        <v>572</v>
      </c>
      <c r="D4334" t="s">
        <v>112</v>
      </c>
      <c r="E4334" t="s">
        <v>9</v>
      </c>
      <c r="F4334" s="3">
        <v>1300</v>
      </c>
      <c r="G4334" s="3">
        <v>1300</v>
      </c>
      <c r="H4334" t="s">
        <v>3</v>
      </c>
      <c r="I4334" t="s">
        <v>3</v>
      </c>
      <c r="J4334" t="s">
        <v>387</v>
      </c>
      <c r="K4334" t="s">
        <v>5</v>
      </c>
      <c r="L4334" t="s">
        <v>11</v>
      </c>
      <c r="M4334" t="s">
        <v>114</v>
      </c>
      <c r="N4334" s="2">
        <v>45991</v>
      </c>
    </row>
    <row r="4335" spans="1:14" x14ac:dyDescent="0.25">
      <c r="A4335" t="s">
        <v>572</v>
      </c>
      <c r="B4335" s="2">
        <v>45991</v>
      </c>
      <c r="C4335" t="s">
        <v>572</v>
      </c>
      <c r="D4335" t="s">
        <v>112</v>
      </c>
      <c r="E4335" t="s">
        <v>9</v>
      </c>
      <c r="F4335" s="3">
        <v>62650</v>
      </c>
      <c r="G4335" s="3">
        <v>62650</v>
      </c>
      <c r="H4335" t="s">
        <v>3</v>
      </c>
      <c r="I4335" t="s">
        <v>3</v>
      </c>
      <c r="J4335" t="s">
        <v>328</v>
      </c>
      <c r="K4335" t="s">
        <v>5</v>
      </c>
      <c r="L4335" t="s">
        <v>11</v>
      </c>
      <c r="M4335" t="s">
        <v>114</v>
      </c>
      <c r="N4335" s="2">
        <v>45991</v>
      </c>
    </row>
    <row r="4336" spans="1:14" x14ac:dyDescent="0.25">
      <c r="A4336" t="s">
        <v>572</v>
      </c>
      <c r="B4336" s="2">
        <v>45991</v>
      </c>
      <c r="C4336" t="s">
        <v>572</v>
      </c>
      <c r="D4336" t="s">
        <v>112</v>
      </c>
      <c r="E4336" t="s">
        <v>9</v>
      </c>
      <c r="F4336" s="3">
        <v>1300</v>
      </c>
      <c r="G4336" s="3">
        <v>1300</v>
      </c>
      <c r="H4336" t="s">
        <v>3</v>
      </c>
      <c r="I4336" t="s">
        <v>3</v>
      </c>
      <c r="J4336" t="s">
        <v>387</v>
      </c>
      <c r="K4336" t="s">
        <v>5</v>
      </c>
      <c r="L4336" t="s">
        <v>11</v>
      </c>
      <c r="M4336" t="s">
        <v>114</v>
      </c>
      <c r="N4336" s="2">
        <v>45991</v>
      </c>
    </row>
    <row r="4337" spans="1:14" x14ac:dyDescent="0.25">
      <c r="A4337" t="s">
        <v>572</v>
      </c>
      <c r="B4337" s="2">
        <v>45991</v>
      </c>
      <c r="C4337" t="s">
        <v>572</v>
      </c>
      <c r="D4337" t="s">
        <v>112</v>
      </c>
      <c r="E4337" t="s">
        <v>9</v>
      </c>
      <c r="F4337" s="3">
        <v>33075</v>
      </c>
      <c r="G4337" s="3">
        <v>33075</v>
      </c>
      <c r="H4337" t="s">
        <v>3</v>
      </c>
      <c r="I4337" t="s">
        <v>3</v>
      </c>
      <c r="J4337" t="s">
        <v>575</v>
      </c>
      <c r="K4337" t="s">
        <v>5</v>
      </c>
      <c r="L4337" t="s">
        <v>11</v>
      </c>
      <c r="M4337" t="s">
        <v>114</v>
      </c>
      <c r="N4337" s="2">
        <v>45991</v>
      </c>
    </row>
    <row r="4338" spans="1:14" x14ac:dyDescent="0.25">
      <c r="A4338" t="s">
        <v>572</v>
      </c>
      <c r="B4338" s="2">
        <v>45991</v>
      </c>
      <c r="C4338" t="s">
        <v>572</v>
      </c>
      <c r="D4338" t="s">
        <v>112</v>
      </c>
      <c r="E4338" t="s">
        <v>9</v>
      </c>
      <c r="F4338" s="3">
        <v>-62650</v>
      </c>
      <c r="G4338" s="3">
        <v>-62650</v>
      </c>
      <c r="H4338" t="s">
        <v>3</v>
      </c>
      <c r="I4338" t="s">
        <v>3</v>
      </c>
      <c r="J4338" t="s">
        <v>328</v>
      </c>
      <c r="K4338" t="s">
        <v>5</v>
      </c>
      <c r="L4338" t="s">
        <v>11</v>
      </c>
      <c r="M4338" t="s">
        <v>114</v>
      </c>
      <c r="N4338" s="2">
        <v>45991</v>
      </c>
    </row>
    <row r="4339" spans="1:14" x14ac:dyDescent="0.25">
      <c r="A4339" t="s">
        <v>572</v>
      </c>
      <c r="B4339" s="2">
        <v>45991</v>
      </c>
      <c r="C4339" t="s">
        <v>572</v>
      </c>
      <c r="D4339" t="s">
        <v>112</v>
      </c>
      <c r="E4339" t="s">
        <v>9</v>
      </c>
      <c r="F4339" s="3">
        <v>-1300</v>
      </c>
      <c r="G4339" s="3">
        <v>-1300</v>
      </c>
      <c r="H4339" t="s">
        <v>3</v>
      </c>
      <c r="I4339" t="s">
        <v>3</v>
      </c>
      <c r="J4339" t="s">
        <v>387</v>
      </c>
      <c r="K4339" t="s">
        <v>5</v>
      </c>
      <c r="L4339" t="s">
        <v>11</v>
      </c>
      <c r="M4339" t="s">
        <v>114</v>
      </c>
      <c r="N4339" s="2">
        <v>45991</v>
      </c>
    </row>
    <row r="4340" spans="1:14" x14ac:dyDescent="0.25">
      <c r="A4340" t="s">
        <v>572</v>
      </c>
      <c r="B4340" s="2">
        <v>45991</v>
      </c>
      <c r="C4340" t="s">
        <v>572</v>
      </c>
      <c r="D4340" t="s">
        <v>112</v>
      </c>
      <c r="E4340" t="s">
        <v>9</v>
      </c>
      <c r="F4340" s="3">
        <v>-62650</v>
      </c>
      <c r="G4340" s="3">
        <v>-62650</v>
      </c>
      <c r="H4340" t="s">
        <v>3</v>
      </c>
      <c r="I4340" t="s">
        <v>3</v>
      </c>
      <c r="J4340" t="s">
        <v>328</v>
      </c>
      <c r="K4340" t="s">
        <v>5</v>
      </c>
      <c r="L4340" t="s">
        <v>11</v>
      </c>
      <c r="M4340" t="s">
        <v>114</v>
      </c>
      <c r="N4340" s="2">
        <v>45991</v>
      </c>
    </row>
    <row r="4341" spans="1:14" x14ac:dyDescent="0.25">
      <c r="A4341" t="s">
        <v>572</v>
      </c>
      <c r="B4341" s="2">
        <v>45991</v>
      </c>
      <c r="C4341" t="s">
        <v>572</v>
      </c>
      <c r="D4341" t="s">
        <v>112</v>
      </c>
      <c r="E4341" t="s">
        <v>9</v>
      </c>
      <c r="F4341" s="3">
        <v>-1300</v>
      </c>
      <c r="G4341" s="3">
        <v>-1300</v>
      </c>
      <c r="H4341" t="s">
        <v>3</v>
      </c>
      <c r="I4341" t="s">
        <v>3</v>
      </c>
      <c r="J4341" t="s">
        <v>387</v>
      </c>
      <c r="K4341" t="s">
        <v>5</v>
      </c>
      <c r="L4341" t="s">
        <v>11</v>
      </c>
      <c r="M4341" t="s">
        <v>114</v>
      </c>
      <c r="N4341" s="2">
        <v>45991</v>
      </c>
    </row>
    <row r="4342" spans="1:14" x14ac:dyDescent="0.25">
      <c r="A4342" t="s">
        <v>572</v>
      </c>
      <c r="B4342" s="2">
        <v>45991</v>
      </c>
      <c r="C4342" t="s">
        <v>572</v>
      </c>
      <c r="D4342" t="s">
        <v>112</v>
      </c>
      <c r="E4342" t="s">
        <v>9</v>
      </c>
      <c r="F4342" s="3">
        <v>-33075</v>
      </c>
      <c r="G4342" s="3">
        <v>-33075</v>
      </c>
      <c r="H4342" t="s">
        <v>3</v>
      </c>
      <c r="I4342" t="s">
        <v>3</v>
      </c>
      <c r="J4342" t="s">
        <v>575</v>
      </c>
      <c r="K4342" t="s">
        <v>5</v>
      </c>
      <c r="L4342" t="s">
        <v>11</v>
      </c>
      <c r="M4342" t="s">
        <v>114</v>
      </c>
      <c r="N4342" s="2">
        <v>45991</v>
      </c>
    </row>
    <row r="4343" spans="1:14" x14ac:dyDescent="0.25">
      <c r="A4343" t="s">
        <v>572</v>
      </c>
      <c r="B4343" s="2">
        <v>45991</v>
      </c>
      <c r="C4343" t="s">
        <v>572</v>
      </c>
      <c r="D4343" t="s">
        <v>112</v>
      </c>
      <c r="E4343" t="s">
        <v>9</v>
      </c>
      <c r="F4343" s="3">
        <v>62650</v>
      </c>
      <c r="G4343" s="3">
        <v>62650</v>
      </c>
      <c r="H4343" t="s">
        <v>3</v>
      </c>
      <c r="I4343" t="s">
        <v>3</v>
      </c>
      <c r="J4343" t="s">
        <v>328</v>
      </c>
      <c r="K4343" t="s">
        <v>5</v>
      </c>
      <c r="L4343" t="s">
        <v>11</v>
      </c>
      <c r="M4343" t="s">
        <v>114</v>
      </c>
      <c r="N4343" s="2">
        <v>45991</v>
      </c>
    </row>
    <row r="4344" spans="1:14" x14ac:dyDescent="0.25">
      <c r="A4344" t="s">
        <v>572</v>
      </c>
      <c r="B4344" s="2">
        <v>45991</v>
      </c>
      <c r="C4344" t="s">
        <v>572</v>
      </c>
      <c r="D4344" t="s">
        <v>112</v>
      </c>
      <c r="E4344" t="s">
        <v>9</v>
      </c>
      <c r="F4344" s="3">
        <v>1300</v>
      </c>
      <c r="G4344" s="3">
        <v>1300</v>
      </c>
      <c r="H4344" t="s">
        <v>3</v>
      </c>
      <c r="I4344" t="s">
        <v>3</v>
      </c>
      <c r="J4344" t="s">
        <v>387</v>
      </c>
      <c r="K4344" t="s">
        <v>5</v>
      </c>
      <c r="L4344" t="s">
        <v>11</v>
      </c>
      <c r="M4344" t="s">
        <v>114</v>
      </c>
      <c r="N4344" s="2">
        <v>45991</v>
      </c>
    </row>
    <row r="4345" spans="1:14" x14ac:dyDescent="0.25">
      <c r="A4345" s="4" t="s">
        <v>226</v>
      </c>
      <c r="B4345" s="5"/>
      <c r="C4345" s="4" t="s">
        <v>9</v>
      </c>
      <c r="D4345" s="4" t="s">
        <v>9</v>
      </c>
      <c r="E4345" s="4" t="s">
        <v>9</v>
      </c>
      <c r="F4345" s="6">
        <v>0</v>
      </c>
      <c r="G4345" s="6">
        <v>0</v>
      </c>
      <c r="H4345" s="4" t="s">
        <v>9</v>
      </c>
      <c r="I4345" s="4" t="s">
        <v>3</v>
      </c>
      <c r="J4345" s="4" t="s">
        <v>9</v>
      </c>
      <c r="K4345" s="4" t="s">
        <v>9</v>
      </c>
      <c r="L4345" s="4" t="s">
        <v>9</v>
      </c>
      <c r="M4345" s="4" t="s">
        <v>9</v>
      </c>
      <c r="N4345" s="5"/>
    </row>
    <row r="4346" spans="1:14" x14ac:dyDescent="0.25">
      <c r="A4346" t="s">
        <v>572</v>
      </c>
      <c r="B4346" s="2">
        <v>46028</v>
      </c>
      <c r="C4346" t="s">
        <v>572</v>
      </c>
      <c r="D4346" t="s">
        <v>112</v>
      </c>
      <c r="E4346" t="s">
        <v>9</v>
      </c>
      <c r="F4346" s="3">
        <v>-78450</v>
      </c>
      <c r="G4346" s="3">
        <v>-78450</v>
      </c>
      <c r="H4346" t="s">
        <v>3</v>
      </c>
      <c r="I4346" t="s">
        <v>3</v>
      </c>
      <c r="J4346" t="s">
        <v>9</v>
      </c>
      <c r="K4346" t="s">
        <v>9</v>
      </c>
      <c r="L4346" t="s">
        <v>12</v>
      </c>
      <c r="M4346" t="s">
        <v>114</v>
      </c>
      <c r="N4346" s="2">
        <v>46022</v>
      </c>
    </row>
    <row r="4347" spans="1:14" x14ac:dyDescent="0.25">
      <c r="A4347" t="s">
        <v>572</v>
      </c>
      <c r="B4347" s="2">
        <v>45991</v>
      </c>
      <c r="C4347" t="s">
        <v>572</v>
      </c>
      <c r="D4347" t="s">
        <v>112</v>
      </c>
      <c r="E4347" t="s">
        <v>9</v>
      </c>
      <c r="F4347" s="3">
        <v>-62650</v>
      </c>
      <c r="G4347" s="3">
        <v>-62650</v>
      </c>
      <c r="H4347" t="s">
        <v>3</v>
      </c>
      <c r="I4347" t="s">
        <v>3</v>
      </c>
      <c r="J4347" t="s">
        <v>328</v>
      </c>
      <c r="K4347" t="s">
        <v>5</v>
      </c>
      <c r="L4347" t="s">
        <v>12</v>
      </c>
      <c r="M4347" t="s">
        <v>114</v>
      </c>
      <c r="N4347" s="2">
        <v>45992</v>
      </c>
    </row>
    <row r="4348" spans="1:14" x14ac:dyDescent="0.25">
      <c r="A4348" t="s">
        <v>572</v>
      </c>
      <c r="B4348" s="2">
        <v>45991</v>
      </c>
      <c r="C4348" t="s">
        <v>572</v>
      </c>
      <c r="D4348" t="s">
        <v>112</v>
      </c>
      <c r="E4348" t="s">
        <v>9</v>
      </c>
      <c r="F4348" s="3">
        <v>-1300</v>
      </c>
      <c r="G4348" s="3">
        <v>-1300</v>
      </c>
      <c r="H4348" t="s">
        <v>3</v>
      </c>
      <c r="I4348" t="s">
        <v>3</v>
      </c>
      <c r="J4348" t="s">
        <v>387</v>
      </c>
      <c r="K4348" t="s">
        <v>5</v>
      </c>
      <c r="L4348" t="s">
        <v>12</v>
      </c>
      <c r="M4348" t="s">
        <v>114</v>
      </c>
      <c r="N4348" s="2">
        <v>45992</v>
      </c>
    </row>
    <row r="4349" spans="1:14" x14ac:dyDescent="0.25">
      <c r="A4349" t="s">
        <v>572</v>
      </c>
      <c r="B4349" s="2">
        <v>46022</v>
      </c>
      <c r="C4349" t="s">
        <v>572</v>
      </c>
      <c r="D4349" t="s">
        <v>112</v>
      </c>
      <c r="E4349" t="s">
        <v>9</v>
      </c>
      <c r="F4349" s="3">
        <v>139900</v>
      </c>
      <c r="G4349" s="3">
        <v>139900</v>
      </c>
      <c r="H4349" t="s">
        <v>3</v>
      </c>
      <c r="I4349" t="s">
        <v>3</v>
      </c>
      <c r="J4349" t="s">
        <v>298</v>
      </c>
      <c r="K4349" t="s">
        <v>5</v>
      </c>
      <c r="L4349" t="s">
        <v>12</v>
      </c>
      <c r="M4349" t="s">
        <v>114</v>
      </c>
      <c r="N4349" s="2">
        <v>46022</v>
      </c>
    </row>
    <row r="4350" spans="1:14" x14ac:dyDescent="0.25">
      <c r="A4350" t="s">
        <v>572</v>
      </c>
      <c r="B4350" s="2">
        <v>46022</v>
      </c>
      <c r="C4350" t="s">
        <v>572</v>
      </c>
      <c r="D4350" t="s">
        <v>112</v>
      </c>
      <c r="E4350" t="s">
        <v>9</v>
      </c>
      <c r="F4350" s="3">
        <v>2500</v>
      </c>
      <c r="G4350" s="3">
        <v>2500</v>
      </c>
      <c r="H4350" t="s">
        <v>3</v>
      </c>
      <c r="I4350" t="s">
        <v>3</v>
      </c>
      <c r="J4350" t="s">
        <v>381</v>
      </c>
      <c r="K4350" t="s">
        <v>5</v>
      </c>
      <c r="L4350" t="s">
        <v>12</v>
      </c>
      <c r="M4350" t="s">
        <v>114</v>
      </c>
      <c r="N4350" s="2">
        <v>46022</v>
      </c>
    </row>
    <row r="4351" spans="1:14" x14ac:dyDescent="0.25">
      <c r="A4351" t="s">
        <v>572</v>
      </c>
      <c r="B4351" s="2">
        <v>46022</v>
      </c>
      <c r="C4351" t="s">
        <v>572</v>
      </c>
      <c r="D4351" t="s">
        <v>112</v>
      </c>
      <c r="E4351" t="s">
        <v>9</v>
      </c>
      <c r="F4351" s="3">
        <v>139900</v>
      </c>
      <c r="G4351" s="3">
        <v>139900</v>
      </c>
      <c r="H4351" t="s">
        <v>3</v>
      </c>
      <c r="I4351" t="s">
        <v>3</v>
      </c>
      <c r="J4351" t="s">
        <v>298</v>
      </c>
      <c r="K4351" t="s">
        <v>5</v>
      </c>
      <c r="L4351" t="s">
        <v>12</v>
      </c>
      <c r="M4351" t="s">
        <v>114</v>
      </c>
      <c r="N4351" s="2">
        <v>46022</v>
      </c>
    </row>
    <row r="4352" spans="1:14" x14ac:dyDescent="0.25">
      <c r="A4352" t="s">
        <v>572</v>
      </c>
      <c r="B4352" s="2">
        <v>46022</v>
      </c>
      <c r="C4352" t="s">
        <v>572</v>
      </c>
      <c r="D4352" t="s">
        <v>112</v>
      </c>
      <c r="E4352" t="s">
        <v>9</v>
      </c>
      <c r="F4352" s="3">
        <v>2500</v>
      </c>
      <c r="G4352" s="3">
        <v>2500</v>
      </c>
      <c r="H4352" t="s">
        <v>3</v>
      </c>
      <c r="I4352" t="s">
        <v>3</v>
      </c>
      <c r="J4352" t="s">
        <v>381</v>
      </c>
      <c r="K4352" t="s">
        <v>5</v>
      </c>
      <c r="L4352" t="s">
        <v>12</v>
      </c>
      <c r="M4352" t="s">
        <v>114</v>
      </c>
      <c r="N4352" s="2">
        <v>46022</v>
      </c>
    </row>
    <row r="4353" spans="1:14" x14ac:dyDescent="0.25">
      <c r="A4353" t="s">
        <v>572</v>
      </c>
      <c r="B4353" s="2">
        <v>46022</v>
      </c>
      <c r="C4353" t="s">
        <v>572</v>
      </c>
      <c r="D4353" t="s">
        <v>112</v>
      </c>
      <c r="E4353" t="s">
        <v>9</v>
      </c>
      <c r="F4353" s="3">
        <v>-139900</v>
      </c>
      <c r="G4353" s="3">
        <v>-139900</v>
      </c>
      <c r="H4353" t="s">
        <v>3</v>
      </c>
      <c r="I4353" t="s">
        <v>3</v>
      </c>
      <c r="J4353" t="s">
        <v>298</v>
      </c>
      <c r="K4353" t="s">
        <v>5</v>
      </c>
      <c r="L4353" t="s">
        <v>12</v>
      </c>
      <c r="M4353" t="s">
        <v>114</v>
      </c>
      <c r="N4353" s="2">
        <v>46022</v>
      </c>
    </row>
    <row r="4354" spans="1:14" x14ac:dyDescent="0.25">
      <c r="A4354" t="s">
        <v>572</v>
      </c>
      <c r="B4354" s="2">
        <v>46022</v>
      </c>
      <c r="C4354" t="s">
        <v>572</v>
      </c>
      <c r="D4354" t="s">
        <v>112</v>
      </c>
      <c r="E4354" t="s">
        <v>9</v>
      </c>
      <c r="F4354" s="3">
        <v>-2500</v>
      </c>
      <c r="G4354" s="3">
        <v>-2500</v>
      </c>
      <c r="H4354" t="s">
        <v>3</v>
      </c>
      <c r="I4354" t="s">
        <v>3</v>
      </c>
      <c r="J4354" t="s">
        <v>381</v>
      </c>
      <c r="K4354" t="s">
        <v>5</v>
      </c>
      <c r="L4354" t="s">
        <v>12</v>
      </c>
      <c r="M4354" t="s">
        <v>114</v>
      </c>
      <c r="N4354" s="2">
        <v>46022</v>
      </c>
    </row>
    <row r="4355" spans="1:14" x14ac:dyDescent="0.25">
      <c r="A4355" s="4" t="s">
        <v>228</v>
      </c>
      <c r="B4355" s="5"/>
      <c r="C4355" s="4" t="s">
        <v>9</v>
      </c>
      <c r="D4355" s="4" t="s">
        <v>9</v>
      </c>
      <c r="E4355" s="4" t="s">
        <v>9</v>
      </c>
      <c r="F4355" s="6">
        <v>0</v>
      </c>
      <c r="G4355" s="6">
        <v>0</v>
      </c>
      <c r="H4355" s="4" t="s">
        <v>9</v>
      </c>
      <c r="I4355" s="4" t="s">
        <v>3</v>
      </c>
      <c r="J4355" s="4" t="s">
        <v>9</v>
      </c>
      <c r="K4355" s="4" t="s">
        <v>9</v>
      </c>
      <c r="L4355" s="4" t="s">
        <v>9</v>
      </c>
      <c r="M4355" s="4" t="s">
        <v>9</v>
      </c>
      <c r="N4355" s="5"/>
    </row>
    <row r="4356" spans="1:14" x14ac:dyDescent="0.25">
      <c r="A4356" s="4" t="s">
        <v>572</v>
      </c>
      <c r="B4356" s="5"/>
      <c r="C4356" s="4" t="s">
        <v>9</v>
      </c>
      <c r="D4356" s="4" t="s">
        <v>9</v>
      </c>
      <c r="E4356" s="4" t="s">
        <v>9</v>
      </c>
      <c r="F4356" s="6">
        <v>0</v>
      </c>
      <c r="G4356" s="6">
        <v>0</v>
      </c>
      <c r="H4356" s="4" t="s">
        <v>9</v>
      </c>
      <c r="I4356" s="4" t="s">
        <v>3</v>
      </c>
      <c r="J4356" s="4" t="s">
        <v>9</v>
      </c>
      <c r="K4356" s="4" t="s">
        <v>9</v>
      </c>
      <c r="L4356" s="4" t="s">
        <v>9</v>
      </c>
      <c r="M4356" s="4" t="s">
        <v>9</v>
      </c>
      <c r="N4356" s="5"/>
    </row>
    <row r="4357" spans="1:14" x14ac:dyDescent="0.25">
      <c r="A4357" t="s">
        <v>576</v>
      </c>
      <c r="B4357" s="2">
        <v>46084</v>
      </c>
      <c r="C4357" t="s">
        <v>576</v>
      </c>
      <c r="D4357" t="s">
        <v>99</v>
      </c>
      <c r="E4357" t="s">
        <v>9</v>
      </c>
      <c r="F4357" s="3">
        <v>-11339.5</v>
      </c>
      <c r="G4357" s="3">
        <v>-11339.5</v>
      </c>
      <c r="H4357" t="s">
        <v>3</v>
      </c>
      <c r="I4357" t="s">
        <v>3</v>
      </c>
      <c r="J4357" t="s">
        <v>9</v>
      </c>
      <c r="K4357" t="s">
        <v>9</v>
      </c>
      <c r="L4357" t="s">
        <v>15</v>
      </c>
      <c r="M4357" t="s">
        <v>102</v>
      </c>
      <c r="N4357" s="2">
        <v>46081</v>
      </c>
    </row>
    <row r="4358" spans="1:14" x14ac:dyDescent="0.25">
      <c r="A4358" t="s">
        <v>576</v>
      </c>
      <c r="B4358" s="2">
        <v>46063</v>
      </c>
      <c r="C4358" t="s">
        <v>576</v>
      </c>
      <c r="D4358" t="s">
        <v>99</v>
      </c>
      <c r="E4358" t="s">
        <v>577</v>
      </c>
      <c r="F4358" s="3">
        <v>817</v>
      </c>
      <c r="G4358" s="3">
        <v>817</v>
      </c>
      <c r="H4358" t="s">
        <v>3</v>
      </c>
      <c r="I4358" t="s">
        <v>3</v>
      </c>
      <c r="J4358" t="s">
        <v>578</v>
      </c>
      <c r="K4358" t="s">
        <v>13</v>
      </c>
      <c r="L4358" t="s">
        <v>15</v>
      </c>
      <c r="M4358" t="s">
        <v>102</v>
      </c>
      <c r="N4358" s="2">
        <v>46063</v>
      </c>
    </row>
    <row r="4359" spans="1:14" x14ac:dyDescent="0.25">
      <c r="A4359" t="s">
        <v>576</v>
      </c>
      <c r="B4359" s="2">
        <v>46070</v>
      </c>
      <c r="C4359" t="s">
        <v>576</v>
      </c>
      <c r="D4359" t="s">
        <v>99</v>
      </c>
      <c r="E4359" t="s">
        <v>579</v>
      </c>
      <c r="F4359" s="3">
        <v>10522.5</v>
      </c>
      <c r="G4359" s="3">
        <v>10522.5</v>
      </c>
      <c r="H4359" t="s">
        <v>3</v>
      </c>
      <c r="I4359" t="s">
        <v>3</v>
      </c>
      <c r="J4359" t="s">
        <v>580</v>
      </c>
      <c r="K4359" t="s">
        <v>13</v>
      </c>
      <c r="L4359" t="s">
        <v>15</v>
      </c>
      <c r="M4359" t="s">
        <v>102</v>
      </c>
      <c r="N4359" s="2">
        <v>46070</v>
      </c>
    </row>
    <row r="4360" spans="1:14" x14ac:dyDescent="0.25">
      <c r="A4360" s="4" t="s">
        <v>239</v>
      </c>
      <c r="B4360" s="5"/>
      <c r="C4360" s="4" t="s">
        <v>9</v>
      </c>
      <c r="D4360" s="4" t="s">
        <v>9</v>
      </c>
      <c r="E4360" s="4" t="s">
        <v>9</v>
      </c>
      <c r="F4360" s="6">
        <v>0</v>
      </c>
      <c r="G4360" s="6">
        <v>0</v>
      </c>
      <c r="H4360" s="4" t="s">
        <v>9</v>
      </c>
      <c r="I4360" s="4" t="s">
        <v>3</v>
      </c>
      <c r="J4360" s="4" t="s">
        <v>9</v>
      </c>
      <c r="K4360" s="4" t="s">
        <v>9</v>
      </c>
      <c r="L4360" s="4" t="s">
        <v>9</v>
      </c>
      <c r="M4360" s="4" t="s">
        <v>9</v>
      </c>
      <c r="N4360" s="5"/>
    </row>
    <row r="4361" spans="1:14" x14ac:dyDescent="0.25">
      <c r="A4361" t="s">
        <v>576</v>
      </c>
      <c r="B4361" s="2">
        <v>46115</v>
      </c>
      <c r="C4361" t="s">
        <v>576</v>
      </c>
      <c r="D4361" t="s">
        <v>99</v>
      </c>
      <c r="E4361" t="s">
        <v>9</v>
      </c>
      <c r="F4361" s="3">
        <v>-109245.65</v>
      </c>
      <c r="G4361" s="3">
        <v>-109245.65</v>
      </c>
      <c r="H4361" t="s">
        <v>3</v>
      </c>
      <c r="I4361" t="s">
        <v>3</v>
      </c>
      <c r="J4361" t="s">
        <v>9</v>
      </c>
      <c r="K4361" t="s">
        <v>9</v>
      </c>
      <c r="L4361" t="s">
        <v>16</v>
      </c>
      <c r="M4361" t="s">
        <v>102</v>
      </c>
      <c r="N4361" s="2">
        <v>46112</v>
      </c>
    </row>
    <row r="4362" spans="1:14" x14ac:dyDescent="0.25">
      <c r="A4362" t="s">
        <v>576</v>
      </c>
      <c r="B4362" s="2">
        <v>46083</v>
      </c>
      <c r="C4362" t="s">
        <v>576</v>
      </c>
      <c r="D4362" t="s">
        <v>99</v>
      </c>
      <c r="E4362" t="s">
        <v>581</v>
      </c>
      <c r="F4362" s="3">
        <v>58509.27</v>
      </c>
      <c r="G4362" s="3">
        <v>58509.27</v>
      </c>
      <c r="H4362" t="s">
        <v>3</v>
      </c>
      <c r="I4362" t="s">
        <v>3</v>
      </c>
      <c r="J4362" t="s">
        <v>582</v>
      </c>
      <c r="K4362" t="s">
        <v>13</v>
      </c>
      <c r="L4362" t="s">
        <v>16</v>
      </c>
      <c r="M4362" t="s">
        <v>102</v>
      </c>
      <c r="N4362" s="2">
        <v>46083</v>
      </c>
    </row>
    <row r="4363" spans="1:14" x14ac:dyDescent="0.25">
      <c r="A4363" t="s">
        <v>576</v>
      </c>
      <c r="B4363" s="2">
        <v>46090</v>
      </c>
      <c r="C4363" t="s">
        <v>576</v>
      </c>
      <c r="D4363" t="s">
        <v>99</v>
      </c>
      <c r="E4363" t="s">
        <v>577</v>
      </c>
      <c r="F4363" s="3">
        <v>306.38</v>
      </c>
      <c r="G4363" s="3">
        <v>306.38</v>
      </c>
      <c r="H4363" t="s">
        <v>3</v>
      </c>
      <c r="I4363" t="s">
        <v>3</v>
      </c>
      <c r="J4363" t="s">
        <v>578</v>
      </c>
      <c r="K4363" t="s">
        <v>13</v>
      </c>
      <c r="L4363" t="s">
        <v>16</v>
      </c>
      <c r="M4363" t="s">
        <v>102</v>
      </c>
      <c r="N4363" s="2">
        <v>46090</v>
      </c>
    </row>
    <row r="4364" spans="1:14" x14ac:dyDescent="0.25">
      <c r="A4364" t="s">
        <v>576</v>
      </c>
      <c r="B4364" s="2">
        <v>46090</v>
      </c>
      <c r="C4364" t="s">
        <v>576</v>
      </c>
      <c r="D4364" t="s">
        <v>99</v>
      </c>
      <c r="E4364" t="s">
        <v>583</v>
      </c>
      <c r="F4364" s="3">
        <v>15300</v>
      </c>
      <c r="G4364" s="3">
        <v>15300</v>
      </c>
      <c r="H4364" t="s">
        <v>3</v>
      </c>
      <c r="I4364" t="s">
        <v>3</v>
      </c>
      <c r="J4364" t="s">
        <v>584</v>
      </c>
      <c r="K4364" t="s">
        <v>13</v>
      </c>
      <c r="L4364" t="s">
        <v>16</v>
      </c>
      <c r="M4364" t="s">
        <v>102</v>
      </c>
      <c r="N4364" s="2">
        <v>46090</v>
      </c>
    </row>
    <row r="4365" spans="1:14" x14ac:dyDescent="0.25">
      <c r="A4365" t="s">
        <v>576</v>
      </c>
      <c r="B4365" s="2">
        <v>46112</v>
      </c>
      <c r="C4365" t="s">
        <v>576</v>
      </c>
      <c r="D4365" t="s">
        <v>99</v>
      </c>
      <c r="E4365" t="s">
        <v>579</v>
      </c>
      <c r="F4365" s="3">
        <v>18300</v>
      </c>
      <c r="G4365" s="3">
        <v>18300</v>
      </c>
      <c r="H4365" t="s">
        <v>3</v>
      </c>
      <c r="I4365" t="s">
        <v>3</v>
      </c>
      <c r="J4365" t="s">
        <v>580</v>
      </c>
      <c r="K4365" t="s">
        <v>13</v>
      </c>
      <c r="L4365" t="s">
        <v>16</v>
      </c>
      <c r="M4365" t="s">
        <v>102</v>
      </c>
      <c r="N4365" s="2">
        <v>46112</v>
      </c>
    </row>
    <row r="4366" spans="1:14" x14ac:dyDescent="0.25">
      <c r="A4366" t="s">
        <v>576</v>
      </c>
      <c r="B4366" s="2">
        <v>46112</v>
      </c>
      <c r="C4366" t="s">
        <v>576</v>
      </c>
      <c r="D4366" t="s">
        <v>99</v>
      </c>
      <c r="E4366" t="s">
        <v>583</v>
      </c>
      <c r="F4366" s="3">
        <v>16830</v>
      </c>
      <c r="G4366" s="3">
        <v>16830</v>
      </c>
      <c r="H4366" t="s">
        <v>3</v>
      </c>
      <c r="I4366" t="s">
        <v>3</v>
      </c>
      <c r="J4366" t="s">
        <v>584</v>
      </c>
      <c r="K4366" t="s">
        <v>13</v>
      </c>
      <c r="L4366" t="s">
        <v>16</v>
      </c>
      <c r="M4366" t="s">
        <v>102</v>
      </c>
      <c r="N4366" s="2">
        <v>46112</v>
      </c>
    </row>
    <row r="4367" spans="1:14" x14ac:dyDescent="0.25">
      <c r="A4367" s="4" t="s">
        <v>244</v>
      </c>
      <c r="B4367" s="5"/>
      <c r="C4367" s="4" t="s">
        <v>9</v>
      </c>
      <c r="D4367" s="4" t="s">
        <v>9</v>
      </c>
      <c r="E4367" s="4" t="s">
        <v>9</v>
      </c>
      <c r="F4367" s="6">
        <v>0</v>
      </c>
      <c r="G4367" s="6">
        <v>0</v>
      </c>
      <c r="H4367" s="4" t="s">
        <v>9</v>
      </c>
      <c r="I4367" s="4" t="s">
        <v>3</v>
      </c>
      <c r="J4367" s="4" t="s">
        <v>9</v>
      </c>
      <c r="K4367" s="4" t="s">
        <v>9</v>
      </c>
      <c r="L4367" s="4" t="s">
        <v>9</v>
      </c>
      <c r="M4367" s="4" t="s">
        <v>9</v>
      </c>
      <c r="N4367" s="5"/>
    </row>
    <row r="4368" spans="1:14" x14ac:dyDescent="0.25">
      <c r="A4368" t="s">
        <v>576</v>
      </c>
      <c r="B4368" s="2">
        <v>46147</v>
      </c>
      <c r="C4368" t="s">
        <v>576</v>
      </c>
      <c r="D4368" t="s">
        <v>99</v>
      </c>
      <c r="E4368" t="s">
        <v>9</v>
      </c>
      <c r="F4368" s="3">
        <v>-228155.61</v>
      </c>
      <c r="G4368" s="3">
        <v>-228155.61</v>
      </c>
      <c r="H4368" t="s">
        <v>3</v>
      </c>
      <c r="I4368" t="s">
        <v>3</v>
      </c>
      <c r="J4368" t="s">
        <v>9</v>
      </c>
      <c r="K4368" t="s">
        <v>9</v>
      </c>
      <c r="L4368" t="s">
        <v>17</v>
      </c>
      <c r="M4368" t="s">
        <v>102</v>
      </c>
      <c r="N4368" s="2">
        <v>46142</v>
      </c>
    </row>
    <row r="4369" spans="1:14" x14ac:dyDescent="0.25">
      <c r="A4369" t="s">
        <v>576</v>
      </c>
      <c r="B4369" s="2">
        <v>46114</v>
      </c>
      <c r="C4369" t="s">
        <v>576</v>
      </c>
      <c r="D4369" t="s">
        <v>99</v>
      </c>
      <c r="E4369" t="s">
        <v>585</v>
      </c>
      <c r="F4369" s="3">
        <v>8100</v>
      </c>
      <c r="G4369" s="3">
        <v>8100</v>
      </c>
      <c r="H4369" t="s">
        <v>3</v>
      </c>
      <c r="I4369" t="s">
        <v>3</v>
      </c>
      <c r="J4369" t="s">
        <v>586</v>
      </c>
      <c r="K4369" t="s">
        <v>13</v>
      </c>
      <c r="L4369" t="s">
        <v>17</v>
      </c>
      <c r="M4369" t="s">
        <v>102</v>
      </c>
      <c r="N4369" s="2">
        <v>46114</v>
      </c>
    </row>
    <row r="4370" spans="1:14" x14ac:dyDescent="0.25">
      <c r="A4370" t="s">
        <v>576</v>
      </c>
      <c r="B4370" s="2">
        <v>46122</v>
      </c>
      <c r="C4370" t="s">
        <v>576</v>
      </c>
      <c r="D4370" t="s">
        <v>99</v>
      </c>
      <c r="E4370" t="s">
        <v>587</v>
      </c>
      <c r="F4370" s="3">
        <v>1575</v>
      </c>
      <c r="G4370" s="3">
        <v>1575</v>
      </c>
      <c r="H4370" t="s">
        <v>3</v>
      </c>
      <c r="I4370" t="s">
        <v>3</v>
      </c>
      <c r="J4370" t="s">
        <v>588</v>
      </c>
      <c r="K4370" t="s">
        <v>13</v>
      </c>
      <c r="L4370" t="s">
        <v>17</v>
      </c>
      <c r="M4370" t="s">
        <v>102</v>
      </c>
      <c r="N4370" s="2">
        <v>46122</v>
      </c>
    </row>
    <row r="4371" spans="1:14" x14ac:dyDescent="0.25">
      <c r="A4371" t="s">
        <v>576</v>
      </c>
      <c r="B4371" s="2">
        <v>46136</v>
      </c>
      <c r="C4371" t="s">
        <v>576</v>
      </c>
      <c r="D4371" t="s">
        <v>99</v>
      </c>
      <c r="E4371" t="s">
        <v>589</v>
      </c>
      <c r="F4371" s="3">
        <v>937.5</v>
      </c>
      <c r="G4371" s="3">
        <v>937.5</v>
      </c>
      <c r="H4371" t="s">
        <v>3</v>
      </c>
      <c r="I4371" t="s">
        <v>3</v>
      </c>
      <c r="J4371" t="s">
        <v>590</v>
      </c>
      <c r="K4371" t="s">
        <v>13</v>
      </c>
      <c r="L4371" t="s">
        <v>17</v>
      </c>
      <c r="M4371" t="s">
        <v>102</v>
      </c>
      <c r="N4371" s="2">
        <v>46136</v>
      </c>
    </row>
    <row r="4372" spans="1:14" x14ac:dyDescent="0.25">
      <c r="A4372" t="s">
        <v>576</v>
      </c>
      <c r="B4372" s="2">
        <v>46140</v>
      </c>
      <c r="C4372" t="s">
        <v>576</v>
      </c>
      <c r="D4372" t="s">
        <v>99</v>
      </c>
      <c r="E4372" t="s">
        <v>591</v>
      </c>
      <c r="F4372" s="3">
        <v>1646.61</v>
      </c>
      <c r="G4372" s="3">
        <v>1646.61</v>
      </c>
      <c r="H4372" t="s">
        <v>3</v>
      </c>
      <c r="I4372" t="s">
        <v>3</v>
      </c>
      <c r="J4372" t="s">
        <v>592</v>
      </c>
      <c r="K4372" t="s">
        <v>13</v>
      </c>
      <c r="L4372" t="s">
        <v>17</v>
      </c>
      <c r="M4372" t="s">
        <v>102</v>
      </c>
      <c r="N4372" s="2">
        <v>46140</v>
      </c>
    </row>
    <row r="4373" spans="1:14" x14ac:dyDescent="0.25">
      <c r="A4373" t="s">
        <v>576</v>
      </c>
      <c r="B4373" s="2">
        <v>46142</v>
      </c>
      <c r="C4373" t="s">
        <v>576</v>
      </c>
      <c r="D4373" t="s">
        <v>99</v>
      </c>
      <c r="E4373" t="s">
        <v>593</v>
      </c>
      <c r="F4373" s="3">
        <v>215896.5</v>
      </c>
      <c r="G4373" s="3">
        <v>215896.5</v>
      </c>
      <c r="H4373" t="s">
        <v>3</v>
      </c>
      <c r="I4373" t="s">
        <v>3</v>
      </c>
      <c r="J4373" t="s">
        <v>594</v>
      </c>
      <c r="K4373" t="s">
        <v>13</v>
      </c>
      <c r="L4373" t="s">
        <v>17</v>
      </c>
      <c r="M4373" t="s">
        <v>102</v>
      </c>
      <c r="N4373" s="2">
        <v>46142</v>
      </c>
    </row>
    <row r="4374" spans="1:14" x14ac:dyDescent="0.25">
      <c r="A4374" s="4" t="s">
        <v>249</v>
      </c>
      <c r="B4374" s="5"/>
      <c r="C4374" s="4" t="s">
        <v>9</v>
      </c>
      <c r="D4374" s="4" t="s">
        <v>9</v>
      </c>
      <c r="E4374" s="4" t="s">
        <v>9</v>
      </c>
      <c r="F4374" s="6">
        <v>0</v>
      </c>
      <c r="G4374" s="6">
        <v>0</v>
      </c>
      <c r="H4374" s="4" t="s">
        <v>9</v>
      </c>
      <c r="I4374" s="4" t="s">
        <v>3</v>
      </c>
      <c r="J4374" s="4" t="s">
        <v>9</v>
      </c>
      <c r="K4374" s="4" t="s">
        <v>9</v>
      </c>
      <c r="L4374" s="4" t="s">
        <v>9</v>
      </c>
      <c r="M4374" s="4" t="s">
        <v>9</v>
      </c>
      <c r="N4374" s="5"/>
    </row>
    <row r="4375" spans="1:14" x14ac:dyDescent="0.25">
      <c r="A4375" t="s">
        <v>576</v>
      </c>
      <c r="B4375" s="2">
        <v>46175</v>
      </c>
      <c r="C4375" t="s">
        <v>576</v>
      </c>
      <c r="D4375" t="s">
        <v>99</v>
      </c>
      <c r="E4375" t="s">
        <v>9</v>
      </c>
      <c r="F4375" s="3">
        <v>-302044.11</v>
      </c>
      <c r="G4375" s="3">
        <v>-302044.11</v>
      </c>
      <c r="H4375" t="s">
        <v>3</v>
      </c>
      <c r="I4375" t="s">
        <v>3</v>
      </c>
      <c r="J4375" t="s">
        <v>9</v>
      </c>
      <c r="K4375" t="s">
        <v>9</v>
      </c>
      <c r="L4375" t="s">
        <v>18</v>
      </c>
      <c r="M4375" t="s">
        <v>102</v>
      </c>
      <c r="N4375" s="2">
        <v>46173</v>
      </c>
    </row>
    <row r="4376" spans="1:14" x14ac:dyDescent="0.25">
      <c r="A4376" t="s">
        <v>576</v>
      </c>
      <c r="B4376" s="2">
        <v>46175</v>
      </c>
      <c r="C4376" t="s">
        <v>576</v>
      </c>
      <c r="D4376" t="s">
        <v>1</v>
      </c>
      <c r="E4376" t="s">
        <v>9</v>
      </c>
      <c r="F4376" s="3">
        <v>-28739</v>
      </c>
      <c r="G4376" s="3">
        <v>-28739</v>
      </c>
      <c r="H4376" t="s">
        <v>3</v>
      </c>
      <c r="I4376" t="s">
        <v>3</v>
      </c>
      <c r="J4376" t="s">
        <v>9</v>
      </c>
      <c r="K4376" t="s">
        <v>9</v>
      </c>
      <c r="L4376" t="s">
        <v>18</v>
      </c>
      <c r="M4376" t="s">
        <v>7</v>
      </c>
      <c r="N4376" s="2">
        <v>46173</v>
      </c>
    </row>
    <row r="4377" spans="1:14" x14ac:dyDescent="0.25">
      <c r="A4377" t="s">
        <v>576</v>
      </c>
      <c r="B4377" s="2">
        <v>46148</v>
      </c>
      <c r="C4377" t="s">
        <v>576</v>
      </c>
      <c r="D4377" t="s">
        <v>99</v>
      </c>
      <c r="E4377" t="s">
        <v>585</v>
      </c>
      <c r="F4377" s="3">
        <v>14175</v>
      </c>
      <c r="G4377" s="3">
        <v>14175</v>
      </c>
      <c r="H4377" t="s">
        <v>3</v>
      </c>
      <c r="I4377" t="s">
        <v>3</v>
      </c>
      <c r="J4377" t="s">
        <v>586</v>
      </c>
      <c r="K4377" t="s">
        <v>13</v>
      </c>
      <c r="L4377" t="s">
        <v>18</v>
      </c>
      <c r="M4377" t="s">
        <v>102</v>
      </c>
      <c r="N4377" s="2">
        <v>46148</v>
      </c>
    </row>
    <row r="4378" spans="1:14" x14ac:dyDescent="0.25">
      <c r="A4378" t="s">
        <v>576</v>
      </c>
      <c r="B4378" s="2">
        <v>46148</v>
      </c>
      <c r="C4378" t="s">
        <v>576</v>
      </c>
      <c r="D4378" t="s">
        <v>99</v>
      </c>
      <c r="E4378" t="s">
        <v>583</v>
      </c>
      <c r="F4378" s="3">
        <v>16830</v>
      </c>
      <c r="G4378" s="3">
        <v>16830</v>
      </c>
      <c r="H4378" t="s">
        <v>3</v>
      </c>
      <c r="I4378" t="s">
        <v>3</v>
      </c>
      <c r="J4378" t="s">
        <v>584</v>
      </c>
      <c r="K4378" t="s">
        <v>13</v>
      </c>
      <c r="L4378" t="s">
        <v>18</v>
      </c>
      <c r="M4378" t="s">
        <v>102</v>
      </c>
      <c r="N4378" s="2">
        <v>46148</v>
      </c>
    </row>
    <row r="4379" spans="1:14" x14ac:dyDescent="0.25">
      <c r="A4379" t="s">
        <v>576</v>
      </c>
      <c r="B4379" s="2">
        <v>46150</v>
      </c>
      <c r="C4379" t="s">
        <v>576</v>
      </c>
      <c r="D4379" t="s">
        <v>99</v>
      </c>
      <c r="E4379" t="s">
        <v>591</v>
      </c>
      <c r="F4379" s="3">
        <v>5175.0600000000004</v>
      </c>
      <c r="G4379" s="3">
        <v>5175.0600000000004</v>
      </c>
      <c r="H4379" t="s">
        <v>3</v>
      </c>
      <c r="I4379" t="s">
        <v>3</v>
      </c>
      <c r="J4379" t="s">
        <v>592</v>
      </c>
      <c r="K4379" t="s">
        <v>13</v>
      </c>
      <c r="L4379" t="s">
        <v>18</v>
      </c>
      <c r="M4379" t="s">
        <v>102</v>
      </c>
      <c r="N4379" s="2">
        <v>46150</v>
      </c>
    </row>
    <row r="4380" spans="1:14" x14ac:dyDescent="0.25">
      <c r="A4380" t="s">
        <v>576</v>
      </c>
      <c r="B4380" s="2">
        <v>46150</v>
      </c>
      <c r="C4380" t="s">
        <v>576</v>
      </c>
      <c r="D4380" t="s">
        <v>99</v>
      </c>
      <c r="E4380" t="s">
        <v>577</v>
      </c>
      <c r="F4380" s="3">
        <v>102.13</v>
      </c>
      <c r="G4380" s="3">
        <v>102.13</v>
      </c>
      <c r="H4380" t="s">
        <v>3</v>
      </c>
      <c r="I4380" t="s">
        <v>3</v>
      </c>
      <c r="J4380" t="s">
        <v>578</v>
      </c>
      <c r="K4380" t="s">
        <v>13</v>
      </c>
      <c r="L4380" t="s">
        <v>18</v>
      </c>
      <c r="M4380" t="s">
        <v>102</v>
      </c>
      <c r="N4380" s="2">
        <v>46150</v>
      </c>
    </row>
    <row r="4381" spans="1:14" x14ac:dyDescent="0.25">
      <c r="A4381" t="s">
        <v>576</v>
      </c>
      <c r="B4381" s="2">
        <v>46153</v>
      </c>
      <c r="C4381" t="s">
        <v>576</v>
      </c>
      <c r="D4381" t="s">
        <v>99</v>
      </c>
      <c r="E4381" t="s">
        <v>593</v>
      </c>
      <c r="F4381" s="3">
        <v>238207.75</v>
      </c>
      <c r="G4381" s="3">
        <v>238207.75</v>
      </c>
      <c r="H4381" t="s">
        <v>3</v>
      </c>
      <c r="I4381" t="s">
        <v>3</v>
      </c>
      <c r="J4381" t="s">
        <v>594</v>
      </c>
      <c r="K4381" t="s">
        <v>13</v>
      </c>
      <c r="L4381" t="s">
        <v>18</v>
      </c>
      <c r="M4381" t="s">
        <v>102</v>
      </c>
      <c r="N4381" s="2">
        <v>46153</v>
      </c>
    </row>
    <row r="4382" spans="1:14" x14ac:dyDescent="0.25">
      <c r="A4382" t="s">
        <v>576</v>
      </c>
      <c r="B4382" s="2">
        <v>46155</v>
      </c>
      <c r="C4382" t="s">
        <v>576</v>
      </c>
      <c r="D4382" t="s">
        <v>99</v>
      </c>
      <c r="E4382" t="s">
        <v>587</v>
      </c>
      <c r="F4382" s="3">
        <v>11550</v>
      </c>
      <c r="G4382" s="3">
        <v>11550</v>
      </c>
      <c r="H4382" t="s">
        <v>3</v>
      </c>
      <c r="I4382" t="s">
        <v>3</v>
      </c>
      <c r="J4382" t="s">
        <v>588</v>
      </c>
      <c r="K4382" t="s">
        <v>13</v>
      </c>
      <c r="L4382" t="s">
        <v>18</v>
      </c>
      <c r="M4382" t="s">
        <v>102</v>
      </c>
      <c r="N4382" s="2">
        <v>46155</v>
      </c>
    </row>
    <row r="4383" spans="1:14" x14ac:dyDescent="0.25">
      <c r="A4383" t="s">
        <v>576</v>
      </c>
      <c r="B4383" s="2">
        <v>46155</v>
      </c>
      <c r="C4383" t="s">
        <v>576</v>
      </c>
      <c r="D4383" t="s">
        <v>99</v>
      </c>
      <c r="E4383" t="s">
        <v>589</v>
      </c>
      <c r="F4383" s="3">
        <v>750</v>
      </c>
      <c r="G4383" s="3">
        <v>750</v>
      </c>
      <c r="H4383" t="s">
        <v>3</v>
      </c>
      <c r="I4383" t="s">
        <v>3</v>
      </c>
      <c r="J4383" t="s">
        <v>590</v>
      </c>
      <c r="K4383" t="s">
        <v>13</v>
      </c>
      <c r="L4383" t="s">
        <v>18</v>
      </c>
      <c r="M4383" t="s">
        <v>102</v>
      </c>
      <c r="N4383" s="2">
        <v>46155</v>
      </c>
    </row>
    <row r="4384" spans="1:14" x14ac:dyDescent="0.25">
      <c r="A4384" t="s">
        <v>576</v>
      </c>
      <c r="B4384" s="2">
        <v>46160</v>
      </c>
      <c r="C4384" t="s">
        <v>576</v>
      </c>
      <c r="D4384" t="s">
        <v>99</v>
      </c>
      <c r="E4384" t="s">
        <v>595</v>
      </c>
      <c r="F4384" s="3">
        <v>7128</v>
      </c>
      <c r="G4384" s="3">
        <v>7128</v>
      </c>
      <c r="H4384" t="s">
        <v>3</v>
      </c>
      <c r="I4384" t="s">
        <v>3</v>
      </c>
      <c r="J4384" t="s">
        <v>596</v>
      </c>
      <c r="K4384" t="s">
        <v>13</v>
      </c>
      <c r="L4384" t="s">
        <v>18</v>
      </c>
      <c r="M4384" t="s">
        <v>102</v>
      </c>
      <c r="N4384" s="2">
        <v>46160</v>
      </c>
    </row>
    <row r="4385" spans="1:14" x14ac:dyDescent="0.25">
      <c r="A4385" t="s">
        <v>576</v>
      </c>
      <c r="B4385" s="2">
        <v>46160</v>
      </c>
      <c r="C4385" t="s">
        <v>576</v>
      </c>
      <c r="D4385" t="s">
        <v>99</v>
      </c>
      <c r="E4385" t="s">
        <v>597</v>
      </c>
      <c r="F4385" s="3">
        <v>813.75</v>
      </c>
      <c r="G4385" s="3">
        <v>813.75</v>
      </c>
      <c r="H4385" t="s">
        <v>3</v>
      </c>
      <c r="I4385" t="s">
        <v>3</v>
      </c>
      <c r="J4385" t="s">
        <v>598</v>
      </c>
      <c r="K4385" t="s">
        <v>13</v>
      </c>
      <c r="L4385" t="s">
        <v>18</v>
      </c>
      <c r="M4385" t="s">
        <v>102</v>
      </c>
      <c r="N4385" s="2">
        <v>46160</v>
      </c>
    </row>
    <row r="4386" spans="1:14" x14ac:dyDescent="0.25">
      <c r="A4386" t="s">
        <v>576</v>
      </c>
      <c r="B4386" s="2">
        <v>46162</v>
      </c>
      <c r="C4386" t="s">
        <v>576</v>
      </c>
      <c r="D4386" t="s">
        <v>1</v>
      </c>
      <c r="E4386" t="s">
        <v>599</v>
      </c>
      <c r="F4386" s="3">
        <v>8919</v>
      </c>
      <c r="G4386" s="3">
        <v>8919</v>
      </c>
      <c r="H4386" t="s">
        <v>3</v>
      </c>
      <c r="I4386" t="s">
        <v>3</v>
      </c>
      <c r="J4386" t="s">
        <v>600</v>
      </c>
      <c r="K4386" t="s">
        <v>13</v>
      </c>
      <c r="L4386" t="s">
        <v>18</v>
      </c>
      <c r="M4386" t="s">
        <v>7</v>
      </c>
      <c r="N4386" s="2">
        <v>46162</v>
      </c>
    </row>
    <row r="4387" spans="1:14" x14ac:dyDescent="0.25">
      <c r="A4387" t="s">
        <v>576</v>
      </c>
      <c r="B4387" s="2">
        <v>46171</v>
      </c>
      <c r="C4387" t="s">
        <v>576</v>
      </c>
      <c r="D4387" t="s">
        <v>1</v>
      </c>
      <c r="E4387" t="s">
        <v>599</v>
      </c>
      <c r="F4387" s="3">
        <v>19820</v>
      </c>
      <c r="G4387" s="3">
        <v>19820</v>
      </c>
      <c r="H4387" t="s">
        <v>3</v>
      </c>
      <c r="I4387" t="s">
        <v>3</v>
      </c>
      <c r="J4387" t="s">
        <v>600</v>
      </c>
      <c r="K4387" t="s">
        <v>13</v>
      </c>
      <c r="L4387" t="s">
        <v>18</v>
      </c>
      <c r="M4387" t="s">
        <v>7</v>
      </c>
      <c r="N4387" s="2">
        <v>46171</v>
      </c>
    </row>
    <row r="4388" spans="1:14" x14ac:dyDescent="0.25">
      <c r="A4388" t="s">
        <v>576</v>
      </c>
      <c r="B4388" s="2">
        <v>46173</v>
      </c>
      <c r="C4388" t="s">
        <v>576</v>
      </c>
      <c r="D4388" t="s">
        <v>99</v>
      </c>
      <c r="E4388" t="s">
        <v>9</v>
      </c>
      <c r="F4388" s="3">
        <v>7312.42</v>
      </c>
      <c r="G4388" s="3">
        <v>7312.42</v>
      </c>
      <c r="H4388" t="s">
        <v>3</v>
      </c>
      <c r="I4388" t="s">
        <v>3</v>
      </c>
      <c r="J4388" t="s">
        <v>601</v>
      </c>
      <c r="K4388" t="s">
        <v>13</v>
      </c>
      <c r="L4388" t="s">
        <v>18</v>
      </c>
      <c r="M4388" t="s">
        <v>102</v>
      </c>
      <c r="N4388" s="2">
        <v>46173</v>
      </c>
    </row>
    <row r="4389" spans="1:14" x14ac:dyDescent="0.25">
      <c r="A4389" s="4" t="s">
        <v>223</v>
      </c>
      <c r="B4389" s="5"/>
      <c r="C4389" s="4" t="s">
        <v>9</v>
      </c>
      <c r="D4389" s="4" t="s">
        <v>9</v>
      </c>
      <c r="E4389" s="4" t="s">
        <v>9</v>
      </c>
      <c r="F4389" s="6">
        <v>0</v>
      </c>
      <c r="G4389" s="6">
        <v>0</v>
      </c>
      <c r="H4389" s="4" t="s">
        <v>9</v>
      </c>
      <c r="I4389" s="4" t="s">
        <v>3</v>
      </c>
      <c r="J4389" s="4" t="s">
        <v>9</v>
      </c>
      <c r="K4389" s="4" t="s">
        <v>9</v>
      </c>
      <c r="L4389" s="4" t="s">
        <v>9</v>
      </c>
      <c r="M4389" s="4" t="s">
        <v>9</v>
      </c>
      <c r="N4389" s="5"/>
    </row>
    <row r="4390" spans="1:14" x14ac:dyDescent="0.25">
      <c r="A4390" t="s">
        <v>576</v>
      </c>
      <c r="B4390" s="2">
        <v>46205</v>
      </c>
      <c r="C4390" t="s">
        <v>576</v>
      </c>
      <c r="D4390" t="s">
        <v>99</v>
      </c>
      <c r="E4390" t="s">
        <v>9</v>
      </c>
      <c r="F4390" s="3">
        <v>-344610.29</v>
      </c>
      <c r="G4390" s="3">
        <v>-344610.29</v>
      </c>
      <c r="H4390" t="s">
        <v>3</v>
      </c>
      <c r="I4390" t="s">
        <v>3</v>
      </c>
      <c r="J4390" t="s">
        <v>9</v>
      </c>
      <c r="K4390" t="s">
        <v>9</v>
      </c>
      <c r="L4390" t="s">
        <v>19</v>
      </c>
      <c r="M4390" t="s">
        <v>102</v>
      </c>
      <c r="N4390" s="2">
        <v>46203</v>
      </c>
    </row>
    <row r="4391" spans="1:14" x14ac:dyDescent="0.25">
      <c r="A4391" t="s">
        <v>576</v>
      </c>
      <c r="B4391" s="2">
        <v>46175</v>
      </c>
      <c r="C4391" t="s">
        <v>576</v>
      </c>
      <c r="D4391" t="s">
        <v>99</v>
      </c>
      <c r="E4391" t="s">
        <v>597</v>
      </c>
      <c r="F4391" s="3">
        <v>5270</v>
      </c>
      <c r="G4391" s="3">
        <v>5270</v>
      </c>
      <c r="H4391" t="s">
        <v>3</v>
      </c>
      <c r="I4391" t="s">
        <v>3</v>
      </c>
      <c r="J4391" t="s">
        <v>598</v>
      </c>
      <c r="K4391" t="s">
        <v>13</v>
      </c>
      <c r="L4391" t="s">
        <v>19</v>
      </c>
      <c r="M4391" t="s">
        <v>102</v>
      </c>
      <c r="N4391" s="2">
        <v>46175</v>
      </c>
    </row>
    <row r="4392" spans="1:14" x14ac:dyDescent="0.25">
      <c r="A4392" t="s">
        <v>576</v>
      </c>
      <c r="B4392" s="2">
        <v>46182</v>
      </c>
      <c r="C4392" t="s">
        <v>576</v>
      </c>
      <c r="D4392" t="s">
        <v>99</v>
      </c>
      <c r="E4392" t="s">
        <v>577</v>
      </c>
      <c r="F4392" s="3">
        <v>204.25</v>
      </c>
      <c r="G4392" s="3">
        <v>204.25</v>
      </c>
      <c r="H4392" t="s">
        <v>3</v>
      </c>
      <c r="I4392" t="s">
        <v>3</v>
      </c>
      <c r="J4392" t="s">
        <v>578</v>
      </c>
      <c r="K4392" t="s">
        <v>13</v>
      </c>
      <c r="L4392" t="s">
        <v>19</v>
      </c>
      <c r="M4392" t="s">
        <v>102</v>
      </c>
      <c r="N4392" s="2">
        <v>46182</v>
      </c>
    </row>
    <row r="4393" spans="1:14" x14ac:dyDescent="0.25">
      <c r="A4393" t="s">
        <v>576</v>
      </c>
      <c r="B4393" s="2">
        <v>46188</v>
      </c>
      <c r="C4393" t="s">
        <v>576</v>
      </c>
      <c r="D4393" t="s">
        <v>99</v>
      </c>
      <c r="E4393" t="s">
        <v>585</v>
      </c>
      <c r="F4393" s="3">
        <v>13891.98</v>
      </c>
      <c r="G4393" s="3">
        <v>13891.98</v>
      </c>
      <c r="H4393" t="s">
        <v>3</v>
      </c>
      <c r="I4393" t="s">
        <v>3</v>
      </c>
      <c r="J4393" t="s">
        <v>586</v>
      </c>
      <c r="K4393" t="s">
        <v>13</v>
      </c>
      <c r="L4393" t="s">
        <v>19</v>
      </c>
      <c r="M4393" t="s">
        <v>102</v>
      </c>
      <c r="N4393" s="2">
        <v>46188</v>
      </c>
    </row>
    <row r="4394" spans="1:14" x14ac:dyDescent="0.25">
      <c r="A4394" t="s">
        <v>576</v>
      </c>
      <c r="B4394" s="2">
        <v>46188</v>
      </c>
      <c r="C4394" t="s">
        <v>576</v>
      </c>
      <c r="D4394" t="s">
        <v>99</v>
      </c>
      <c r="E4394" t="s">
        <v>583</v>
      </c>
      <c r="F4394" s="3">
        <v>12240</v>
      </c>
      <c r="G4394" s="3">
        <v>12240</v>
      </c>
      <c r="H4394" t="s">
        <v>3</v>
      </c>
      <c r="I4394" t="s">
        <v>3</v>
      </c>
      <c r="J4394" t="s">
        <v>584</v>
      </c>
      <c r="K4394" t="s">
        <v>13</v>
      </c>
      <c r="L4394" t="s">
        <v>19</v>
      </c>
      <c r="M4394" t="s">
        <v>102</v>
      </c>
      <c r="N4394" s="2">
        <v>46188</v>
      </c>
    </row>
    <row r="4395" spans="1:14" x14ac:dyDescent="0.25">
      <c r="A4395" t="s">
        <v>576</v>
      </c>
      <c r="B4395" s="2">
        <v>46188</v>
      </c>
      <c r="C4395" t="s">
        <v>576</v>
      </c>
      <c r="D4395" t="s">
        <v>99</v>
      </c>
      <c r="E4395" t="s">
        <v>602</v>
      </c>
      <c r="F4395" s="3">
        <v>3825</v>
      </c>
      <c r="G4395" s="3">
        <v>3825</v>
      </c>
      <c r="H4395" t="s">
        <v>3</v>
      </c>
      <c r="I4395" t="s">
        <v>3</v>
      </c>
      <c r="J4395" t="s">
        <v>603</v>
      </c>
      <c r="K4395" t="s">
        <v>13</v>
      </c>
      <c r="L4395" t="s">
        <v>19</v>
      </c>
      <c r="M4395" t="s">
        <v>102</v>
      </c>
      <c r="N4395" s="2">
        <v>46188</v>
      </c>
    </row>
    <row r="4396" spans="1:14" x14ac:dyDescent="0.25">
      <c r="A4396" t="s">
        <v>576</v>
      </c>
      <c r="B4396" s="2">
        <v>46189</v>
      </c>
      <c r="C4396" t="s">
        <v>576</v>
      </c>
      <c r="D4396" t="s">
        <v>99</v>
      </c>
      <c r="E4396" t="s">
        <v>587</v>
      </c>
      <c r="F4396" s="3">
        <v>8400</v>
      </c>
      <c r="G4396" s="3">
        <v>8400</v>
      </c>
      <c r="H4396" t="s">
        <v>3</v>
      </c>
      <c r="I4396" t="s">
        <v>3</v>
      </c>
      <c r="J4396" t="s">
        <v>588</v>
      </c>
      <c r="K4396" t="s">
        <v>13</v>
      </c>
      <c r="L4396" t="s">
        <v>19</v>
      </c>
      <c r="M4396" t="s">
        <v>102</v>
      </c>
      <c r="N4396" s="2">
        <v>46189</v>
      </c>
    </row>
    <row r="4397" spans="1:14" x14ac:dyDescent="0.25">
      <c r="A4397" t="s">
        <v>576</v>
      </c>
      <c r="B4397" s="2">
        <v>46189</v>
      </c>
      <c r="C4397" t="s">
        <v>576</v>
      </c>
      <c r="D4397" t="s">
        <v>99</v>
      </c>
      <c r="E4397" t="s">
        <v>597</v>
      </c>
      <c r="F4397" s="3">
        <v>11361.5</v>
      </c>
      <c r="G4397" s="3">
        <v>11361.5</v>
      </c>
      <c r="H4397" t="s">
        <v>3</v>
      </c>
      <c r="I4397" t="s">
        <v>3</v>
      </c>
      <c r="J4397" t="s">
        <v>598</v>
      </c>
      <c r="K4397" t="s">
        <v>13</v>
      </c>
      <c r="L4397" t="s">
        <v>19</v>
      </c>
      <c r="M4397" t="s">
        <v>102</v>
      </c>
      <c r="N4397" s="2">
        <v>46189</v>
      </c>
    </row>
    <row r="4398" spans="1:14" x14ac:dyDescent="0.25">
      <c r="A4398" t="s">
        <v>576</v>
      </c>
      <c r="B4398" s="2">
        <v>46189</v>
      </c>
      <c r="C4398" t="s">
        <v>576</v>
      </c>
      <c r="D4398" t="s">
        <v>99</v>
      </c>
      <c r="E4398" t="s">
        <v>595</v>
      </c>
      <c r="F4398" s="3">
        <v>7920</v>
      </c>
      <c r="G4398" s="3">
        <v>7920</v>
      </c>
      <c r="H4398" t="s">
        <v>3</v>
      </c>
      <c r="I4398" t="s">
        <v>3</v>
      </c>
      <c r="J4398" t="s">
        <v>596</v>
      </c>
      <c r="K4398" t="s">
        <v>13</v>
      </c>
      <c r="L4398" t="s">
        <v>19</v>
      </c>
      <c r="M4398" t="s">
        <v>102</v>
      </c>
      <c r="N4398" s="2">
        <v>46189</v>
      </c>
    </row>
    <row r="4399" spans="1:14" x14ac:dyDescent="0.25">
      <c r="A4399" t="s">
        <v>576</v>
      </c>
      <c r="B4399" s="2">
        <v>46192</v>
      </c>
      <c r="C4399" t="s">
        <v>576</v>
      </c>
      <c r="D4399" t="s">
        <v>99</v>
      </c>
      <c r="E4399" t="s">
        <v>593</v>
      </c>
      <c r="F4399" s="3">
        <v>503.85</v>
      </c>
      <c r="G4399" s="3">
        <v>503.85</v>
      </c>
      <c r="H4399" t="s">
        <v>3</v>
      </c>
      <c r="I4399" t="s">
        <v>3</v>
      </c>
      <c r="J4399" t="s">
        <v>604</v>
      </c>
      <c r="K4399" t="s">
        <v>13</v>
      </c>
      <c r="L4399" t="s">
        <v>19</v>
      </c>
      <c r="M4399" t="s">
        <v>102</v>
      </c>
      <c r="N4399" s="2">
        <v>46192</v>
      </c>
    </row>
    <row r="4400" spans="1:14" x14ac:dyDescent="0.25">
      <c r="A4400" t="s">
        <v>576</v>
      </c>
      <c r="B4400" s="2">
        <v>46192</v>
      </c>
      <c r="C4400" t="s">
        <v>576</v>
      </c>
      <c r="D4400" t="s">
        <v>99</v>
      </c>
      <c r="E4400" t="s">
        <v>593</v>
      </c>
      <c r="F4400" s="3">
        <v>270354.44</v>
      </c>
      <c r="G4400" s="3">
        <v>270354.44</v>
      </c>
      <c r="H4400" t="s">
        <v>3</v>
      </c>
      <c r="I4400" t="s">
        <v>3</v>
      </c>
      <c r="J4400" t="s">
        <v>594</v>
      </c>
      <c r="K4400" t="s">
        <v>13</v>
      </c>
      <c r="L4400" t="s">
        <v>19</v>
      </c>
      <c r="M4400" t="s">
        <v>102</v>
      </c>
      <c r="N4400" s="2">
        <v>46192</v>
      </c>
    </row>
    <row r="4401" spans="1:14" x14ac:dyDescent="0.25">
      <c r="A4401" t="s">
        <v>576</v>
      </c>
      <c r="B4401" s="2">
        <v>46195</v>
      </c>
      <c r="C4401" t="s">
        <v>576</v>
      </c>
      <c r="D4401" t="s">
        <v>99</v>
      </c>
      <c r="E4401" t="s">
        <v>605</v>
      </c>
      <c r="F4401" s="3">
        <v>1078</v>
      </c>
      <c r="G4401" s="3">
        <v>1078</v>
      </c>
      <c r="H4401" t="s">
        <v>3</v>
      </c>
      <c r="I4401" t="s">
        <v>3</v>
      </c>
      <c r="J4401" t="s">
        <v>606</v>
      </c>
      <c r="K4401" t="s">
        <v>13</v>
      </c>
      <c r="L4401" t="s">
        <v>19</v>
      </c>
      <c r="M4401" t="s">
        <v>102</v>
      </c>
      <c r="N4401" s="2">
        <v>46195</v>
      </c>
    </row>
    <row r="4402" spans="1:14" x14ac:dyDescent="0.25">
      <c r="A4402" t="s">
        <v>576</v>
      </c>
      <c r="B4402" s="2">
        <v>46195</v>
      </c>
      <c r="C4402" t="s">
        <v>576</v>
      </c>
      <c r="D4402" t="s">
        <v>99</v>
      </c>
      <c r="E4402" t="s">
        <v>605</v>
      </c>
      <c r="F4402" s="3">
        <v>961.76</v>
      </c>
      <c r="G4402" s="3">
        <v>961.76</v>
      </c>
      <c r="H4402" t="s">
        <v>3</v>
      </c>
      <c r="I4402" t="s">
        <v>3</v>
      </c>
      <c r="J4402" t="s">
        <v>607</v>
      </c>
      <c r="K4402" t="s">
        <v>13</v>
      </c>
      <c r="L4402" t="s">
        <v>19</v>
      </c>
      <c r="M4402" t="s">
        <v>102</v>
      </c>
      <c r="N4402" s="2">
        <v>46195</v>
      </c>
    </row>
    <row r="4403" spans="1:14" x14ac:dyDescent="0.25">
      <c r="A4403" t="s">
        <v>576</v>
      </c>
      <c r="B4403" s="2">
        <v>46192</v>
      </c>
      <c r="C4403" t="s">
        <v>576</v>
      </c>
      <c r="D4403" t="s">
        <v>99</v>
      </c>
      <c r="E4403" t="s">
        <v>605</v>
      </c>
      <c r="F4403" s="3">
        <v>129.36000000000001</v>
      </c>
      <c r="G4403" s="3">
        <v>129.36000000000001</v>
      </c>
      <c r="H4403" t="s">
        <v>3</v>
      </c>
      <c r="I4403" t="s">
        <v>3</v>
      </c>
      <c r="J4403" t="s">
        <v>606</v>
      </c>
      <c r="K4403" t="s">
        <v>13</v>
      </c>
      <c r="L4403" t="s">
        <v>19</v>
      </c>
      <c r="M4403" t="s">
        <v>102</v>
      </c>
      <c r="N4403" s="2">
        <v>46197</v>
      </c>
    </row>
    <row r="4404" spans="1:14" x14ac:dyDescent="0.25">
      <c r="A4404" t="s">
        <v>576</v>
      </c>
      <c r="B4404" s="2">
        <v>46198</v>
      </c>
      <c r="C4404" t="s">
        <v>576</v>
      </c>
      <c r="D4404" t="s">
        <v>99</v>
      </c>
      <c r="E4404" t="s">
        <v>591</v>
      </c>
      <c r="F4404" s="3">
        <v>4704.6000000000004</v>
      </c>
      <c r="G4404" s="3">
        <v>4704.6000000000004</v>
      </c>
      <c r="H4404" t="s">
        <v>3</v>
      </c>
      <c r="I4404" t="s">
        <v>3</v>
      </c>
      <c r="J4404" t="s">
        <v>592</v>
      </c>
      <c r="K4404" t="s">
        <v>13</v>
      </c>
      <c r="L4404" t="s">
        <v>19</v>
      </c>
      <c r="M4404" t="s">
        <v>102</v>
      </c>
      <c r="N4404" s="2">
        <v>46198</v>
      </c>
    </row>
    <row r="4405" spans="1:14" x14ac:dyDescent="0.25">
      <c r="A4405" t="s">
        <v>576</v>
      </c>
      <c r="B4405" s="2">
        <v>46198</v>
      </c>
      <c r="C4405" t="s">
        <v>576</v>
      </c>
      <c r="D4405" t="s">
        <v>99</v>
      </c>
      <c r="E4405" t="s">
        <v>608</v>
      </c>
      <c r="F4405" s="3">
        <v>316.3</v>
      </c>
      <c r="G4405" s="3">
        <v>316.3</v>
      </c>
      <c r="H4405" t="s">
        <v>3</v>
      </c>
      <c r="I4405" t="s">
        <v>3</v>
      </c>
      <c r="J4405" t="s">
        <v>609</v>
      </c>
      <c r="K4405" t="s">
        <v>13</v>
      </c>
      <c r="L4405" t="s">
        <v>19</v>
      </c>
      <c r="M4405" t="s">
        <v>102</v>
      </c>
      <c r="N4405" s="2">
        <v>46198</v>
      </c>
    </row>
    <row r="4406" spans="1:14" x14ac:dyDescent="0.25">
      <c r="A4406" t="s">
        <v>576</v>
      </c>
      <c r="B4406" s="2">
        <v>46173</v>
      </c>
      <c r="C4406" t="s">
        <v>576</v>
      </c>
      <c r="D4406" t="s">
        <v>99</v>
      </c>
      <c r="E4406" t="s">
        <v>583</v>
      </c>
      <c r="F4406" s="3">
        <v>3825</v>
      </c>
      <c r="G4406" s="3">
        <v>3825</v>
      </c>
      <c r="H4406" t="s">
        <v>3</v>
      </c>
      <c r="I4406" t="s">
        <v>3</v>
      </c>
      <c r="J4406" t="s">
        <v>584</v>
      </c>
      <c r="K4406" t="s">
        <v>13</v>
      </c>
      <c r="L4406" t="s">
        <v>19</v>
      </c>
      <c r="M4406" t="s">
        <v>102</v>
      </c>
      <c r="N4406" s="2">
        <v>46199</v>
      </c>
    </row>
    <row r="4407" spans="1:14" x14ac:dyDescent="0.25">
      <c r="A4407" t="s">
        <v>576</v>
      </c>
      <c r="B4407" s="2">
        <v>46203</v>
      </c>
      <c r="C4407" t="s">
        <v>576</v>
      </c>
      <c r="D4407" t="s">
        <v>99</v>
      </c>
      <c r="E4407" t="s">
        <v>9</v>
      </c>
      <c r="F4407" s="3">
        <v>3449.25</v>
      </c>
      <c r="G4407" s="3">
        <v>3449.25</v>
      </c>
      <c r="H4407" t="s">
        <v>3</v>
      </c>
      <c r="I4407" t="s">
        <v>3</v>
      </c>
      <c r="J4407" t="s">
        <v>610</v>
      </c>
      <c r="K4407" t="s">
        <v>13</v>
      </c>
      <c r="L4407" t="s">
        <v>19</v>
      </c>
      <c r="M4407" t="s">
        <v>102</v>
      </c>
      <c r="N4407" s="2">
        <v>46203</v>
      </c>
    </row>
    <row r="4408" spans="1:14" x14ac:dyDescent="0.25">
      <c r="A4408" t="s">
        <v>576</v>
      </c>
      <c r="B4408" s="2">
        <v>46173</v>
      </c>
      <c r="C4408" t="s">
        <v>576</v>
      </c>
      <c r="D4408" t="s">
        <v>99</v>
      </c>
      <c r="E4408" t="s">
        <v>583</v>
      </c>
      <c r="F4408" s="3">
        <v>-3825</v>
      </c>
      <c r="G4408" s="3">
        <v>-3825</v>
      </c>
      <c r="H4408" t="s">
        <v>3</v>
      </c>
      <c r="I4408" t="s">
        <v>3</v>
      </c>
      <c r="J4408" t="s">
        <v>584</v>
      </c>
      <c r="K4408" t="s">
        <v>13</v>
      </c>
      <c r="L4408" t="s">
        <v>19</v>
      </c>
      <c r="M4408" t="s">
        <v>102</v>
      </c>
      <c r="N4408" s="2">
        <v>46199</v>
      </c>
    </row>
    <row r="4409" spans="1:14" x14ac:dyDescent="0.25">
      <c r="A4409" s="4" t="s">
        <v>224</v>
      </c>
      <c r="B4409" s="5"/>
      <c r="C4409" s="4" t="s">
        <v>9</v>
      </c>
      <c r="D4409" s="4" t="s">
        <v>9</v>
      </c>
      <c r="E4409" s="4" t="s">
        <v>9</v>
      </c>
      <c r="F4409" s="6">
        <v>0</v>
      </c>
      <c r="G4409" s="6">
        <v>0</v>
      </c>
      <c r="H4409" s="4" t="s">
        <v>9</v>
      </c>
      <c r="I4409" s="4" t="s">
        <v>3</v>
      </c>
      <c r="J4409" s="4" t="s">
        <v>9</v>
      </c>
      <c r="K4409" s="4" t="s">
        <v>9</v>
      </c>
      <c r="L4409" s="4" t="s">
        <v>9</v>
      </c>
      <c r="M4409" s="4" t="s">
        <v>9</v>
      </c>
      <c r="N4409" s="5"/>
    </row>
    <row r="4410" spans="1:14" x14ac:dyDescent="0.25">
      <c r="A4410" t="s">
        <v>576</v>
      </c>
      <c r="B4410" s="2">
        <v>46239</v>
      </c>
      <c r="C4410" t="s">
        <v>576</v>
      </c>
      <c r="D4410" t="s">
        <v>99</v>
      </c>
      <c r="E4410" t="s">
        <v>9</v>
      </c>
      <c r="F4410" s="3">
        <v>-726154.64</v>
      </c>
      <c r="G4410" s="3">
        <v>-726154.64</v>
      </c>
      <c r="H4410" t="s">
        <v>3</v>
      </c>
      <c r="I4410" t="s">
        <v>3</v>
      </c>
      <c r="J4410" t="s">
        <v>9</v>
      </c>
      <c r="K4410" t="s">
        <v>9</v>
      </c>
      <c r="L4410" t="s">
        <v>21</v>
      </c>
      <c r="M4410" t="s">
        <v>102</v>
      </c>
      <c r="N4410" s="2">
        <v>46234</v>
      </c>
    </row>
    <row r="4411" spans="1:14" x14ac:dyDescent="0.25">
      <c r="A4411" t="s">
        <v>576</v>
      </c>
      <c r="B4411" s="2">
        <v>46239</v>
      </c>
      <c r="C4411" t="s">
        <v>576</v>
      </c>
      <c r="D4411" t="s">
        <v>1</v>
      </c>
      <c r="E4411" t="s">
        <v>9</v>
      </c>
      <c r="F4411" s="3">
        <v>-19820</v>
      </c>
      <c r="G4411" s="3">
        <v>-19820</v>
      </c>
      <c r="H4411" t="s">
        <v>3</v>
      </c>
      <c r="I4411" t="s">
        <v>3</v>
      </c>
      <c r="J4411" t="s">
        <v>9</v>
      </c>
      <c r="K4411" t="s">
        <v>9</v>
      </c>
      <c r="L4411" t="s">
        <v>21</v>
      </c>
      <c r="M4411" t="s">
        <v>7</v>
      </c>
      <c r="N4411" s="2">
        <v>46234</v>
      </c>
    </row>
    <row r="4412" spans="1:14" x14ac:dyDescent="0.25">
      <c r="A4412" t="s">
        <v>576</v>
      </c>
      <c r="B4412" s="2">
        <v>46204</v>
      </c>
      <c r="C4412" t="s">
        <v>576</v>
      </c>
      <c r="D4412" t="s">
        <v>99</v>
      </c>
      <c r="E4412" t="s">
        <v>602</v>
      </c>
      <c r="F4412" s="3">
        <v>13005</v>
      </c>
      <c r="G4412" s="3">
        <v>13005</v>
      </c>
      <c r="H4412" t="s">
        <v>3</v>
      </c>
      <c r="I4412" t="s">
        <v>3</v>
      </c>
      <c r="J4412" t="s">
        <v>603</v>
      </c>
      <c r="K4412" t="s">
        <v>13</v>
      </c>
      <c r="L4412" t="s">
        <v>21</v>
      </c>
      <c r="M4412" t="s">
        <v>102</v>
      </c>
      <c r="N4412" s="2">
        <v>46204</v>
      </c>
    </row>
    <row r="4413" spans="1:14" x14ac:dyDescent="0.25">
      <c r="A4413" t="s">
        <v>576</v>
      </c>
      <c r="B4413" s="2">
        <v>46204</v>
      </c>
      <c r="C4413" t="s">
        <v>576</v>
      </c>
      <c r="D4413" t="s">
        <v>99</v>
      </c>
      <c r="E4413" t="s">
        <v>602</v>
      </c>
      <c r="F4413" s="3">
        <v>3825</v>
      </c>
      <c r="G4413" s="3">
        <v>3825</v>
      </c>
      <c r="H4413" t="s">
        <v>3</v>
      </c>
      <c r="I4413" t="s">
        <v>3</v>
      </c>
      <c r="J4413" t="s">
        <v>603</v>
      </c>
      <c r="K4413" t="s">
        <v>13</v>
      </c>
      <c r="L4413" t="s">
        <v>21</v>
      </c>
      <c r="M4413" t="s">
        <v>102</v>
      </c>
      <c r="N4413" s="2">
        <v>46204</v>
      </c>
    </row>
    <row r="4414" spans="1:14" x14ac:dyDescent="0.25">
      <c r="A4414" t="s">
        <v>576</v>
      </c>
      <c r="B4414" s="2">
        <v>46204</v>
      </c>
      <c r="C4414" t="s">
        <v>576</v>
      </c>
      <c r="D4414" t="s">
        <v>99</v>
      </c>
      <c r="E4414" t="s">
        <v>585</v>
      </c>
      <c r="F4414" s="3">
        <v>16832.009999999998</v>
      </c>
      <c r="G4414" s="3">
        <v>16832.009999999998</v>
      </c>
      <c r="H4414" t="s">
        <v>3</v>
      </c>
      <c r="I4414" t="s">
        <v>3</v>
      </c>
      <c r="J4414" t="s">
        <v>586</v>
      </c>
      <c r="K4414" t="s">
        <v>13</v>
      </c>
      <c r="L4414" t="s">
        <v>21</v>
      </c>
      <c r="M4414" t="s">
        <v>102</v>
      </c>
      <c r="N4414" s="2">
        <v>46204</v>
      </c>
    </row>
    <row r="4415" spans="1:14" x14ac:dyDescent="0.25">
      <c r="A4415" t="s">
        <v>576</v>
      </c>
      <c r="B4415" s="2">
        <v>46188</v>
      </c>
      <c r="C4415" t="s">
        <v>576</v>
      </c>
      <c r="D4415" t="s">
        <v>99</v>
      </c>
      <c r="E4415" t="s">
        <v>608</v>
      </c>
      <c r="F4415" s="3">
        <v>-0.1</v>
      </c>
      <c r="G4415" s="3">
        <v>-0.1</v>
      </c>
      <c r="H4415" t="s">
        <v>3</v>
      </c>
      <c r="I4415" t="s">
        <v>3</v>
      </c>
      <c r="J4415" t="s">
        <v>609</v>
      </c>
      <c r="K4415" t="s">
        <v>13</v>
      </c>
      <c r="L4415" t="s">
        <v>21</v>
      </c>
      <c r="M4415" t="s">
        <v>102</v>
      </c>
      <c r="N4415" s="2">
        <v>46204</v>
      </c>
    </row>
    <row r="4416" spans="1:14" x14ac:dyDescent="0.25">
      <c r="A4416" t="s">
        <v>576</v>
      </c>
      <c r="B4416" s="2">
        <v>46204</v>
      </c>
      <c r="C4416" t="s">
        <v>576</v>
      </c>
      <c r="D4416" t="s">
        <v>99</v>
      </c>
      <c r="E4416" t="s">
        <v>595</v>
      </c>
      <c r="F4416" s="3">
        <v>8712</v>
      </c>
      <c r="G4416" s="3">
        <v>8712</v>
      </c>
      <c r="H4416" t="s">
        <v>3</v>
      </c>
      <c r="I4416" t="s">
        <v>3</v>
      </c>
      <c r="J4416" t="s">
        <v>596</v>
      </c>
      <c r="K4416" t="s">
        <v>13</v>
      </c>
      <c r="L4416" t="s">
        <v>21</v>
      </c>
      <c r="M4416" t="s">
        <v>102</v>
      </c>
      <c r="N4416" s="2">
        <v>46204</v>
      </c>
    </row>
    <row r="4417" spans="1:14" x14ac:dyDescent="0.25">
      <c r="A4417" t="s">
        <v>576</v>
      </c>
      <c r="B4417" s="2">
        <v>46210</v>
      </c>
      <c r="C4417" t="s">
        <v>576</v>
      </c>
      <c r="D4417" t="s">
        <v>99</v>
      </c>
      <c r="E4417" t="s">
        <v>587</v>
      </c>
      <c r="F4417" s="3">
        <v>11025</v>
      </c>
      <c r="G4417" s="3">
        <v>11025</v>
      </c>
      <c r="H4417" t="s">
        <v>3</v>
      </c>
      <c r="I4417" t="s">
        <v>3</v>
      </c>
      <c r="J4417" t="s">
        <v>588</v>
      </c>
      <c r="K4417" t="s">
        <v>13</v>
      </c>
      <c r="L4417" t="s">
        <v>21</v>
      </c>
      <c r="M4417" t="s">
        <v>102</v>
      </c>
      <c r="N4417" s="2">
        <v>46210</v>
      </c>
    </row>
    <row r="4418" spans="1:14" x14ac:dyDescent="0.25">
      <c r="A4418" t="s">
        <v>576</v>
      </c>
      <c r="B4418" s="2">
        <v>46211</v>
      </c>
      <c r="C4418" t="s">
        <v>576</v>
      </c>
      <c r="D4418" t="s">
        <v>99</v>
      </c>
      <c r="E4418" t="s">
        <v>589</v>
      </c>
      <c r="F4418" s="3">
        <v>1875</v>
      </c>
      <c r="G4418" s="3">
        <v>1875</v>
      </c>
      <c r="H4418" t="s">
        <v>3</v>
      </c>
      <c r="I4418" t="s">
        <v>3</v>
      </c>
      <c r="J4418" t="s">
        <v>590</v>
      </c>
      <c r="K4418" t="s">
        <v>13</v>
      </c>
      <c r="L4418" t="s">
        <v>21</v>
      </c>
      <c r="M4418" t="s">
        <v>102</v>
      </c>
      <c r="N4418" s="2">
        <v>46211</v>
      </c>
    </row>
    <row r="4419" spans="1:14" x14ac:dyDescent="0.25">
      <c r="A4419" t="s">
        <v>576</v>
      </c>
      <c r="B4419" s="2">
        <v>46213</v>
      </c>
      <c r="C4419" t="s">
        <v>576</v>
      </c>
      <c r="D4419" t="s">
        <v>99</v>
      </c>
      <c r="E4419" t="s">
        <v>577</v>
      </c>
      <c r="F4419" s="3">
        <v>306.38</v>
      </c>
      <c r="G4419" s="3">
        <v>306.38</v>
      </c>
      <c r="H4419" t="s">
        <v>3</v>
      </c>
      <c r="I4419" t="s">
        <v>3</v>
      </c>
      <c r="J4419" t="s">
        <v>578</v>
      </c>
      <c r="K4419" t="s">
        <v>13</v>
      </c>
      <c r="L4419" t="s">
        <v>21</v>
      </c>
      <c r="M4419" t="s">
        <v>102</v>
      </c>
      <c r="N4419" s="2">
        <v>46213</v>
      </c>
    </row>
    <row r="4420" spans="1:14" x14ac:dyDescent="0.25">
      <c r="A4420" t="s">
        <v>576</v>
      </c>
      <c r="B4420" s="2">
        <v>46218</v>
      </c>
      <c r="C4420" t="s">
        <v>576</v>
      </c>
      <c r="D4420" t="s">
        <v>99</v>
      </c>
      <c r="E4420" t="s">
        <v>593</v>
      </c>
      <c r="F4420" s="3">
        <v>243922</v>
      </c>
      <c r="G4420" s="3">
        <v>243922</v>
      </c>
      <c r="H4420" t="s">
        <v>3</v>
      </c>
      <c r="I4420" t="s">
        <v>3</v>
      </c>
      <c r="J4420" t="s">
        <v>594</v>
      </c>
      <c r="K4420" t="s">
        <v>13</v>
      </c>
      <c r="L4420" t="s">
        <v>21</v>
      </c>
      <c r="M4420" t="s">
        <v>102</v>
      </c>
      <c r="N4420" s="2">
        <v>46218</v>
      </c>
    </row>
    <row r="4421" spans="1:14" x14ac:dyDescent="0.25">
      <c r="A4421" t="s">
        <v>576</v>
      </c>
      <c r="B4421" s="2">
        <v>46218</v>
      </c>
      <c r="C4421" t="s">
        <v>576</v>
      </c>
      <c r="D4421" t="s">
        <v>99</v>
      </c>
      <c r="E4421" t="s">
        <v>591</v>
      </c>
      <c r="F4421" s="3">
        <v>4704.6000000000004</v>
      </c>
      <c r="G4421" s="3">
        <v>4704.6000000000004</v>
      </c>
      <c r="H4421" t="s">
        <v>3</v>
      </c>
      <c r="I4421" t="s">
        <v>3</v>
      </c>
      <c r="J4421" t="s">
        <v>592</v>
      </c>
      <c r="K4421" t="s">
        <v>13</v>
      </c>
      <c r="L4421" t="s">
        <v>21</v>
      </c>
      <c r="M4421" t="s">
        <v>102</v>
      </c>
      <c r="N4421" s="2">
        <v>46218</v>
      </c>
    </row>
    <row r="4422" spans="1:14" x14ac:dyDescent="0.25">
      <c r="A4422" t="s">
        <v>576</v>
      </c>
      <c r="B4422" s="2">
        <v>46233</v>
      </c>
      <c r="C4422" t="s">
        <v>576</v>
      </c>
      <c r="D4422" t="s">
        <v>1</v>
      </c>
      <c r="E4422" t="s">
        <v>599</v>
      </c>
      <c r="F4422" s="3">
        <v>19820</v>
      </c>
      <c r="G4422" s="3">
        <v>19820</v>
      </c>
      <c r="H4422" t="s">
        <v>3</v>
      </c>
      <c r="I4422" t="s">
        <v>3</v>
      </c>
      <c r="J4422" t="s">
        <v>600</v>
      </c>
      <c r="K4422" t="s">
        <v>13</v>
      </c>
      <c r="L4422" t="s">
        <v>21</v>
      </c>
      <c r="M4422" t="s">
        <v>7</v>
      </c>
      <c r="N4422" s="2">
        <v>46233</v>
      </c>
    </row>
    <row r="4423" spans="1:14" x14ac:dyDescent="0.25">
      <c r="A4423" t="s">
        <v>576</v>
      </c>
      <c r="B4423" s="2">
        <v>46234</v>
      </c>
      <c r="C4423" t="s">
        <v>576</v>
      </c>
      <c r="D4423" t="s">
        <v>99</v>
      </c>
      <c r="E4423" t="s">
        <v>593</v>
      </c>
      <c r="F4423" s="3">
        <v>421947.75</v>
      </c>
      <c r="G4423" s="3">
        <v>421947.75</v>
      </c>
      <c r="H4423" t="s">
        <v>3</v>
      </c>
      <c r="I4423" t="s">
        <v>3</v>
      </c>
      <c r="J4423" t="s">
        <v>611</v>
      </c>
      <c r="K4423" t="s">
        <v>13</v>
      </c>
      <c r="L4423" t="s">
        <v>21</v>
      </c>
      <c r="M4423" t="s">
        <v>102</v>
      </c>
      <c r="N4423" s="2">
        <v>46234</v>
      </c>
    </row>
    <row r="4424" spans="1:14" x14ac:dyDescent="0.25">
      <c r="A4424" s="4" t="s">
        <v>262</v>
      </c>
      <c r="B4424" s="5"/>
      <c r="C4424" s="4" t="s">
        <v>9</v>
      </c>
      <c r="D4424" s="4" t="s">
        <v>9</v>
      </c>
      <c r="E4424" s="4" t="s">
        <v>9</v>
      </c>
      <c r="F4424" s="6">
        <v>0</v>
      </c>
      <c r="G4424" s="6">
        <v>0</v>
      </c>
      <c r="H4424" s="4" t="s">
        <v>9</v>
      </c>
      <c r="I4424" s="4" t="s">
        <v>3</v>
      </c>
      <c r="J4424" s="4" t="s">
        <v>9</v>
      </c>
      <c r="K4424" s="4" t="s">
        <v>9</v>
      </c>
      <c r="L4424" s="4" t="s">
        <v>9</v>
      </c>
      <c r="M4424" s="4" t="s">
        <v>9</v>
      </c>
      <c r="N4424" s="5"/>
    </row>
    <row r="4425" spans="1:14" x14ac:dyDescent="0.25">
      <c r="A4425" t="s">
        <v>576</v>
      </c>
      <c r="B4425" s="2">
        <v>46267</v>
      </c>
      <c r="C4425" t="s">
        <v>576</v>
      </c>
      <c r="D4425" t="s">
        <v>99</v>
      </c>
      <c r="E4425" t="s">
        <v>9</v>
      </c>
      <c r="F4425" s="3">
        <v>-306493.14</v>
      </c>
      <c r="G4425" s="3">
        <v>-306493.14</v>
      </c>
      <c r="H4425" t="s">
        <v>3</v>
      </c>
      <c r="I4425" t="s">
        <v>3</v>
      </c>
      <c r="J4425" t="s">
        <v>9</v>
      </c>
      <c r="K4425" t="s">
        <v>9</v>
      </c>
      <c r="L4425" t="s">
        <v>22</v>
      </c>
      <c r="M4425" t="s">
        <v>102</v>
      </c>
      <c r="N4425" s="2">
        <v>46265</v>
      </c>
    </row>
    <row r="4426" spans="1:14" x14ac:dyDescent="0.25">
      <c r="A4426" t="s">
        <v>576</v>
      </c>
      <c r="B4426" s="2">
        <v>46267</v>
      </c>
      <c r="C4426" t="s">
        <v>576</v>
      </c>
      <c r="D4426" t="s">
        <v>1</v>
      </c>
      <c r="E4426" t="s">
        <v>9</v>
      </c>
      <c r="F4426" s="3">
        <v>-32874</v>
      </c>
      <c r="G4426" s="3">
        <v>-32874</v>
      </c>
      <c r="H4426" t="s">
        <v>3</v>
      </c>
      <c r="I4426" t="s">
        <v>3</v>
      </c>
      <c r="J4426" t="s">
        <v>9</v>
      </c>
      <c r="K4426" t="s">
        <v>9</v>
      </c>
      <c r="L4426" t="s">
        <v>22</v>
      </c>
      <c r="M4426" t="s">
        <v>7</v>
      </c>
      <c r="N4426" s="2">
        <v>46265</v>
      </c>
    </row>
    <row r="4427" spans="1:14" x14ac:dyDescent="0.25">
      <c r="A4427" t="s">
        <v>576</v>
      </c>
      <c r="B4427" s="2">
        <v>46239</v>
      </c>
      <c r="C4427" t="s">
        <v>576</v>
      </c>
      <c r="D4427" t="s">
        <v>1</v>
      </c>
      <c r="E4427" t="s">
        <v>599</v>
      </c>
      <c r="F4427" s="3">
        <v>7968</v>
      </c>
      <c r="G4427" s="3">
        <v>7968</v>
      </c>
      <c r="H4427" t="s">
        <v>3</v>
      </c>
      <c r="I4427" t="s">
        <v>3</v>
      </c>
      <c r="J4427" t="s">
        <v>600</v>
      </c>
      <c r="K4427" t="s">
        <v>13</v>
      </c>
      <c r="L4427" t="s">
        <v>22</v>
      </c>
      <c r="M4427" t="s">
        <v>7</v>
      </c>
      <c r="N4427" s="2">
        <v>46239</v>
      </c>
    </row>
    <row r="4428" spans="1:14" x14ac:dyDescent="0.25">
      <c r="A4428" t="s">
        <v>576</v>
      </c>
      <c r="B4428" s="2">
        <v>46239</v>
      </c>
      <c r="C4428" t="s">
        <v>576</v>
      </c>
      <c r="D4428" t="s">
        <v>1</v>
      </c>
      <c r="E4428" t="s">
        <v>599</v>
      </c>
      <c r="F4428" s="3">
        <v>20385</v>
      </c>
      <c r="G4428" s="3">
        <v>20385</v>
      </c>
      <c r="H4428" t="s">
        <v>3</v>
      </c>
      <c r="I4428" t="s">
        <v>3</v>
      </c>
      <c r="J4428" t="s">
        <v>600</v>
      </c>
      <c r="K4428" t="s">
        <v>13</v>
      </c>
      <c r="L4428" t="s">
        <v>22</v>
      </c>
      <c r="M4428" t="s">
        <v>7</v>
      </c>
      <c r="N4428" s="2">
        <v>46239</v>
      </c>
    </row>
    <row r="4429" spans="1:14" x14ac:dyDescent="0.25">
      <c r="A4429" t="s">
        <v>576</v>
      </c>
      <c r="B4429" s="2">
        <v>46234</v>
      </c>
      <c r="C4429" t="s">
        <v>576</v>
      </c>
      <c r="D4429" t="s">
        <v>99</v>
      </c>
      <c r="E4429" t="s">
        <v>585</v>
      </c>
      <c r="F4429" s="3">
        <v>8775</v>
      </c>
      <c r="G4429" s="3">
        <v>8775</v>
      </c>
      <c r="H4429" t="s">
        <v>3</v>
      </c>
      <c r="I4429" t="s">
        <v>3</v>
      </c>
      <c r="J4429" t="s">
        <v>586</v>
      </c>
      <c r="K4429" t="s">
        <v>13</v>
      </c>
      <c r="L4429" t="s">
        <v>22</v>
      </c>
      <c r="M4429" t="s">
        <v>102</v>
      </c>
      <c r="N4429" s="2">
        <v>46235</v>
      </c>
    </row>
    <row r="4430" spans="1:14" x14ac:dyDescent="0.25">
      <c r="A4430" t="s">
        <v>576</v>
      </c>
      <c r="B4430" s="2">
        <v>46188</v>
      </c>
      <c r="C4430" t="s">
        <v>576</v>
      </c>
      <c r="D4430" t="s">
        <v>99</v>
      </c>
      <c r="E4430" t="s">
        <v>608</v>
      </c>
      <c r="F4430" s="3">
        <v>0.1</v>
      </c>
      <c r="G4430" s="3">
        <v>0.1</v>
      </c>
      <c r="H4430" t="s">
        <v>3</v>
      </c>
      <c r="I4430" t="s">
        <v>3</v>
      </c>
      <c r="J4430" t="s">
        <v>609</v>
      </c>
      <c r="K4430" t="s">
        <v>13</v>
      </c>
      <c r="L4430" t="s">
        <v>22</v>
      </c>
      <c r="M4430" t="s">
        <v>102</v>
      </c>
      <c r="N4430" s="2">
        <v>46241</v>
      </c>
    </row>
    <row r="4431" spans="1:14" x14ac:dyDescent="0.25">
      <c r="A4431" t="s">
        <v>576</v>
      </c>
      <c r="B4431" s="2">
        <v>46245</v>
      </c>
      <c r="C4431" t="s">
        <v>576</v>
      </c>
      <c r="D4431" t="s">
        <v>99</v>
      </c>
      <c r="E4431" t="s">
        <v>593</v>
      </c>
      <c r="F4431" s="3">
        <v>263339.75</v>
      </c>
      <c r="G4431" s="3">
        <v>263339.75</v>
      </c>
      <c r="H4431" t="s">
        <v>3</v>
      </c>
      <c r="I4431" t="s">
        <v>3</v>
      </c>
      <c r="J4431" t="s">
        <v>594</v>
      </c>
      <c r="K4431" t="s">
        <v>13</v>
      </c>
      <c r="L4431" t="s">
        <v>22</v>
      </c>
      <c r="M4431" t="s">
        <v>102</v>
      </c>
      <c r="N4431" s="2">
        <v>46245</v>
      </c>
    </row>
    <row r="4432" spans="1:14" x14ac:dyDescent="0.25">
      <c r="A4432" t="s">
        <v>576</v>
      </c>
      <c r="B4432" s="2">
        <v>46241</v>
      </c>
      <c r="C4432" t="s">
        <v>576</v>
      </c>
      <c r="D4432" t="s">
        <v>1</v>
      </c>
      <c r="E4432" t="s">
        <v>599</v>
      </c>
      <c r="F4432" s="3">
        <v>4519</v>
      </c>
      <c r="G4432" s="3">
        <v>4519</v>
      </c>
      <c r="H4432" t="s">
        <v>3</v>
      </c>
      <c r="I4432" t="s">
        <v>3</v>
      </c>
      <c r="J4432" t="s">
        <v>600</v>
      </c>
      <c r="K4432" t="s">
        <v>13</v>
      </c>
      <c r="L4432" t="s">
        <v>22</v>
      </c>
      <c r="M4432" t="s">
        <v>7</v>
      </c>
      <c r="N4432" s="2">
        <v>46245</v>
      </c>
    </row>
    <row r="4433" spans="1:14" x14ac:dyDescent="0.25">
      <c r="A4433" t="s">
        <v>576</v>
      </c>
      <c r="B4433" s="2">
        <v>46248</v>
      </c>
      <c r="C4433" t="s">
        <v>576</v>
      </c>
      <c r="D4433" t="s">
        <v>99</v>
      </c>
      <c r="E4433" t="s">
        <v>612</v>
      </c>
      <c r="F4433" s="3">
        <v>3360</v>
      </c>
      <c r="G4433" s="3">
        <v>3360</v>
      </c>
      <c r="H4433" t="s">
        <v>3</v>
      </c>
      <c r="I4433" t="s">
        <v>3</v>
      </c>
      <c r="J4433" t="s">
        <v>613</v>
      </c>
      <c r="K4433" t="s">
        <v>13</v>
      </c>
      <c r="L4433" t="s">
        <v>22</v>
      </c>
      <c r="M4433" t="s">
        <v>102</v>
      </c>
      <c r="N4433" s="2">
        <v>46248</v>
      </c>
    </row>
    <row r="4434" spans="1:14" x14ac:dyDescent="0.25">
      <c r="A4434" t="s">
        <v>576</v>
      </c>
      <c r="B4434" s="2">
        <v>46248</v>
      </c>
      <c r="C4434" t="s">
        <v>576</v>
      </c>
      <c r="D4434" t="s">
        <v>99</v>
      </c>
      <c r="E4434" t="s">
        <v>587</v>
      </c>
      <c r="F4434" s="3">
        <v>12075</v>
      </c>
      <c r="G4434" s="3">
        <v>12075</v>
      </c>
      <c r="H4434" t="s">
        <v>3</v>
      </c>
      <c r="I4434" t="s">
        <v>3</v>
      </c>
      <c r="J4434" t="s">
        <v>588</v>
      </c>
      <c r="K4434" t="s">
        <v>13</v>
      </c>
      <c r="L4434" t="s">
        <v>22</v>
      </c>
      <c r="M4434" t="s">
        <v>102</v>
      </c>
      <c r="N4434" s="2">
        <v>46248</v>
      </c>
    </row>
    <row r="4435" spans="1:14" x14ac:dyDescent="0.25">
      <c r="A4435" t="s">
        <v>576</v>
      </c>
      <c r="B4435" s="2">
        <v>46251</v>
      </c>
      <c r="C4435" t="s">
        <v>576</v>
      </c>
      <c r="D4435" t="s">
        <v>99</v>
      </c>
      <c r="E4435" t="s">
        <v>577</v>
      </c>
      <c r="F4435" s="3">
        <v>612.75</v>
      </c>
      <c r="G4435" s="3">
        <v>612.75</v>
      </c>
      <c r="H4435" t="s">
        <v>3</v>
      </c>
      <c r="I4435" t="s">
        <v>3</v>
      </c>
      <c r="J4435" t="s">
        <v>578</v>
      </c>
      <c r="K4435" t="s">
        <v>13</v>
      </c>
      <c r="L4435" t="s">
        <v>22</v>
      </c>
      <c r="M4435" t="s">
        <v>102</v>
      </c>
      <c r="N4435" s="2">
        <v>46251</v>
      </c>
    </row>
    <row r="4436" spans="1:14" x14ac:dyDescent="0.25">
      <c r="A4436" t="s">
        <v>576</v>
      </c>
      <c r="B4436" s="2">
        <v>46251</v>
      </c>
      <c r="C4436" t="s">
        <v>576</v>
      </c>
      <c r="D4436" t="s">
        <v>99</v>
      </c>
      <c r="E4436" t="s">
        <v>597</v>
      </c>
      <c r="F4436" s="3">
        <v>10625.25</v>
      </c>
      <c r="G4436" s="3">
        <v>10625.25</v>
      </c>
      <c r="H4436" t="s">
        <v>3</v>
      </c>
      <c r="I4436" t="s">
        <v>3</v>
      </c>
      <c r="J4436" t="s">
        <v>598</v>
      </c>
      <c r="K4436" t="s">
        <v>13</v>
      </c>
      <c r="L4436" t="s">
        <v>22</v>
      </c>
      <c r="M4436" t="s">
        <v>102</v>
      </c>
      <c r="N4436" s="2">
        <v>46251</v>
      </c>
    </row>
    <row r="4437" spans="1:14" x14ac:dyDescent="0.25">
      <c r="A4437" t="s">
        <v>576</v>
      </c>
      <c r="B4437" s="2">
        <v>46231</v>
      </c>
      <c r="C4437" t="s">
        <v>576</v>
      </c>
      <c r="D4437" t="s">
        <v>1</v>
      </c>
      <c r="E4437" t="s">
        <v>599</v>
      </c>
      <c r="F4437" s="3">
        <v>1</v>
      </c>
      <c r="G4437" s="3">
        <v>1</v>
      </c>
      <c r="H4437" t="s">
        <v>3</v>
      </c>
      <c r="I4437" t="s">
        <v>3</v>
      </c>
      <c r="J4437" t="s">
        <v>600</v>
      </c>
      <c r="K4437" t="s">
        <v>13</v>
      </c>
      <c r="L4437" t="s">
        <v>22</v>
      </c>
      <c r="M4437" t="s">
        <v>7</v>
      </c>
      <c r="N4437" s="2">
        <v>46252</v>
      </c>
    </row>
    <row r="4438" spans="1:14" x14ac:dyDescent="0.25">
      <c r="A4438" t="s">
        <v>576</v>
      </c>
      <c r="B4438" s="2">
        <v>46254</v>
      </c>
      <c r="C4438" t="s">
        <v>576</v>
      </c>
      <c r="D4438" t="s">
        <v>99</v>
      </c>
      <c r="E4438" t="s">
        <v>591</v>
      </c>
      <c r="F4438" s="3">
        <v>5410.29</v>
      </c>
      <c r="G4438" s="3">
        <v>5410.29</v>
      </c>
      <c r="H4438" t="s">
        <v>3</v>
      </c>
      <c r="I4438" t="s">
        <v>3</v>
      </c>
      <c r="J4438" t="s">
        <v>592</v>
      </c>
      <c r="K4438" t="s">
        <v>13</v>
      </c>
      <c r="L4438" t="s">
        <v>22</v>
      </c>
      <c r="M4438" t="s">
        <v>102</v>
      </c>
      <c r="N4438" s="2">
        <v>46254</v>
      </c>
    </row>
    <row r="4439" spans="1:14" x14ac:dyDescent="0.25">
      <c r="A4439" t="s">
        <v>576</v>
      </c>
      <c r="B4439" s="2">
        <v>46254</v>
      </c>
      <c r="C4439" t="s">
        <v>576</v>
      </c>
      <c r="D4439" t="s">
        <v>1</v>
      </c>
      <c r="E4439" t="s">
        <v>599</v>
      </c>
      <c r="F4439" s="3">
        <v>4520</v>
      </c>
      <c r="G4439" s="3">
        <v>4520</v>
      </c>
      <c r="H4439" t="s">
        <v>3</v>
      </c>
      <c r="I4439" t="s">
        <v>3</v>
      </c>
      <c r="J4439" t="s">
        <v>600</v>
      </c>
      <c r="K4439" t="s">
        <v>13</v>
      </c>
      <c r="L4439" t="s">
        <v>22</v>
      </c>
      <c r="M4439" t="s">
        <v>7</v>
      </c>
      <c r="N4439" s="2">
        <v>46254</v>
      </c>
    </row>
    <row r="4440" spans="1:14" x14ac:dyDescent="0.25">
      <c r="A4440" t="s">
        <v>576</v>
      </c>
      <c r="B4440" s="2">
        <v>46234</v>
      </c>
      <c r="C4440" t="s">
        <v>576</v>
      </c>
      <c r="D4440" t="s">
        <v>99</v>
      </c>
      <c r="E4440" t="s">
        <v>597</v>
      </c>
      <c r="F4440" s="3">
        <v>10624.25</v>
      </c>
      <c r="G4440" s="3">
        <v>10624.25</v>
      </c>
      <c r="H4440" t="s">
        <v>3</v>
      </c>
      <c r="I4440" t="s">
        <v>3</v>
      </c>
      <c r="J4440" t="s">
        <v>598</v>
      </c>
      <c r="K4440" t="s">
        <v>13</v>
      </c>
      <c r="L4440" t="s">
        <v>22</v>
      </c>
      <c r="M4440" t="s">
        <v>102</v>
      </c>
      <c r="N4440" s="2">
        <v>46235</v>
      </c>
    </row>
    <row r="4441" spans="1:14" x14ac:dyDescent="0.25">
      <c r="A4441" t="s">
        <v>576</v>
      </c>
      <c r="B4441" s="2">
        <v>46241</v>
      </c>
      <c r="C4441" t="s">
        <v>576</v>
      </c>
      <c r="D4441" t="s">
        <v>1</v>
      </c>
      <c r="E4441" t="s">
        <v>599</v>
      </c>
      <c r="F4441" s="3">
        <v>-4519</v>
      </c>
      <c r="G4441" s="3">
        <v>-4519</v>
      </c>
      <c r="H4441" t="s">
        <v>3</v>
      </c>
      <c r="I4441" t="s">
        <v>3</v>
      </c>
      <c r="J4441" t="s">
        <v>600</v>
      </c>
      <c r="K4441" t="s">
        <v>13</v>
      </c>
      <c r="L4441" t="s">
        <v>22</v>
      </c>
      <c r="M4441" t="s">
        <v>7</v>
      </c>
      <c r="N4441" s="2">
        <v>46258</v>
      </c>
    </row>
    <row r="4442" spans="1:14" x14ac:dyDescent="0.25">
      <c r="A4442" t="s">
        <v>576</v>
      </c>
      <c r="B4442" s="2">
        <v>46258</v>
      </c>
      <c r="C4442" t="s">
        <v>576</v>
      </c>
      <c r="D4442" t="s">
        <v>99</v>
      </c>
      <c r="E4442" t="s">
        <v>585</v>
      </c>
      <c r="F4442" s="3">
        <v>8775</v>
      </c>
      <c r="G4442" s="3">
        <v>8775</v>
      </c>
      <c r="H4442" t="s">
        <v>3</v>
      </c>
      <c r="I4442" t="s">
        <v>3</v>
      </c>
      <c r="J4442" t="s">
        <v>586</v>
      </c>
      <c r="K4442" t="s">
        <v>13</v>
      </c>
      <c r="L4442" t="s">
        <v>22</v>
      </c>
      <c r="M4442" t="s">
        <v>102</v>
      </c>
      <c r="N4442" s="2">
        <v>46258</v>
      </c>
    </row>
    <row r="4443" spans="1:14" x14ac:dyDescent="0.25">
      <c r="A4443" t="s">
        <v>576</v>
      </c>
      <c r="B4443" s="2">
        <v>46234</v>
      </c>
      <c r="C4443" t="s">
        <v>576</v>
      </c>
      <c r="D4443" t="s">
        <v>99</v>
      </c>
      <c r="E4443" t="s">
        <v>585</v>
      </c>
      <c r="F4443" s="3">
        <v>-8775</v>
      </c>
      <c r="G4443" s="3">
        <v>-8775</v>
      </c>
      <c r="H4443" t="s">
        <v>3</v>
      </c>
      <c r="I4443" t="s">
        <v>3</v>
      </c>
      <c r="J4443" t="s">
        <v>586</v>
      </c>
      <c r="K4443" t="s">
        <v>13</v>
      </c>
      <c r="L4443" t="s">
        <v>22</v>
      </c>
      <c r="M4443" t="s">
        <v>102</v>
      </c>
      <c r="N4443" s="2">
        <v>46235</v>
      </c>
    </row>
    <row r="4444" spans="1:14" x14ac:dyDescent="0.25">
      <c r="A4444" t="s">
        <v>576</v>
      </c>
      <c r="B4444" s="2">
        <v>46234</v>
      </c>
      <c r="C4444" t="s">
        <v>576</v>
      </c>
      <c r="D4444" t="s">
        <v>99</v>
      </c>
      <c r="E4444" t="s">
        <v>597</v>
      </c>
      <c r="F4444" s="3">
        <v>-10624.25</v>
      </c>
      <c r="G4444" s="3">
        <v>-10624.25</v>
      </c>
      <c r="H4444" t="s">
        <v>3</v>
      </c>
      <c r="I4444" t="s">
        <v>3</v>
      </c>
      <c r="J4444" t="s">
        <v>598</v>
      </c>
      <c r="K4444" t="s">
        <v>13</v>
      </c>
      <c r="L4444" t="s">
        <v>22</v>
      </c>
      <c r="M4444" t="s">
        <v>102</v>
      </c>
      <c r="N4444" s="2">
        <v>46235</v>
      </c>
    </row>
    <row r="4445" spans="1:14" x14ac:dyDescent="0.25">
      <c r="A4445" t="s">
        <v>576</v>
      </c>
      <c r="B4445" s="2">
        <v>46265</v>
      </c>
      <c r="C4445" t="s">
        <v>576</v>
      </c>
      <c r="D4445" t="s">
        <v>99</v>
      </c>
      <c r="E4445" t="s">
        <v>602</v>
      </c>
      <c r="F4445" s="3">
        <v>2295</v>
      </c>
      <c r="G4445" s="3">
        <v>2295</v>
      </c>
      <c r="H4445" t="s">
        <v>3</v>
      </c>
      <c r="I4445" t="s">
        <v>3</v>
      </c>
      <c r="J4445" t="s">
        <v>603</v>
      </c>
      <c r="K4445" t="s">
        <v>13</v>
      </c>
      <c r="L4445" t="s">
        <v>22</v>
      </c>
      <c r="M4445" t="s">
        <v>102</v>
      </c>
      <c r="N4445" s="2">
        <v>46265</v>
      </c>
    </row>
    <row r="4446" spans="1:14" x14ac:dyDescent="0.25">
      <c r="A4446" s="4" t="s">
        <v>267</v>
      </c>
      <c r="B4446" s="5"/>
      <c r="C4446" s="4" t="s">
        <v>9</v>
      </c>
      <c r="D4446" s="4" t="s">
        <v>9</v>
      </c>
      <c r="E4446" s="4" t="s">
        <v>9</v>
      </c>
      <c r="F4446" s="6">
        <v>0</v>
      </c>
      <c r="G4446" s="6">
        <v>0</v>
      </c>
      <c r="H4446" s="4" t="s">
        <v>9</v>
      </c>
      <c r="I4446" s="4" t="s">
        <v>3</v>
      </c>
      <c r="J4446" s="4" t="s">
        <v>9</v>
      </c>
      <c r="K4446" s="4" t="s">
        <v>9</v>
      </c>
      <c r="L4446" s="4" t="s">
        <v>9</v>
      </c>
      <c r="M4446" s="4" t="s">
        <v>9</v>
      </c>
      <c r="N4446" s="5"/>
    </row>
    <row r="4447" spans="1:14" x14ac:dyDescent="0.25">
      <c r="A4447" t="s">
        <v>576</v>
      </c>
      <c r="B4447" s="2">
        <v>46266</v>
      </c>
      <c r="C4447" t="s">
        <v>576</v>
      </c>
      <c r="D4447" t="s">
        <v>99</v>
      </c>
      <c r="E4447" t="s">
        <v>595</v>
      </c>
      <c r="F4447" s="3">
        <v>9108</v>
      </c>
      <c r="G4447" s="3">
        <v>9108</v>
      </c>
      <c r="H4447" t="s">
        <v>3</v>
      </c>
      <c r="I4447" t="s">
        <v>3</v>
      </c>
      <c r="J4447" t="s">
        <v>596</v>
      </c>
      <c r="K4447" t="s">
        <v>13</v>
      </c>
      <c r="L4447" t="s">
        <v>6</v>
      </c>
      <c r="M4447" t="s">
        <v>102</v>
      </c>
      <c r="N4447" s="2">
        <v>46266</v>
      </c>
    </row>
    <row r="4448" spans="1:14" x14ac:dyDescent="0.25">
      <c r="A4448" t="s">
        <v>576</v>
      </c>
      <c r="B4448" s="2">
        <v>46269</v>
      </c>
      <c r="C4448" t="s">
        <v>576</v>
      </c>
      <c r="D4448" t="s">
        <v>99</v>
      </c>
      <c r="E4448" t="s">
        <v>589</v>
      </c>
      <c r="F4448" s="3">
        <v>1125</v>
      </c>
      <c r="G4448" s="3">
        <v>1125</v>
      </c>
      <c r="H4448" t="s">
        <v>3</v>
      </c>
      <c r="I4448" t="s">
        <v>3</v>
      </c>
      <c r="J4448" t="s">
        <v>590</v>
      </c>
      <c r="K4448" t="s">
        <v>13</v>
      </c>
      <c r="L4448" t="s">
        <v>6</v>
      </c>
      <c r="M4448" t="s">
        <v>102</v>
      </c>
      <c r="N4448" s="2">
        <v>46269</v>
      </c>
    </row>
    <row r="4449" spans="1:14" x14ac:dyDescent="0.25">
      <c r="A4449" s="4" t="s">
        <v>272</v>
      </c>
      <c r="B4449" s="5"/>
      <c r="C4449" s="4" t="s">
        <v>9</v>
      </c>
      <c r="D4449" s="4" t="s">
        <v>9</v>
      </c>
      <c r="E4449" s="4" t="s">
        <v>9</v>
      </c>
      <c r="F4449" s="6">
        <v>10233</v>
      </c>
      <c r="G4449" s="6">
        <v>10233</v>
      </c>
      <c r="H4449" s="4" t="s">
        <v>9</v>
      </c>
      <c r="I4449" s="4" t="s">
        <v>3</v>
      </c>
      <c r="J4449" s="4" t="s">
        <v>9</v>
      </c>
      <c r="K4449" s="4" t="s">
        <v>9</v>
      </c>
      <c r="L4449" s="4" t="s">
        <v>9</v>
      </c>
      <c r="M4449" s="4" t="s">
        <v>9</v>
      </c>
      <c r="N4449" s="5"/>
    </row>
    <row r="4450" spans="1:14" x14ac:dyDescent="0.25">
      <c r="A4450" t="s">
        <v>576</v>
      </c>
      <c r="B4450" s="2">
        <v>46028</v>
      </c>
      <c r="C4450" t="s">
        <v>576</v>
      </c>
      <c r="D4450" t="s">
        <v>99</v>
      </c>
      <c r="E4450" t="s">
        <v>9</v>
      </c>
      <c r="F4450" s="3">
        <v>-596003.93000000005</v>
      </c>
      <c r="G4450" s="3">
        <v>-596003.93000000005</v>
      </c>
      <c r="H4450" t="s">
        <v>3</v>
      </c>
      <c r="I4450" t="s">
        <v>3</v>
      </c>
      <c r="J4450" t="s">
        <v>9</v>
      </c>
      <c r="K4450" t="s">
        <v>9</v>
      </c>
      <c r="L4450" t="s">
        <v>12</v>
      </c>
      <c r="M4450" t="s">
        <v>102</v>
      </c>
      <c r="N4450" s="2">
        <v>46022</v>
      </c>
    </row>
    <row r="4451" spans="1:14" x14ac:dyDescent="0.25">
      <c r="A4451" t="s">
        <v>576</v>
      </c>
      <c r="B4451" s="2">
        <v>46010</v>
      </c>
      <c r="C4451" t="s">
        <v>576</v>
      </c>
      <c r="D4451" t="s">
        <v>99</v>
      </c>
      <c r="E4451" t="s">
        <v>581</v>
      </c>
      <c r="F4451" s="3">
        <v>159736.89000000001</v>
      </c>
      <c r="G4451" s="3">
        <v>159736.89000000001</v>
      </c>
      <c r="H4451" t="s">
        <v>3</v>
      </c>
      <c r="I4451" t="s">
        <v>3</v>
      </c>
      <c r="J4451" t="s">
        <v>614</v>
      </c>
      <c r="K4451" t="s">
        <v>5</v>
      </c>
      <c r="L4451" t="s">
        <v>12</v>
      </c>
      <c r="M4451" t="s">
        <v>102</v>
      </c>
      <c r="N4451" s="2">
        <v>46010</v>
      </c>
    </row>
    <row r="4452" spans="1:14" x14ac:dyDescent="0.25">
      <c r="A4452" t="s">
        <v>576</v>
      </c>
      <c r="B4452" s="2">
        <v>46010</v>
      </c>
      <c r="C4452" t="s">
        <v>576</v>
      </c>
      <c r="D4452" t="s">
        <v>99</v>
      </c>
      <c r="E4452" t="s">
        <v>581</v>
      </c>
      <c r="F4452" s="3">
        <v>430241.11</v>
      </c>
      <c r="G4452" s="3">
        <v>430241.11</v>
      </c>
      <c r="H4452" t="s">
        <v>3</v>
      </c>
      <c r="I4452" t="s">
        <v>3</v>
      </c>
      <c r="J4452" t="s">
        <v>615</v>
      </c>
      <c r="K4452" t="s">
        <v>5</v>
      </c>
      <c r="L4452" t="s">
        <v>12</v>
      </c>
      <c r="M4452" t="s">
        <v>102</v>
      </c>
      <c r="N4452" s="2">
        <v>46010</v>
      </c>
    </row>
    <row r="4453" spans="1:14" x14ac:dyDescent="0.25">
      <c r="A4453" t="s">
        <v>576</v>
      </c>
      <c r="B4453" s="2">
        <v>46010</v>
      </c>
      <c r="C4453" t="s">
        <v>576</v>
      </c>
      <c r="D4453" t="s">
        <v>99</v>
      </c>
      <c r="E4453" t="s">
        <v>581</v>
      </c>
      <c r="F4453" s="3">
        <v>6025.93</v>
      </c>
      <c r="G4453" s="3">
        <v>6025.93</v>
      </c>
      <c r="H4453" t="s">
        <v>3</v>
      </c>
      <c r="I4453" t="s">
        <v>3</v>
      </c>
      <c r="J4453" t="s">
        <v>616</v>
      </c>
      <c r="K4453" t="s">
        <v>5</v>
      </c>
      <c r="L4453" t="s">
        <v>12</v>
      </c>
      <c r="M4453" t="s">
        <v>102</v>
      </c>
      <c r="N4453" s="2">
        <v>46010</v>
      </c>
    </row>
    <row r="4454" spans="1:14" x14ac:dyDescent="0.25">
      <c r="A4454" s="4" t="s">
        <v>228</v>
      </c>
      <c r="B4454" s="5"/>
      <c r="C4454" s="4" t="s">
        <v>9</v>
      </c>
      <c r="D4454" s="4" t="s">
        <v>9</v>
      </c>
      <c r="E4454" s="4" t="s">
        <v>9</v>
      </c>
      <c r="F4454" s="6">
        <v>0</v>
      </c>
      <c r="G4454" s="6">
        <v>0</v>
      </c>
      <c r="H4454" s="4" t="s">
        <v>9</v>
      </c>
      <c r="I4454" s="4" t="s">
        <v>3</v>
      </c>
      <c r="J4454" s="4" t="s">
        <v>9</v>
      </c>
      <c r="K4454" s="4" t="s">
        <v>9</v>
      </c>
      <c r="L4454" s="4" t="s">
        <v>9</v>
      </c>
      <c r="M4454" s="4" t="s">
        <v>9</v>
      </c>
      <c r="N4454" s="5"/>
    </row>
    <row r="4455" spans="1:14" x14ac:dyDescent="0.25">
      <c r="A4455" s="4" t="s">
        <v>576</v>
      </c>
      <c r="B4455" s="5"/>
      <c r="C4455" s="4" t="s">
        <v>9</v>
      </c>
      <c r="D4455" s="4" t="s">
        <v>9</v>
      </c>
      <c r="E4455" s="4" t="s">
        <v>9</v>
      </c>
      <c r="F4455" s="6">
        <v>10233</v>
      </c>
      <c r="G4455" s="6">
        <v>10233</v>
      </c>
      <c r="H4455" s="4" t="s">
        <v>9</v>
      </c>
      <c r="I4455" s="4" t="s">
        <v>3</v>
      </c>
      <c r="J4455" s="4" t="s">
        <v>9</v>
      </c>
      <c r="K4455" s="4" t="s">
        <v>9</v>
      </c>
      <c r="L4455" s="4" t="s">
        <v>9</v>
      </c>
      <c r="M4455" s="4" t="s">
        <v>9</v>
      </c>
      <c r="N4455" s="5"/>
    </row>
    <row r="4456" spans="1:14" x14ac:dyDescent="0.25">
      <c r="A4456" t="s">
        <v>617</v>
      </c>
      <c r="B4456" s="2">
        <v>45993</v>
      </c>
      <c r="C4456" t="s">
        <v>617</v>
      </c>
      <c r="D4456" t="s">
        <v>33</v>
      </c>
      <c r="E4456" t="s">
        <v>9</v>
      </c>
      <c r="F4456" s="3">
        <v>33000</v>
      </c>
      <c r="G4456" s="3">
        <v>33000</v>
      </c>
      <c r="H4456" t="s">
        <v>3</v>
      </c>
      <c r="I4456" t="s">
        <v>3</v>
      </c>
      <c r="J4456" t="s">
        <v>9</v>
      </c>
      <c r="K4456" t="s">
        <v>9</v>
      </c>
      <c r="L4456" t="s">
        <v>11</v>
      </c>
      <c r="M4456" t="s">
        <v>35</v>
      </c>
      <c r="N4456" s="2">
        <v>45991</v>
      </c>
    </row>
    <row r="4457" spans="1:14" x14ac:dyDescent="0.25">
      <c r="A4457" t="s">
        <v>617</v>
      </c>
      <c r="B4457" s="2">
        <v>45979</v>
      </c>
      <c r="C4457" t="s">
        <v>617</v>
      </c>
      <c r="D4457" t="s">
        <v>33</v>
      </c>
      <c r="E4457" t="s">
        <v>9</v>
      </c>
      <c r="F4457" s="3">
        <v>-33000</v>
      </c>
      <c r="G4457" s="3">
        <v>-33000</v>
      </c>
      <c r="H4457" t="s">
        <v>3</v>
      </c>
      <c r="I4457" t="s">
        <v>3</v>
      </c>
      <c r="J4457" t="s">
        <v>9</v>
      </c>
      <c r="K4457" t="s">
        <v>5</v>
      </c>
      <c r="L4457" t="s">
        <v>11</v>
      </c>
      <c r="M4457" t="s">
        <v>35</v>
      </c>
      <c r="N4457" s="2">
        <v>45979</v>
      </c>
    </row>
    <row r="4458" spans="1:14" x14ac:dyDescent="0.25">
      <c r="A4458" s="4" t="s">
        <v>226</v>
      </c>
      <c r="B4458" s="5"/>
      <c r="C4458" s="4" t="s">
        <v>9</v>
      </c>
      <c r="D4458" s="4" t="s">
        <v>9</v>
      </c>
      <c r="E4458" s="4" t="s">
        <v>9</v>
      </c>
      <c r="F4458" s="6">
        <v>0</v>
      </c>
      <c r="G4458" s="6">
        <v>0</v>
      </c>
      <c r="H4458" s="4" t="s">
        <v>9</v>
      </c>
      <c r="I4458" s="4" t="s">
        <v>3</v>
      </c>
      <c r="J4458" s="4" t="s">
        <v>9</v>
      </c>
      <c r="K4458" s="4" t="s">
        <v>9</v>
      </c>
      <c r="L4458" s="4" t="s">
        <v>9</v>
      </c>
      <c r="M4458" s="4" t="s">
        <v>9</v>
      </c>
      <c r="N4458" s="5"/>
    </row>
    <row r="4459" spans="1:14" x14ac:dyDescent="0.25">
      <c r="A4459" s="4" t="s">
        <v>617</v>
      </c>
      <c r="B4459" s="5"/>
      <c r="C4459" s="4" t="s">
        <v>9</v>
      </c>
      <c r="D4459" s="4" t="s">
        <v>9</v>
      </c>
      <c r="E4459" s="4" t="s">
        <v>9</v>
      </c>
      <c r="F4459" s="6">
        <v>0</v>
      </c>
      <c r="G4459" s="6">
        <v>0</v>
      </c>
      <c r="H4459" s="4" t="s">
        <v>9</v>
      </c>
      <c r="I4459" s="4" t="s">
        <v>3</v>
      </c>
      <c r="J4459" s="4" t="s">
        <v>9</v>
      </c>
      <c r="K4459" s="4" t="s">
        <v>9</v>
      </c>
      <c r="L4459" s="4" t="s">
        <v>9</v>
      </c>
      <c r="M4459" s="4" t="s">
        <v>9</v>
      </c>
      <c r="N4459" s="5"/>
    </row>
    <row r="4460" spans="1:14" x14ac:dyDescent="0.25">
      <c r="A4460" t="s">
        <v>618</v>
      </c>
      <c r="B4460" s="2">
        <v>46056</v>
      </c>
      <c r="C4460" t="s">
        <v>618</v>
      </c>
      <c r="D4460" t="s">
        <v>112</v>
      </c>
      <c r="E4460" t="s">
        <v>9</v>
      </c>
      <c r="F4460" s="3">
        <v>-200</v>
      </c>
      <c r="G4460" s="3">
        <v>-200</v>
      </c>
      <c r="H4460" t="s">
        <v>3</v>
      </c>
      <c r="I4460" t="s">
        <v>3</v>
      </c>
      <c r="J4460" t="s">
        <v>9</v>
      </c>
      <c r="K4460" t="s">
        <v>9</v>
      </c>
      <c r="L4460" t="s">
        <v>14</v>
      </c>
      <c r="M4460" t="s">
        <v>114</v>
      </c>
      <c r="N4460" s="2">
        <v>46053</v>
      </c>
    </row>
    <row r="4461" spans="1:14" x14ac:dyDescent="0.25">
      <c r="A4461" t="s">
        <v>618</v>
      </c>
      <c r="B4461" s="2">
        <v>46022</v>
      </c>
      <c r="C4461" t="s">
        <v>618</v>
      </c>
      <c r="D4461" t="s">
        <v>112</v>
      </c>
      <c r="E4461" t="s">
        <v>9</v>
      </c>
      <c r="F4461" s="3">
        <v>-1400</v>
      </c>
      <c r="G4461" s="3">
        <v>-1400</v>
      </c>
      <c r="H4461" t="s">
        <v>3</v>
      </c>
      <c r="I4461" t="s">
        <v>3</v>
      </c>
      <c r="J4461" t="s">
        <v>298</v>
      </c>
      <c r="K4461" t="s">
        <v>13</v>
      </c>
      <c r="L4461" t="s">
        <v>14</v>
      </c>
      <c r="M4461" t="s">
        <v>114</v>
      </c>
      <c r="N4461" s="2">
        <v>46023</v>
      </c>
    </row>
    <row r="4462" spans="1:14" x14ac:dyDescent="0.25">
      <c r="A4462" t="s">
        <v>618</v>
      </c>
      <c r="B4462" s="2">
        <v>46022</v>
      </c>
      <c r="C4462" t="s">
        <v>618</v>
      </c>
      <c r="D4462" t="s">
        <v>112</v>
      </c>
      <c r="E4462" t="s">
        <v>9</v>
      </c>
      <c r="F4462" s="3">
        <v>-6400</v>
      </c>
      <c r="G4462" s="3">
        <v>-6400</v>
      </c>
      <c r="H4462" t="s">
        <v>3</v>
      </c>
      <c r="I4462" t="s">
        <v>3</v>
      </c>
      <c r="J4462" t="s">
        <v>299</v>
      </c>
      <c r="K4462" t="s">
        <v>13</v>
      </c>
      <c r="L4462" t="s">
        <v>14</v>
      </c>
      <c r="M4462" t="s">
        <v>114</v>
      </c>
      <c r="N4462" s="2">
        <v>46023</v>
      </c>
    </row>
    <row r="4463" spans="1:14" x14ac:dyDescent="0.25">
      <c r="A4463" t="s">
        <v>618</v>
      </c>
      <c r="B4463" s="2">
        <v>46023</v>
      </c>
      <c r="C4463" t="s">
        <v>618</v>
      </c>
      <c r="D4463" t="s">
        <v>112</v>
      </c>
      <c r="E4463" t="s">
        <v>9</v>
      </c>
      <c r="F4463" s="3">
        <v>1400</v>
      </c>
      <c r="G4463" s="3">
        <v>1400</v>
      </c>
      <c r="H4463" t="s">
        <v>3</v>
      </c>
      <c r="I4463" t="s">
        <v>3</v>
      </c>
      <c r="J4463" t="s">
        <v>298</v>
      </c>
      <c r="K4463" t="s">
        <v>13</v>
      </c>
      <c r="L4463" t="s">
        <v>14</v>
      </c>
      <c r="M4463" t="s">
        <v>114</v>
      </c>
      <c r="N4463" s="2">
        <v>46023</v>
      </c>
    </row>
    <row r="4464" spans="1:14" x14ac:dyDescent="0.25">
      <c r="A4464" t="s">
        <v>618</v>
      </c>
      <c r="B4464" s="2">
        <v>46023</v>
      </c>
      <c r="C4464" t="s">
        <v>618</v>
      </c>
      <c r="D4464" t="s">
        <v>112</v>
      </c>
      <c r="E4464" t="s">
        <v>9</v>
      </c>
      <c r="F4464" s="3">
        <v>6400</v>
      </c>
      <c r="G4464" s="3">
        <v>6400</v>
      </c>
      <c r="H4464" t="s">
        <v>3</v>
      </c>
      <c r="I4464" t="s">
        <v>3</v>
      </c>
      <c r="J4464" t="s">
        <v>299</v>
      </c>
      <c r="K4464" t="s">
        <v>13</v>
      </c>
      <c r="L4464" t="s">
        <v>14</v>
      </c>
      <c r="M4464" t="s">
        <v>114</v>
      </c>
      <c r="N4464" s="2">
        <v>46023</v>
      </c>
    </row>
    <row r="4465" spans="1:14" x14ac:dyDescent="0.25">
      <c r="A4465" t="s">
        <v>618</v>
      </c>
      <c r="B4465" s="2">
        <v>46053</v>
      </c>
      <c r="C4465" t="s">
        <v>618</v>
      </c>
      <c r="D4465" t="s">
        <v>112</v>
      </c>
      <c r="E4465" t="s">
        <v>9</v>
      </c>
      <c r="F4465" s="3">
        <v>200</v>
      </c>
      <c r="G4465" s="3">
        <v>200</v>
      </c>
      <c r="H4465" t="s">
        <v>3</v>
      </c>
      <c r="I4465" t="s">
        <v>3</v>
      </c>
      <c r="J4465" t="s">
        <v>300</v>
      </c>
      <c r="K4465" t="s">
        <v>13</v>
      </c>
      <c r="L4465" t="s">
        <v>14</v>
      </c>
      <c r="M4465" t="s">
        <v>114</v>
      </c>
      <c r="N4465" s="2">
        <v>46053</v>
      </c>
    </row>
    <row r="4466" spans="1:14" x14ac:dyDescent="0.25">
      <c r="A4466" s="4" t="s">
        <v>234</v>
      </c>
      <c r="B4466" s="5"/>
      <c r="C4466" s="4" t="s">
        <v>9</v>
      </c>
      <c r="D4466" s="4" t="s">
        <v>9</v>
      </c>
      <c r="E4466" s="4" t="s">
        <v>9</v>
      </c>
      <c r="F4466" s="6">
        <v>0</v>
      </c>
      <c r="G4466" s="6">
        <v>0</v>
      </c>
      <c r="H4466" s="4" t="s">
        <v>9</v>
      </c>
      <c r="I4466" s="4" t="s">
        <v>3</v>
      </c>
      <c r="J4466" s="4" t="s">
        <v>9</v>
      </c>
      <c r="K4466" s="4" t="s">
        <v>9</v>
      </c>
      <c r="L4466" s="4" t="s">
        <v>9</v>
      </c>
      <c r="M4466" s="4" t="s">
        <v>9</v>
      </c>
      <c r="N4466" s="5"/>
    </row>
    <row r="4467" spans="1:14" x14ac:dyDescent="0.25">
      <c r="A4467" t="s">
        <v>618</v>
      </c>
      <c r="B4467" s="2">
        <v>45993</v>
      </c>
      <c r="C4467" t="s">
        <v>618</v>
      </c>
      <c r="D4467" t="s">
        <v>112</v>
      </c>
      <c r="E4467" t="s">
        <v>9</v>
      </c>
      <c r="F4467" s="3">
        <v>-1400</v>
      </c>
      <c r="G4467" s="3">
        <v>-1400</v>
      </c>
      <c r="H4467" t="s">
        <v>3</v>
      </c>
      <c r="I4467" t="s">
        <v>3</v>
      </c>
      <c r="J4467" t="s">
        <v>9</v>
      </c>
      <c r="K4467" t="s">
        <v>9</v>
      </c>
      <c r="L4467" t="s">
        <v>11</v>
      </c>
      <c r="M4467" t="s">
        <v>114</v>
      </c>
      <c r="N4467" s="2">
        <v>45991</v>
      </c>
    </row>
    <row r="4468" spans="1:14" x14ac:dyDescent="0.25">
      <c r="A4468" t="s">
        <v>618</v>
      </c>
      <c r="B4468" s="2">
        <v>45991</v>
      </c>
      <c r="C4468" t="s">
        <v>618</v>
      </c>
      <c r="D4468" t="s">
        <v>112</v>
      </c>
      <c r="E4468" t="s">
        <v>9</v>
      </c>
      <c r="F4468" s="3">
        <v>1400</v>
      </c>
      <c r="G4468" s="3">
        <v>1400</v>
      </c>
      <c r="H4468" t="s">
        <v>3</v>
      </c>
      <c r="I4468" t="s">
        <v>3</v>
      </c>
      <c r="J4468" t="s">
        <v>328</v>
      </c>
      <c r="K4468" t="s">
        <v>5</v>
      </c>
      <c r="L4468" t="s">
        <v>11</v>
      </c>
      <c r="M4468" t="s">
        <v>114</v>
      </c>
      <c r="N4468" s="2">
        <v>45991</v>
      </c>
    </row>
    <row r="4469" spans="1:14" x14ac:dyDescent="0.25">
      <c r="A4469" s="4" t="s">
        <v>226</v>
      </c>
      <c r="B4469" s="5"/>
      <c r="C4469" s="4" t="s">
        <v>9</v>
      </c>
      <c r="D4469" s="4" t="s">
        <v>9</v>
      </c>
      <c r="E4469" s="4" t="s">
        <v>9</v>
      </c>
      <c r="F4469" s="6">
        <v>0</v>
      </c>
      <c r="G4469" s="6">
        <v>0</v>
      </c>
      <c r="H4469" s="4" t="s">
        <v>9</v>
      </c>
      <c r="I4469" s="4" t="s">
        <v>3</v>
      </c>
      <c r="J4469" s="4" t="s">
        <v>9</v>
      </c>
      <c r="K4469" s="4" t="s">
        <v>9</v>
      </c>
      <c r="L4469" s="4" t="s">
        <v>9</v>
      </c>
      <c r="M4469" s="4" t="s">
        <v>9</v>
      </c>
      <c r="N4469" s="5"/>
    </row>
    <row r="4470" spans="1:14" x14ac:dyDescent="0.25">
      <c r="A4470" t="s">
        <v>618</v>
      </c>
      <c r="B4470" s="2">
        <v>46028</v>
      </c>
      <c r="C4470" t="s">
        <v>618</v>
      </c>
      <c r="D4470" t="s">
        <v>112</v>
      </c>
      <c r="E4470" t="s">
        <v>9</v>
      </c>
      <c r="F4470" s="3">
        <v>-6400</v>
      </c>
      <c r="G4470" s="3">
        <v>-6400</v>
      </c>
      <c r="H4470" t="s">
        <v>3</v>
      </c>
      <c r="I4470" t="s">
        <v>3</v>
      </c>
      <c r="J4470" t="s">
        <v>9</v>
      </c>
      <c r="K4470" t="s">
        <v>9</v>
      </c>
      <c r="L4470" t="s">
        <v>12</v>
      </c>
      <c r="M4470" t="s">
        <v>114</v>
      </c>
      <c r="N4470" s="2">
        <v>46022</v>
      </c>
    </row>
    <row r="4471" spans="1:14" x14ac:dyDescent="0.25">
      <c r="A4471" t="s">
        <v>618</v>
      </c>
      <c r="B4471" s="2">
        <v>45991</v>
      </c>
      <c r="C4471" t="s">
        <v>618</v>
      </c>
      <c r="D4471" t="s">
        <v>112</v>
      </c>
      <c r="E4471" t="s">
        <v>9</v>
      </c>
      <c r="F4471" s="3">
        <v>-1400</v>
      </c>
      <c r="G4471" s="3">
        <v>-1400</v>
      </c>
      <c r="H4471" t="s">
        <v>3</v>
      </c>
      <c r="I4471" t="s">
        <v>3</v>
      </c>
      <c r="J4471" t="s">
        <v>328</v>
      </c>
      <c r="K4471" t="s">
        <v>5</v>
      </c>
      <c r="L4471" t="s">
        <v>12</v>
      </c>
      <c r="M4471" t="s">
        <v>114</v>
      </c>
      <c r="N4471" s="2">
        <v>45992</v>
      </c>
    </row>
    <row r="4472" spans="1:14" x14ac:dyDescent="0.25">
      <c r="A4472" t="s">
        <v>618</v>
      </c>
      <c r="B4472" s="2">
        <v>46022</v>
      </c>
      <c r="C4472" t="s">
        <v>618</v>
      </c>
      <c r="D4472" t="s">
        <v>112</v>
      </c>
      <c r="E4472" t="s">
        <v>9</v>
      </c>
      <c r="F4472" s="3">
        <v>1400</v>
      </c>
      <c r="G4472" s="3">
        <v>1400</v>
      </c>
      <c r="H4472" t="s">
        <v>3</v>
      </c>
      <c r="I4472" t="s">
        <v>3</v>
      </c>
      <c r="J4472" t="s">
        <v>298</v>
      </c>
      <c r="K4472" t="s">
        <v>5</v>
      </c>
      <c r="L4472" t="s">
        <v>12</v>
      </c>
      <c r="M4472" t="s">
        <v>114</v>
      </c>
      <c r="N4472" s="2">
        <v>46022</v>
      </c>
    </row>
    <row r="4473" spans="1:14" x14ac:dyDescent="0.25">
      <c r="A4473" t="s">
        <v>618</v>
      </c>
      <c r="B4473" s="2">
        <v>46022</v>
      </c>
      <c r="C4473" t="s">
        <v>618</v>
      </c>
      <c r="D4473" t="s">
        <v>112</v>
      </c>
      <c r="E4473" t="s">
        <v>9</v>
      </c>
      <c r="F4473" s="3">
        <v>6400</v>
      </c>
      <c r="G4473" s="3">
        <v>6400</v>
      </c>
      <c r="H4473" t="s">
        <v>3</v>
      </c>
      <c r="I4473" t="s">
        <v>3</v>
      </c>
      <c r="J4473" t="s">
        <v>299</v>
      </c>
      <c r="K4473" t="s">
        <v>5</v>
      </c>
      <c r="L4473" t="s">
        <v>12</v>
      </c>
      <c r="M4473" t="s">
        <v>114</v>
      </c>
      <c r="N4473" s="2">
        <v>46022</v>
      </c>
    </row>
    <row r="4474" spans="1:14" x14ac:dyDescent="0.25">
      <c r="A4474" t="s">
        <v>618</v>
      </c>
      <c r="B4474" s="2">
        <v>46022</v>
      </c>
      <c r="C4474" t="s">
        <v>618</v>
      </c>
      <c r="D4474" t="s">
        <v>112</v>
      </c>
      <c r="E4474" t="s">
        <v>9</v>
      </c>
      <c r="F4474" s="3">
        <v>1400</v>
      </c>
      <c r="G4474" s="3">
        <v>1400</v>
      </c>
      <c r="H4474" t="s">
        <v>3</v>
      </c>
      <c r="I4474" t="s">
        <v>3</v>
      </c>
      <c r="J4474" t="s">
        <v>298</v>
      </c>
      <c r="K4474" t="s">
        <v>5</v>
      </c>
      <c r="L4474" t="s">
        <v>12</v>
      </c>
      <c r="M4474" t="s">
        <v>114</v>
      </c>
      <c r="N4474" s="2">
        <v>46022</v>
      </c>
    </row>
    <row r="4475" spans="1:14" x14ac:dyDescent="0.25">
      <c r="A4475" t="s">
        <v>618</v>
      </c>
      <c r="B4475" s="2">
        <v>46022</v>
      </c>
      <c r="C4475" t="s">
        <v>618</v>
      </c>
      <c r="D4475" t="s">
        <v>112</v>
      </c>
      <c r="E4475" t="s">
        <v>9</v>
      </c>
      <c r="F4475" s="3">
        <v>6400</v>
      </c>
      <c r="G4475" s="3">
        <v>6400</v>
      </c>
      <c r="H4475" t="s">
        <v>3</v>
      </c>
      <c r="I4475" t="s">
        <v>3</v>
      </c>
      <c r="J4475" t="s">
        <v>299</v>
      </c>
      <c r="K4475" t="s">
        <v>5</v>
      </c>
      <c r="L4475" t="s">
        <v>12</v>
      </c>
      <c r="M4475" t="s">
        <v>114</v>
      </c>
      <c r="N4475" s="2">
        <v>46022</v>
      </c>
    </row>
    <row r="4476" spans="1:14" x14ac:dyDescent="0.25">
      <c r="A4476" t="s">
        <v>618</v>
      </c>
      <c r="B4476" s="2">
        <v>46022</v>
      </c>
      <c r="C4476" t="s">
        <v>618</v>
      </c>
      <c r="D4476" t="s">
        <v>112</v>
      </c>
      <c r="E4476" t="s">
        <v>9</v>
      </c>
      <c r="F4476" s="3">
        <v>-1400</v>
      </c>
      <c r="G4476" s="3">
        <v>-1400</v>
      </c>
      <c r="H4476" t="s">
        <v>3</v>
      </c>
      <c r="I4476" t="s">
        <v>3</v>
      </c>
      <c r="J4476" t="s">
        <v>298</v>
      </c>
      <c r="K4476" t="s">
        <v>5</v>
      </c>
      <c r="L4476" t="s">
        <v>12</v>
      </c>
      <c r="M4476" t="s">
        <v>114</v>
      </c>
      <c r="N4476" s="2">
        <v>46022</v>
      </c>
    </row>
    <row r="4477" spans="1:14" x14ac:dyDescent="0.25">
      <c r="A4477" t="s">
        <v>618</v>
      </c>
      <c r="B4477" s="2">
        <v>46022</v>
      </c>
      <c r="C4477" t="s">
        <v>618</v>
      </c>
      <c r="D4477" t="s">
        <v>112</v>
      </c>
      <c r="E4477" t="s">
        <v>9</v>
      </c>
      <c r="F4477" s="3">
        <v>-6400</v>
      </c>
      <c r="G4477" s="3">
        <v>-6400</v>
      </c>
      <c r="H4477" t="s">
        <v>3</v>
      </c>
      <c r="I4477" t="s">
        <v>3</v>
      </c>
      <c r="J4477" t="s">
        <v>299</v>
      </c>
      <c r="K4477" t="s">
        <v>5</v>
      </c>
      <c r="L4477" t="s">
        <v>12</v>
      </c>
      <c r="M4477" t="s">
        <v>114</v>
      </c>
      <c r="N4477" s="2">
        <v>46022</v>
      </c>
    </row>
    <row r="4478" spans="1:14" x14ac:dyDescent="0.25">
      <c r="A4478" s="4" t="s">
        <v>228</v>
      </c>
      <c r="B4478" s="5"/>
      <c r="C4478" s="4" t="s">
        <v>9</v>
      </c>
      <c r="D4478" s="4" t="s">
        <v>9</v>
      </c>
      <c r="E4478" s="4" t="s">
        <v>9</v>
      </c>
      <c r="F4478" s="6">
        <v>0</v>
      </c>
      <c r="G4478" s="6">
        <v>0</v>
      </c>
      <c r="H4478" s="4" t="s">
        <v>9</v>
      </c>
      <c r="I4478" s="4" t="s">
        <v>3</v>
      </c>
      <c r="J4478" s="4" t="s">
        <v>9</v>
      </c>
      <c r="K4478" s="4" t="s">
        <v>9</v>
      </c>
      <c r="L4478" s="4" t="s">
        <v>9</v>
      </c>
      <c r="M4478" s="4" t="s">
        <v>9</v>
      </c>
      <c r="N4478" s="5"/>
    </row>
    <row r="4479" spans="1:14" x14ac:dyDescent="0.25">
      <c r="A4479" s="4" t="s">
        <v>618</v>
      </c>
      <c r="B4479" s="5"/>
      <c r="C4479" s="4" t="s">
        <v>9</v>
      </c>
      <c r="D4479" s="4" t="s">
        <v>9</v>
      </c>
      <c r="E4479" s="4" t="s">
        <v>9</v>
      </c>
      <c r="F4479" s="6">
        <v>0</v>
      </c>
      <c r="G4479" s="6">
        <v>0</v>
      </c>
      <c r="H4479" s="4" t="s">
        <v>9</v>
      </c>
      <c r="I4479" s="4" t="s">
        <v>3</v>
      </c>
      <c r="J4479" s="4" t="s">
        <v>9</v>
      </c>
      <c r="K4479" s="4" t="s">
        <v>9</v>
      </c>
      <c r="L4479" s="4" t="s">
        <v>9</v>
      </c>
      <c r="M4479" s="4" t="s">
        <v>9</v>
      </c>
      <c r="N4479" s="5"/>
    </row>
    <row r="4480" spans="1:14" x14ac:dyDescent="0.25">
      <c r="A4480" t="s">
        <v>619</v>
      </c>
      <c r="B4480" s="2">
        <v>46115</v>
      </c>
      <c r="C4480" t="s">
        <v>619</v>
      </c>
      <c r="D4480" t="s">
        <v>33</v>
      </c>
      <c r="E4480" t="s">
        <v>9</v>
      </c>
      <c r="F4480" s="3">
        <v>1470</v>
      </c>
      <c r="G4480" s="3">
        <v>1470</v>
      </c>
      <c r="H4480" t="s">
        <v>3</v>
      </c>
      <c r="I4480" t="s">
        <v>3</v>
      </c>
      <c r="J4480" t="s">
        <v>9</v>
      </c>
      <c r="K4480" t="s">
        <v>9</v>
      </c>
      <c r="L4480" t="s">
        <v>16</v>
      </c>
      <c r="M4480" t="s">
        <v>35</v>
      </c>
      <c r="N4480" s="2">
        <v>46112</v>
      </c>
    </row>
    <row r="4481" spans="1:14" x14ac:dyDescent="0.25">
      <c r="A4481" t="s">
        <v>619</v>
      </c>
      <c r="B4481" s="2">
        <v>46101</v>
      </c>
      <c r="C4481" t="s">
        <v>619</v>
      </c>
      <c r="D4481" t="s">
        <v>33</v>
      </c>
      <c r="E4481" t="s">
        <v>9</v>
      </c>
      <c r="F4481" s="3">
        <v>-5000</v>
      </c>
      <c r="G4481" s="3">
        <v>-5000</v>
      </c>
      <c r="H4481" t="s">
        <v>3</v>
      </c>
      <c r="I4481" t="s">
        <v>3</v>
      </c>
      <c r="J4481" t="s">
        <v>9</v>
      </c>
      <c r="K4481" t="s">
        <v>13</v>
      </c>
      <c r="L4481" t="s">
        <v>16</v>
      </c>
      <c r="M4481" t="s">
        <v>35</v>
      </c>
      <c r="N4481" s="2">
        <v>46101</v>
      </c>
    </row>
    <row r="4482" spans="1:14" x14ac:dyDescent="0.25">
      <c r="A4482" t="s">
        <v>619</v>
      </c>
      <c r="B4482" s="2">
        <v>46101</v>
      </c>
      <c r="C4482" t="s">
        <v>619</v>
      </c>
      <c r="D4482" t="s">
        <v>33</v>
      </c>
      <c r="E4482" t="s">
        <v>9</v>
      </c>
      <c r="F4482" s="3">
        <v>-25000</v>
      </c>
      <c r="G4482" s="3">
        <v>-25000</v>
      </c>
      <c r="H4482" t="s">
        <v>3</v>
      </c>
      <c r="I4482" t="s">
        <v>3</v>
      </c>
      <c r="J4482" t="s">
        <v>9</v>
      </c>
      <c r="K4482" t="s">
        <v>13</v>
      </c>
      <c r="L4482" t="s">
        <v>16</v>
      </c>
      <c r="M4482" t="s">
        <v>35</v>
      </c>
      <c r="N4482" s="2">
        <v>46101</v>
      </c>
    </row>
    <row r="4483" spans="1:14" x14ac:dyDescent="0.25">
      <c r="A4483" t="s">
        <v>619</v>
      </c>
      <c r="B4483" s="2">
        <v>46101</v>
      </c>
      <c r="C4483" t="s">
        <v>619</v>
      </c>
      <c r="D4483" t="s">
        <v>33</v>
      </c>
      <c r="E4483" t="s">
        <v>9</v>
      </c>
      <c r="F4483" s="3">
        <v>5000</v>
      </c>
      <c r="G4483" s="3">
        <v>5000</v>
      </c>
      <c r="H4483" t="s">
        <v>3</v>
      </c>
      <c r="I4483" t="s">
        <v>3</v>
      </c>
      <c r="J4483" t="s">
        <v>9</v>
      </c>
      <c r="K4483" t="s">
        <v>13</v>
      </c>
      <c r="L4483" t="s">
        <v>16</v>
      </c>
      <c r="M4483" t="s">
        <v>35</v>
      </c>
      <c r="N4483" s="2">
        <v>46101</v>
      </c>
    </row>
    <row r="4484" spans="1:14" x14ac:dyDescent="0.25">
      <c r="A4484" t="s">
        <v>619</v>
      </c>
      <c r="B4484" s="2">
        <v>46101</v>
      </c>
      <c r="C4484" t="s">
        <v>619</v>
      </c>
      <c r="D4484" t="s">
        <v>33</v>
      </c>
      <c r="E4484" t="s">
        <v>9</v>
      </c>
      <c r="F4484" s="3">
        <v>25000</v>
      </c>
      <c r="G4484" s="3">
        <v>25000</v>
      </c>
      <c r="H4484" t="s">
        <v>3</v>
      </c>
      <c r="I4484" t="s">
        <v>3</v>
      </c>
      <c r="J4484" t="s">
        <v>9</v>
      </c>
      <c r="K4484" t="s">
        <v>13</v>
      </c>
      <c r="L4484" t="s">
        <v>16</v>
      </c>
      <c r="M4484" t="s">
        <v>35</v>
      </c>
      <c r="N4484" s="2">
        <v>46101</v>
      </c>
    </row>
    <row r="4485" spans="1:14" x14ac:dyDescent="0.25">
      <c r="A4485" t="s">
        <v>619</v>
      </c>
      <c r="B4485" s="2">
        <v>46101</v>
      </c>
      <c r="C4485" t="s">
        <v>619</v>
      </c>
      <c r="D4485" t="s">
        <v>33</v>
      </c>
      <c r="E4485" t="s">
        <v>9</v>
      </c>
      <c r="F4485" s="3">
        <v>-735</v>
      </c>
      <c r="G4485" s="3">
        <v>-735</v>
      </c>
      <c r="H4485" t="s">
        <v>3</v>
      </c>
      <c r="I4485" t="s">
        <v>3</v>
      </c>
      <c r="J4485" t="s">
        <v>9</v>
      </c>
      <c r="K4485" t="s">
        <v>13</v>
      </c>
      <c r="L4485" t="s">
        <v>16</v>
      </c>
      <c r="M4485" t="s">
        <v>35</v>
      </c>
      <c r="N4485" s="2">
        <v>46101</v>
      </c>
    </row>
    <row r="4486" spans="1:14" x14ac:dyDescent="0.25">
      <c r="A4486" t="s">
        <v>619</v>
      </c>
      <c r="B4486" s="2">
        <v>46101</v>
      </c>
      <c r="C4486" t="s">
        <v>619</v>
      </c>
      <c r="D4486" t="s">
        <v>33</v>
      </c>
      <c r="E4486" t="s">
        <v>9</v>
      </c>
      <c r="F4486" s="3">
        <v>-735</v>
      </c>
      <c r="G4486" s="3">
        <v>-735</v>
      </c>
      <c r="H4486" t="s">
        <v>3</v>
      </c>
      <c r="I4486" t="s">
        <v>3</v>
      </c>
      <c r="J4486" t="s">
        <v>9</v>
      </c>
      <c r="K4486" t="s">
        <v>13</v>
      </c>
      <c r="L4486" t="s">
        <v>16</v>
      </c>
      <c r="M4486" t="s">
        <v>35</v>
      </c>
      <c r="N4486" s="2">
        <v>46101</v>
      </c>
    </row>
    <row r="4487" spans="1:14" x14ac:dyDescent="0.25">
      <c r="A4487" s="4" t="s">
        <v>244</v>
      </c>
      <c r="B4487" s="5"/>
      <c r="C4487" s="4" t="s">
        <v>9</v>
      </c>
      <c r="D4487" s="4" t="s">
        <v>9</v>
      </c>
      <c r="E4487" s="4" t="s">
        <v>9</v>
      </c>
      <c r="F4487" s="6">
        <v>0</v>
      </c>
      <c r="G4487" s="6">
        <v>0</v>
      </c>
      <c r="H4487" s="4" t="s">
        <v>9</v>
      </c>
      <c r="I4487" s="4" t="s">
        <v>3</v>
      </c>
      <c r="J4487" s="4" t="s">
        <v>9</v>
      </c>
      <c r="K4487" s="4" t="s">
        <v>9</v>
      </c>
      <c r="L4487" s="4" t="s">
        <v>9</v>
      </c>
      <c r="M4487" s="4" t="s">
        <v>9</v>
      </c>
      <c r="N4487" s="5"/>
    </row>
    <row r="4488" spans="1:14" x14ac:dyDescent="0.25">
      <c r="A4488" t="s">
        <v>619</v>
      </c>
      <c r="B4488" s="2">
        <v>46147</v>
      </c>
      <c r="C4488" t="s">
        <v>619</v>
      </c>
      <c r="D4488" t="s">
        <v>33</v>
      </c>
      <c r="E4488" t="s">
        <v>9</v>
      </c>
      <c r="F4488" s="3">
        <v>22376</v>
      </c>
      <c r="G4488" s="3">
        <v>22376</v>
      </c>
      <c r="H4488" t="s">
        <v>3</v>
      </c>
      <c r="I4488" t="s">
        <v>3</v>
      </c>
      <c r="J4488" t="s">
        <v>9</v>
      </c>
      <c r="K4488" t="s">
        <v>9</v>
      </c>
      <c r="L4488" t="s">
        <v>17</v>
      </c>
      <c r="M4488" t="s">
        <v>35</v>
      </c>
      <c r="N4488" s="2">
        <v>46142</v>
      </c>
    </row>
    <row r="4489" spans="1:14" x14ac:dyDescent="0.25">
      <c r="A4489" t="s">
        <v>619</v>
      </c>
      <c r="B4489" s="2">
        <v>46127</v>
      </c>
      <c r="C4489" t="s">
        <v>619</v>
      </c>
      <c r="D4489" t="s">
        <v>33</v>
      </c>
      <c r="E4489" t="s">
        <v>9</v>
      </c>
      <c r="F4489" s="3">
        <v>-11188</v>
      </c>
      <c r="G4489" s="3">
        <v>-11188</v>
      </c>
      <c r="H4489" t="s">
        <v>3</v>
      </c>
      <c r="I4489" t="s">
        <v>3</v>
      </c>
      <c r="J4489" t="s">
        <v>9</v>
      </c>
      <c r="K4489" t="s">
        <v>13</v>
      </c>
      <c r="L4489" t="s">
        <v>17</v>
      </c>
      <c r="M4489" t="s">
        <v>35</v>
      </c>
      <c r="N4489" s="2">
        <v>46127</v>
      </c>
    </row>
    <row r="4490" spans="1:14" x14ac:dyDescent="0.25">
      <c r="A4490" t="s">
        <v>619</v>
      </c>
      <c r="B4490" s="2">
        <v>46127</v>
      </c>
      <c r="C4490" t="s">
        <v>619</v>
      </c>
      <c r="D4490" t="s">
        <v>33</v>
      </c>
      <c r="E4490" t="s">
        <v>9</v>
      </c>
      <c r="F4490" s="3">
        <v>-11188</v>
      </c>
      <c r="G4490" s="3">
        <v>-11188</v>
      </c>
      <c r="H4490" t="s">
        <v>3</v>
      </c>
      <c r="I4490" t="s">
        <v>3</v>
      </c>
      <c r="J4490" t="s">
        <v>9</v>
      </c>
      <c r="K4490" t="s">
        <v>13</v>
      </c>
      <c r="L4490" t="s">
        <v>17</v>
      </c>
      <c r="M4490" t="s">
        <v>35</v>
      </c>
      <c r="N4490" s="2">
        <v>46127</v>
      </c>
    </row>
    <row r="4491" spans="1:14" x14ac:dyDescent="0.25">
      <c r="A4491" s="4" t="s">
        <v>249</v>
      </c>
      <c r="B4491" s="5"/>
      <c r="C4491" s="4" t="s">
        <v>9</v>
      </c>
      <c r="D4491" s="4" t="s">
        <v>9</v>
      </c>
      <c r="E4491" s="4" t="s">
        <v>9</v>
      </c>
      <c r="F4491" s="6">
        <v>0</v>
      </c>
      <c r="G4491" s="6">
        <v>0</v>
      </c>
      <c r="H4491" s="4" t="s">
        <v>9</v>
      </c>
      <c r="I4491" s="4" t="s">
        <v>3</v>
      </c>
      <c r="J4491" s="4" t="s">
        <v>9</v>
      </c>
      <c r="K4491" s="4" t="s">
        <v>9</v>
      </c>
      <c r="L4491" s="4" t="s">
        <v>9</v>
      </c>
      <c r="M4491" s="4" t="s">
        <v>9</v>
      </c>
      <c r="N4491" s="5"/>
    </row>
    <row r="4492" spans="1:14" x14ac:dyDescent="0.25">
      <c r="A4492" t="s">
        <v>619</v>
      </c>
      <c r="B4492" s="2">
        <v>46175</v>
      </c>
      <c r="C4492" t="s">
        <v>619</v>
      </c>
      <c r="D4492" t="s">
        <v>33</v>
      </c>
      <c r="E4492" t="s">
        <v>9</v>
      </c>
      <c r="F4492" s="3">
        <v>12626</v>
      </c>
      <c r="G4492" s="3">
        <v>12626</v>
      </c>
      <c r="H4492" t="s">
        <v>3</v>
      </c>
      <c r="I4492" t="s">
        <v>3</v>
      </c>
      <c r="J4492" t="s">
        <v>9</v>
      </c>
      <c r="K4492" t="s">
        <v>9</v>
      </c>
      <c r="L4492" t="s">
        <v>18</v>
      </c>
      <c r="M4492" t="s">
        <v>35</v>
      </c>
      <c r="N4492" s="2">
        <v>46173</v>
      </c>
    </row>
    <row r="4493" spans="1:14" x14ac:dyDescent="0.25">
      <c r="A4493" t="s">
        <v>619</v>
      </c>
      <c r="B4493" s="2">
        <v>46155</v>
      </c>
      <c r="C4493" t="s">
        <v>619</v>
      </c>
      <c r="D4493" t="s">
        <v>33</v>
      </c>
      <c r="E4493" t="s">
        <v>9</v>
      </c>
      <c r="F4493" s="3">
        <v>-6313</v>
      </c>
      <c r="G4493" s="3">
        <v>-6313</v>
      </c>
      <c r="H4493" t="s">
        <v>3</v>
      </c>
      <c r="I4493" t="s">
        <v>3</v>
      </c>
      <c r="J4493" t="s">
        <v>9</v>
      </c>
      <c r="K4493" t="s">
        <v>13</v>
      </c>
      <c r="L4493" t="s">
        <v>18</v>
      </c>
      <c r="M4493" t="s">
        <v>35</v>
      </c>
      <c r="N4493" s="2">
        <v>46155</v>
      </c>
    </row>
    <row r="4494" spans="1:14" x14ac:dyDescent="0.25">
      <c r="A4494" t="s">
        <v>619</v>
      </c>
      <c r="B4494" s="2">
        <v>46155</v>
      </c>
      <c r="C4494" t="s">
        <v>619</v>
      </c>
      <c r="D4494" t="s">
        <v>33</v>
      </c>
      <c r="E4494" t="s">
        <v>9</v>
      </c>
      <c r="F4494" s="3">
        <v>-6313</v>
      </c>
      <c r="G4494" s="3">
        <v>-6313</v>
      </c>
      <c r="H4494" t="s">
        <v>3</v>
      </c>
      <c r="I4494" t="s">
        <v>3</v>
      </c>
      <c r="J4494" t="s">
        <v>9</v>
      </c>
      <c r="K4494" t="s">
        <v>13</v>
      </c>
      <c r="L4494" t="s">
        <v>18</v>
      </c>
      <c r="M4494" t="s">
        <v>35</v>
      </c>
      <c r="N4494" s="2">
        <v>46155</v>
      </c>
    </row>
    <row r="4495" spans="1:14" x14ac:dyDescent="0.25">
      <c r="A4495" s="4" t="s">
        <v>223</v>
      </c>
      <c r="B4495" s="5"/>
      <c r="C4495" s="4" t="s">
        <v>9</v>
      </c>
      <c r="D4495" s="4" t="s">
        <v>9</v>
      </c>
      <c r="E4495" s="4" t="s">
        <v>9</v>
      </c>
      <c r="F4495" s="6">
        <v>0</v>
      </c>
      <c r="G4495" s="6">
        <v>0</v>
      </c>
      <c r="H4495" s="4" t="s">
        <v>9</v>
      </c>
      <c r="I4495" s="4" t="s">
        <v>3</v>
      </c>
      <c r="J4495" s="4" t="s">
        <v>9</v>
      </c>
      <c r="K4495" s="4" t="s">
        <v>9</v>
      </c>
      <c r="L4495" s="4" t="s">
        <v>9</v>
      </c>
      <c r="M4495" s="4" t="s">
        <v>9</v>
      </c>
      <c r="N4495" s="5"/>
    </row>
    <row r="4496" spans="1:14" x14ac:dyDescent="0.25">
      <c r="A4496" t="s">
        <v>619</v>
      </c>
      <c r="B4496" s="2">
        <v>46205</v>
      </c>
      <c r="C4496" t="s">
        <v>619</v>
      </c>
      <c r="D4496" t="s">
        <v>33</v>
      </c>
      <c r="E4496" t="s">
        <v>9</v>
      </c>
      <c r="F4496" s="3">
        <v>8670</v>
      </c>
      <c r="G4496" s="3">
        <v>8670</v>
      </c>
      <c r="H4496" t="s">
        <v>3</v>
      </c>
      <c r="I4496" t="s">
        <v>3</v>
      </c>
      <c r="J4496" t="s">
        <v>9</v>
      </c>
      <c r="K4496" t="s">
        <v>9</v>
      </c>
      <c r="L4496" t="s">
        <v>19</v>
      </c>
      <c r="M4496" t="s">
        <v>35</v>
      </c>
      <c r="N4496" s="2">
        <v>46203</v>
      </c>
    </row>
    <row r="4497" spans="1:14" x14ac:dyDescent="0.25">
      <c r="A4497" t="s">
        <v>619</v>
      </c>
      <c r="B4497" s="2">
        <v>46191</v>
      </c>
      <c r="C4497" t="s">
        <v>619</v>
      </c>
      <c r="D4497" t="s">
        <v>33</v>
      </c>
      <c r="E4497" t="s">
        <v>9</v>
      </c>
      <c r="F4497" s="3">
        <v>-4335</v>
      </c>
      <c r="G4497" s="3">
        <v>-4335</v>
      </c>
      <c r="H4497" t="s">
        <v>3</v>
      </c>
      <c r="I4497" t="s">
        <v>3</v>
      </c>
      <c r="J4497" t="s">
        <v>9</v>
      </c>
      <c r="K4497" t="s">
        <v>13</v>
      </c>
      <c r="L4497" t="s">
        <v>19</v>
      </c>
      <c r="M4497" t="s">
        <v>35</v>
      </c>
      <c r="N4497" s="2">
        <v>46191</v>
      </c>
    </row>
    <row r="4498" spans="1:14" x14ac:dyDescent="0.25">
      <c r="A4498" t="s">
        <v>619</v>
      </c>
      <c r="B4498" s="2">
        <v>46191</v>
      </c>
      <c r="C4498" t="s">
        <v>619</v>
      </c>
      <c r="D4498" t="s">
        <v>33</v>
      </c>
      <c r="E4498" t="s">
        <v>9</v>
      </c>
      <c r="F4498" s="3">
        <v>-4335</v>
      </c>
      <c r="G4498" s="3">
        <v>-4335</v>
      </c>
      <c r="H4498" t="s">
        <v>3</v>
      </c>
      <c r="I4498" t="s">
        <v>3</v>
      </c>
      <c r="J4498" t="s">
        <v>9</v>
      </c>
      <c r="K4498" t="s">
        <v>13</v>
      </c>
      <c r="L4498" t="s">
        <v>19</v>
      </c>
      <c r="M4498" t="s">
        <v>35</v>
      </c>
      <c r="N4498" s="2">
        <v>46191</v>
      </c>
    </row>
    <row r="4499" spans="1:14" x14ac:dyDescent="0.25">
      <c r="A4499" s="4" t="s">
        <v>224</v>
      </c>
      <c r="B4499" s="5"/>
      <c r="C4499" s="4" t="s">
        <v>9</v>
      </c>
      <c r="D4499" s="4" t="s">
        <v>9</v>
      </c>
      <c r="E4499" s="4" t="s">
        <v>9</v>
      </c>
      <c r="F4499" s="6">
        <v>0</v>
      </c>
      <c r="G4499" s="6">
        <v>0</v>
      </c>
      <c r="H4499" s="4" t="s">
        <v>9</v>
      </c>
      <c r="I4499" s="4" t="s">
        <v>3</v>
      </c>
      <c r="J4499" s="4" t="s">
        <v>9</v>
      </c>
      <c r="K4499" s="4" t="s">
        <v>9</v>
      </c>
      <c r="L4499" s="4" t="s">
        <v>9</v>
      </c>
      <c r="M4499" s="4" t="s">
        <v>9</v>
      </c>
      <c r="N4499" s="5"/>
    </row>
    <row r="4500" spans="1:14" x14ac:dyDescent="0.25">
      <c r="A4500" t="s">
        <v>619</v>
      </c>
      <c r="B4500" s="2">
        <v>46239</v>
      </c>
      <c r="C4500" t="s">
        <v>619</v>
      </c>
      <c r="D4500" t="s">
        <v>33</v>
      </c>
      <c r="E4500" t="s">
        <v>9</v>
      </c>
      <c r="F4500" s="3">
        <v>1290</v>
      </c>
      <c r="G4500" s="3">
        <v>1290</v>
      </c>
      <c r="H4500" t="s">
        <v>3</v>
      </c>
      <c r="I4500" t="s">
        <v>3</v>
      </c>
      <c r="J4500" t="s">
        <v>9</v>
      </c>
      <c r="K4500" t="s">
        <v>9</v>
      </c>
      <c r="L4500" t="s">
        <v>21</v>
      </c>
      <c r="M4500" t="s">
        <v>35</v>
      </c>
      <c r="N4500" s="2">
        <v>46234</v>
      </c>
    </row>
    <row r="4501" spans="1:14" x14ac:dyDescent="0.25">
      <c r="A4501" t="s">
        <v>619</v>
      </c>
      <c r="B4501" s="2">
        <v>46217</v>
      </c>
      <c r="C4501" t="s">
        <v>619</v>
      </c>
      <c r="D4501" t="s">
        <v>33</v>
      </c>
      <c r="E4501" t="s">
        <v>9</v>
      </c>
      <c r="F4501" s="3">
        <v>-645</v>
      </c>
      <c r="G4501" s="3">
        <v>-645</v>
      </c>
      <c r="H4501" t="s">
        <v>3</v>
      </c>
      <c r="I4501" t="s">
        <v>3</v>
      </c>
      <c r="J4501" t="s">
        <v>9</v>
      </c>
      <c r="K4501" t="s">
        <v>13</v>
      </c>
      <c r="L4501" t="s">
        <v>21</v>
      </c>
      <c r="M4501" t="s">
        <v>35</v>
      </c>
      <c r="N4501" s="2">
        <v>46217</v>
      </c>
    </row>
    <row r="4502" spans="1:14" x14ac:dyDescent="0.25">
      <c r="A4502" t="s">
        <v>619</v>
      </c>
      <c r="B4502" s="2">
        <v>46217</v>
      </c>
      <c r="C4502" t="s">
        <v>619</v>
      </c>
      <c r="D4502" t="s">
        <v>33</v>
      </c>
      <c r="E4502" t="s">
        <v>9</v>
      </c>
      <c r="F4502" s="3">
        <v>-645</v>
      </c>
      <c r="G4502" s="3">
        <v>-645</v>
      </c>
      <c r="H4502" t="s">
        <v>3</v>
      </c>
      <c r="I4502" t="s">
        <v>3</v>
      </c>
      <c r="J4502" t="s">
        <v>9</v>
      </c>
      <c r="K4502" t="s">
        <v>13</v>
      </c>
      <c r="L4502" t="s">
        <v>21</v>
      </c>
      <c r="M4502" t="s">
        <v>35</v>
      </c>
      <c r="N4502" s="2">
        <v>46217</v>
      </c>
    </row>
    <row r="4503" spans="1:14" x14ac:dyDescent="0.25">
      <c r="A4503" s="4" t="s">
        <v>262</v>
      </c>
      <c r="B4503" s="5"/>
      <c r="C4503" s="4" t="s">
        <v>9</v>
      </c>
      <c r="D4503" s="4" t="s">
        <v>9</v>
      </c>
      <c r="E4503" s="4" t="s">
        <v>9</v>
      </c>
      <c r="F4503" s="6">
        <v>0</v>
      </c>
      <c r="G4503" s="6">
        <v>0</v>
      </c>
      <c r="H4503" s="4" t="s">
        <v>9</v>
      </c>
      <c r="I4503" s="4" t="s">
        <v>3</v>
      </c>
      <c r="J4503" s="4" t="s">
        <v>9</v>
      </c>
      <c r="K4503" s="4" t="s">
        <v>9</v>
      </c>
      <c r="L4503" s="4" t="s">
        <v>9</v>
      </c>
      <c r="M4503" s="4" t="s">
        <v>9</v>
      </c>
      <c r="N4503" s="5"/>
    </row>
    <row r="4504" spans="1:14" x14ac:dyDescent="0.25">
      <c r="A4504" t="s">
        <v>619</v>
      </c>
      <c r="B4504" s="2">
        <v>46267</v>
      </c>
      <c r="C4504" t="s">
        <v>619</v>
      </c>
      <c r="D4504" t="s">
        <v>33</v>
      </c>
      <c r="E4504" t="s">
        <v>9</v>
      </c>
      <c r="F4504" s="3">
        <v>31085</v>
      </c>
      <c r="G4504" s="3">
        <v>31085</v>
      </c>
      <c r="H4504" t="s">
        <v>3</v>
      </c>
      <c r="I4504" t="s">
        <v>3</v>
      </c>
      <c r="J4504" t="s">
        <v>9</v>
      </c>
      <c r="K4504" t="s">
        <v>9</v>
      </c>
      <c r="L4504" t="s">
        <v>22</v>
      </c>
      <c r="M4504" t="s">
        <v>35</v>
      </c>
      <c r="N4504" s="2">
        <v>46265</v>
      </c>
    </row>
    <row r="4505" spans="1:14" x14ac:dyDescent="0.25">
      <c r="A4505" t="s">
        <v>619</v>
      </c>
      <c r="B4505" s="2">
        <v>46254</v>
      </c>
      <c r="C4505" t="s">
        <v>619</v>
      </c>
      <c r="D4505" t="s">
        <v>33</v>
      </c>
      <c r="E4505" t="s">
        <v>9</v>
      </c>
      <c r="F4505" s="3">
        <v>-15542.5</v>
      </c>
      <c r="G4505" s="3">
        <v>-15542.5</v>
      </c>
      <c r="H4505" t="s">
        <v>3</v>
      </c>
      <c r="I4505" t="s">
        <v>3</v>
      </c>
      <c r="J4505" t="s">
        <v>9</v>
      </c>
      <c r="K4505" t="s">
        <v>13</v>
      </c>
      <c r="L4505" t="s">
        <v>22</v>
      </c>
      <c r="M4505" t="s">
        <v>35</v>
      </c>
      <c r="N4505" s="2">
        <v>46254</v>
      </c>
    </row>
    <row r="4506" spans="1:14" x14ac:dyDescent="0.25">
      <c r="A4506" t="s">
        <v>619</v>
      </c>
      <c r="B4506" s="2">
        <v>46254</v>
      </c>
      <c r="C4506" t="s">
        <v>619</v>
      </c>
      <c r="D4506" t="s">
        <v>33</v>
      </c>
      <c r="E4506" t="s">
        <v>9</v>
      </c>
      <c r="F4506" s="3">
        <v>-15542.5</v>
      </c>
      <c r="G4506" s="3">
        <v>-15542.5</v>
      </c>
      <c r="H4506" t="s">
        <v>3</v>
      </c>
      <c r="I4506" t="s">
        <v>3</v>
      </c>
      <c r="J4506" t="s">
        <v>9</v>
      </c>
      <c r="K4506" t="s">
        <v>13</v>
      </c>
      <c r="L4506" t="s">
        <v>22</v>
      </c>
      <c r="M4506" t="s">
        <v>35</v>
      </c>
      <c r="N4506" s="2">
        <v>46254</v>
      </c>
    </row>
    <row r="4507" spans="1:14" x14ac:dyDescent="0.25">
      <c r="A4507" s="4" t="s">
        <v>267</v>
      </c>
      <c r="B4507" s="5"/>
      <c r="C4507" s="4" t="s">
        <v>9</v>
      </c>
      <c r="D4507" s="4" t="s">
        <v>9</v>
      </c>
      <c r="E4507" s="4" t="s">
        <v>9</v>
      </c>
      <c r="F4507" s="6">
        <v>0</v>
      </c>
      <c r="G4507" s="6">
        <v>0</v>
      </c>
      <c r="H4507" s="4" t="s">
        <v>9</v>
      </c>
      <c r="I4507" s="4" t="s">
        <v>3</v>
      </c>
      <c r="J4507" s="4" t="s">
        <v>9</v>
      </c>
      <c r="K4507" s="4" t="s">
        <v>9</v>
      </c>
      <c r="L4507" s="4" t="s">
        <v>9</v>
      </c>
      <c r="M4507" s="4" t="s">
        <v>9</v>
      </c>
      <c r="N4507" s="5"/>
    </row>
    <row r="4508" spans="1:14" x14ac:dyDescent="0.25">
      <c r="A4508" t="s">
        <v>619</v>
      </c>
      <c r="B4508" s="2">
        <v>46028</v>
      </c>
      <c r="C4508" t="s">
        <v>619</v>
      </c>
      <c r="D4508" t="s">
        <v>33</v>
      </c>
      <c r="E4508" t="s">
        <v>9</v>
      </c>
      <c r="F4508" s="3">
        <v>7096</v>
      </c>
      <c r="G4508" s="3">
        <v>7096</v>
      </c>
      <c r="H4508" t="s">
        <v>3</v>
      </c>
      <c r="I4508" t="s">
        <v>3</v>
      </c>
      <c r="J4508" t="s">
        <v>9</v>
      </c>
      <c r="K4508" t="s">
        <v>9</v>
      </c>
      <c r="L4508" t="s">
        <v>12</v>
      </c>
      <c r="M4508" t="s">
        <v>35</v>
      </c>
      <c r="N4508" s="2">
        <v>46022</v>
      </c>
    </row>
    <row r="4509" spans="1:14" x14ac:dyDescent="0.25">
      <c r="A4509" t="s">
        <v>619</v>
      </c>
      <c r="B4509" s="2">
        <v>46007</v>
      </c>
      <c r="C4509" t="s">
        <v>619</v>
      </c>
      <c r="D4509" t="s">
        <v>33</v>
      </c>
      <c r="E4509" t="s">
        <v>9</v>
      </c>
      <c r="F4509" s="3">
        <v>-3548</v>
      </c>
      <c r="G4509" s="3">
        <v>-3548</v>
      </c>
      <c r="H4509" t="s">
        <v>3</v>
      </c>
      <c r="I4509" t="s">
        <v>3</v>
      </c>
      <c r="J4509" t="s">
        <v>9</v>
      </c>
      <c r="K4509" t="s">
        <v>5</v>
      </c>
      <c r="L4509" t="s">
        <v>12</v>
      </c>
      <c r="M4509" t="s">
        <v>35</v>
      </c>
      <c r="N4509" s="2">
        <v>46007</v>
      </c>
    </row>
    <row r="4510" spans="1:14" x14ac:dyDescent="0.25">
      <c r="A4510" t="s">
        <v>619</v>
      </c>
      <c r="B4510" s="2">
        <v>46007</v>
      </c>
      <c r="C4510" t="s">
        <v>619</v>
      </c>
      <c r="D4510" t="s">
        <v>33</v>
      </c>
      <c r="E4510" t="s">
        <v>9</v>
      </c>
      <c r="F4510" s="3">
        <v>-3548</v>
      </c>
      <c r="G4510" s="3">
        <v>-3548</v>
      </c>
      <c r="H4510" t="s">
        <v>3</v>
      </c>
      <c r="I4510" t="s">
        <v>3</v>
      </c>
      <c r="J4510" t="s">
        <v>9</v>
      </c>
      <c r="K4510" t="s">
        <v>5</v>
      </c>
      <c r="L4510" t="s">
        <v>12</v>
      </c>
      <c r="M4510" t="s">
        <v>35</v>
      </c>
      <c r="N4510" s="2">
        <v>46007</v>
      </c>
    </row>
    <row r="4511" spans="1:14" x14ac:dyDescent="0.25">
      <c r="A4511" s="4" t="s">
        <v>228</v>
      </c>
      <c r="B4511" s="5"/>
      <c r="C4511" s="4" t="s">
        <v>9</v>
      </c>
      <c r="D4511" s="4" t="s">
        <v>9</v>
      </c>
      <c r="E4511" s="4" t="s">
        <v>9</v>
      </c>
      <c r="F4511" s="6">
        <v>0</v>
      </c>
      <c r="G4511" s="6">
        <v>0</v>
      </c>
      <c r="H4511" s="4" t="s">
        <v>9</v>
      </c>
      <c r="I4511" s="4" t="s">
        <v>3</v>
      </c>
      <c r="J4511" s="4" t="s">
        <v>9</v>
      </c>
      <c r="K4511" s="4" t="s">
        <v>9</v>
      </c>
      <c r="L4511" s="4" t="s">
        <v>9</v>
      </c>
      <c r="M4511" s="4" t="s">
        <v>9</v>
      </c>
      <c r="N4511" s="5"/>
    </row>
    <row r="4512" spans="1:14" x14ac:dyDescent="0.25">
      <c r="A4512" s="4" t="s">
        <v>619</v>
      </c>
      <c r="B4512" s="5"/>
      <c r="C4512" s="4" t="s">
        <v>9</v>
      </c>
      <c r="D4512" s="4" t="s">
        <v>9</v>
      </c>
      <c r="E4512" s="4" t="s">
        <v>9</v>
      </c>
      <c r="F4512" s="6">
        <v>0</v>
      </c>
      <c r="G4512" s="6">
        <v>0</v>
      </c>
      <c r="H4512" s="4" t="s">
        <v>9</v>
      </c>
      <c r="I4512" s="4" t="s">
        <v>3</v>
      </c>
      <c r="J4512" s="4" t="s">
        <v>9</v>
      </c>
      <c r="K4512" s="4" t="s">
        <v>9</v>
      </c>
      <c r="L4512" s="4" t="s">
        <v>9</v>
      </c>
      <c r="M4512" s="4" t="s">
        <v>9</v>
      </c>
      <c r="N4512" s="5"/>
    </row>
    <row r="4513" spans="1:14" x14ac:dyDescent="0.25">
      <c r="A4513" t="s">
        <v>620</v>
      </c>
      <c r="B4513" s="2">
        <v>46056</v>
      </c>
      <c r="C4513" t="s">
        <v>620</v>
      </c>
      <c r="D4513" t="s">
        <v>112</v>
      </c>
      <c r="E4513" t="s">
        <v>9</v>
      </c>
      <c r="F4513" s="3">
        <v>-300</v>
      </c>
      <c r="G4513" s="3">
        <v>-300</v>
      </c>
      <c r="H4513" t="s">
        <v>3</v>
      </c>
      <c r="I4513" t="s">
        <v>3</v>
      </c>
      <c r="J4513" t="s">
        <v>9</v>
      </c>
      <c r="K4513" t="s">
        <v>9</v>
      </c>
      <c r="L4513" t="s">
        <v>14</v>
      </c>
      <c r="M4513" t="s">
        <v>114</v>
      </c>
      <c r="N4513" s="2">
        <v>46053</v>
      </c>
    </row>
    <row r="4514" spans="1:14" x14ac:dyDescent="0.25">
      <c r="A4514" t="s">
        <v>620</v>
      </c>
      <c r="B4514" s="2">
        <v>46022</v>
      </c>
      <c r="C4514" t="s">
        <v>620</v>
      </c>
      <c r="D4514" t="s">
        <v>112</v>
      </c>
      <c r="E4514" t="s">
        <v>9</v>
      </c>
      <c r="F4514" s="3">
        <v>-2500</v>
      </c>
      <c r="G4514" s="3">
        <v>-2500</v>
      </c>
      <c r="H4514" t="s">
        <v>3</v>
      </c>
      <c r="I4514" t="s">
        <v>3</v>
      </c>
      <c r="J4514" t="s">
        <v>298</v>
      </c>
      <c r="K4514" t="s">
        <v>13</v>
      </c>
      <c r="L4514" t="s">
        <v>14</v>
      </c>
      <c r="M4514" t="s">
        <v>114</v>
      </c>
      <c r="N4514" s="2">
        <v>46023</v>
      </c>
    </row>
    <row r="4515" spans="1:14" x14ac:dyDescent="0.25">
      <c r="A4515" t="s">
        <v>620</v>
      </c>
      <c r="B4515" s="2">
        <v>46023</v>
      </c>
      <c r="C4515" t="s">
        <v>620</v>
      </c>
      <c r="D4515" t="s">
        <v>112</v>
      </c>
      <c r="E4515" t="s">
        <v>9</v>
      </c>
      <c r="F4515" s="3">
        <v>2500</v>
      </c>
      <c r="G4515" s="3">
        <v>2500</v>
      </c>
      <c r="H4515" t="s">
        <v>3</v>
      </c>
      <c r="I4515" t="s">
        <v>3</v>
      </c>
      <c r="J4515" t="s">
        <v>298</v>
      </c>
      <c r="K4515" t="s">
        <v>13</v>
      </c>
      <c r="L4515" t="s">
        <v>14</v>
      </c>
      <c r="M4515" t="s">
        <v>114</v>
      </c>
      <c r="N4515" s="2">
        <v>46023</v>
      </c>
    </row>
    <row r="4516" spans="1:14" x14ac:dyDescent="0.25">
      <c r="A4516" t="s">
        <v>620</v>
      </c>
      <c r="B4516" s="2">
        <v>46053</v>
      </c>
      <c r="C4516" t="s">
        <v>620</v>
      </c>
      <c r="D4516" t="s">
        <v>112</v>
      </c>
      <c r="E4516" t="s">
        <v>9</v>
      </c>
      <c r="F4516" s="3">
        <v>300</v>
      </c>
      <c r="G4516" s="3">
        <v>300</v>
      </c>
      <c r="H4516" t="s">
        <v>3</v>
      </c>
      <c r="I4516" t="s">
        <v>3</v>
      </c>
      <c r="J4516" t="s">
        <v>300</v>
      </c>
      <c r="K4516" t="s">
        <v>13</v>
      </c>
      <c r="L4516" t="s">
        <v>14</v>
      </c>
      <c r="M4516" t="s">
        <v>114</v>
      </c>
      <c r="N4516" s="2">
        <v>46053</v>
      </c>
    </row>
    <row r="4517" spans="1:14" x14ac:dyDescent="0.25">
      <c r="A4517" s="4" t="s">
        <v>234</v>
      </c>
      <c r="B4517" s="5"/>
      <c r="C4517" s="4" t="s">
        <v>9</v>
      </c>
      <c r="D4517" s="4" t="s">
        <v>9</v>
      </c>
      <c r="E4517" s="4" t="s">
        <v>9</v>
      </c>
      <c r="F4517" s="6">
        <v>0</v>
      </c>
      <c r="G4517" s="6">
        <v>0</v>
      </c>
      <c r="H4517" s="4" t="s">
        <v>9</v>
      </c>
      <c r="I4517" s="4" t="s">
        <v>3</v>
      </c>
      <c r="J4517" s="4" t="s">
        <v>9</v>
      </c>
      <c r="K4517" s="4" t="s">
        <v>9</v>
      </c>
      <c r="L4517" s="4" t="s">
        <v>9</v>
      </c>
      <c r="M4517" s="4" t="s">
        <v>9</v>
      </c>
      <c r="N4517" s="5"/>
    </row>
    <row r="4518" spans="1:14" x14ac:dyDescent="0.25">
      <c r="A4518" t="s">
        <v>620</v>
      </c>
      <c r="B4518" s="2">
        <v>46084</v>
      </c>
      <c r="C4518" t="s">
        <v>620</v>
      </c>
      <c r="D4518" t="s">
        <v>112</v>
      </c>
      <c r="E4518" t="s">
        <v>9</v>
      </c>
      <c r="F4518" s="3">
        <v>-1100</v>
      </c>
      <c r="G4518" s="3">
        <v>-1100</v>
      </c>
      <c r="H4518" t="s">
        <v>3</v>
      </c>
      <c r="I4518" t="s">
        <v>3</v>
      </c>
      <c r="J4518" t="s">
        <v>9</v>
      </c>
      <c r="K4518" t="s">
        <v>9</v>
      </c>
      <c r="L4518" t="s">
        <v>15</v>
      </c>
      <c r="M4518" t="s">
        <v>114</v>
      </c>
      <c r="N4518" s="2">
        <v>46081</v>
      </c>
    </row>
    <row r="4519" spans="1:14" x14ac:dyDescent="0.25">
      <c r="A4519" t="s">
        <v>620</v>
      </c>
      <c r="B4519" s="2">
        <v>46054</v>
      </c>
      <c r="C4519" t="s">
        <v>620</v>
      </c>
      <c r="D4519" t="s">
        <v>112</v>
      </c>
      <c r="E4519" t="s">
        <v>9</v>
      </c>
      <c r="F4519" s="3">
        <v>-300</v>
      </c>
      <c r="G4519" s="3">
        <v>-300</v>
      </c>
      <c r="H4519" t="s">
        <v>3</v>
      </c>
      <c r="I4519" t="s">
        <v>3</v>
      </c>
      <c r="J4519" t="s">
        <v>300</v>
      </c>
      <c r="K4519" t="s">
        <v>13</v>
      </c>
      <c r="L4519" t="s">
        <v>15</v>
      </c>
      <c r="M4519" t="s">
        <v>114</v>
      </c>
      <c r="N4519" s="2">
        <v>46054</v>
      </c>
    </row>
    <row r="4520" spans="1:14" x14ac:dyDescent="0.25">
      <c r="A4520" t="s">
        <v>620</v>
      </c>
      <c r="B4520" s="2">
        <v>46054</v>
      </c>
      <c r="C4520" t="s">
        <v>620</v>
      </c>
      <c r="D4520" t="s">
        <v>112</v>
      </c>
      <c r="E4520" t="s">
        <v>9</v>
      </c>
      <c r="F4520" s="3">
        <v>300</v>
      </c>
      <c r="G4520" s="3">
        <v>300</v>
      </c>
      <c r="H4520" t="s">
        <v>3</v>
      </c>
      <c r="I4520" t="s">
        <v>3</v>
      </c>
      <c r="J4520" t="s">
        <v>300</v>
      </c>
      <c r="K4520" t="s">
        <v>13</v>
      </c>
      <c r="L4520" t="s">
        <v>15</v>
      </c>
      <c r="M4520" t="s">
        <v>114</v>
      </c>
      <c r="N4520" s="2">
        <v>46055</v>
      </c>
    </row>
    <row r="4521" spans="1:14" x14ac:dyDescent="0.25">
      <c r="A4521" t="s">
        <v>620</v>
      </c>
      <c r="B4521" s="2">
        <v>46054</v>
      </c>
      <c r="C4521" t="s">
        <v>620</v>
      </c>
      <c r="D4521" t="s">
        <v>112</v>
      </c>
      <c r="E4521" t="s">
        <v>9</v>
      </c>
      <c r="F4521" s="3">
        <v>-300</v>
      </c>
      <c r="G4521" s="3">
        <v>-300</v>
      </c>
      <c r="H4521" t="s">
        <v>3</v>
      </c>
      <c r="I4521" t="s">
        <v>3</v>
      </c>
      <c r="J4521" t="s">
        <v>300</v>
      </c>
      <c r="K4521" t="s">
        <v>13</v>
      </c>
      <c r="L4521" t="s">
        <v>15</v>
      </c>
      <c r="M4521" t="s">
        <v>114</v>
      </c>
      <c r="N4521" s="2">
        <v>46054</v>
      </c>
    </row>
    <row r="4522" spans="1:14" x14ac:dyDescent="0.25">
      <c r="A4522" t="s">
        <v>620</v>
      </c>
      <c r="B4522" s="2">
        <v>46081</v>
      </c>
      <c r="C4522" t="s">
        <v>620</v>
      </c>
      <c r="D4522" t="s">
        <v>112</v>
      </c>
      <c r="E4522" t="s">
        <v>9</v>
      </c>
      <c r="F4522" s="3">
        <v>1400</v>
      </c>
      <c r="G4522" s="3">
        <v>1400</v>
      </c>
      <c r="H4522" t="s">
        <v>3</v>
      </c>
      <c r="I4522" t="s">
        <v>3</v>
      </c>
      <c r="J4522" t="s">
        <v>304</v>
      </c>
      <c r="K4522" t="s">
        <v>13</v>
      </c>
      <c r="L4522" t="s">
        <v>15</v>
      </c>
      <c r="M4522" t="s">
        <v>114</v>
      </c>
      <c r="N4522" s="2">
        <v>46081</v>
      </c>
    </row>
    <row r="4523" spans="1:14" x14ac:dyDescent="0.25">
      <c r="A4523" s="4" t="s">
        <v>239</v>
      </c>
      <c r="B4523" s="5"/>
      <c r="C4523" s="4" t="s">
        <v>9</v>
      </c>
      <c r="D4523" s="4" t="s">
        <v>9</v>
      </c>
      <c r="E4523" s="4" t="s">
        <v>9</v>
      </c>
      <c r="F4523" s="6">
        <v>0</v>
      </c>
      <c r="G4523" s="6">
        <v>0</v>
      </c>
      <c r="H4523" s="4" t="s">
        <v>9</v>
      </c>
      <c r="I4523" s="4" t="s">
        <v>3</v>
      </c>
      <c r="J4523" s="4" t="s">
        <v>9</v>
      </c>
      <c r="K4523" s="4" t="s">
        <v>9</v>
      </c>
      <c r="L4523" s="4" t="s">
        <v>9</v>
      </c>
      <c r="M4523" s="4" t="s">
        <v>9</v>
      </c>
      <c r="N4523" s="5"/>
    </row>
    <row r="4524" spans="1:14" x14ac:dyDescent="0.25">
      <c r="A4524" t="s">
        <v>620</v>
      </c>
      <c r="B4524" s="2">
        <v>46115</v>
      </c>
      <c r="C4524" t="s">
        <v>620</v>
      </c>
      <c r="D4524" t="s">
        <v>112</v>
      </c>
      <c r="E4524" t="s">
        <v>9</v>
      </c>
      <c r="F4524" s="3">
        <v>-14088</v>
      </c>
      <c r="G4524" s="3">
        <v>-14088</v>
      </c>
      <c r="H4524" t="s">
        <v>3</v>
      </c>
      <c r="I4524" t="s">
        <v>3</v>
      </c>
      <c r="J4524" t="s">
        <v>9</v>
      </c>
      <c r="K4524" t="s">
        <v>9</v>
      </c>
      <c r="L4524" t="s">
        <v>16</v>
      </c>
      <c r="M4524" t="s">
        <v>114</v>
      </c>
      <c r="N4524" s="2">
        <v>46112</v>
      </c>
    </row>
    <row r="4525" spans="1:14" x14ac:dyDescent="0.25">
      <c r="A4525" t="s">
        <v>620</v>
      </c>
      <c r="B4525" s="2">
        <v>46081</v>
      </c>
      <c r="C4525" t="s">
        <v>620</v>
      </c>
      <c r="D4525" t="s">
        <v>112</v>
      </c>
      <c r="E4525" t="s">
        <v>9</v>
      </c>
      <c r="F4525" s="3">
        <v>-1400</v>
      </c>
      <c r="G4525" s="3">
        <v>-1400</v>
      </c>
      <c r="H4525" t="s">
        <v>3</v>
      </c>
      <c r="I4525" t="s">
        <v>3</v>
      </c>
      <c r="J4525" t="s">
        <v>304</v>
      </c>
      <c r="K4525" t="s">
        <v>13</v>
      </c>
      <c r="L4525" t="s">
        <v>16</v>
      </c>
      <c r="M4525" t="s">
        <v>114</v>
      </c>
      <c r="N4525" s="2">
        <v>46082</v>
      </c>
    </row>
    <row r="4526" spans="1:14" x14ac:dyDescent="0.25">
      <c r="A4526" t="s">
        <v>620</v>
      </c>
      <c r="B4526" s="2">
        <v>46112</v>
      </c>
      <c r="C4526" t="s">
        <v>620</v>
      </c>
      <c r="D4526" t="s">
        <v>112</v>
      </c>
      <c r="E4526" t="s">
        <v>9</v>
      </c>
      <c r="F4526" s="3">
        <v>15488</v>
      </c>
      <c r="G4526" s="3">
        <v>15488</v>
      </c>
      <c r="H4526" t="s">
        <v>3</v>
      </c>
      <c r="I4526" t="s">
        <v>3</v>
      </c>
      <c r="J4526" t="s">
        <v>307</v>
      </c>
      <c r="K4526" t="s">
        <v>13</v>
      </c>
      <c r="L4526" t="s">
        <v>16</v>
      </c>
      <c r="M4526" t="s">
        <v>114</v>
      </c>
      <c r="N4526" s="2">
        <v>46112</v>
      </c>
    </row>
    <row r="4527" spans="1:14" x14ac:dyDescent="0.25">
      <c r="A4527" s="4" t="s">
        <v>244</v>
      </c>
      <c r="B4527" s="5"/>
      <c r="C4527" s="4" t="s">
        <v>9</v>
      </c>
      <c r="D4527" s="4" t="s">
        <v>9</v>
      </c>
      <c r="E4527" s="4" t="s">
        <v>9</v>
      </c>
      <c r="F4527" s="6">
        <v>0</v>
      </c>
      <c r="G4527" s="6">
        <v>0</v>
      </c>
      <c r="H4527" s="4" t="s">
        <v>9</v>
      </c>
      <c r="I4527" s="4" t="s">
        <v>3</v>
      </c>
      <c r="J4527" s="4" t="s">
        <v>9</v>
      </c>
      <c r="K4527" s="4" t="s">
        <v>9</v>
      </c>
      <c r="L4527" s="4" t="s">
        <v>9</v>
      </c>
      <c r="M4527" s="4" t="s">
        <v>9</v>
      </c>
      <c r="N4527" s="5"/>
    </row>
    <row r="4528" spans="1:14" x14ac:dyDescent="0.25">
      <c r="A4528" t="s">
        <v>620</v>
      </c>
      <c r="B4528" s="2">
        <v>46147</v>
      </c>
      <c r="C4528" t="s">
        <v>620</v>
      </c>
      <c r="D4528" t="s">
        <v>112</v>
      </c>
      <c r="E4528" t="s">
        <v>9</v>
      </c>
      <c r="F4528" s="3">
        <v>-12520</v>
      </c>
      <c r="G4528" s="3">
        <v>-12520</v>
      </c>
      <c r="H4528" t="s">
        <v>3</v>
      </c>
      <c r="I4528" t="s">
        <v>3</v>
      </c>
      <c r="J4528" t="s">
        <v>9</v>
      </c>
      <c r="K4528" t="s">
        <v>9</v>
      </c>
      <c r="L4528" t="s">
        <v>17</v>
      </c>
      <c r="M4528" t="s">
        <v>114</v>
      </c>
      <c r="N4528" s="2">
        <v>46142</v>
      </c>
    </row>
    <row r="4529" spans="1:14" x14ac:dyDescent="0.25">
      <c r="A4529" t="s">
        <v>620</v>
      </c>
      <c r="B4529" s="2">
        <v>46112</v>
      </c>
      <c r="C4529" t="s">
        <v>620</v>
      </c>
      <c r="D4529" t="s">
        <v>112</v>
      </c>
      <c r="E4529" t="s">
        <v>9</v>
      </c>
      <c r="F4529" s="3">
        <v>-15488</v>
      </c>
      <c r="G4529" s="3">
        <v>-15488</v>
      </c>
      <c r="H4529" t="s">
        <v>3</v>
      </c>
      <c r="I4529" t="s">
        <v>3</v>
      </c>
      <c r="J4529" t="s">
        <v>307</v>
      </c>
      <c r="K4529" t="s">
        <v>13</v>
      </c>
      <c r="L4529" t="s">
        <v>17</v>
      </c>
      <c r="M4529" t="s">
        <v>114</v>
      </c>
      <c r="N4529" s="2">
        <v>46113</v>
      </c>
    </row>
    <row r="4530" spans="1:14" x14ac:dyDescent="0.25">
      <c r="A4530" t="s">
        <v>620</v>
      </c>
      <c r="B4530" s="2">
        <v>46142</v>
      </c>
      <c r="C4530" t="s">
        <v>620</v>
      </c>
      <c r="D4530" t="s">
        <v>112</v>
      </c>
      <c r="E4530" t="s">
        <v>9</v>
      </c>
      <c r="F4530" s="3">
        <v>27908</v>
      </c>
      <c r="G4530" s="3">
        <v>27908</v>
      </c>
      <c r="H4530" t="s">
        <v>3</v>
      </c>
      <c r="I4530" t="s">
        <v>3</v>
      </c>
      <c r="J4530" t="s">
        <v>310</v>
      </c>
      <c r="K4530" t="s">
        <v>13</v>
      </c>
      <c r="L4530" t="s">
        <v>17</v>
      </c>
      <c r="M4530" t="s">
        <v>114</v>
      </c>
      <c r="N4530" s="2">
        <v>46142</v>
      </c>
    </row>
    <row r="4531" spans="1:14" x14ac:dyDescent="0.25">
      <c r="A4531" t="s">
        <v>620</v>
      </c>
      <c r="B4531" s="2">
        <v>46142</v>
      </c>
      <c r="C4531" t="s">
        <v>620</v>
      </c>
      <c r="D4531" t="s">
        <v>112</v>
      </c>
      <c r="E4531" t="s">
        <v>9</v>
      </c>
      <c r="F4531" s="3">
        <v>100</v>
      </c>
      <c r="G4531" s="3">
        <v>100</v>
      </c>
      <c r="H4531" t="s">
        <v>3</v>
      </c>
      <c r="I4531" t="s">
        <v>3</v>
      </c>
      <c r="J4531" t="s">
        <v>573</v>
      </c>
      <c r="K4531" t="s">
        <v>13</v>
      </c>
      <c r="L4531" t="s">
        <v>17</v>
      </c>
      <c r="M4531" t="s">
        <v>114</v>
      </c>
      <c r="N4531" s="2">
        <v>46142</v>
      </c>
    </row>
    <row r="4532" spans="1:14" x14ac:dyDescent="0.25">
      <c r="A4532" s="4" t="s">
        <v>249</v>
      </c>
      <c r="B4532" s="5"/>
      <c r="C4532" s="4" t="s">
        <v>9</v>
      </c>
      <c r="D4532" s="4" t="s">
        <v>9</v>
      </c>
      <c r="E4532" s="4" t="s">
        <v>9</v>
      </c>
      <c r="F4532" s="6">
        <v>0</v>
      </c>
      <c r="G4532" s="6">
        <v>0</v>
      </c>
      <c r="H4532" s="4" t="s">
        <v>9</v>
      </c>
      <c r="I4532" s="4" t="s">
        <v>3</v>
      </c>
      <c r="J4532" s="4" t="s">
        <v>9</v>
      </c>
      <c r="K4532" s="4" t="s">
        <v>9</v>
      </c>
      <c r="L4532" s="4" t="s">
        <v>9</v>
      </c>
      <c r="M4532" s="4" t="s">
        <v>9</v>
      </c>
      <c r="N4532" s="5"/>
    </row>
    <row r="4533" spans="1:14" x14ac:dyDescent="0.25">
      <c r="A4533" t="s">
        <v>620</v>
      </c>
      <c r="B4533" s="2">
        <v>46175</v>
      </c>
      <c r="C4533" t="s">
        <v>620</v>
      </c>
      <c r="D4533" t="s">
        <v>112</v>
      </c>
      <c r="E4533" t="s">
        <v>9</v>
      </c>
      <c r="F4533" s="3">
        <v>-8256</v>
      </c>
      <c r="G4533" s="3">
        <v>-8256</v>
      </c>
      <c r="H4533" t="s">
        <v>3</v>
      </c>
      <c r="I4533" t="s">
        <v>3</v>
      </c>
      <c r="J4533" t="s">
        <v>9</v>
      </c>
      <c r="K4533" t="s">
        <v>9</v>
      </c>
      <c r="L4533" t="s">
        <v>18</v>
      </c>
      <c r="M4533" t="s">
        <v>114</v>
      </c>
      <c r="N4533" s="2">
        <v>46173</v>
      </c>
    </row>
    <row r="4534" spans="1:14" x14ac:dyDescent="0.25">
      <c r="A4534" t="s">
        <v>620</v>
      </c>
      <c r="B4534" s="2">
        <v>46142</v>
      </c>
      <c r="C4534" t="s">
        <v>620</v>
      </c>
      <c r="D4534" t="s">
        <v>112</v>
      </c>
      <c r="E4534" t="s">
        <v>9</v>
      </c>
      <c r="F4534" s="3">
        <v>-27908</v>
      </c>
      <c r="G4534" s="3">
        <v>-27908</v>
      </c>
      <c r="H4534" t="s">
        <v>3</v>
      </c>
      <c r="I4534" t="s">
        <v>3</v>
      </c>
      <c r="J4534" t="s">
        <v>310</v>
      </c>
      <c r="K4534" t="s">
        <v>13</v>
      </c>
      <c r="L4534" t="s">
        <v>18</v>
      </c>
      <c r="M4534" t="s">
        <v>114</v>
      </c>
      <c r="N4534" s="2">
        <v>46143</v>
      </c>
    </row>
    <row r="4535" spans="1:14" x14ac:dyDescent="0.25">
      <c r="A4535" t="s">
        <v>620</v>
      </c>
      <c r="B4535" s="2">
        <v>46142</v>
      </c>
      <c r="C4535" t="s">
        <v>620</v>
      </c>
      <c r="D4535" t="s">
        <v>112</v>
      </c>
      <c r="E4535" t="s">
        <v>9</v>
      </c>
      <c r="F4535" s="3">
        <v>-100</v>
      </c>
      <c r="G4535" s="3">
        <v>-100</v>
      </c>
      <c r="H4535" t="s">
        <v>3</v>
      </c>
      <c r="I4535" t="s">
        <v>3</v>
      </c>
      <c r="J4535" t="s">
        <v>573</v>
      </c>
      <c r="K4535" t="s">
        <v>13</v>
      </c>
      <c r="L4535" t="s">
        <v>18</v>
      </c>
      <c r="M4535" t="s">
        <v>114</v>
      </c>
      <c r="N4535" s="2">
        <v>46143</v>
      </c>
    </row>
    <row r="4536" spans="1:14" x14ac:dyDescent="0.25">
      <c r="A4536" t="s">
        <v>620</v>
      </c>
      <c r="B4536" s="2">
        <v>46173</v>
      </c>
      <c r="C4536" t="s">
        <v>620</v>
      </c>
      <c r="D4536" t="s">
        <v>112</v>
      </c>
      <c r="E4536" t="s">
        <v>9</v>
      </c>
      <c r="F4536" s="3">
        <v>35928</v>
      </c>
      <c r="G4536" s="3">
        <v>35928</v>
      </c>
      <c r="H4536" t="s">
        <v>3</v>
      </c>
      <c r="I4536" t="s">
        <v>3</v>
      </c>
      <c r="J4536" t="s">
        <v>313</v>
      </c>
      <c r="K4536" t="s">
        <v>13</v>
      </c>
      <c r="L4536" t="s">
        <v>18</v>
      </c>
      <c r="M4536" t="s">
        <v>114</v>
      </c>
      <c r="N4536" s="2">
        <v>46173</v>
      </c>
    </row>
    <row r="4537" spans="1:14" x14ac:dyDescent="0.25">
      <c r="A4537" t="s">
        <v>620</v>
      </c>
      <c r="B4537" s="2">
        <v>46173</v>
      </c>
      <c r="C4537" t="s">
        <v>620</v>
      </c>
      <c r="D4537" t="s">
        <v>112</v>
      </c>
      <c r="E4537" t="s">
        <v>9</v>
      </c>
      <c r="F4537" s="3">
        <v>336</v>
      </c>
      <c r="G4537" s="3">
        <v>336</v>
      </c>
      <c r="H4537" t="s">
        <v>3</v>
      </c>
      <c r="I4537" t="s">
        <v>3</v>
      </c>
      <c r="J4537" t="s">
        <v>562</v>
      </c>
      <c r="K4537" t="s">
        <v>13</v>
      </c>
      <c r="L4537" t="s">
        <v>18</v>
      </c>
      <c r="M4537" t="s">
        <v>114</v>
      </c>
      <c r="N4537" s="2">
        <v>46173</v>
      </c>
    </row>
    <row r="4538" spans="1:14" x14ac:dyDescent="0.25">
      <c r="A4538" s="4" t="s">
        <v>223</v>
      </c>
      <c r="B4538" s="5"/>
      <c r="C4538" s="4" t="s">
        <v>9</v>
      </c>
      <c r="D4538" s="4" t="s">
        <v>9</v>
      </c>
      <c r="E4538" s="4" t="s">
        <v>9</v>
      </c>
      <c r="F4538" s="6">
        <v>0</v>
      </c>
      <c r="G4538" s="6">
        <v>0</v>
      </c>
      <c r="H4538" s="4" t="s">
        <v>9</v>
      </c>
      <c r="I4538" s="4" t="s">
        <v>3</v>
      </c>
      <c r="J4538" s="4" t="s">
        <v>9</v>
      </c>
      <c r="K4538" s="4" t="s">
        <v>9</v>
      </c>
      <c r="L4538" s="4" t="s">
        <v>9</v>
      </c>
      <c r="M4538" s="4" t="s">
        <v>9</v>
      </c>
      <c r="N4538" s="5"/>
    </row>
    <row r="4539" spans="1:14" x14ac:dyDescent="0.25">
      <c r="A4539" t="s">
        <v>620</v>
      </c>
      <c r="B4539" s="2">
        <v>46205</v>
      </c>
      <c r="C4539" t="s">
        <v>620</v>
      </c>
      <c r="D4539" t="s">
        <v>112</v>
      </c>
      <c r="E4539" t="s">
        <v>9</v>
      </c>
      <c r="F4539" s="3">
        <v>-1227.6400000000001</v>
      </c>
      <c r="G4539" s="3">
        <v>-1227.6400000000001</v>
      </c>
      <c r="H4539" t="s">
        <v>3</v>
      </c>
      <c r="I4539" t="s">
        <v>3</v>
      </c>
      <c r="J4539" t="s">
        <v>9</v>
      </c>
      <c r="K4539" t="s">
        <v>9</v>
      </c>
      <c r="L4539" t="s">
        <v>19</v>
      </c>
      <c r="M4539" t="s">
        <v>114</v>
      </c>
      <c r="N4539" s="2">
        <v>46203</v>
      </c>
    </row>
    <row r="4540" spans="1:14" x14ac:dyDescent="0.25">
      <c r="A4540" t="s">
        <v>620</v>
      </c>
      <c r="B4540" s="2">
        <v>46173</v>
      </c>
      <c r="C4540" t="s">
        <v>620</v>
      </c>
      <c r="D4540" t="s">
        <v>112</v>
      </c>
      <c r="E4540" t="s">
        <v>9</v>
      </c>
      <c r="F4540" s="3">
        <v>-35928</v>
      </c>
      <c r="G4540" s="3">
        <v>-35928</v>
      </c>
      <c r="H4540" t="s">
        <v>3</v>
      </c>
      <c r="I4540" t="s">
        <v>3</v>
      </c>
      <c r="J4540" t="s">
        <v>313</v>
      </c>
      <c r="K4540" t="s">
        <v>13</v>
      </c>
      <c r="L4540" t="s">
        <v>19</v>
      </c>
      <c r="M4540" t="s">
        <v>114</v>
      </c>
      <c r="N4540" s="2">
        <v>46174</v>
      </c>
    </row>
    <row r="4541" spans="1:14" x14ac:dyDescent="0.25">
      <c r="A4541" t="s">
        <v>620</v>
      </c>
      <c r="B4541" s="2">
        <v>46173</v>
      </c>
      <c r="C4541" t="s">
        <v>620</v>
      </c>
      <c r="D4541" t="s">
        <v>112</v>
      </c>
      <c r="E4541" t="s">
        <v>9</v>
      </c>
      <c r="F4541" s="3">
        <v>-336</v>
      </c>
      <c r="G4541" s="3">
        <v>-336</v>
      </c>
      <c r="H4541" t="s">
        <v>3</v>
      </c>
      <c r="I4541" t="s">
        <v>3</v>
      </c>
      <c r="J4541" t="s">
        <v>562</v>
      </c>
      <c r="K4541" t="s">
        <v>13</v>
      </c>
      <c r="L4541" t="s">
        <v>19</v>
      </c>
      <c r="M4541" t="s">
        <v>114</v>
      </c>
      <c r="N4541" s="2">
        <v>46174</v>
      </c>
    </row>
    <row r="4542" spans="1:14" x14ac:dyDescent="0.25">
      <c r="A4542" t="s">
        <v>620</v>
      </c>
      <c r="B4542" s="2">
        <v>46203</v>
      </c>
      <c r="C4542" t="s">
        <v>620</v>
      </c>
      <c r="D4542" t="s">
        <v>112</v>
      </c>
      <c r="E4542" t="s">
        <v>9</v>
      </c>
      <c r="F4542" s="3">
        <v>37155.64</v>
      </c>
      <c r="G4542" s="3">
        <v>37155.64</v>
      </c>
      <c r="H4542" t="s">
        <v>3</v>
      </c>
      <c r="I4542" t="s">
        <v>3</v>
      </c>
      <c r="J4542" t="s">
        <v>316</v>
      </c>
      <c r="K4542" t="s">
        <v>13</v>
      </c>
      <c r="L4542" t="s">
        <v>19</v>
      </c>
      <c r="M4542" t="s">
        <v>114</v>
      </c>
      <c r="N4542" s="2">
        <v>46203</v>
      </c>
    </row>
    <row r="4543" spans="1:14" x14ac:dyDescent="0.25">
      <c r="A4543" t="s">
        <v>620</v>
      </c>
      <c r="B4543" s="2">
        <v>46203</v>
      </c>
      <c r="C4543" t="s">
        <v>620</v>
      </c>
      <c r="D4543" t="s">
        <v>112</v>
      </c>
      <c r="E4543" t="s">
        <v>9</v>
      </c>
      <c r="F4543" s="3">
        <v>336</v>
      </c>
      <c r="G4543" s="3">
        <v>336</v>
      </c>
      <c r="H4543" t="s">
        <v>3</v>
      </c>
      <c r="I4543" t="s">
        <v>3</v>
      </c>
      <c r="J4543" t="s">
        <v>563</v>
      </c>
      <c r="K4543" t="s">
        <v>13</v>
      </c>
      <c r="L4543" t="s">
        <v>19</v>
      </c>
      <c r="M4543" t="s">
        <v>114</v>
      </c>
      <c r="N4543" s="2">
        <v>46203</v>
      </c>
    </row>
    <row r="4544" spans="1:14" x14ac:dyDescent="0.25">
      <c r="A4544" s="4" t="s">
        <v>224</v>
      </c>
      <c r="B4544" s="5"/>
      <c r="C4544" s="4" t="s">
        <v>9</v>
      </c>
      <c r="D4544" s="4" t="s">
        <v>9</v>
      </c>
      <c r="E4544" s="4" t="s">
        <v>9</v>
      </c>
      <c r="F4544" s="6">
        <v>0</v>
      </c>
      <c r="G4544" s="6">
        <v>0</v>
      </c>
      <c r="H4544" s="4" t="s">
        <v>9</v>
      </c>
      <c r="I4544" s="4" t="s">
        <v>3</v>
      </c>
      <c r="J4544" s="4" t="s">
        <v>9</v>
      </c>
      <c r="K4544" s="4" t="s">
        <v>9</v>
      </c>
      <c r="L4544" s="4" t="s">
        <v>9</v>
      </c>
      <c r="M4544" s="4" t="s">
        <v>9</v>
      </c>
      <c r="N4544" s="5"/>
    </row>
    <row r="4545" spans="1:14" x14ac:dyDescent="0.25">
      <c r="A4545" t="s">
        <v>620</v>
      </c>
      <c r="B4545" s="2">
        <v>46239</v>
      </c>
      <c r="C4545" t="s">
        <v>620</v>
      </c>
      <c r="D4545" t="s">
        <v>112</v>
      </c>
      <c r="E4545" t="s">
        <v>9</v>
      </c>
      <c r="F4545" s="3">
        <v>-812.36</v>
      </c>
      <c r="G4545" s="3">
        <v>-812.36</v>
      </c>
      <c r="H4545" t="s">
        <v>3</v>
      </c>
      <c r="I4545" t="s">
        <v>3</v>
      </c>
      <c r="J4545" t="s">
        <v>9</v>
      </c>
      <c r="K4545" t="s">
        <v>9</v>
      </c>
      <c r="L4545" t="s">
        <v>21</v>
      </c>
      <c r="M4545" t="s">
        <v>114</v>
      </c>
      <c r="N4545" s="2">
        <v>46234</v>
      </c>
    </row>
    <row r="4546" spans="1:14" x14ac:dyDescent="0.25">
      <c r="A4546" t="s">
        <v>620</v>
      </c>
      <c r="B4546" s="2">
        <v>46203</v>
      </c>
      <c r="C4546" t="s">
        <v>620</v>
      </c>
      <c r="D4546" t="s">
        <v>112</v>
      </c>
      <c r="E4546" t="s">
        <v>9</v>
      </c>
      <c r="F4546" s="3">
        <v>-37155.64</v>
      </c>
      <c r="G4546" s="3">
        <v>-37155.64</v>
      </c>
      <c r="H4546" t="s">
        <v>3</v>
      </c>
      <c r="I4546" t="s">
        <v>3</v>
      </c>
      <c r="J4546" t="s">
        <v>316</v>
      </c>
      <c r="K4546" t="s">
        <v>13</v>
      </c>
      <c r="L4546" t="s">
        <v>21</v>
      </c>
      <c r="M4546" t="s">
        <v>114</v>
      </c>
      <c r="N4546" s="2">
        <v>46204</v>
      </c>
    </row>
    <row r="4547" spans="1:14" x14ac:dyDescent="0.25">
      <c r="A4547" t="s">
        <v>620</v>
      </c>
      <c r="B4547" s="2">
        <v>46203</v>
      </c>
      <c r="C4547" t="s">
        <v>620</v>
      </c>
      <c r="D4547" t="s">
        <v>112</v>
      </c>
      <c r="E4547" t="s">
        <v>9</v>
      </c>
      <c r="F4547" s="3">
        <v>-336</v>
      </c>
      <c r="G4547" s="3">
        <v>-336</v>
      </c>
      <c r="H4547" t="s">
        <v>3</v>
      </c>
      <c r="I4547" t="s">
        <v>3</v>
      </c>
      <c r="J4547" t="s">
        <v>563</v>
      </c>
      <c r="K4547" t="s">
        <v>13</v>
      </c>
      <c r="L4547" t="s">
        <v>21</v>
      </c>
      <c r="M4547" t="s">
        <v>114</v>
      </c>
      <c r="N4547" s="2">
        <v>46204</v>
      </c>
    </row>
    <row r="4548" spans="1:14" x14ac:dyDescent="0.25">
      <c r="A4548" t="s">
        <v>620</v>
      </c>
      <c r="B4548" s="2">
        <v>46234</v>
      </c>
      <c r="C4548" t="s">
        <v>620</v>
      </c>
      <c r="D4548" t="s">
        <v>112</v>
      </c>
      <c r="E4548" t="s">
        <v>9</v>
      </c>
      <c r="F4548" s="3">
        <v>37968</v>
      </c>
      <c r="G4548" s="3">
        <v>37968</v>
      </c>
      <c r="H4548" t="s">
        <v>3</v>
      </c>
      <c r="I4548" t="s">
        <v>3</v>
      </c>
      <c r="J4548" t="s">
        <v>319</v>
      </c>
      <c r="K4548" t="s">
        <v>13</v>
      </c>
      <c r="L4548" t="s">
        <v>21</v>
      </c>
      <c r="M4548" t="s">
        <v>114</v>
      </c>
      <c r="N4548" s="2">
        <v>46234</v>
      </c>
    </row>
    <row r="4549" spans="1:14" x14ac:dyDescent="0.25">
      <c r="A4549" t="s">
        <v>620</v>
      </c>
      <c r="B4549" s="2">
        <v>46234</v>
      </c>
      <c r="C4549" t="s">
        <v>620</v>
      </c>
      <c r="D4549" t="s">
        <v>112</v>
      </c>
      <c r="E4549" t="s">
        <v>9</v>
      </c>
      <c r="F4549" s="3">
        <v>336</v>
      </c>
      <c r="G4549" s="3">
        <v>336</v>
      </c>
      <c r="H4549" t="s">
        <v>3</v>
      </c>
      <c r="I4549" t="s">
        <v>3</v>
      </c>
      <c r="J4549" t="s">
        <v>564</v>
      </c>
      <c r="K4549" t="s">
        <v>13</v>
      </c>
      <c r="L4549" t="s">
        <v>21</v>
      </c>
      <c r="M4549" t="s">
        <v>114</v>
      </c>
      <c r="N4549" s="2">
        <v>46234</v>
      </c>
    </row>
    <row r="4550" spans="1:14" x14ac:dyDescent="0.25">
      <c r="A4550" s="4" t="s">
        <v>262</v>
      </c>
      <c r="B4550" s="5"/>
      <c r="C4550" s="4" t="s">
        <v>9</v>
      </c>
      <c r="D4550" s="4" t="s">
        <v>9</v>
      </c>
      <c r="E4550" s="4" t="s">
        <v>9</v>
      </c>
      <c r="F4550" s="6">
        <v>0</v>
      </c>
      <c r="G4550" s="6">
        <v>0</v>
      </c>
      <c r="H4550" s="4" t="s">
        <v>9</v>
      </c>
      <c r="I4550" s="4" t="s">
        <v>3</v>
      </c>
      <c r="J4550" s="4" t="s">
        <v>9</v>
      </c>
      <c r="K4550" s="4" t="s">
        <v>9</v>
      </c>
      <c r="L4550" s="4" t="s">
        <v>9</v>
      </c>
      <c r="M4550" s="4" t="s">
        <v>9</v>
      </c>
      <c r="N4550" s="5"/>
    </row>
    <row r="4551" spans="1:14" x14ac:dyDescent="0.25">
      <c r="A4551" t="s">
        <v>620</v>
      </c>
      <c r="B4551" s="2">
        <v>46234</v>
      </c>
      <c r="C4551" t="s">
        <v>620</v>
      </c>
      <c r="D4551" t="s">
        <v>112</v>
      </c>
      <c r="E4551" t="s">
        <v>9</v>
      </c>
      <c r="F4551" s="3">
        <v>-37968</v>
      </c>
      <c r="G4551" s="3">
        <v>-37968</v>
      </c>
      <c r="H4551" t="s">
        <v>3</v>
      </c>
      <c r="I4551" t="s">
        <v>3</v>
      </c>
      <c r="J4551" t="s">
        <v>319</v>
      </c>
      <c r="K4551" t="s">
        <v>13</v>
      </c>
      <c r="L4551" t="s">
        <v>22</v>
      </c>
      <c r="M4551" t="s">
        <v>114</v>
      </c>
      <c r="N4551" s="2">
        <v>46235</v>
      </c>
    </row>
    <row r="4552" spans="1:14" x14ac:dyDescent="0.25">
      <c r="A4552" t="s">
        <v>620</v>
      </c>
      <c r="B4552" s="2">
        <v>46234</v>
      </c>
      <c r="C4552" t="s">
        <v>620</v>
      </c>
      <c r="D4552" t="s">
        <v>112</v>
      </c>
      <c r="E4552" t="s">
        <v>9</v>
      </c>
      <c r="F4552" s="3">
        <v>-336</v>
      </c>
      <c r="G4552" s="3">
        <v>-336</v>
      </c>
      <c r="H4552" t="s">
        <v>3</v>
      </c>
      <c r="I4552" t="s">
        <v>3</v>
      </c>
      <c r="J4552" t="s">
        <v>564</v>
      </c>
      <c r="K4552" t="s">
        <v>13</v>
      </c>
      <c r="L4552" t="s">
        <v>22</v>
      </c>
      <c r="M4552" t="s">
        <v>114</v>
      </c>
      <c r="N4552" s="2">
        <v>46235</v>
      </c>
    </row>
    <row r="4553" spans="1:14" x14ac:dyDescent="0.25">
      <c r="A4553" t="s">
        <v>620</v>
      </c>
      <c r="B4553" s="2">
        <v>46265</v>
      </c>
      <c r="C4553" t="s">
        <v>620</v>
      </c>
      <c r="D4553" t="s">
        <v>112</v>
      </c>
      <c r="E4553" t="s">
        <v>9</v>
      </c>
      <c r="F4553" s="3">
        <v>37968</v>
      </c>
      <c r="G4553" s="3">
        <v>37968</v>
      </c>
      <c r="H4553" t="s">
        <v>3</v>
      </c>
      <c r="I4553" t="s">
        <v>3</v>
      </c>
      <c r="J4553" t="s">
        <v>322</v>
      </c>
      <c r="K4553" t="s">
        <v>13</v>
      </c>
      <c r="L4553" t="s">
        <v>22</v>
      </c>
      <c r="M4553" t="s">
        <v>114</v>
      </c>
      <c r="N4553" s="2">
        <v>46265</v>
      </c>
    </row>
    <row r="4554" spans="1:14" x14ac:dyDescent="0.25">
      <c r="A4554" t="s">
        <v>620</v>
      </c>
      <c r="B4554" s="2">
        <v>46265</v>
      </c>
      <c r="C4554" t="s">
        <v>620</v>
      </c>
      <c r="D4554" t="s">
        <v>112</v>
      </c>
      <c r="E4554" t="s">
        <v>9</v>
      </c>
      <c r="F4554" s="3">
        <v>336</v>
      </c>
      <c r="G4554" s="3">
        <v>336</v>
      </c>
      <c r="H4554" t="s">
        <v>3</v>
      </c>
      <c r="I4554" t="s">
        <v>3</v>
      </c>
      <c r="J4554" t="s">
        <v>545</v>
      </c>
      <c r="K4554" t="s">
        <v>13</v>
      </c>
      <c r="L4554" t="s">
        <v>22</v>
      </c>
      <c r="M4554" t="s">
        <v>114</v>
      </c>
      <c r="N4554" s="2">
        <v>46265</v>
      </c>
    </row>
    <row r="4555" spans="1:14" x14ac:dyDescent="0.25">
      <c r="A4555" s="4" t="s">
        <v>267</v>
      </c>
      <c r="B4555" s="5"/>
      <c r="C4555" s="4" t="s">
        <v>9</v>
      </c>
      <c r="D4555" s="4" t="s">
        <v>9</v>
      </c>
      <c r="E4555" s="4" t="s">
        <v>9</v>
      </c>
      <c r="F4555" s="6">
        <v>0</v>
      </c>
      <c r="G4555" s="6">
        <v>0</v>
      </c>
      <c r="H4555" s="4" t="s">
        <v>9</v>
      </c>
      <c r="I4555" s="4" t="s">
        <v>3</v>
      </c>
      <c r="J4555" s="4" t="s">
        <v>9</v>
      </c>
      <c r="K4555" s="4" t="s">
        <v>9</v>
      </c>
      <c r="L4555" s="4" t="s">
        <v>9</v>
      </c>
      <c r="M4555" s="4" t="s">
        <v>9</v>
      </c>
      <c r="N4555" s="5"/>
    </row>
    <row r="4556" spans="1:14" x14ac:dyDescent="0.25">
      <c r="A4556" t="s">
        <v>620</v>
      </c>
      <c r="B4556" s="2">
        <v>45965</v>
      </c>
      <c r="C4556" t="s">
        <v>620</v>
      </c>
      <c r="D4556" t="s">
        <v>112</v>
      </c>
      <c r="E4556" t="s">
        <v>9</v>
      </c>
      <c r="F4556" s="3">
        <v>-700</v>
      </c>
      <c r="G4556" s="3">
        <v>-700</v>
      </c>
      <c r="H4556" t="s">
        <v>3</v>
      </c>
      <c r="I4556" t="s">
        <v>3</v>
      </c>
      <c r="J4556" t="s">
        <v>9</v>
      </c>
      <c r="K4556" t="s">
        <v>9</v>
      </c>
      <c r="L4556" t="s">
        <v>8</v>
      </c>
      <c r="M4556" t="s">
        <v>114</v>
      </c>
      <c r="N4556" s="2">
        <v>45961</v>
      </c>
    </row>
    <row r="4557" spans="1:14" x14ac:dyDescent="0.25">
      <c r="A4557" t="s">
        <v>620</v>
      </c>
      <c r="B4557" s="2">
        <v>45961</v>
      </c>
      <c r="C4557" t="s">
        <v>620</v>
      </c>
      <c r="D4557" t="s">
        <v>112</v>
      </c>
      <c r="E4557" t="s">
        <v>9</v>
      </c>
      <c r="F4557" s="3">
        <v>700</v>
      </c>
      <c r="G4557" s="3">
        <v>700</v>
      </c>
      <c r="H4557" t="s">
        <v>3</v>
      </c>
      <c r="I4557" t="s">
        <v>3</v>
      </c>
      <c r="J4557" t="s">
        <v>325</v>
      </c>
      <c r="K4557" t="s">
        <v>5</v>
      </c>
      <c r="L4557" t="s">
        <v>8</v>
      </c>
      <c r="M4557" t="s">
        <v>114</v>
      </c>
      <c r="N4557" s="2">
        <v>45961</v>
      </c>
    </row>
    <row r="4558" spans="1:14" x14ac:dyDescent="0.25">
      <c r="A4558" s="4" t="s">
        <v>278</v>
      </c>
      <c r="B4558" s="5"/>
      <c r="C4558" s="4" t="s">
        <v>9</v>
      </c>
      <c r="D4558" s="4" t="s">
        <v>9</v>
      </c>
      <c r="E4558" s="4" t="s">
        <v>9</v>
      </c>
      <c r="F4558" s="6">
        <v>0</v>
      </c>
      <c r="G4558" s="6">
        <v>0</v>
      </c>
      <c r="H4558" s="4" t="s">
        <v>9</v>
      </c>
      <c r="I4558" s="4" t="s">
        <v>3</v>
      </c>
      <c r="J4558" s="4" t="s">
        <v>9</v>
      </c>
      <c r="K4558" s="4" t="s">
        <v>9</v>
      </c>
      <c r="L4558" s="4" t="s">
        <v>9</v>
      </c>
      <c r="M4558" s="4" t="s">
        <v>9</v>
      </c>
      <c r="N4558" s="5"/>
    </row>
    <row r="4559" spans="1:14" x14ac:dyDescent="0.25">
      <c r="A4559" t="s">
        <v>620</v>
      </c>
      <c r="B4559" s="2">
        <v>45993</v>
      </c>
      <c r="C4559" t="s">
        <v>620</v>
      </c>
      <c r="D4559" t="s">
        <v>112</v>
      </c>
      <c r="E4559" t="s">
        <v>9</v>
      </c>
      <c r="F4559" s="3">
        <v>-1200</v>
      </c>
      <c r="G4559" s="3">
        <v>-1200</v>
      </c>
      <c r="H4559" t="s">
        <v>3</v>
      </c>
      <c r="I4559" t="s">
        <v>3</v>
      </c>
      <c r="J4559" t="s">
        <v>9</v>
      </c>
      <c r="K4559" t="s">
        <v>9</v>
      </c>
      <c r="L4559" t="s">
        <v>11</v>
      </c>
      <c r="M4559" t="s">
        <v>114</v>
      </c>
      <c r="N4559" s="2">
        <v>45991</v>
      </c>
    </row>
    <row r="4560" spans="1:14" x14ac:dyDescent="0.25">
      <c r="A4560" t="s">
        <v>620</v>
      </c>
      <c r="B4560" s="2">
        <v>45961</v>
      </c>
      <c r="C4560" t="s">
        <v>620</v>
      </c>
      <c r="D4560" t="s">
        <v>112</v>
      </c>
      <c r="E4560" t="s">
        <v>9</v>
      </c>
      <c r="F4560" s="3">
        <v>-700</v>
      </c>
      <c r="G4560" s="3">
        <v>-700</v>
      </c>
      <c r="H4560" t="s">
        <v>3</v>
      </c>
      <c r="I4560" t="s">
        <v>3</v>
      </c>
      <c r="J4560" t="s">
        <v>325</v>
      </c>
      <c r="K4560" t="s">
        <v>5</v>
      </c>
      <c r="L4560" t="s">
        <v>11</v>
      </c>
      <c r="M4560" t="s">
        <v>114</v>
      </c>
      <c r="N4560" s="2">
        <v>45962</v>
      </c>
    </row>
    <row r="4561" spans="1:14" x14ac:dyDescent="0.25">
      <c r="A4561" t="s">
        <v>620</v>
      </c>
      <c r="B4561" s="2">
        <v>45991</v>
      </c>
      <c r="C4561" t="s">
        <v>620</v>
      </c>
      <c r="D4561" t="s">
        <v>112</v>
      </c>
      <c r="E4561" t="s">
        <v>9</v>
      </c>
      <c r="F4561" s="3">
        <v>1900</v>
      </c>
      <c r="G4561" s="3">
        <v>1900</v>
      </c>
      <c r="H4561" t="s">
        <v>3</v>
      </c>
      <c r="I4561" t="s">
        <v>3</v>
      </c>
      <c r="J4561" t="s">
        <v>328</v>
      </c>
      <c r="K4561" t="s">
        <v>5</v>
      </c>
      <c r="L4561" t="s">
        <v>11</v>
      </c>
      <c r="M4561" t="s">
        <v>114</v>
      </c>
      <c r="N4561" s="2">
        <v>45991</v>
      </c>
    </row>
    <row r="4562" spans="1:14" x14ac:dyDescent="0.25">
      <c r="A4562" s="4" t="s">
        <v>226</v>
      </c>
      <c r="B4562" s="5"/>
      <c r="C4562" s="4" t="s">
        <v>9</v>
      </c>
      <c r="D4562" s="4" t="s">
        <v>9</v>
      </c>
      <c r="E4562" s="4" t="s">
        <v>9</v>
      </c>
      <c r="F4562" s="6">
        <v>0</v>
      </c>
      <c r="G4562" s="6">
        <v>0</v>
      </c>
      <c r="H4562" s="4" t="s">
        <v>9</v>
      </c>
      <c r="I4562" s="4" t="s">
        <v>3</v>
      </c>
      <c r="J4562" s="4" t="s">
        <v>9</v>
      </c>
      <c r="K4562" s="4" t="s">
        <v>9</v>
      </c>
      <c r="L4562" s="4" t="s">
        <v>9</v>
      </c>
      <c r="M4562" s="4" t="s">
        <v>9</v>
      </c>
      <c r="N4562" s="5"/>
    </row>
    <row r="4563" spans="1:14" x14ac:dyDescent="0.25">
      <c r="A4563" t="s">
        <v>620</v>
      </c>
      <c r="B4563" s="2">
        <v>46028</v>
      </c>
      <c r="C4563" t="s">
        <v>620</v>
      </c>
      <c r="D4563" t="s">
        <v>112</v>
      </c>
      <c r="E4563" t="s">
        <v>9</v>
      </c>
      <c r="F4563" s="3">
        <v>-600</v>
      </c>
      <c r="G4563" s="3">
        <v>-600</v>
      </c>
      <c r="H4563" t="s">
        <v>3</v>
      </c>
      <c r="I4563" t="s">
        <v>3</v>
      </c>
      <c r="J4563" t="s">
        <v>9</v>
      </c>
      <c r="K4563" t="s">
        <v>9</v>
      </c>
      <c r="L4563" t="s">
        <v>12</v>
      </c>
      <c r="M4563" t="s">
        <v>114</v>
      </c>
      <c r="N4563" s="2">
        <v>46022</v>
      </c>
    </row>
    <row r="4564" spans="1:14" x14ac:dyDescent="0.25">
      <c r="A4564" t="s">
        <v>620</v>
      </c>
      <c r="B4564" s="2">
        <v>45991</v>
      </c>
      <c r="C4564" t="s">
        <v>620</v>
      </c>
      <c r="D4564" t="s">
        <v>112</v>
      </c>
      <c r="E4564" t="s">
        <v>9</v>
      </c>
      <c r="F4564" s="3">
        <v>-1900</v>
      </c>
      <c r="G4564" s="3">
        <v>-1900</v>
      </c>
      <c r="H4564" t="s">
        <v>3</v>
      </c>
      <c r="I4564" t="s">
        <v>3</v>
      </c>
      <c r="J4564" t="s">
        <v>328</v>
      </c>
      <c r="K4564" t="s">
        <v>5</v>
      </c>
      <c r="L4564" t="s">
        <v>12</v>
      </c>
      <c r="M4564" t="s">
        <v>114</v>
      </c>
      <c r="N4564" s="2">
        <v>45992</v>
      </c>
    </row>
    <row r="4565" spans="1:14" x14ac:dyDescent="0.25">
      <c r="A4565" t="s">
        <v>620</v>
      </c>
      <c r="B4565" s="2">
        <v>46022</v>
      </c>
      <c r="C4565" t="s">
        <v>620</v>
      </c>
      <c r="D4565" t="s">
        <v>112</v>
      </c>
      <c r="E4565" t="s">
        <v>9</v>
      </c>
      <c r="F4565" s="3">
        <v>2500</v>
      </c>
      <c r="G4565" s="3">
        <v>2500</v>
      </c>
      <c r="H4565" t="s">
        <v>3</v>
      </c>
      <c r="I4565" t="s">
        <v>3</v>
      </c>
      <c r="J4565" t="s">
        <v>298</v>
      </c>
      <c r="K4565" t="s">
        <v>5</v>
      </c>
      <c r="L4565" t="s">
        <v>12</v>
      </c>
      <c r="M4565" t="s">
        <v>114</v>
      </c>
      <c r="N4565" s="2">
        <v>46022</v>
      </c>
    </row>
    <row r="4566" spans="1:14" x14ac:dyDescent="0.25">
      <c r="A4566" t="s">
        <v>620</v>
      </c>
      <c r="B4566" s="2">
        <v>46022</v>
      </c>
      <c r="C4566" t="s">
        <v>620</v>
      </c>
      <c r="D4566" t="s">
        <v>112</v>
      </c>
      <c r="E4566" t="s">
        <v>9</v>
      </c>
      <c r="F4566" s="3">
        <v>2500</v>
      </c>
      <c r="G4566" s="3">
        <v>2500</v>
      </c>
      <c r="H4566" t="s">
        <v>3</v>
      </c>
      <c r="I4566" t="s">
        <v>3</v>
      </c>
      <c r="J4566" t="s">
        <v>298</v>
      </c>
      <c r="K4566" t="s">
        <v>5</v>
      </c>
      <c r="L4566" t="s">
        <v>12</v>
      </c>
      <c r="M4566" t="s">
        <v>114</v>
      </c>
      <c r="N4566" s="2">
        <v>46022</v>
      </c>
    </row>
    <row r="4567" spans="1:14" x14ac:dyDescent="0.25">
      <c r="A4567" t="s">
        <v>620</v>
      </c>
      <c r="B4567" s="2">
        <v>46022</v>
      </c>
      <c r="C4567" t="s">
        <v>620</v>
      </c>
      <c r="D4567" t="s">
        <v>112</v>
      </c>
      <c r="E4567" t="s">
        <v>9</v>
      </c>
      <c r="F4567" s="3">
        <v>-2500</v>
      </c>
      <c r="G4567" s="3">
        <v>-2500</v>
      </c>
      <c r="H4567" t="s">
        <v>3</v>
      </c>
      <c r="I4567" t="s">
        <v>3</v>
      </c>
      <c r="J4567" t="s">
        <v>298</v>
      </c>
      <c r="K4567" t="s">
        <v>5</v>
      </c>
      <c r="L4567" t="s">
        <v>12</v>
      </c>
      <c r="M4567" t="s">
        <v>114</v>
      </c>
      <c r="N4567" s="2">
        <v>46022</v>
      </c>
    </row>
    <row r="4568" spans="1:14" x14ac:dyDescent="0.25">
      <c r="A4568" s="4" t="s">
        <v>228</v>
      </c>
      <c r="B4568" s="5"/>
      <c r="C4568" s="4" t="s">
        <v>9</v>
      </c>
      <c r="D4568" s="4" t="s">
        <v>9</v>
      </c>
      <c r="E4568" s="4" t="s">
        <v>9</v>
      </c>
      <c r="F4568" s="6">
        <v>0</v>
      </c>
      <c r="G4568" s="6">
        <v>0</v>
      </c>
      <c r="H4568" s="4" t="s">
        <v>9</v>
      </c>
      <c r="I4568" s="4" t="s">
        <v>3</v>
      </c>
      <c r="J4568" s="4" t="s">
        <v>9</v>
      </c>
      <c r="K4568" s="4" t="s">
        <v>9</v>
      </c>
      <c r="L4568" s="4" t="s">
        <v>9</v>
      </c>
      <c r="M4568" s="4" t="s">
        <v>9</v>
      </c>
      <c r="N4568" s="5"/>
    </row>
    <row r="4569" spans="1:14" x14ac:dyDescent="0.25">
      <c r="A4569" s="4" t="s">
        <v>620</v>
      </c>
      <c r="B4569" s="5"/>
      <c r="C4569" s="4" t="s">
        <v>9</v>
      </c>
      <c r="D4569" s="4" t="s">
        <v>9</v>
      </c>
      <c r="E4569" s="4" t="s">
        <v>9</v>
      </c>
      <c r="F4569" s="6">
        <v>0</v>
      </c>
      <c r="G4569" s="6">
        <v>0</v>
      </c>
      <c r="H4569" s="4" t="s">
        <v>9</v>
      </c>
      <c r="I4569" s="4" t="s">
        <v>3</v>
      </c>
      <c r="J4569" s="4" t="s">
        <v>9</v>
      </c>
      <c r="K4569" s="4" t="s">
        <v>9</v>
      </c>
      <c r="L4569" s="4" t="s">
        <v>9</v>
      </c>
      <c r="M4569" s="4" t="s">
        <v>9</v>
      </c>
      <c r="N4569" s="5"/>
    </row>
    <row r="4570" spans="1:14" x14ac:dyDescent="0.25">
      <c r="A4570" t="s">
        <v>621</v>
      </c>
      <c r="B4570" s="2">
        <v>46115</v>
      </c>
      <c r="C4570" t="s">
        <v>621</v>
      </c>
      <c r="D4570" t="s">
        <v>99</v>
      </c>
      <c r="E4570" t="s">
        <v>9</v>
      </c>
      <c r="F4570" s="3">
        <v>-7435</v>
      </c>
      <c r="G4570" s="3">
        <v>-7435</v>
      </c>
      <c r="H4570" t="s">
        <v>3</v>
      </c>
      <c r="I4570" t="s">
        <v>3</v>
      </c>
      <c r="J4570" t="s">
        <v>9</v>
      </c>
      <c r="K4570" t="s">
        <v>9</v>
      </c>
      <c r="L4570" t="s">
        <v>16</v>
      </c>
      <c r="M4570" t="s">
        <v>102</v>
      </c>
      <c r="N4570" s="2">
        <v>46112</v>
      </c>
    </row>
    <row r="4571" spans="1:14" x14ac:dyDescent="0.25">
      <c r="A4571" t="s">
        <v>621</v>
      </c>
      <c r="B4571" s="2">
        <v>46082</v>
      </c>
      <c r="C4571" t="s">
        <v>621</v>
      </c>
      <c r="D4571" t="s">
        <v>99</v>
      </c>
      <c r="E4571" t="s">
        <v>9</v>
      </c>
      <c r="F4571" s="3">
        <v>2875</v>
      </c>
      <c r="G4571" s="3">
        <v>2875</v>
      </c>
      <c r="H4571" t="s">
        <v>3</v>
      </c>
      <c r="I4571" t="s">
        <v>3</v>
      </c>
      <c r="J4571" t="s">
        <v>551</v>
      </c>
      <c r="K4571" t="s">
        <v>13</v>
      </c>
      <c r="L4571" t="s">
        <v>16</v>
      </c>
      <c r="M4571" t="s">
        <v>102</v>
      </c>
      <c r="N4571" s="2">
        <v>46082</v>
      </c>
    </row>
    <row r="4572" spans="1:14" x14ac:dyDescent="0.25">
      <c r="A4572" t="s">
        <v>621</v>
      </c>
      <c r="B4572" s="2">
        <v>46082</v>
      </c>
      <c r="C4572" t="s">
        <v>621</v>
      </c>
      <c r="D4572" t="s">
        <v>99</v>
      </c>
      <c r="E4572" t="s">
        <v>9</v>
      </c>
      <c r="F4572" s="3">
        <v>960</v>
      </c>
      <c r="G4572" s="3">
        <v>960</v>
      </c>
      <c r="H4572" t="s">
        <v>3</v>
      </c>
      <c r="I4572" t="s">
        <v>3</v>
      </c>
      <c r="J4572" t="s">
        <v>552</v>
      </c>
      <c r="K4572" t="s">
        <v>13</v>
      </c>
      <c r="L4572" t="s">
        <v>16</v>
      </c>
      <c r="M4572" t="s">
        <v>102</v>
      </c>
      <c r="N4572" s="2">
        <v>46082</v>
      </c>
    </row>
    <row r="4573" spans="1:14" x14ac:dyDescent="0.25">
      <c r="A4573" t="s">
        <v>621</v>
      </c>
      <c r="B4573" s="2">
        <v>46082</v>
      </c>
      <c r="C4573" t="s">
        <v>621</v>
      </c>
      <c r="D4573" t="s">
        <v>99</v>
      </c>
      <c r="E4573" t="s">
        <v>9</v>
      </c>
      <c r="F4573" s="3">
        <v>3600</v>
      </c>
      <c r="G4573" s="3">
        <v>3600</v>
      </c>
      <c r="H4573" t="s">
        <v>3</v>
      </c>
      <c r="I4573" t="s">
        <v>3</v>
      </c>
      <c r="J4573" t="s">
        <v>552</v>
      </c>
      <c r="K4573" t="s">
        <v>13</v>
      </c>
      <c r="L4573" t="s">
        <v>16</v>
      </c>
      <c r="M4573" t="s">
        <v>102</v>
      </c>
      <c r="N4573" s="2">
        <v>46082</v>
      </c>
    </row>
    <row r="4574" spans="1:14" x14ac:dyDescent="0.25">
      <c r="A4574" s="4" t="s">
        <v>244</v>
      </c>
      <c r="B4574" s="5"/>
      <c r="C4574" s="4" t="s">
        <v>9</v>
      </c>
      <c r="D4574" s="4" t="s">
        <v>9</v>
      </c>
      <c r="E4574" s="4" t="s">
        <v>9</v>
      </c>
      <c r="F4574" s="6">
        <v>0</v>
      </c>
      <c r="G4574" s="6">
        <v>0</v>
      </c>
      <c r="H4574" s="4" t="s">
        <v>9</v>
      </c>
      <c r="I4574" s="4" t="s">
        <v>3</v>
      </c>
      <c r="J4574" s="4" t="s">
        <v>9</v>
      </c>
      <c r="K4574" s="4" t="s">
        <v>9</v>
      </c>
      <c r="L4574" s="4" t="s">
        <v>9</v>
      </c>
      <c r="M4574" s="4" t="s">
        <v>9</v>
      </c>
      <c r="N4574" s="5"/>
    </row>
    <row r="4575" spans="1:14" x14ac:dyDescent="0.25">
      <c r="A4575" t="s">
        <v>621</v>
      </c>
      <c r="B4575" s="2">
        <v>46239</v>
      </c>
      <c r="C4575" t="s">
        <v>621</v>
      </c>
      <c r="D4575" t="s">
        <v>99</v>
      </c>
      <c r="E4575" t="s">
        <v>9</v>
      </c>
      <c r="F4575" s="3">
        <v>-29639.7</v>
      </c>
      <c r="G4575" s="3">
        <v>-29639.7</v>
      </c>
      <c r="H4575" t="s">
        <v>3</v>
      </c>
      <c r="I4575" t="s">
        <v>3</v>
      </c>
      <c r="J4575" t="s">
        <v>9</v>
      </c>
      <c r="K4575" t="s">
        <v>9</v>
      </c>
      <c r="L4575" t="s">
        <v>21</v>
      </c>
      <c r="M4575" t="s">
        <v>102</v>
      </c>
      <c r="N4575" s="2">
        <v>46234</v>
      </c>
    </row>
    <row r="4576" spans="1:14" x14ac:dyDescent="0.25">
      <c r="A4576" t="s">
        <v>621</v>
      </c>
      <c r="B4576" s="2">
        <v>46218</v>
      </c>
      <c r="C4576" t="s">
        <v>621</v>
      </c>
      <c r="D4576" t="s">
        <v>99</v>
      </c>
      <c r="E4576" t="s">
        <v>622</v>
      </c>
      <c r="F4576" s="3">
        <v>29639.7</v>
      </c>
      <c r="G4576" s="3">
        <v>29639.7</v>
      </c>
      <c r="H4576" t="s">
        <v>3</v>
      </c>
      <c r="I4576" t="s">
        <v>3</v>
      </c>
      <c r="J4576" t="s">
        <v>623</v>
      </c>
      <c r="K4576" t="s">
        <v>13</v>
      </c>
      <c r="L4576" t="s">
        <v>21</v>
      </c>
      <c r="M4576" t="s">
        <v>102</v>
      </c>
      <c r="N4576" s="2">
        <v>46218</v>
      </c>
    </row>
    <row r="4577" spans="1:14" x14ac:dyDescent="0.25">
      <c r="A4577" s="4" t="s">
        <v>262</v>
      </c>
      <c r="B4577" s="5"/>
      <c r="C4577" s="4" t="s">
        <v>9</v>
      </c>
      <c r="D4577" s="4" t="s">
        <v>9</v>
      </c>
      <c r="E4577" s="4" t="s">
        <v>9</v>
      </c>
      <c r="F4577" s="6">
        <v>0</v>
      </c>
      <c r="G4577" s="6">
        <v>0</v>
      </c>
      <c r="H4577" s="4" t="s">
        <v>9</v>
      </c>
      <c r="I4577" s="4" t="s">
        <v>3</v>
      </c>
      <c r="J4577" s="4" t="s">
        <v>9</v>
      </c>
      <c r="K4577" s="4" t="s">
        <v>9</v>
      </c>
      <c r="L4577" s="4" t="s">
        <v>9</v>
      </c>
      <c r="M4577" s="4" t="s">
        <v>9</v>
      </c>
      <c r="N4577" s="5"/>
    </row>
    <row r="4578" spans="1:14" x14ac:dyDescent="0.25">
      <c r="A4578" t="s">
        <v>621</v>
      </c>
      <c r="B4578" s="2">
        <v>45993</v>
      </c>
      <c r="C4578" t="s">
        <v>621</v>
      </c>
      <c r="D4578" t="s">
        <v>99</v>
      </c>
      <c r="E4578" t="s">
        <v>9</v>
      </c>
      <c r="F4578" s="3">
        <v>-1869</v>
      </c>
      <c r="G4578" s="3">
        <v>-1869</v>
      </c>
      <c r="H4578" t="s">
        <v>3</v>
      </c>
      <c r="I4578" t="s">
        <v>3</v>
      </c>
      <c r="J4578" t="s">
        <v>9</v>
      </c>
      <c r="K4578" t="s">
        <v>9</v>
      </c>
      <c r="L4578" t="s">
        <v>11</v>
      </c>
      <c r="M4578" t="s">
        <v>102</v>
      </c>
      <c r="N4578" s="2">
        <v>45991</v>
      </c>
    </row>
    <row r="4579" spans="1:14" x14ac:dyDescent="0.25">
      <c r="A4579" t="s">
        <v>621</v>
      </c>
      <c r="B4579" s="2">
        <v>45991</v>
      </c>
      <c r="C4579" t="s">
        <v>621</v>
      </c>
      <c r="D4579" t="s">
        <v>99</v>
      </c>
      <c r="E4579" t="s">
        <v>9</v>
      </c>
      <c r="F4579" s="3">
        <v>1869</v>
      </c>
      <c r="G4579" s="3">
        <v>1869</v>
      </c>
      <c r="H4579" t="s">
        <v>3</v>
      </c>
      <c r="I4579" t="s">
        <v>3</v>
      </c>
      <c r="J4579" t="s">
        <v>558</v>
      </c>
      <c r="K4579" t="s">
        <v>5</v>
      </c>
      <c r="L4579" t="s">
        <v>11</v>
      </c>
      <c r="M4579" t="s">
        <v>102</v>
      </c>
      <c r="N4579" s="2">
        <v>45991</v>
      </c>
    </row>
    <row r="4580" spans="1:14" x14ac:dyDescent="0.25">
      <c r="A4580" s="4" t="s">
        <v>226</v>
      </c>
      <c r="B4580" s="5"/>
      <c r="C4580" s="4" t="s">
        <v>9</v>
      </c>
      <c r="D4580" s="4" t="s">
        <v>9</v>
      </c>
      <c r="E4580" s="4" t="s">
        <v>9</v>
      </c>
      <c r="F4580" s="6">
        <v>0</v>
      </c>
      <c r="G4580" s="6">
        <v>0</v>
      </c>
      <c r="H4580" s="4" t="s">
        <v>9</v>
      </c>
      <c r="I4580" s="4" t="s">
        <v>3</v>
      </c>
      <c r="J4580" s="4" t="s">
        <v>9</v>
      </c>
      <c r="K4580" s="4" t="s">
        <v>9</v>
      </c>
      <c r="L4580" s="4" t="s">
        <v>9</v>
      </c>
      <c r="M4580" s="4" t="s">
        <v>9</v>
      </c>
      <c r="N4580" s="5"/>
    </row>
    <row r="4581" spans="1:14" x14ac:dyDescent="0.25">
      <c r="A4581" t="s">
        <v>621</v>
      </c>
      <c r="B4581" s="2">
        <v>46028</v>
      </c>
      <c r="C4581" t="s">
        <v>621</v>
      </c>
      <c r="D4581" t="s">
        <v>99</v>
      </c>
      <c r="E4581" t="s">
        <v>9</v>
      </c>
      <c r="F4581" s="3">
        <v>-2516</v>
      </c>
      <c r="G4581" s="3">
        <v>-2516</v>
      </c>
      <c r="H4581" t="s">
        <v>3</v>
      </c>
      <c r="I4581" t="s">
        <v>3</v>
      </c>
      <c r="J4581" t="s">
        <v>9</v>
      </c>
      <c r="K4581" t="s">
        <v>9</v>
      </c>
      <c r="L4581" t="s">
        <v>12</v>
      </c>
      <c r="M4581" t="s">
        <v>102</v>
      </c>
      <c r="N4581" s="2">
        <v>46022</v>
      </c>
    </row>
    <row r="4582" spans="1:14" x14ac:dyDescent="0.25">
      <c r="A4582" t="s">
        <v>621</v>
      </c>
      <c r="B4582" s="2">
        <v>45992</v>
      </c>
      <c r="C4582" t="s">
        <v>621</v>
      </c>
      <c r="D4582" t="s">
        <v>99</v>
      </c>
      <c r="E4582" t="s">
        <v>9</v>
      </c>
      <c r="F4582" s="3">
        <v>2516</v>
      </c>
      <c r="G4582" s="3">
        <v>2516</v>
      </c>
      <c r="H4582" t="s">
        <v>3</v>
      </c>
      <c r="I4582" t="s">
        <v>3</v>
      </c>
      <c r="J4582" t="s">
        <v>559</v>
      </c>
      <c r="K4582" t="s">
        <v>5</v>
      </c>
      <c r="L4582" t="s">
        <v>12</v>
      </c>
      <c r="M4582" t="s">
        <v>102</v>
      </c>
      <c r="N4582" s="2">
        <v>45992</v>
      </c>
    </row>
    <row r="4583" spans="1:14" x14ac:dyDescent="0.25">
      <c r="A4583" s="4" t="s">
        <v>228</v>
      </c>
      <c r="B4583" s="5"/>
      <c r="C4583" s="4" t="s">
        <v>9</v>
      </c>
      <c r="D4583" s="4" t="s">
        <v>9</v>
      </c>
      <c r="E4583" s="4" t="s">
        <v>9</v>
      </c>
      <c r="F4583" s="6">
        <v>0</v>
      </c>
      <c r="G4583" s="6">
        <v>0</v>
      </c>
      <c r="H4583" s="4" t="s">
        <v>9</v>
      </c>
      <c r="I4583" s="4" t="s">
        <v>3</v>
      </c>
      <c r="J4583" s="4" t="s">
        <v>9</v>
      </c>
      <c r="K4583" s="4" t="s">
        <v>9</v>
      </c>
      <c r="L4583" s="4" t="s">
        <v>9</v>
      </c>
      <c r="M4583" s="4" t="s">
        <v>9</v>
      </c>
      <c r="N4583" s="5"/>
    </row>
    <row r="4584" spans="1:14" x14ac:dyDescent="0.25">
      <c r="A4584" s="4" t="s">
        <v>621</v>
      </c>
      <c r="B4584" s="5"/>
      <c r="C4584" s="4" t="s">
        <v>9</v>
      </c>
      <c r="D4584" s="4" t="s">
        <v>9</v>
      </c>
      <c r="E4584" s="4" t="s">
        <v>9</v>
      </c>
      <c r="F4584" s="6">
        <v>0</v>
      </c>
      <c r="G4584" s="6">
        <v>0</v>
      </c>
      <c r="H4584" s="4" t="s">
        <v>9</v>
      </c>
      <c r="I4584" s="4" t="s">
        <v>3</v>
      </c>
      <c r="J4584" s="4" t="s">
        <v>9</v>
      </c>
      <c r="K4584" s="4" t="s">
        <v>9</v>
      </c>
      <c r="L4584" s="4" t="s">
        <v>9</v>
      </c>
      <c r="M4584" s="4" t="s">
        <v>9</v>
      </c>
      <c r="N4584" s="5"/>
    </row>
    <row r="4585" spans="1:14" x14ac:dyDescent="0.25">
      <c r="A4585" t="s">
        <v>624</v>
      </c>
      <c r="B4585" s="2">
        <v>46056</v>
      </c>
      <c r="C4585" t="s">
        <v>624</v>
      </c>
      <c r="D4585" t="s">
        <v>112</v>
      </c>
      <c r="E4585" t="s">
        <v>9</v>
      </c>
      <c r="F4585" s="3">
        <v>-900</v>
      </c>
      <c r="G4585" s="3">
        <v>-900</v>
      </c>
      <c r="H4585" t="s">
        <v>3</v>
      </c>
      <c r="I4585" t="s">
        <v>3</v>
      </c>
      <c r="J4585" t="s">
        <v>9</v>
      </c>
      <c r="K4585" t="s">
        <v>9</v>
      </c>
      <c r="L4585" t="s">
        <v>14</v>
      </c>
      <c r="M4585" t="s">
        <v>114</v>
      </c>
      <c r="N4585" s="2">
        <v>46053</v>
      </c>
    </row>
    <row r="4586" spans="1:14" x14ac:dyDescent="0.25">
      <c r="A4586" t="s">
        <v>624</v>
      </c>
      <c r="B4586" s="2">
        <v>46022</v>
      </c>
      <c r="C4586" t="s">
        <v>624</v>
      </c>
      <c r="D4586" t="s">
        <v>112</v>
      </c>
      <c r="E4586" t="s">
        <v>9</v>
      </c>
      <c r="F4586" s="3">
        <v>-2900</v>
      </c>
      <c r="G4586" s="3">
        <v>-2900</v>
      </c>
      <c r="H4586" t="s">
        <v>3</v>
      </c>
      <c r="I4586" t="s">
        <v>3</v>
      </c>
      <c r="J4586" t="s">
        <v>298</v>
      </c>
      <c r="K4586" t="s">
        <v>13</v>
      </c>
      <c r="L4586" t="s">
        <v>14</v>
      </c>
      <c r="M4586" t="s">
        <v>114</v>
      </c>
      <c r="N4586" s="2">
        <v>46023</v>
      </c>
    </row>
    <row r="4587" spans="1:14" x14ac:dyDescent="0.25">
      <c r="A4587" t="s">
        <v>624</v>
      </c>
      <c r="B4587" s="2">
        <v>46023</v>
      </c>
      <c r="C4587" t="s">
        <v>624</v>
      </c>
      <c r="D4587" t="s">
        <v>112</v>
      </c>
      <c r="E4587" t="s">
        <v>9</v>
      </c>
      <c r="F4587" s="3">
        <v>2900</v>
      </c>
      <c r="G4587" s="3">
        <v>2900</v>
      </c>
      <c r="H4587" t="s">
        <v>3</v>
      </c>
      <c r="I4587" t="s">
        <v>3</v>
      </c>
      <c r="J4587" t="s">
        <v>298</v>
      </c>
      <c r="K4587" t="s">
        <v>13</v>
      </c>
      <c r="L4587" t="s">
        <v>14</v>
      </c>
      <c r="M4587" t="s">
        <v>114</v>
      </c>
      <c r="N4587" s="2">
        <v>46023</v>
      </c>
    </row>
    <row r="4588" spans="1:14" x14ac:dyDescent="0.25">
      <c r="A4588" t="s">
        <v>624</v>
      </c>
      <c r="B4588" s="2">
        <v>46053</v>
      </c>
      <c r="C4588" t="s">
        <v>624</v>
      </c>
      <c r="D4588" t="s">
        <v>112</v>
      </c>
      <c r="E4588" t="s">
        <v>9</v>
      </c>
      <c r="F4588" s="3">
        <v>900</v>
      </c>
      <c r="G4588" s="3">
        <v>900</v>
      </c>
      <c r="H4588" t="s">
        <v>3</v>
      </c>
      <c r="I4588" t="s">
        <v>3</v>
      </c>
      <c r="J4588" t="s">
        <v>300</v>
      </c>
      <c r="K4588" t="s">
        <v>13</v>
      </c>
      <c r="L4588" t="s">
        <v>14</v>
      </c>
      <c r="M4588" t="s">
        <v>114</v>
      </c>
      <c r="N4588" s="2">
        <v>46053</v>
      </c>
    </row>
    <row r="4589" spans="1:14" x14ac:dyDescent="0.25">
      <c r="A4589" s="4" t="s">
        <v>234</v>
      </c>
      <c r="B4589" s="5"/>
      <c r="C4589" s="4" t="s">
        <v>9</v>
      </c>
      <c r="D4589" s="4" t="s">
        <v>9</v>
      </c>
      <c r="E4589" s="4" t="s">
        <v>9</v>
      </c>
      <c r="F4589" s="6">
        <v>0</v>
      </c>
      <c r="G4589" s="6">
        <v>0</v>
      </c>
      <c r="H4589" s="4" t="s">
        <v>9</v>
      </c>
      <c r="I4589" s="4" t="s">
        <v>3</v>
      </c>
      <c r="J4589" s="4" t="s">
        <v>9</v>
      </c>
      <c r="K4589" s="4" t="s">
        <v>9</v>
      </c>
      <c r="L4589" s="4" t="s">
        <v>9</v>
      </c>
      <c r="M4589" s="4" t="s">
        <v>9</v>
      </c>
      <c r="N4589" s="5"/>
    </row>
    <row r="4590" spans="1:14" x14ac:dyDescent="0.25">
      <c r="A4590" t="s">
        <v>624</v>
      </c>
      <c r="B4590" s="2">
        <v>46084</v>
      </c>
      <c r="C4590" t="s">
        <v>624</v>
      </c>
      <c r="D4590" t="s">
        <v>112</v>
      </c>
      <c r="E4590" t="s">
        <v>9</v>
      </c>
      <c r="F4590" s="3">
        <v>-2800</v>
      </c>
      <c r="G4590" s="3">
        <v>-2800</v>
      </c>
      <c r="H4590" t="s">
        <v>3</v>
      </c>
      <c r="I4590" t="s">
        <v>3</v>
      </c>
      <c r="J4590" t="s">
        <v>9</v>
      </c>
      <c r="K4590" t="s">
        <v>9</v>
      </c>
      <c r="L4590" t="s">
        <v>15</v>
      </c>
      <c r="M4590" t="s">
        <v>114</v>
      </c>
      <c r="N4590" s="2">
        <v>46081</v>
      </c>
    </row>
    <row r="4591" spans="1:14" x14ac:dyDescent="0.25">
      <c r="A4591" t="s">
        <v>624</v>
      </c>
      <c r="B4591" s="2">
        <v>46054</v>
      </c>
      <c r="C4591" t="s">
        <v>624</v>
      </c>
      <c r="D4591" t="s">
        <v>112</v>
      </c>
      <c r="E4591" t="s">
        <v>9</v>
      </c>
      <c r="F4591" s="3">
        <v>-900</v>
      </c>
      <c r="G4591" s="3">
        <v>-900</v>
      </c>
      <c r="H4591" t="s">
        <v>3</v>
      </c>
      <c r="I4591" t="s">
        <v>3</v>
      </c>
      <c r="J4591" t="s">
        <v>300</v>
      </c>
      <c r="K4591" t="s">
        <v>13</v>
      </c>
      <c r="L4591" t="s">
        <v>15</v>
      </c>
      <c r="M4591" t="s">
        <v>114</v>
      </c>
      <c r="N4591" s="2">
        <v>46054</v>
      </c>
    </row>
    <row r="4592" spans="1:14" x14ac:dyDescent="0.25">
      <c r="A4592" t="s">
        <v>624</v>
      </c>
      <c r="B4592" s="2">
        <v>46054</v>
      </c>
      <c r="C4592" t="s">
        <v>624</v>
      </c>
      <c r="D4592" t="s">
        <v>112</v>
      </c>
      <c r="E4592" t="s">
        <v>9</v>
      </c>
      <c r="F4592" s="3">
        <v>900</v>
      </c>
      <c r="G4592" s="3">
        <v>900</v>
      </c>
      <c r="H4592" t="s">
        <v>3</v>
      </c>
      <c r="I4592" t="s">
        <v>3</v>
      </c>
      <c r="J4592" t="s">
        <v>300</v>
      </c>
      <c r="K4592" t="s">
        <v>13</v>
      </c>
      <c r="L4592" t="s">
        <v>15</v>
      </c>
      <c r="M4592" t="s">
        <v>114</v>
      </c>
      <c r="N4592" s="2">
        <v>46055</v>
      </c>
    </row>
    <row r="4593" spans="1:14" x14ac:dyDescent="0.25">
      <c r="A4593" t="s">
        <v>624</v>
      </c>
      <c r="B4593" s="2">
        <v>46054</v>
      </c>
      <c r="C4593" t="s">
        <v>624</v>
      </c>
      <c r="D4593" t="s">
        <v>112</v>
      </c>
      <c r="E4593" t="s">
        <v>9</v>
      </c>
      <c r="F4593" s="3">
        <v>-900</v>
      </c>
      <c r="G4593" s="3">
        <v>-900</v>
      </c>
      <c r="H4593" t="s">
        <v>3</v>
      </c>
      <c r="I4593" t="s">
        <v>3</v>
      </c>
      <c r="J4593" t="s">
        <v>300</v>
      </c>
      <c r="K4593" t="s">
        <v>13</v>
      </c>
      <c r="L4593" t="s">
        <v>15</v>
      </c>
      <c r="M4593" t="s">
        <v>114</v>
      </c>
      <c r="N4593" s="2">
        <v>46054</v>
      </c>
    </row>
    <row r="4594" spans="1:14" x14ac:dyDescent="0.25">
      <c r="A4594" t="s">
        <v>624</v>
      </c>
      <c r="B4594" s="2">
        <v>46081</v>
      </c>
      <c r="C4594" t="s">
        <v>624</v>
      </c>
      <c r="D4594" t="s">
        <v>112</v>
      </c>
      <c r="E4594" t="s">
        <v>9</v>
      </c>
      <c r="F4594" s="3">
        <v>3700</v>
      </c>
      <c r="G4594" s="3">
        <v>3700</v>
      </c>
      <c r="H4594" t="s">
        <v>3</v>
      </c>
      <c r="I4594" t="s">
        <v>3</v>
      </c>
      <c r="J4594" t="s">
        <v>304</v>
      </c>
      <c r="K4594" t="s">
        <v>13</v>
      </c>
      <c r="L4594" t="s">
        <v>15</v>
      </c>
      <c r="M4594" t="s">
        <v>114</v>
      </c>
      <c r="N4594" s="2">
        <v>46081</v>
      </c>
    </row>
    <row r="4595" spans="1:14" x14ac:dyDescent="0.25">
      <c r="A4595" s="4" t="s">
        <v>239</v>
      </c>
      <c r="B4595" s="5"/>
      <c r="C4595" s="4" t="s">
        <v>9</v>
      </c>
      <c r="D4595" s="4" t="s">
        <v>9</v>
      </c>
      <c r="E4595" s="4" t="s">
        <v>9</v>
      </c>
      <c r="F4595" s="6">
        <v>0</v>
      </c>
      <c r="G4595" s="6">
        <v>0</v>
      </c>
      <c r="H4595" s="4" t="s">
        <v>9</v>
      </c>
      <c r="I4595" s="4" t="s">
        <v>3</v>
      </c>
      <c r="J4595" s="4" t="s">
        <v>9</v>
      </c>
      <c r="K4595" s="4" t="s">
        <v>9</v>
      </c>
      <c r="L4595" s="4" t="s">
        <v>9</v>
      </c>
      <c r="M4595" s="4" t="s">
        <v>9</v>
      </c>
      <c r="N4595" s="5"/>
    </row>
    <row r="4596" spans="1:14" x14ac:dyDescent="0.25">
      <c r="A4596" t="s">
        <v>624</v>
      </c>
      <c r="B4596" s="2">
        <v>46115</v>
      </c>
      <c r="C4596" t="s">
        <v>624</v>
      </c>
      <c r="D4596" t="s">
        <v>112</v>
      </c>
      <c r="E4596" t="s">
        <v>9</v>
      </c>
      <c r="F4596" s="3">
        <v>-9400</v>
      </c>
      <c r="G4596" s="3">
        <v>-9400</v>
      </c>
      <c r="H4596" t="s">
        <v>3</v>
      </c>
      <c r="I4596" t="s">
        <v>3</v>
      </c>
      <c r="J4596" t="s">
        <v>9</v>
      </c>
      <c r="K4596" t="s">
        <v>9</v>
      </c>
      <c r="L4596" t="s">
        <v>16</v>
      </c>
      <c r="M4596" t="s">
        <v>114</v>
      </c>
      <c r="N4596" s="2">
        <v>46112</v>
      </c>
    </row>
    <row r="4597" spans="1:14" x14ac:dyDescent="0.25">
      <c r="A4597" t="s">
        <v>624</v>
      </c>
      <c r="B4597" s="2">
        <v>46115</v>
      </c>
      <c r="C4597" t="s">
        <v>624</v>
      </c>
      <c r="D4597" t="s">
        <v>301</v>
      </c>
      <c r="E4597" t="s">
        <v>9</v>
      </c>
      <c r="F4597" s="3">
        <v>13100</v>
      </c>
      <c r="G4597" s="3">
        <v>13100</v>
      </c>
      <c r="H4597" t="s">
        <v>3</v>
      </c>
      <c r="I4597" t="s">
        <v>3</v>
      </c>
      <c r="J4597" t="s">
        <v>9</v>
      </c>
      <c r="K4597" t="s">
        <v>9</v>
      </c>
      <c r="L4597" t="s">
        <v>16</v>
      </c>
      <c r="M4597" t="s">
        <v>302</v>
      </c>
      <c r="N4597" s="2">
        <v>46112</v>
      </c>
    </row>
    <row r="4598" spans="1:14" x14ac:dyDescent="0.25">
      <c r="A4598" t="s">
        <v>624</v>
      </c>
      <c r="B4598" s="2">
        <v>46081</v>
      </c>
      <c r="C4598" t="s">
        <v>624</v>
      </c>
      <c r="D4598" t="s">
        <v>112</v>
      </c>
      <c r="E4598" t="s">
        <v>9</v>
      </c>
      <c r="F4598" s="3">
        <v>-3700</v>
      </c>
      <c r="G4598" s="3">
        <v>-3700</v>
      </c>
      <c r="H4598" t="s">
        <v>3</v>
      </c>
      <c r="I4598" t="s">
        <v>3</v>
      </c>
      <c r="J4598" t="s">
        <v>304</v>
      </c>
      <c r="K4598" t="s">
        <v>13</v>
      </c>
      <c r="L4598" t="s">
        <v>16</v>
      </c>
      <c r="M4598" t="s">
        <v>114</v>
      </c>
      <c r="N4598" s="2">
        <v>46082</v>
      </c>
    </row>
    <row r="4599" spans="1:14" x14ac:dyDescent="0.25">
      <c r="A4599" t="s">
        <v>624</v>
      </c>
      <c r="B4599" s="2">
        <v>46112</v>
      </c>
      <c r="C4599" t="s">
        <v>624</v>
      </c>
      <c r="D4599" t="s">
        <v>112</v>
      </c>
      <c r="E4599" t="s">
        <v>9</v>
      </c>
      <c r="F4599" s="3">
        <v>13100</v>
      </c>
      <c r="G4599" s="3">
        <v>13100</v>
      </c>
      <c r="H4599" t="s">
        <v>3</v>
      </c>
      <c r="I4599" t="s">
        <v>3</v>
      </c>
      <c r="J4599" t="s">
        <v>307</v>
      </c>
      <c r="K4599" t="s">
        <v>13</v>
      </c>
      <c r="L4599" t="s">
        <v>16</v>
      </c>
      <c r="M4599" t="s">
        <v>114</v>
      </c>
      <c r="N4599" s="2">
        <v>46112</v>
      </c>
    </row>
    <row r="4600" spans="1:14" x14ac:dyDescent="0.25">
      <c r="A4600" t="s">
        <v>624</v>
      </c>
      <c r="B4600" s="2">
        <v>46112</v>
      </c>
      <c r="C4600" t="s">
        <v>624</v>
      </c>
      <c r="D4600" t="s">
        <v>301</v>
      </c>
      <c r="E4600" t="s">
        <v>9</v>
      </c>
      <c r="F4600" s="3">
        <v>-13100</v>
      </c>
      <c r="G4600" s="3">
        <v>-13100</v>
      </c>
      <c r="H4600" t="s">
        <v>3</v>
      </c>
      <c r="I4600" t="s">
        <v>3</v>
      </c>
      <c r="J4600" t="s">
        <v>10</v>
      </c>
      <c r="K4600" t="s">
        <v>13</v>
      </c>
      <c r="L4600" t="s">
        <v>16</v>
      </c>
      <c r="M4600" t="s">
        <v>302</v>
      </c>
      <c r="N4600" s="2">
        <v>46112</v>
      </c>
    </row>
    <row r="4601" spans="1:14" x14ac:dyDescent="0.25">
      <c r="A4601" s="4" t="s">
        <v>244</v>
      </c>
      <c r="B4601" s="5"/>
      <c r="C4601" s="4" t="s">
        <v>9</v>
      </c>
      <c r="D4601" s="4" t="s">
        <v>9</v>
      </c>
      <c r="E4601" s="4" t="s">
        <v>9</v>
      </c>
      <c r="F4601" s="6">
        <v>0</v>
      </c>
      <c r="G4601" s="6">
        <v>0</v>
      </c>
      <c r="H4601" s="4" t="s">
        <v>9</v>
      </c>
      <c r="I4601" s="4" t="s">
        <v>3</v>
      </c>
      <c r="J4601" s="4" t="s">
        <v>9</v>
      </c>
      <c r="K4601" s="4" t="s">
        <v>9</v>
      </c>
      <c r="L4601" s="4" t="s">
        <v>9</v>
      </c>
      <c r="M4601" s="4" t="s">
        <v>9</v>
      </c>
      <c r="N4601" s="5"/>
    </row>
    <row r="4602" spans="1:14" x14ac:dyDescent="0.25">
      <c r="A4602" t="s">
        <v>624</v>
      </c>
      <c r="B4602" s="2">
        <v>46147</v>
      </c>
      <c r="C4602" t="s">
        <v>624</v>
      </c>
      <c r="D4602" t="s">
        <v>112</v>
      </c>
      <c r="E4602" t="s">
        <v>9</v>
      </c>
      <c r="F4602" s="3">
        <v>-3600</v>
      </c>
      <c r="G4602" s="3">
        <v>-3600</v>
      </c>
      <c r="H4602" t="s">
        <v>3</v>
      </c>
      <c r="I4602" t="s">
        <v>3</v>
      </c>
      <c r="J4602" t="s">
        <v>9</v>
      </c>
      <c r="K4602" t="s">
        <v>9</v>
      </c>
      <c r="L4602" t="s">
        <v>17</v>
      </c>
      <c r="M4602" t="s">
        <v>114</v>
      </c>
      <c r="N4602" s="2">
        <v>46142</v>
      </c>
    </row>
    <row r="4603" spans="1:14" x14ac:dyDescent="0.25">
      <c r="A4603" t="s">
        <v>624</v>
      </c>
      <c r="B4603" s="2">
        <v>46147</v>
      </c>
      <c r="C4603" t="s">
        <v>624</v>
      </c>
      <c r="D4603" t="s">
        <v>301</v>
      </c>
      <c r="E4603" t="s">
        <v>9</v>
      </c>
      <c r="F4603" s="3">
        <v>3600</v>
      </c>
      <c r="G4603" s="3">
        <v>3600</v>
      </c>
      <c r="H4603" t="s">
        <v>3</v>
      </c>
      <c r="I4603" t="s">
        <v>3</v>
      </c>
      <c r="J4603" t="s">
        <v>9</v>
      </c>
      <c r="K4603" t="s">
        <v>9</v>
      </c>
      <c r="L4603" t="s">
        <v>17</v>
      </c>
      <c r="M4603" t="s">
        <v>302</v>
      </c>
      <c r="N4603" s="2">
        <v>46142</v>
      </c>
    </row>
    <row r="4604" spans="1:14" x14ac:dyDescent="0.25">
      <c r="A4604" t="s">
        <v>624</v>
      </c>
      <c r="B4604" s="2">
        <v>46112</v>
      </c>
      <c r="C4604" t="s">
        <v>624</v>
      </c>
      <c r="D4604" t="s">
        <v>112</v>
      </c>
      <c r="E4604" t="s">
        <v>9</v>
      </c>
      <c r="F4604" s="3">
        <v>-13100</v>
      </c>
      <c r="G4604" s="3">
        <v>-13100</v>
      </c>
      <c r="H4604" t="s">
        <v>3</v>
      </c>
      <c r="I4604" t="s">
        <v>3</v>
      </c>
      <c r="J4604" t="s">
        <v>307</v>
      </c>
      <c r="K4604" t="s">
        <v>13</v>
      </c>
      <c r="L4604" t="s">
        <v>17</v>
      </c>
      <c r="M4604" t="s">
        <v>114</v>
      </c>
      <c r="N4604" s="2">
        <v>46113</v>
      </c>
    </row>
    <row r="4605" spans="1:14" x14ac:dyDescent="0.25">
      <c r="A4605" t="s">
        <v>624</v>
      </c>
      <c r="B4605" s="2">
        <v>46142</v>
      </c>
      <c r="C4605" t="s">
        <v>624</v>
      </c>
      <c r="D4605" t="s">
        <v>112</v>
      </c>
      <c r="E4605" t="s">
        <v>9</v>
      </c>
      <c r="F4605" s="3">
        <v>16700</v>
      </c>
      <c r="G4605" s="3">
        <v>16700</v>
      </c>
      <c r="H4605" t="s">
        <v>3</v>
      </c>
      <c r="I4605" t="s">
        <v>3</v>
      </c>
      <c r="J4605" t="s">
        <v>310</v>
      </c>
      <c r="K4605" t="s">
        <v>13</v>
      </c>
      <c r="L4605" t="s">
        <v>17</v>
      </c>
      <c r="M4605" t="s">
        <v>114</v>
      </c>
      <c r="N4605" s="2">
        <v>46142</v>
      </c>
    </row>
    <row r="4606" spans="1:14" x14ac:dyDescent="0.25">
      <c r="A4606" t="s">
        <v>624</v>
      </c>
      <c r="B4606" s="2">
        <v>46142</v>
      </c>
      <c r="C4606" t="s">
        <v>624</v>
      </c>
      <c r="D4606" t="s">
        <v>301</v>
      </c>
      <c r="E4606" t="s">
        <v>9</v>
      </c>
      <c r="F4606" s="3">
        <v>-3600</v>
      </c>
      <c r="G4606" s="3">
        <v>-3600</v>
      </c>
      <c r="H4606" t="s">
        <v>3</v>
      </c>
      <c r="I4606" t="s">
        <v>3</v>
      </c>
      <c r="J4606" t="s">
        <v>10</v>
      </c>
      <c r="K4606" t="s">
        <v>13</v>
      </c>
      <c r="L4606" t="s">
        <v>17</v>
      </c>
      <c r="M4606" t="s">
        <v>302</v>
      </c>
      <c r="N4606" s="2">
        <v>46142</v>
      </c>
    </row>
    <row r="4607" spans="1:14" x14ac:dyDescent="0.25">
      <c r="A4607" s="4" t="s">
        <v>249</v>
      </c>
      <c r="B4607" s="5"/>
      <c r="C4607" s="4" t="s">
        <v>9</v>
      </c>
      <c r="D4607" s="4" t="s">
        <v>9</v>
      </c>
      <c r="E4607" s="4" t="s">
        <v>9</v>
      </c>
      <c r="F4607" s="6">
        <v>0</v>
      </c>
      <c r="G4607" s="6">
        <v>0</v>
      </c>
      <c r="H4607" s="4" t="s">
        <v>9</v>
      </c>
      <c r="I4607" s="4" t="s">
        <v>3</v>
      </c>
      <c r="J4607" s="4" t="s">
        <v>9</v>
      </c>
      <c r="K4607" s="4" t="s">
        <v>9</v>
      </c>
      <c r="L4607" s="4" t="s">
        <v>9</v>
      </c>
      <c r="M4607" s="4" t="s">
        <v>9</v>
      </c>
      <c r="N4607" s="5"/>
    </row>
    <row r="4608" spans="1:14" x14ac:dyDescent="0.25">
      <c r="A4608" t="s">
        <v>624</v>
      </c>
      <c r="B4608" s="2">
        <v>46175</v>
      </c>
      <c r="C4608" t="s">
        <v>624</v>
      </c>
      <c r="D4608" t="s">
        <v>112</v>
      </c>
      <c r="E4608" t="s">
        <v>9</v>
      </c>
      <c r="F4608" s="3">
        <v>-1100</v>
      </c>
      <c r="G4608" s="3">
        <v>-1100</v>
      </c>
      <c r="H4608" t="s">
        <v>3</v>
      </c>
      <c r="I4608" t="s">
        <v>3</v>
      </c>
      <c r="J4608" t="s">
        <v>9</v>
      </c>
      <c r="K4608" t="s">
        <v>9</v>
      </c>
      <c r="L4608" t="s">
        <v>18</v>
      </c>
      <c r="M4608" t="s">
        <v>114</v>
      </c>
      <c r="N4608" s="2">
        <v>46173</v>
      </c>
    </row>
    <row r="4609" spans="1:14" x14ac:dyDescent="0.25">
      <c r="A4609" t="s">
        <v>624</v>
      </c>
      <c r="B4609" s="2">
        <v>46175</v>
      </c>
      <c r="C4609" t="s">
        <v>624</v>
      </c>
      <c r="D4609" t="s">
        <v>301</v>
      </c>
      <c r="E4609" t="s">
        <v>9</v>
      </c>
      <c r="F4609" s="3">
        <v>1100</v>
      </c>
      <c r="G4609" s="3">
        <v>1100</v>
      </c>
      <c r="H4609" t="s">
        <v>3</v>
      </c>
      <c r="I4609" t="s">
        <v>3</v>
      </c>
      <c r="J4609" t="s">
        <v>9</v>
      </c>
      <c r="K4609" t="s">
        <v>9</v>
      </c>
      <c r="L4609" t="s">
        <v>18</v>
      </c>
      <c r="M4609" t="s">
        <v>302</v>
      </c>
      <c r="N4609" s="2">
        <v>46173</v>
      </c>
    </row>
    <row r="4610" spans="1:14" x14ac:dyDescent="0.25">
      <c r="A4610" t="s">
        <v>624</v>
      </c>
      <c r="B4610" s="2">
        <v>46142</v>
      </c>
      <c r="C4610" t="s">
        <v>624</v>
      </c>
      <c r="D4610" t="s">
        <v>112</v>
      </c>
      <c r="E4610" t="s">
        <v>9</v>
      </c>
      <c r="F4610" s="3">
        <v>-16700</v>
      </c>
      <c r="G4610" s="3">
        <v>-16700</v>
      </c>
      <c r="H4610" t="s">
        <v>3</v>
      </c>
      <c r="I4610" t="s">
        <v>3</v>
      </c>
      <c r="J4610" t="s">
        <v>310</v>
      </c>
      <c r="K4610" t="s">
        <v>13</v>
      </c>
      <c r="L4610" t="s">
        <v>18</v>
      </c>
      <c r="M4610" t="s">
        <v>114</v>
      </c>
      <c r="N4610" s="2">
        <v>46143</v>
      </c>
    </row>
    <row r="4611" spans="1:14" x14ac:dyDescent="0.25">
      <c r="A4611" t="s">
        <v>624</v>
      </c>
      <c r="B4611" s="2">
        <v>46173</v>
      </c>
      <c r="C4611" t="s">
        <v>624</v>
      </c>
      <c r="D4611" t="s">
        <v>112</v>
      </c>
      <c r="E4611" t="s">
        <v>9</v>
      </c>
      <c r="F4611" s="3">
        <v>17800</v>
      </c>
      <c r="G4611" s="3">
        <v>17800</v>
      </c>
      <c r="H4611" t="s">
        <v>3</v>
      </c>
      <c r="I4611" t="s">
        <v>3</v>
      </c>
      <c r="J4611" t="s">
        <v>313</v>
      </c>
      <c r="K4611" t="s">
        <v>13</v>
      </c>
      <c r="L4611" t="s">
        <v>18</v>
      </c>
      <c r="M4611" t="s">
        <v>114</v>
      </c>
      <c r="N4611" s="2">
        <v>46173</v>
      </c>
    </row>
    <row r="4612" spans="1:14" x14ac:dyDescent="0.25">
      <c r="A4612" t="s">
        <v>624</v>
      </c>
      <c r="B4612" s="2">
        <v>46173</v>
      </c>
      <c r="C4612" t="s">
        <v>624</v>
      </c>
      <c r="D4612" t="s">
        <v>301</v>
      </c>
      <c r="E4612" t="s">
        <v>9</v>
      </c>
      <c r="F4612" s="3">
        <v>-1100</v>
      </c>
      <c r="G4612" s="3">
        <v>-1100</v>
      </c>
      <c r="H4612" t="s">
        <v>3</v>
      </c>
      <c r="I4612" t="s">
        <v>3</v>
      </c>
      <c r="J4612" t="s">
        <v>10</v>
      </c>
      <c r="K4612" t="s">
        <v>13</v>
      </c>
      <c r="L4612" t="s">
        <v>18</v>
      </c>
      <c r="M4612" t="s">
        <v>302</v>
      </c>
      <c r="N4612" s="2">
        <v>46173</v>
      </c>
    </row>
    <row r="4613" spans="1:14" x14ac:dyDescent="0.25">
      <c r="A4613" s="4" t="s">
        <v>223</v>
      </c>
      <c r="B4613" s="5"/>
      <c r="C4613" s="4" t="s">
        <v>9</v>
      </c>
      <c r="D4613" s="4" t="s">
        <v>9</v>
      </c>
      <c r="E4613" s="4" t="s">
        <v>9</v>
      </c>
      <c r="F4613" s="6">
        <v>0</v>
      </c>
      <c r="G4613" s="6">
        <v>0</v>
      </c>
      <c r="H4613" s="4" t="s">
        <v>9</v>
      </c>
      <c r="I4613" s="4" t="s">
        <v>3</v>
      </c>
      <c r="J4613" s="4" t="s">
        <v>9</v>
      </c>
      <c r="K4613" s="4" t="s">
        <v>9</v>
      </c>
      <c r="L4613" s="4" t="s">
        <v>9</v>
      </c>
      <c r="M4613" s="4" t="s">
        <v>9</v>
      </c>
      <c r="N4613" s="5"/>
    </row>
    <row r="4614" spans="1:14" x14ac:dyDescent="0.25">
      <c r="A4614" t="s">
        <v>624</v>
      </c>
      <c r="B4614" s="2">
        <v>46205</v>
      </c>
      <c r="C4614" t="s">
        <v>624</v>
      </c>
      <c r="D4614" t="s">
        <v>112</v>
      </c>
      <c r="E4614" t="s">
        <v>9</v>
      </c>
      <c r="F4614" s="3">
        <v>-9471.92</v>
      </c>
      <c r="G4614" s="3">
        <v>-9471.92</v>
      </c>
      <c r="H4614" t="s">
        <v>3</v>
      </c>
      <c r="I4614" t="s">
        <v>3</v>
      </c>
      <c r="J4614" t="s">
        <v>9</v>
      </c>
      <c r="K4614" t="s">
        <v>9</v>
      </c>
      <c r="L4614" t="s">
        <v>19</v>
      </c>
      <c r="M4614" t="s">
        <v>114</v>
      </c>
      <c r="N4614" s="2">
        <v>46203</v>
      </c>
    </row>
    <row r="4615" spans="1:14" x14ac:dyDescent="0.25">
      <c r="A4615" t="s">
        <v>624</v>
      </c>
      <c r="B4615" s="2">
        <v>46205</v>
      </c>
      <c r="C4615" t="s">
        <v>624</v>
      </c>
      <c r="D4615" t="s">
        <v>301</v>
      </c>
      <c r="E4615" t="s">
        <v>9</v>
      </c>
      <c r="F4615" s="3">
        <v>9471.92</v>
      </c>
      <c r="G4615" s="3">
        <v>9471.92</v>
      </c>
      <c r="H4615" t="s">
        <v>3</v>
      </c>
      <c r="I4615" t="s">
        <v>3</v>
      </c>
      <c r="J4615" t="s">
        <v>9</v>
      </c>
      <c r="K4615" t="s">
        <v>9</v>
      </c>
      <c r="L4615" t="s">
        <v>19</v>
      </c>
      <c r="M4615" t="s">
        <v>302</v>
      </c>
      <c r="N4615" s="2">
        <v>46203</v>
      </c>
    </row>
    <row r="4616" spans="1:14" x14ac:dyDescent="0.25">
      <c r="A4616" t="s">
        <v>624</v>
      </c>
      <c r="B4616" s="2">
        <v>46173</v>
      </c>
      <c r="C4616" t="s">
        <v>624</v>
      </c>
      <c r="D4616" t="s">
        <v>112</v>
      </c>
      <c r="E4616" t="s">
        <v>9</v>
      </c>
      <c r="F4616" s="3">
        <v>-17800</v>
      </c>
      <c r="G4616" s="3">
        <v>-17800</v>
      </c>
      <c r="H4616" t="s">
        <v>3</v>
      </c>
      <c r="I4616" t="s">
        <v>3</v>
      </c>
      <c r="J4616" t="s">
        <v>313</v>
      </c>
      <c r="K4616" t="s">
        <v>13</v>
      </c>
      <c r="L4616" t="s">
        <v>19</v>
      </c>
      <c r="M4616" t="s">
        <v>114</v>
      </c>
      <c r="N4616" s="2">
        <v>46174</v>
      </c>
    </row>
    <row r="4617" spans="1:14" x14ac:dyDescent="0.25">
      <c r="A4617" t="s">
        <v>624</v>
      </c>
      <c r="B4617" s="2">
        <v>46203</v>
      </c>
      <c r="C4617" t="s">
        <v>624</v>
      </c>
      <c r="D4617" t="s">
        <v>112</v>
      </c>
      <c r="E4617" t="s">
        <v>9</v>
      </c>
      <c r="F4617" s="3">
        <v>27271.919999999998</v>
      </c>
      <c r="G4617" s="3">
        <v>27271.919999999998</v>
      </c>
      <c r="H4617" t="s">
        <v>3</v>
      </c>
      <c r="I4617" t="s">
        <v>3</v>
      </c>
      <c r="J4617" t="s">
        <v>316</v>
      </c>
      <c r="K4617" t="s">
        <v>13</v>
      </c>
      <c r="L4617" t="s">
        <v>19</v>
      </c>
      <c r="M4617" t="s">
        <v>114</v>
      </c>
      <c r="N4617" s="2">
        <v>46203</v>
      </c>
    </row>
    <row r="4618" spans="1:14" x14ac:dyDescent="0.25">
      <c r="A4618" t="s">
        <v>624</v>
      </c>
      <c r="B4618" s="2">
        <v>46203</v>
      </c>
      <c r="C4618" t="s">
        <v>624</v>
      </c>
      <c r="D4618" t="s">
        <v>301</v>
      </c>
      <c r="E4618" t="s">
        <v>9</v>
      </c>
      <c r="F4618" s="3">
        <v>-9471.92</v>
      </c>
      <c r="G4618" s="3">
        <v>-9471.92</v>
      </c>
      <c r="H4618" t="s">
        <v>3</v>
      </c>
      <c r="I4618" t="s">
        <v>3</v>
      </c>
      <c r="J4618" t="s">
        <v>10</v>
      </c>
      <c r="K4618" t="s">
        <v>13</v>
      </c>
      <c r="L4618" t="s">
        <v>19</v>
      </c>
      <c r="M4618" t="s">
        <v>302</v>
      </c>
      <c r="N4618" s="2">
        <v>46203</v>
      </c>
    </row>
    <row r="4619" spans="1:14" x14ac:dyDescent="0.25">
      <c r="A4619" s="4" t="s">
        <v>224</v>
      </c>
      <c r="B4619" s="5"/>
      <c r="C4619" s="4" t="s">
        <v>9</v>
      </c>
      <c r="D4619" s="4" t="s">
        <v>9</v>
      </c>
      <c r="E4619" s="4" t="s">
        <v>9</v>
      </c>
      <c r="F4619" s="6">
        <v>0</v>
      </c>
      <c r="G4619" s="6">
        <v>0</v>
      </c>
      <c r="H4619" s="4" t="s">
        <v>9</v>
      </c>
      <c r="I4619" s="4" t="s">
        <v>3</v>
      </c>
      <c r="J4619" s="4" t="s">
        <v>9</v>
      </c>
      <c r="K4619" s="4" t="s">
        <v>9</v>
      </c>
      <c r="L4619" s="4" t="s">
        <v>9</v>
      </c>
      <c r="M4619" s="4" t="s">
        <v>9</v>
      </c>
      <c r="N4619" s="5"/>
    </row>
    <row r="4620" spans="1:14" x14ac:dyDescent="0.25">
      <c r="A4620" t="s">
        <v>624</v>
      </c>
      <c r="B4620" s="2">
        <v>46239</v>
      </c>
      <c r="C4620" t="s">
        <v>624</v>
      </c>
      <c r="D4620" t="s">
        <v>112</v>
      </c>
      <c r="E4620" t="s">
        <v>9</v>
      </c>
      <c r="F4620" s="3">
        <v>-7337.08</v>
      </c>
      <c r="G4620" s="3">
        <v>-7337.08</v>
      </c>
      <c r="H4620" t="s">
        <v>3</v>
      </c>
      <c r="I4620" t="s">
        <v>3</v>
      </c>
      <c r="J4620" t="s">
        <v>9</v>
      </c>
      <c r="K4620" t="s">
        <v>9</v>
      </c>
      <c r="L4620" t="s">
        <v>21</v>
      </c>
      <c r="M4620" t="s">
        <v>114</v>
      </c>
      <c r="N4620" s="2">
        <v>46234</v>
      </c>
    </row>
    <row r="4621" spans="1:14" x14ac:dyDescent="0.25">
      <c r="A4621" t="s">
        <v>624</v>
      </c>
      <c r="B4621" s="2">
        <v>46239</v>
      </c>
      <c r="C4621" t="s">
        <v>624</v>
      </c>
      <c r="D4621" t="s">
        <v>301</v>
      </c>
      <c r="E4621" t="s">
        <v>9</v>
      </c>
      <c r="F4621" s="3">
        <v>7337.08</v>
      </c>
      <c r="G4621" s="3">
        <v>7337.08</v>
      </c>
      <c r="H4621" t="s">
        <v>3</v>
      </c>
      <c r="I4621" t="s">
        <v>3</v>
      </c>
      <c r="J4621" t="s">
        <v>9</v>
      </c>
      <c r="K4621" t="s">
        <v>9</v>
      </c>
      <c r="L4621" t="s">
        <v>21</v>
      </c>
      <c r="M4621" t="s">
        <v>302</v>
      </c>
      <c r="N4621" s="2">
        <v>46234</v>
      </c>
    </row>
    <row r="4622" spans="1:14" x14ac:dyDescent="0.25">
      <c r="A4622" t="s">
        <v>624</v>
      </c>
      <c r="B4622" s="2">
        <v>46203</v>
      </c>
      <c r="C4622" t="s">
        <v>624</v>
      </c>
      <c r="D4622" t="s">
        <v>112</v>
      </c>
      <c r="E4622" t="s">
        <v>9</v>
      </c>
      <c r="F4622" s="3">
        <v>-27271.919999999998</v>
      </c>
      <c r="G4622" s="3">
        <v>-27271.919999999998</v>
      </c>
      <c r="H4622" t="s">
        <v>3</v>
      </c>
      <c r="I4622" t="s">
        <v>3</v>
      </c>
      <c r="J4622" t="s">
        <v>316</v>
      </c>
      <c r="K4622" t="s">
        <v>13</v>
      </c>
      <c r="L4622" t="s">
        <v>21</v>
      </c>
      <c r="M4622" t="s">
        <v>114</v>
      </c>
      <c r="N4622" s="2">
        <v>46204</v>
      </c>
    </row>
    <row r="4623" spans="1:14" x14ac:dyDescent="0.25">
      <c r="A4623" t="s">
        <v>624</v>
      </c>
      <c r="B4623" s="2">
        <v>46234</v>
      </c>
      <c r="C4623" t="s">
        <v>624</v>
      </c>
      <c r="D4623" t="s">
        <v>301</v>
      </c>
      <c r="E4623" t="s">
        <v>9</v>
      </c>
      <c r="F4623" s="3">
        <v>-7337.08</v>
      </c>
      <c r="G4623" s="3">
        <v>-7337.08</v>
      </c>
      <c r="H4623" t="s">
        <v>3</v>
      </c>
      <c r="I4623" t="s">
        <v>3</v>
      </c>
      <c r="J4623" t="s">
        <v>10</v>
      </c>
      <c r="K4623" t="s">
        <v>13</v>
      </c>
      <c r="L4623" t="s">
        <v>21</v>
      </c>
      <c r="M4623" t="s">
        <v>302</v>
      </c>
      <c r="N4623" s="2">
        <v>46234</v>
      </c>
    </row>
    <row r="4624" spans="1:14" x14ac:dyDescent="0.25">
      <c r="A4624" t="s">
        <v>624</v>
      </c>
      <c r="B4624" s="2">
        <v>46234</v>
      </c>
      <c r="C4624" t="s">
        <v>624</v>
      </c>
      <c r="D4624" t="s">
        <v>112</v>
      </c>
      <c r="E4624" t="s">
        <v>9</v>
      </c>
      <c r="F4624" s="3">
        <v>34609</v>
      </c>
      <c r="G4624" s="3">
        <v>34609</v>
      </c>
      <c r="H4624" t="s">
        <v>3</v>
      </c>
      <c r="I4624" t="s">
        <v>3</v>
      </c>
      <c r="J4624" t="s">
        <v>319</v>
      </c>
      <c r="K4624" t="s">
        <v>13</v>
      </c>
      <c r="L4624" t="s">
        <v>21</v>
      </c>
      <c r="M4624" t="s">
        <v>114</v>
      </c>
      <c r="N4624" s="2">
        <v>46234</v>
      </c>
    </row>
    <row r="4625" spans="1:14" x14ac:dyDescent="0.25">
      <c r="A4625" s="4" t="s">
        <v>262</v>
      </c>
      <c r="B4625" s="5"/>
      <c r="C4625" s="4" t="s">
        <v>9</v>
      </c>
      <c r="D4625" s="4" t="s">
        <v>9</v>
      </c>
      <c r="E4625" s="4" t="s">
        <v>9</v>
      </c>
      <c r="F4625" s="6">
        <v>0</v>
      </c>
      <c r="G4625" s="6">
        <v>0</v>
      </c>
      <c r="H4625" s="4" t="s">
        <v>9</v>
      </c>
      <c r="I4625" s="4" t="s">
        <v>3</v>
      </c>
      <c r="J4625" s="4" t="s">
        <v>9</v>
      </c>
      <c r="K4625" s="4" t="s">
        <v>9</v>
      </c>
      <c r="L4625" s="4" t="s">
        <v>9</v>
      </c>
      <c r="M4625" s="4" t="s">
        <v>9</v>
      </c>
      <c r="N4625" s="5"/>
    </row>
    <row r="4626" spans="1:14" x14ac:dyDescent="0.25">
      <c r="A4626" t="s">
        <v>624</v>
      </c>
      <c r="B4626" s="2">
        <v>46267</v>
      </c>
      <c r="C4626" t="s">
        <v>624</v>
      </c>
      <c r="D4626" t="s">
        <v>112</v>
      </c>
      <c r="E4626" t="s">
        <v>9</v>
      </c>
      <c r="F4626" s="3">
        <v>-44629</v>
      </c>
      <c r="G4626" s="3">
        <v>-44629</v>
      </c>
      <c r="H4626" t="s">
        <v>3</v>
      </c>
      <c r="I4626" t="s">
        <v>3</v>
      </c>
      <c r="J4626" t="s">
        <v>9</v>
      </c>
      <c r="K4626" t="s">
        <v>9</v>
      </c>
      <c r="L4626" t="s">
        <v>22</v>
      </c>
      <c r="M4626" t="s">
        <v>114</v>
      </c>
      <c r="N4626" s="2">
        <v>46265</v>
      </c>
    </row>
    <row r="4627" spans="1:14" x14ac:dyDescent="0.25">
      <c r="A4627" t="s">
        <v>624</v>
      </c>
      <c r="B4627" s="2">
        <v>46267</v>
      </c>
      <c r="C4627" t="s">
        <v>624</v>
      </c>
      <c r="D4627" t="s">
        <v>301</v>
      </c>
      <c r="E4627" t="s">
        <v>9</v>
      </c>
      <c r="F4627" s="3">
        <v>44629</v>
      </c>
      <c r="G4627" s="3">
        <v>44629</v>
      </c>
      <c r="H4627" t="s">
        <v>3</v>
      </c>
      <c r="I4627" t="s">
        <v>3</v>
      </c>
      <c r="J4627" t="s">
        <v>9</v>
      </c>
      <c r="K4627" t="s">
        <v>9</v>
      </c>
      <c r="L4627" t="s">
        <v>22</v>
      </c>
      <c r="M4627" t="s">
        <v>302</v>
      </c>
      <c r="N4627" s="2">
        <v>46265</v>
      </c>
    </row>
    <row r="4628" spans="1:14" x14ac:dyDescent="0.25">
      <c r="A4628" t="s">
        <v>624</v>
      </c>
      <c r="B4628" s="2">
        <v>46234</v>
      </c>
      <c r="C4628" t="s">
        <v>624</v>
      </c>
      <c r="D4628" t="s">
        <v>112</v>
      </c>
      <c r="E4628" t="s">
        <v>9</v>
      </c>
      <c r="F4628" s="3">
        <v>-34609</v>
      </c>
      <c r="G4628" s="3">
        <v>-34609</v>
      </c>
      <c r="H4628" t="s">
        <v>3</v>
      </c>
      <c r="I4628" t="s">
        <v>3</v>
      </c>
      <c r="J4628" t="s">
        <v>319</v>
      </c>
      <c r="K4628" t="s">
        <v>13</v>
      </c>
      <c r="L4628" t="s">
        <v>22</v>
      </c>
      <c r="M4628" t="s">
        <v>114</v>
      </c>
      <c r="N4628" s="2">
        <v>46235</v>
      </c>
    </row>
    <row r="4629" spans="1:14" x14ac:dyDescent="0.25">
      <c r="A4629" t="s">
        <v>624</v>
      </c>
      <c r="B4629" s="2">
        <v>46265</v>
      </c>
      <c r="C4629" t="s">
        <v>624</v>
      </c>
      <c r="D4629" t="s">
        <v>112</v>
      </c>
      <c r="E4629" t="s">
        <v>9</v>
      </c>
      <c r="F4629" s="3">
        <v>40409</v>
      </c>
      <c r="G4629" s="3">
        <v>40409</v>
      </c>
      <c r="H4629" t="s">
        <v>3</v>
      </c>
      <c r="I4629" t="s">
        <v>3</v>
      </c>
      <c r="J4629" t="s">
        <v>322</v>
      </c>
      <c r="K4629" t="s">
        <v>13</v>
      </c>
      <c r="L4629" t="s">
        <v>22</v>
      </c>
      <c r="M4629" t="s">
        <v>114</v>
      </c>
      <c r="N4629" s="2">
        <v>46265</v>
      </c>
    </row>
    <row r="4630" spans="1:14" x14ac:dyDescent="0.25">
      <c r="A4630" t="s">
        <v>624</v>
      </c>
      <c r="B4630" s="2">
        <v>46265</v>
      </c>
      <c r="C4630" t="s">
        <v>624</v>
      </c>
      <c r="D4630" t="s">
        <v>112</v>
      </c>
      <c r="E4630" t="s">
        <v>9</v>
      </c>
      <c r="F4630" s="3">
        <v>38829</v>
      </c>
      <c r="G4630" s="3">
        <v>38829</v>
      </c>
      <c r="H4630" t="s">
        <v>3</v>
      </c>
      <c r="I4630" t="s">
        <v>3</v>
      </c>
      <c r="J4630" t="s">
        <v>506</v>
      </c>
      <c r="K4630" t="s">
        <v>13</v>
      </c>
      <c r="L4630" t="s">
        <v>22</v>
      </c>
      <c r="M4630" t="s">
        <v>114</v>
      </c>
      <c r="N4630" s="2">
        <v>46265</v>
      </c>
    </row>
    <row r="4631" spans="1:14" x14ac:dyDescent="0.25">
      <c r="A4631" t="s">
        <v>624</v>
      </c>
      <c r="B4631" s="2">
        <v>46265</v>
      </c>
      <c r="C4631" t="s">
        <v>624</v>
      </c>
      <c r="D4631" t="s">
        <v>301</v>
      </c>
      <c r="E4631" t="s">
        <v>9</v>
      </c>
      <c r="F4631" s="3">
        <v>-44629</v>
      </c>
      <c r="G4631" s="3">
        <v>-44629</v>
      </c>
      <c r="H4631" t="s">
        <v>3</v>
      </c>
      <c r="I4631" t="s">
        <v>3</v>
      </c>
      <c r="J4631" t="s">
        <v>10</v>
      </c>
      <c r="K4631" t="s">
        <v>13</v>
      </c>
      <c r="L4631" t="s">
        <v>22</v>
      </c>
      <c r="M4631" t="s">
        <v>302</v>
      </c>
      <c r="N4631" s="2">
        <v>46265</v>
      </c>
    </row>
    <row r="4632" spans="1:14" x14ac:dyDescent="0.25">
      <c r="A4632" s="4" t="s">
        <v>267</v>
      </c>
      <c r="B4632" s="5"/>
      <c r="C4632" s="4" t="s">
        <v>9</v>
      </c>
      <c r="D4632" s="4" t="s">
        <v>9</v>
      </c>
      <c r="E4632" s="4" t="s">
        <v>9</v>
      </c>
      <c r="F4632" s="6">
        <v>0</v>
      </c>
      <c r="G4632" s="6">
        <v>0</v>
      </c>
      <c r="H4632" s="4" t="s">
        <v>9</v>
      </c>
      <c r="I4632" s="4" t="s">
        <v>3</v>
      </c>
      <c r="J4632" s="4" t="s">
        <v>9</v>
      </c>
      <c r="K4632" s="4" t="s">
        <v>9</v>
      </c>
      <c r="L4632" s="4" t="s">
        <v>9</v>
      </c>
      <c r="M4632" s="4" t="s">
        <v>9</v>
      </c>
      <c r="N4632" s="5"/>
    </row>
    <row r="4633" spans="1:14" x14ac:dyDescent="0.25">
      <c r="A4633" t="s">
        <v>624</v>
      </c>
      <c r="B4633" s="2">
        <v>45965</v>
      </c>
      <c r="C4633" t="s">
        <v>624</v>
      </c>
      <c r="D4633" t="s">
        <v>112</v>
      </c>
      <c r="E4633" t="s">
        <v>9</v>
      </c>
      <c r="F4633" s="3">
        <v>-1400</v>
      </c>
      <c r="G4633" s="3">
        <v>-1400</v>
      </c>
      <c r="H4633" t="s">
        <v>3</v>
      </c>
      <c r="I4633" t="s">
        <v>3</v>
      </c>
      <c r="J4633" t="s">
        <v>9</v>
      </c>
      <c r="K4633" t="s">
        <v>9</v>
      </c>
      <c r="L4633" t="s">
        <v>8</v>
      </c>
      <c r="M4633" t="s">
        <v>114</v>
      </c>
      <c r="N4633" s="2">
        <v>45961</v>
      </c>
    </row>
    <row r="4634" spans="1:14" x14ac:dyDescent="0.25">
      <c r="A4634" t="s">
        <v>624</v>
      </c>
      <c r="B4634" s="2">
        <v>45961</v>
      </c>
      <c r="C4634" t="s">
        <v>624</v>
      </c>
      <c r="D4634" t="s">
        <v>112</v>
      </c>
      <c r="E4634" t="s">
        <v>9</v>
      </c>
      <c r="F4634" s="3">
        <v>1400</v>
      </c>
      <c r="G4634" s="3">
        <v>1400</v>
      </c>
      <c r="H4634" t="s">
        <v>3</v>
      </c>
      <c r="I4634" t="s">
        <v>3</v>
      </c>
      <c r="J4634" t="s">
        <v>325</v>
      </c>
      <c r="K4634" t="s">
        <v>5</v>
      </c>
      <c r="L4634" t="s">
        <v>8</v>
      </c>
      <c r="M4634" t="s">
        <v>114</v>
      </c>
      <c r="N4634" s="2">
        <v>45961</v>
      </c>
    </row>
    <row r="4635" spans="1:14" x14ac:dyDescent="0.25">
      <c r="A4635" s="4" t="s">
        <v>278</v>
      </c>
      <c r="B4635" s="5"/>
      <c r="C4635" s="4" t="s">
        <v>9</v>
      </c>
      <c r="D4635" s="4" t="s">
        <v>9</v>
      </c>
      <c r="E4635" s="4" t="s">
        <v>9</v>
      </c>
      <c r="F4635" s="6">
        <v>0</v>
      </c>
      <c r="G4635" s="6">
        <v>0</v>
      </c>
      <c r="H4635" s="4" t="s">
        <v>9</v>
      </c>
      <c r="I4635" s="4" t="s">
        <v>3</v>
      </c>
      <c r="J4635" s="4" t="s">
        <v>9</v>
      </c>
      <c r="K4635" s="4" t="s">
        <v>9</v>
      </c>
      <c r="L4635" s="4" t="s">
        <v>9</v>
      </c>
      <c r="M4635" s="4" t="s">
        <v>9</v>
      </c>
      <c r="N4635" s="5"/>
    </row>
    <row r="4636" spans="1:14" x14ac:dyDescent="0.25">
      <c r="A4636" t="s">
        <v>624</v>
      </c>
      <c r="B4636" s="2">
        <v>45993</v>
      </c>
      <c r="C4636" t="s">
        <v>624</v>
      </c>
      <c r="D4636" t="s">
        <v>112</v>
      </c>
      <c r="E4636" t="s">
        <v>9</v>
      </c>
      <c r="F4636" s="3">
        <v>-700</v>
      </c>
      <c r="G4636" s="3">
        <v>-700</v>
      </c>
      <c r="H4636" t="s">
        <v>3</v>
      </c>
      <c r="I4636" t="s">
        <v>3</v>
      </c>
      <c r="J4636" t="s">
        <v>9</v>
      </c>
      <c r="K4636" t="s">
        <v>9</v>
      </c>
      <c r="L4636" t="s">
        <v>11</v>
      </c>
      <c r="M4636" t="s">
        <v>114</v>
      </c>
      <c r="N4636" s="2">
        <v>45991</v>
      </c>
    </row>
    <row r="4637" spans="1:14" x14ac:dyDescent="0.25">
      <c r="A4637" t="s">
        <v>624</v>
      </c>
      <c r="B4637" s="2">
        <v>45993</v>
      </c>
      <c r="C4637" t="s">
        <v>624</v>
      </c>
      <c r="D4637" t="s">
        <v>301</v>
      </c>
      <c r="E4637" t="s">
        <v>9</v>
      </c>
      <c r="F4637" s="3">
        <v>2100</v>
      </c>
      <c r="G4637" s="3">
        <v>2100</v>
      </c>
      <c r="H4637" t="s">
        <v>3</v>
      </c>
      <c r="I4637" t="s">
        <v>3</v>
      </c>
      <c r="J4637" t="s">
        <v>9</v>
      </c>
      <c r="K4637" t="s">
        <v>9</v>
      </c>
      <c r="L4637" t="s">
        <v>11</v>
      </c>
      <c r="M4637" t="s">
        <v>302</v>
      </c>
      <c r="N4637" s="2">
        <v>45991</v>
      </c>
    </row>
    <row r="4638" spans="1:14" x14ac:dyDescent="0.25">
      <c r="A4638" t="s">
        <v>624</v>
      </c>
      <c r="B4638" s="2">
        <v>45961</v>
      </c>
      <c r="C4638" t="s">
        <v>624</v>
      </c>
      <c r="D4638" t="s">
        <v>112</v>
      </c>
      <c r="E4638" t="s">
        <v>9</v>
      </c>
      <c r="F4638" s="3">
        <v>-1400</v>
      </c>
      <c r="G4638" s="3">
        <v>-1400</v>
      </c>
      <c r="H4638" t="s">
        <v>3</v>
      </c>
      <c r="I4638" t="s">
        <v>3</v>
      </c>
      <c r="J4638" t="s">
        <v>325</v>
      </c>
      <c r="K4638" t="s">
        <v>5</v>
      </c>
      <c r="L4638" t="s">
        <v>11</v>
      </c>
      <c r="M4638" t="s">
        <v>114</v>
      </c>
      <c r="N4638" s="2">
        <v>45962</v>
      </c>
    </row>
    <row r="4639" spans="1:14" x14ac:dyDescent="0.25">
      <c r="A4639" t="s">
        <v>624</v>
      </c>
      <c r="B4639" s="2">
        <v>45991</v>
      </c>
      <c r="C4639" t="s">
        <v>624</v>
      </c>
      <c r="D4639" t="s">
        <v>112</v>
      </c>
      <c r="E4639" t="s">
        <v>9</v>
      </c>
      <c r="F4639" s="3">
        <v>2100</v>
      </c>
      <c r="G4639" s="3">
        <v>2100</v>
      </c>
      <c r="H4639" t="s">
        <v>3</v>
      </c>
      <c r="I4639" t="s">
        <v>3</v>
      </c>
      <c r="J4639" t="s">
        <v>328</v>
      </c>
      <c r="K4639" t="s">
        <v>5</v>
      </c>
      <c r="L4639" t="s">
        <v>11</v>
      </c>
      <c r="M4639" t="s">
        <v>114</v>
      </c>
      <c r="N4639" s="2">
        <v>45991</v>
      </c>
    </row>
    <row r="4640" spans="1:14" x14ac:dyDescent="0.25">
      <c r="A4640" t="s">
        <v>624</v>
      </c>
      <c r="B4640" s="2">
        <v>45991</v>
      </c>
      <c r="C4640" t="s">
        <v>624</v>
      </c>
      <c r="D4640" t="s">
        <v>301</v>
      </c>
      <c r="E4640" t="s">
        <v>9</v>
      </c>
      <c r="F4640" s="3">
        <v>-2100</v>
      </c>
      <c r="G4640" s="3">
        <v>-2100</v>
      </c>
      <c r="H4640" t="s">
        <v>3</v>
      </c>
      <c r="I4640" t="s">
        <v>3</v>
      </c>
      <c r="J4640" t="s">
        <v>10</v>
      </c>
      <c r="K4640" t="s">
        <v>5</v>
      </c>
      <c r="L4640" t="s">
        <v>11</v>
      </c>
      <c r="M4640" t="s">
        <v>302</v>
      </c>
      <c r="N4640" s="2">
        <v>45991</v>
      </c>
    </row>
    <row r="4641" spans="1:14" x14ac:dyDescent="0.25">
      <c r="A4641" s="4" t="s">
        <v>226</v>
      </c>
      <c r="B4641" s="5"/>
      <c r="C4641" s="4" t="s">
        <v>9</v>
      </c>
      <c r="D4641" s="4" t="s">
        <v>9</v>
      </c>
      <c r="E4641" s="4" t="s">
        <v>9</v>
      </c>
      <c r="F4641" s="6">
        <v>0</v>
      </c>
      <c r="G4641" s="6">
        <v>0</v>
      </c>
      <c r="H4641" s="4" t="s">
        <v>9</v>
      </c>
      <c r="I4641" s="4" t="s">
        <v>3</v>
      </c>
      <c r="J4641" s="4" t="s">
        <v>9</v>
      </c>
      <c r="K4641" s="4" t="s">
        <v>9</v>
      </c>
      <c r="L4641" s="4" t="s">
        <v>9</v>
      </c>
      <c r="M4641" s="4" t="s">
        <v>9</v>
      </c>
      <c r="N4641" s="5"/>
    </row>
    <row r="4642" spans="1:14" x14ac:dyDescent="0.25">
      <c r="A4642" t="s">
        <v>624</v>
      </c>
      <c r="B4642" s="2">
        <v>46028</v>
      </c>
      <c r="C4642" t="s">
        <v>624</v>
      </c>
      <c r="D4642" t="s">
        <v>112</v>
      </c>
      <c r="E4642" t="s">
        <v>9</v>
      </c>
      <c r="F4642" s="3">
        <v>-800</v>
      </c>
      <c r="G4642" s="3">
        <v>-800</v>
      </c>
      <c r="H4642" t="s">
        <v>3</v>
      </c>
      <c r="I4642" t="s">
        <v>3</v>
      </c>
      <c r="J4642" t="s">
        <v>9</v>
      </c>
      <c r="K4642" t="s">
        <v>9</v>
      </c>
      <c r="L4642" t="s">
        <v>12</v>
      </c>
      <c r="M4642" t="s">
        <v>114</v>
      </c>
      <c r="N4642" s="2">
        <v>46022</v>
      </c>
    </row>
    <row r="4643" spans="1:14" x14ac:dyDescent="0.25">
      <c r="A4643" t="s">
        <v>624</v>
      </c>
      <c r="B4643" s="2">
        <v>46028</v>
      </c>
      <c r="C4643" t="s">
        <v>624</v>
      </c>
      <c r="D4643" t="s">
        <v>301</v>
      </c>
      <c r="E4643" t="s">
        <v>9</v>
      </c>
      <c r="F4643" s="3">
        <v>800</v>
      </c>
      <c r="G4643" s="3">
        <v>800</v>
      </c>
      <c r="H4643" t="s">
        <v>3</v>
      </c>
      <c r="I4643" t="s">
        <v>3</v>
      </c>
      <c r="J4643" t="s">
        <v>9</v>
      </c>
      <c r="K4643" t="s">
        <v>9</v>
      </c>
      <c r="L4643" t="s">
        <v>12</v>
      </c>
      <c r="M4643" t="s">
        <v>302</v>
      </c>
      <c r="N4643" s="2">
        <v>46022</v>
      </c>
    </row>
    <row r="4644" spans="1:14" x14ac:dyDescent="0.25">
      <c r="A4644" t="s">
        <v>624</v>
      </c>
      <c r="B4644" s="2">
        <v>45991</v>
      </c>
      <c r="C4644" t="s">
        <v>624</v>
      </c>
      <c r="D4644" t="s">
        <v>112</v>
      </c>
      <c r="E4644" t="s">
        <v>9</v>
      </c>
      <c r="F4644" s="3">
        <v>-2100</v>
      </c>
      <c r="G4644" s="3">
        <v>-2100</v>
      </c>
      <c r="H4644" t="s">
        <v>3</v>
      </c>
      <c r="I4644" t="s">
        <v>3</v>
      </c>
      <c r="J4644" t="s">
        <v>328</v>
      </c>
      <c r="K4644" t="s">
        <v>5</v>
      </c>
      <c r="L4644" t="s">
        <v>12</v>
      </c>
      <c r="M4644" t="s">
        <v>114</v>
      </c>
      <c r="N4644" s="2">
        <v>45992</v>
      </c>
    </row>
    <row r="4645" spans="1:14" x14ac:dyDescent="0.25">
      <c r="A4645" t="s">
        <v>624</v>
      </c>
      <c r="B4645" s="2">
        <v>46022</v>
      </c>
      <c r="C4645" t="s">
        <v>624</v>
      </c>
      <c r="D4645" t="s">
        <v>112</v>
      </c>
      <c r="E4645" t="s">
        <v>9</v>
      </c>
      <c r="F4645" s="3">
        <v>2900</v>
      </c>
      <c r="G4645" s="3">
        <v>2900</v>
      </c>
      <c r="H4645" t="s">
        <v>3</v>
      </c>
      <c r="I4645" t="s">
        <v>3</v>
      </c>
      <c r="J4645" t="s">
        <v>298</v>
      </c>
      <c r="K4645" t="s">
        <v>5</v>
      </c>
      <c r="L4645" t="s">
        <v>12</v>
      </c>
      <c r="M4645" t="s">
        <v>114</v>
      </c>
      <c r="N4645" s="2">
        <v>46022</v>
      </c>
    </row>
    <row r="4646" spans="1:14" x14ac:dyDescent="0.25">
      <c r="A4646" t="s">
        <v>624</v>
      </c>
      <c r="B4646" s="2">
        <v>46022</v>
      </c>
      <c r="C4646" t="s">
        <v>624</v>
      </c>
      <c r="D4646" t="s">
        <v>301</v>
      </c>
      <c r="E4646" t="s">
        <v>9</v>
      </c>
      <c r="F4646" s="3">
        <v>-800</v>
      </c>
      <c r="G4646" s="3">
        <v>-800</v>
      </c>
      <c r="H4646" t="s">
        <v>3</v>
      </c>
      <c r="I4646" t="s">
        <v>3</v>
      </c>
      <c r="J4646" t="s">
        <v>10</v>
      </c>
      <c r="K4646" t="s">
        <v>5</v>
      </c>
      <c r="L4646" t="s">
        <v>12</v>
      </c>
      <c r="M4646" t="s">
        <v>302</v>
      </c>
      <c r="N4646" s="2">
        <v>46022</v>
      </c>
    </row>
    <row r="4647" spans="1:14" x14ac:dyDescent="0.25">
      <c r="A4647" t="s">
        <v>624</v>
      </c>
      <c r="B4647" s="2">
        <v>46022</v>
      </c>
      <c r="C4647" t="s">
        <v>624</v>
      </c>
      <c r="D4647" t="s">
        <v>112</v>
      </c>
      <c r="E4647" t="s">
        <v>9</v>
      </c>
      <c r="F4647" s="3">
        <v>2900</v>
      </c>
      <c r="G4647" s="3">
        <v>2900</v>
      </c>
      <c r="H4647" t="s">
        <v>3</v>
      </c>
      <c r="I4647" t="s">
        <v>3</v>
      </c>
      <c r="J4647" t="s">
        <v>298</v>
      </c>
      <c r="K4647" t="s">
        <v>5</v>
      </c>
      <c r="L4647" t="s">
        <v>12</v>
      </c>
      <c r="M4647" t="s">
        <v>114</v>
      </c>
      <c r="N4647" s="2">
        <v>46022</v>
      </c>
    </row>
    <row r="4648" spans="1:14" x14ac:dyDescent="0.25">
      <c r="A4648" t="s">
        <v>624</v>
      </c>
      <c r="B4648" s="2">
        <v>46022</v>
      </c>
      <c r="C4648" t="s">
        <v>624</v>
      </c>
      <c r="D4648" t="s">
        <v>112</v>
      </c>
      <c r="E4648" t="s">
        <v>9</v>
      </c>
      <c r="F4648" s="3">
        <v>-2900</v>
      </c>
      <c r="G4648" s="3">
        <v>-2900</v>
      </c>
      <c r="H4648" t="s">
        <v>3</v>
      </c>
      <c r="I4648" t="s">
        <v>3</v>
      </c>
      <c r="J4648" t="s">
        <v>298</v>
      </c>
      <c r="K4648" t="s">
        <v>5</v>
      </c>
      <c r="L4648" t="s">
        <v>12</v>
      </c>
      <c r="M4648" t="s">
        <v>114</v>
      </c>
      <c r="N4648" s="2">
        <v>46022</v>
      </c>
    </row>
    <row r="4649" spans="1:14" x14ac:dyDescent="0.25">
      <c r="A4649" s="4" t="s">
        <v>228</v>
      </c>
      <c r="B4649" s="5"/>
      <c r="C4649" s="4" t="s">
        <v>9</v>
      </c>
      <c r="D4649" s="4" t="s">
        <v>9</v>
      </c>
      <c r="E4649" s="4" t="s">
        <v>9</v>
      </c>
      <c r="F4649" s="6">
        <v>0</v>
      </c>
      <c r="G4649" s="6">
        <v>0</v>
      </c>
      <c r="H4649" s="4" t="s">
        <v>9</v>
      </c>
      <c r="I4649" s="4" t="s">
        <v>3</v>
      </c>
      <c r="J4649" s="4" t="s">
        <v>9</v>
      </c>
      <c r="K4649" s="4" t="s">
        <v>9</v>
      </c>
      <c r="L4649" s="4" t="s">
        <v>9</v>
      </c>
      <c r="M4649" s="4" t="s">
        <v>9</v>
      </c>
      <c r="N4649" s="5"/>
    </row>
    <row r="4650" spans="1:14" x14ac:dyDescent="0.25">
      <c r="A4650" s="4" t="s">
        <v>624</v>
      </c>
      <c r="B4650" s="5"/>
      <c r="C4650" s="4" t="s">
        <v>9</v>
      </c>
      <c r="D4650" s="4" t="s">
        <v>9</v>
      </c>
      <c r="E4650" s="4" t="s">
        <v>9</v>
      </c>
      <c r="F4650" s="6">
        <v>0</v>
      </c>
      <c r="G4650" s="6">
        <v>0</v>
      </c>
      <c r="H4650" s="4" t="s">
        <v>9</v>
      </c>
      <c r="I4650" s="4" t="s">
        <v>3</v>
      </c>
      <c r="J4650" s="4" t="s">
        <v>9</v>
      </c>
      <c r="K4650" s="4" t="s">
        <v>9</v>
      </c>
      <c r="L4650" s="4" t="s">
        <v>9</v>
      </c>
      <c r="M4650" s="4" t="s">
        <v>9</v>
      </c>
      <c r="N4650" s="5"/>
    </row>
    <row r="4651" spans="1:14" x14ac:dyDescent="0.25">
      <c r="A4651" t="s">
        <v>625</v>
      </c>
      <c r="B4651" s="2">
        <v>46056</v>
      </c>
      <c r="C4651" t="s">
        <v>625</v>
      </c>
      <c r="D4651" t="s">
        <v>112</v>
      </c>
      <c r="E4651" t="s">
        <v>9</v>
      </c>
      <c r="F4651" s="3">
        <v>-21550</v>
      </c>
      <c r="G4651" s="3">
        <v>-21550</v>
      </c>
      <c r="H4651" t="s">
        <v>3</v>
      </c>
      <c r="I4651" t="s">
        <v>3</v>
      </c>
      <c r="J4651" t="s">
        <v>9</v>
      </c>
      <c r="K4651" t="s">
        <v>9</v>
      </c>
      <c r="L4651" t="s">
        <v>14</v>
      </c>
      <c r="M4651" t="s">
        <v>114</v>
      </c>
      <c r="N4651" s="2">
        <v>46053</v>
      </c>
    </row>
    <row r="4652" spans="1:14" x14ac:dyDescent="0.25">
      <c r="A4652" t="s">
        <v>625</v>
      </c>
      <c r="B4652" s="2">
        <v>46056</v>
      </c>
      <c r="C4652" t="s">
        <v>625</v>
      </c>
      <c r="D4652" t="s">
        <v>301</v>
      </c>
      <c r="E4652" t="s">
        <v>9</v>
      </c>
      <c r="F4652" s="3">
        <v>21950</v>
      </c>
      <c r="G4652" s="3">
        <v>21950</v>
      </c>
      <c r="H4652" t="s">
        <v>3</v>
      </c>
      <c r="I4652" t="s">
        <v>3</v>
      </c>
      <c r="J4652" t="s">
        <v>9</v>
      </c>
      <c r="K4652" t="s">
        <v>9</v>
      </c>
      <c r="L4652" t="s">
        <v>14</v>
      </c>
      <c r="M4652" t="s">
        <v>302</v>
      </c>
      <c r="N4652" s="2">
        <v>46053</v>
      </c>
    </row>
    <row r="4653" spans="1:14" x14ac:dyDescent="0.25">
      <c r="A4653" t="s">
        <v>625</v>
      </c>
      <c r="B4653" s="2">
        <v>46022</v>
      </c>
      <c r="C4653" t="s">
        <v>625</v>
      </c>
      <c r="D4653" t="s">
        <v>112</v>
      </c>
      <c r="E4653" t="s">
        <v>9</v>
      </c>
      <c r="F4653" s="3">
        <v>-37600</v>
      </c>
      <c r="G4653" s="3">
        <v>-37600</v>
      </c>
      <c r="H4653" t="s">
        <v>3</v>
      </c>
      <c r="I4653" t="s">
        <v>3</v>
      </c>
      <c r="J4653" t="s">
        <v>298</v>
      </c>
      <c r="K4653" t="s">
        <v>13</v>
      </c>
      <c r="L4653" t="s">
        <v>14</v>
      </c>
      <c r="M4653" t="s">
        <v>114</v>
      </c>
      <c r="N4653" s="2">
        <v>46023</v>
      </c>
    </row>
    <row r="4654" spans="1:14" x14ac:dyDescent="0.25">
      <c r="A4654" t="s">
        <v>625</v>
      </c>
      <c r="B4654" s="2">
        <v>46022</v>
      </c>
      <c r="C4654" t="s">
        <v>625</v>
      </c>
      <c r="D4654" t="s">
        <v>112</v>
      </c>
      <c r="E4654" t="s">
        <v>9</v>
      </c>
      <c r="F4654" s="3">
        <v>-400</v>
      </c>
      <c r="G4654" s="3">
        <v>-400</v>
      </c>
      <c r="H4654" t="s">
        <v>3</v>
      </c>
      <c r="I4654" t="s">
        <v>3</v>
      </c>
      <c r="J4654" t="s">
        <v>299</v>
      </c>
      <c r="K4654" t="s">
        <v>13</v>
      </c>
      <c r="L4654" t="s">
        <v>14</v>
      </c>
      <c r="M4654" t="s">
        <v>114</v>
      </c>
      <c r="N4654" s="2">
        <v>46023</v>
      </c>
    </row>
    <row r="4655" spans="1:14" x14ac:dyDescent="0.25">
      <c r="A4655" t="s">
        <v>625</v>
      </c>
      <c r="B4655" s="2">
        <v>46023</v>
      </c>
      <c r="C4655" t="s">
        <v>625</v>
      </c>
      <c r="D4655" t="s">
        <v>112</v>
      </c>
      <c r="E4655" t="s">
        <v>9</v>
      </c>
      <c r="F4655" s="3">
        <v>37600</v>
      </c>
      <c r="G4655" s="3">
        <v>37600</v>
      </c>
      <c r="H4655" t="s">
        <v>3</v>
      </c>
      <c r="I4655" t="s">
        <v>3</v>
      </c>
      <c r="J4655" t="s">
        <v>298</v>
      </c>
      <c r="K4655" t="s">
        <v>13</v>
      </c>
      <c r="L4655" t="s">
        <v>14</v>
      </c>
      <c r="M4655" t="s">
        <v>114</v>
      </c>
      <c r="N4655" s="2">
        <v>46023</v>
      </c>
    </row>
    <row r="4656" spans="1:14" x14ac:dyDescent="0.25">
      <c r="A4656" t="s">
        <v>625</v>
      </c>
      <c r="B4656" s="2">
        <v>46023</v>
      </c>
      <c r="C4656" t="s">
        <v>625</v>
      </c>
      <c r="D4656" t="s">
        <v>112</v>
      </c>
      <c r="E4656" t="s">
        <v>9</v>
      </c>
      <c r="F4656" s="3">
        <v>400</v>
      </c>
      <c r="G4656" s="3">
        <v>400</v>
      </c>
      <c r="H4656" t="s">
        <v>3</v>
      </c>
      <c r="I4656" t="s">
        <v>3</v>
      </c>
      <c r="J4656" t="s">
        <v>299</v>
      </c>
      <c r="K4656" t="s">
        <v>13</v>
      </c>
      <c r="L4656" t="s">
        <v>14</v>
      </c>
      <c r="M4656" t="s">
        <v>114</v>
      </c>
      <c r="N4656" s="2">
        <v>46023</v>
      </c>
    </row>
    <row r="4657" spans="1:14" x14ac:dyDescent="0.25">
      <c r="A4657" t="s">
        <v>625</v>
      </c>
      <c r="B4657" s="2">
        <v>46053</v>
      </c>
      <c r="C4657" t="s">
        <v>625</v>
      </c>
      <c r="D4657" t="s">
        <v>112</v>
      </c>
      <c r="E4657" t="s">
        <v>9</v>
      </c>
      <c r="F4657" s="3">
        <v>21250</v>
      </c>
      <c r="G4657" s="3">
        <v>21250</v>
      </c>
      <c r="H4657" t="s">
        <v>3</v>
      </c>
      <c r="I4657" t="s">
        <v>3</v>
      </c>
      <c r="J4657" t="s">
        <v>300</v>
      </c>
      <c r="K4657" t="s">
        <v>13</v>
      </c>
      <c r="L4657" t="s">
        <v>14</v>
      </c>
      <c r="M4657" t="s">
        <v>114</v>
      </c>
      <c r="N4657" s="2">
        <v>46053</v>
      </c>
    </row>
    <row r="4658" spans="1:14" x14ac:dyDescent="0.25">
      <c r="A4658" t="s">
        <v>625</v>
      </c>
      <c r="B4658" s="2">
        <v>46053</v>
      </c>
      <c r="C4658" t="s">
        <v>625</v>
      </c>
      <c r="D4658" t="s">
        <v>112</v>
      </c>
      <c r="E4658" t="s">
        <v>9</v>
      </c>
      <c r="F4658" s="3">
        <v>300</v>
      </c>
      <c r="G4658" s="3">
        <v>300</v>
      </c>
      <c r="H4658" t="s">
        <v>3</v>
      </c>
      <c r="I4658" t="s">
        <v>3</v>
      </c>
      <c r="J4658" t="s">
        <v>367</v>
      </c>
      <c r="K4658" t="s">
        <v>13</v>
      </c>
      <c r="L4658" t="s">
        <v>14</v>
      </c>
      <c r="M4658" t="s">
        <v>114</v>
      </c>
      <c r="N4658" s="2">
        <v>46053</v>
      </c>
    </row>
    <row r="4659" spans="1:14" x14ac:dyDescent="0.25">
      <c r="A4659" t="s">
        <v>625</v>
      </c>
      <c r="B4659" s="2">
        <v>46053</v>
      </c>
      <c r="C4659" t="s">
        <v>625</v>
      </c>
      <c r="D4659" t="s">
        <v>301</v>
      </c>
      <c r="E4659" t="s">
        <v>9</v>
      </c>
      <c r="F4659" s="3">
        <v>-21950</v>
      </c>
      <c r="G4659" s="3">
        <v>-21950</v>
      </c>
      <c r="H4659" t="s">
        <v>3</v>
      </c>
      <c r="I4659" t="s">
        <v>3</v>
      </c>
      <c r="J4659" t="s">
        <v>10</v>
      </c>
      <c r="K4659" t="s">
        <v>13</v>
      </c>
      <c r="L4659" t="s">
        <v>14</v>
      </c>
      <c r="M4659" t="s">
        <v>302</v>
      </c>
      <c r="N4659" s="2">
        <v>46053</v>
      </c>
    </row>
    <row r="4660" spans="1:14" x14ac:dyDescent="0.25">
      <c r="A4660" s="4" t="s">
        <v>234</v>
      </c>
      <c r="B4660" s="5"/>
      <c r="C4660" s="4" t="s">
        <v>9</v>
      </c>
      <c r="D4660" s="4" t="s">
        <v>9</v>
      </c>
      <c r="E4660" s="4" t="s">
        <v>9</v>
      </c>
      <c r="F4660" s="6">
        <v>0</v>
      </c>
      <c r="G4660" s="6">
        <v>0</v>
      </c>
      <c r="H4660" s="4" t="s">
        <v>9</v>
      </c>
      <c r="I4660" s="4" t="s">
        <v>3</v>
      </c>
      <c r="J4660" s="4" t="s">
        <v>9</v>
      </c>
      <c r="K4660" s="4" t="s">
        <v>9</v>
      </c>
      <c r="L4660" s="4" t="s">
        <v>9</v>
      </c>
      <c r="M4660" s="4" t="s">
        <v>9</v>
      </c>
      <c r="N4660" s="5"/>
    </row>
    <row r="4661" spans="1:14" x14ac:dyDescent="0.25">
      <c r="A4661" t="s">
        <v>625</v>
      </c>
      <c r="B4661" s="2">
        <v>46084</v>
      </c>
      <c r="C4661" t="s">
        <v>625</v>
      </c>
      <c r="D4661" t="s">
        <v>112</v>
      </c>
      <c r="E4661" t="s">
        <v>9</v>
      </c>
      <c r="F4661" s="3">
        <v>-28100</v>
      </c>
      <c r="G4661" s="3">
        <v>-28100</v>
      </c>
      <c r="H4661" t="s">
        <v>3</v>
      </c>
      <c r="I4661" t="s">
        <v>3</v>
      </c>
      <c r="J4661" t="s">
        <v>9</v>
      </c>
      <c r="K4661" t="s">
        <v>9</v>
      </c>
      <c r="L4661" t="s">
        <v>15</v>
      </c>
      <c r="M4661" t="s">
        <v>114</v>
      </c>
      <c r="N4661" s="2">
        <v>46081</v>
      </c>
    </row>
    <row r="4662" spans="1:14" x14ac:dyDescent="0.25">
      <c r="A4662" t="s">
        <v>625</v>
      </c>
      <c r="B4662" s="2">
        <v>46084</v>
      </c>
      <c r="C4662" t="s">
        <v>625</v>
      </c>
      <c r="D4662" t="s">
        <v>301</v>
      </c>
      <c r="E4662" t="s">
        <v>9</v>
      </c>
      <c r="F4662" s="3">
        <v>27700</v>
      </c>
      <c r="G4662" s="3">
        <v>27700</v>
      </c>
      <c r="H4662" t="s">
        <v>3</v>
      </c>
      <c r="I4662" t="s">
        <v>3</v>
      </c>
      <c r="J4662" t="s">
        <v>9</v>
      </c>
      <c r="K4662" t="s">
        <v>9</v>
      </c>
      <c r="L4662" t="s">
        <v>15</v>
      </c>
      <c r="M4662" t="s">
        <v>302</v>
      </c>
      <c r="N4662" s="2">
        <v>46081</v>
      </c>
    </row>
    <row r="4663" spans="1:14" x14ac:dyDescent="0.25">
      <c r="A4663" t="s">
        <v>625</v>
      </c>
      <c r="B4663" s="2">
        <v>46054</v>
      </c>
      <c r="C4663" t="s">
        <v>625</v>
      </c>
      <c r="D4663" t="s">
        <v>112</v>
      </c>
      <c r="E4663" t="s">
        <v>9</v>
      </c>
      <c r="F4663" s="3">
        <v>-21250</v>
      </c>
      <c r="G4663" s="3">
        <v>-21250</v>
      </c>
      <c r="H4663" t="s">
        <v>3</v>
      </c>
      <c r="I4663" t="s">
        <v>3</v>
      </c>
      <c r="J4663" t="s">
        <v>300</v>
      </c>
      <c r="K4663" t="s">
        <v>13</v>
      </c>
      <c r="L4663" t="s">
        <v>15</v>
      </c>
      <c r="M4663" t="s">
        <v>114</v>
      </c>
      <c r="N4663" s="2">
        <v>46054</v>
      </c>
    </row>
    <row r="4664" spans="1:14" x14ac:dyDescent="0.25">
      <c r="A4664" t="s">
        <v>625</v>
      </c>
      <c r="B4664" s="2">
        <v>46054</v>
      </c>
      <c r="C4664" t="s">
        <v>625</v>
      </c>
      <c r="D4664" t="s">
        <v>112</v>
      </c>
      <c r="E4664" t="s">
        <v>9</v>
      </c>
      <c r="F4664" s="3">
        <v>-300</v>
      </c>
      <c r="G4664" s="3">
        <v>-300</v>
      </c>
      <c r="H4664" t="s">
        <v>3</v>
      </c>
      <c r="I4664" t="s">
        <v>3</v>
      </c>
      <c r="J4664" t="s">
        <v>367</v>
      </c>
      <c r="K4664" t="s">
        <v>13</v>
      </c>
      <c r="L4664" t="s">
        <v>15</v>
      </c>
      <c r="M4664" t="s">
        <v>114</v>
      </c>
      <c r="N4664" s="2">
        <v>46054</v>
      </c>
    </row>
    <row r="4665" spans="1:14" x14ac:dyDescent="0.25">
      <c r="A4665" t="s">
        <v>625</v>
      </c>
      <c r="B4665" s="2">
        <v>46054</v>
      </c>
      <c r="C4665" t="s">
        <v>625</v>
      </c>
      <c r="D4665" t="s">
        <v>112</v>
      </c>
      <c r="E4665" t="s">
        <v>9</v>
      </c>
      <c r="F4665" s="3">
        <v>21250</v>
      </c>
      <c r="G4665" s="3">
        <v>21250</v>
      </c>
      <c r="H4665" t="s">
        <v>3</v>
      </c>
      <c r="I4665" t="s">
        <v>3</v>
      </c>
      <c r="J4665" t="s">
        <v>300</v>
      </c>
      <c r="K4665" t="s">
        <v>13</v>
      </c>
      <c r="L4665" t="s">
        <v>15</v>
      </c>
      <c r="M4665" t="s">
        <v>114</v>
      </c>
      <c r="N4665" s="2">
        <v>46055</v>
      </c>
    </row>
    <row r="4666" spans="1:14" x14ac:dyDescent="0.25">
      <c r="A4666" t="s">
        <v>625</v>
      </c>
      <c r="B4666" s="2">
        <v>46054</v>
      </c>
      <c r="C4666" t="s">
        <v>625</v>
      </c>
      <c r="D4666" t="s">
        <v>112</v>
      </c>
      <c r="E4666" t="s">
        <v>9</v>
      </c>
      <c r="F4666" s="3">
        <v>300</v>
      </c>
      <c r="G4666" s="3">
        <v>300</v>
      </c>
      <c r="H4666" t="s">
        <v>3</v>
      </c>
      <c r="I4666" t="s">
        <v>3</v>
      </c>
      <c r="J4666" t="s">
        <v>367</v>
      </c>
      <c r="K4666" t="s">
        <v>13</v>
      </c>
      <c r="L4666" t="s">
        <v>15</v>
      </c>
      <c r="M4666" t="s">
        <v>114</v>
      </c>
      <c r="N4666" s="2">
        <v>46055</v>
      </c>
    </row>
    <row r="4667" spans="1:14" x14ac:dyDescent="0.25">
      <c r="A4667" t="s">
        <v>625</v>
      </c>
      <c r="B4667" s="2">
        <v>46054</v>
      </c>
      <c r="C4667" t="s">
        <v>625</v>
      </c>
      <c r="D4667" t="s">
        <v>112</v>
      </c>
      <c r="E4667" t="s">
        <v>9</v>
      </c>
      <c r="F4667" s="3">
        <v>-21250</v>
      </c>
      <c r="G4667" s="3">
        <v>-21250</v>
      </c>
      <c r="H4667" t="s">
        <v>3</v>
      </c>
      <c r="I4667" t="s">
        <v>3</v>
      </c>
      <c r="J4667" t="s">
        <v>300</v>
      </c>
      <c r="K4667" t="s">
        <v>13</v>
      </c>
      <c r="L4667" t="s">
        <v>15</v>
      </c>
      <c r="M4667" t="s">
        <v>114</v>
      </c>
      <c r="N4667" s="2">
        <v>46054</v>
      </c>
    </row>
    <row r="4668" spans="1:14" x14ac:dyDescent="0.25">
      <c r="A4668" t="s">
        <v>625</v>
      </c>
      <c r="B4668" s="2">
        <v>46054</v>
      </c>
      <c r="C4668" t="s">
        <v>625</v>
      </c>
      <c r="D4668" t="s">
        <v>112</v>
      </c>
      <c r="E4668" t="s">
        <v>9</v>
      </c>
      <c r="F4668" s="3">
        <v>-300</v>
      </c>
      <c r="G4668" s="3">
        <v>-300</v>
      </c>
      <c r="H4668" t="s">
        <v>3</v>
      </c>
      <c r="I4668" t="s">
        <v>3</v>
      </c>
      <c r="J4668" t="s">
        <v>367</v>
      </c>
      <c r="K4668" t="s">
        <v>13</v>
      </c>
      <c r="L4668" t="s">
        <v>15</v>
      </c>
      <c r="M4668" t="s">
        <v>114</v>
      </c>
      <c r="N4668" s="2">
        <v>46054</v>
      </c>
    </row>
    <row r="4669" spans="1:14" x14ac:dyDescent="0.25">
      <c r="A4669" t="s">
        <v>625</v>
      </c>
      <c r="B4669" s="2">
        <v>46081</v>
      </c>
      <c r="C4669" t="s">
        <v>625</v>
      </c>
      <c r="D4669" t="s">
        <v>301</v>
      </c>
      <c r="E4669" t="s">
        <v>9</v>
      </c>
      <c r="F4669" s="3">
        <v>-27700</v>
      </c>
      <c r="G4669" s="3">
        <v>-27700</v>
      </c>
      <c r="H4669" t="s">
        <v>3</v>
      </c>
      <c r="I4669" t="s">
        <v>3</v>
      </c>
      <c r="J4669" t="s">
        <v>10</v>
      </c>
      <c r="K4669" t="s">
        <v>13</v>
      </c>
      <c r="L4669" t="s">
        <v>15</v>
      </c>
      <c r="M4669" t="s">
        <v>302</v>
      </c>
      <c r="N4669" s="2">
        <v>46081</v>
      </c>
    </row>
    <row r="4670" spans="1:14" x14ac:dyDescent="0.25">
      <c r="A4670" t="s">
        <v>625</v>
      </c>
      <c r="B4670" s="2">
        <v>46081</v>
      </c>
      <c r="C4670" t="s">
        <v>625</v>
      </c>
      <c r="D4670" t="s">
        <v>112</v>
      </c>
      <c r="E4670" t="s">
        <v>9</v>
      </c>
      <c r="F4670" s="3">
        <v>48550</v>
      </c>
      <c r="G4670" s="3">
        <v>48550</v>
      </c>
      <c r="H4670" t="s">
        <v>3</v>
      </c>
      <c r="I4670" t="s">
        <v>3</v>
      </c>
      <c r="J4670" t="s">
        <v>304</v>
      </c>
      <c r="K4670" t="s">
        <v>13</v>
      </c>
      <c r="L4670" t="s">
        <v>15</v>
      </c>
      <c r="M4670" t="s">
        <v>114</v>
      </c>
      <c r="N4670" s="2">
        <v>46081</v>
      </c>
    </row>
    <row r="4671" spans="1:14" x14ac:dyDescent="0.25">
      <c r="A4671" t="s">
        <v>625</v>
      </c>
      <c r="B4671" s="2">
        <v>46081</v>
      </c>
      <c r="C4671" t="s">
        <v>625</v>
      </c>
      <c r="D4671" t="s">
        <v>112</v>
      </c>
      <c r="E4671" t="s">
        <v>9</v>
      </c>
      <c r="F4671" s="3">
        <v>300</v>
      </c>
      <c r="G4671" s="3">
        <v>300</v>
      </c>
      <c r="H4671" t="s">
        <v>3</v>
      </c>
      <c r="I4671" t="s">
        <v>3</v>
      </c>
      <c r="J4671" t="s">
        <v>368</v>
      </c>
      <c r="K4671" t="s">
        <v>13</v>
      </c>
      <c r="L4671" t="s">
        <v>15</v>
      </c>
      <c r="M4671" t="s">
        <v>114</v>
      </c>
      <c r="N4671" s="2">
        <v>46081</v>
      </c>
    </row>
    <row r="4672" spans="1:14" x14ac:dyDescent="0.25">
      <c r="A4672" t="s">
        <v>625</v>
      </c>
      <c r="B4672" s="2">
        <v>46081</v>
      </c>
      <c r="C4672" t="s">
        <v>625</v>
      </c>
      <c r="D4672" t="s">
        <v>112</v>
      </c>
      <c r="E4672" t="s">
        <v>9</v>
      </c>
      <c r="F4672" s="3">
        <v>800</v>
      </c>
      <c r="G4672" s="3">
        <v>800</v>
      </c>
      <c r="H4672" t="s">
        <v>3</v>
      </c>
      <c r="I4672" t="s">
        <v>3</v>
      </c>
      <c r="J4672" t="s">
        <v>393</v>
      </c>
      <c r="K4672" t="s">
        <v>13</v>
      </c>
      <c r="L4672" t="s">
        <v>15</v>
      </c>
      <c r="M4672" t="s">
        <v>114</v>
      </c>
      <c r="N4672" s="2">
        <v>46081</v>
      </c>
    </row>
    <row r="4673" spans="1:14" x14ac:dyDescent="0.25">
      <c r="A4673" s="4" t="s">
        <v>239</v>
      </c>
      <c r="B4673" s="5"/>
      <c r="C4673" s="4" t="s">
        <v>9</v>
      </c>
      <c r="D4673" s="4" t="s">
        <v>9</v>
      </c>
      <c r="E4673" s="4" t="s">
        <v>9</v>
      </c>
      <c r="F4673" s="6">
        <v>0</v>
      </c>
      <c r="G4673" s="6">
        <v>0</v>
      </c>
      <c r="H4673" s="4" t="s">
        <v>9</v>
      </c>
      <c r="I4673" s="4" t="s">
        <v>3</v>
      </c>
      <c r="J4673" s="4" t="s">
        <v>9</v>
      </c>
      <c r="K4673" s="4" t="s">
        <v>9</v>
      </c>
      <c r="L4673" s="4" t="s">
        <v>9</v>
      </c>
      <c r="M4673" s="4" t="s">
        <v>9</v>
      </c>
      <c r="N4673" s="5"/>
    </row>
    <row r="4674" spans="1:14" x14ac:dyDescent="0.25">
      <c r="A4674" t="s">
        <v>625</v>
      </c>
      <c r="B4674" s="2">
        <v>46115</v>
      </c>
      <c r="C4674" t="s">
        <v>625</v>
      </c>
      <c r="D4674" t="s">
        <v>112</v>
      </c>
      <c r="E4674" t="s">
        <v>9</v>
      </c>
      <c r="F4674" s="3">
        <v>-51750</v>
      </c>
      <c r="G4674" s="3">
        <v>-51750</v>
      </c>
      <c r="H4674" t="s">
        <v>3</v>
      </c>
      <c r="I4674" t="s">
        <v>3</v>
      </c>
      <c r="J4674" t="s">
        <v>9</v>
      </c>
      <c r="K4674" t="s">
        <v>9</v>
      </c>
      <c r="L4674" t="s">
        <v>16</v>
      </c>
      <c r="M4674" t="s">
        <v>114</v>
      </c>
      <c r="N4674" s="2">
        <v>46112</v>
      </c>
    </row>
    <row r="4675" spans="1:14" x14ac:dyDescent="0.25">
      <c r="A4675" t="s">
        <v>625</v>
      </c>
      <c r="B4675" s="2">
        <v>46115</v>
      </c>
      <c r="C4675" t="s">
        <v>625</v>
      </c>
      <c r="D4675" t="s">
        <v>301</v>
      </c>
      <c r="E4675" t="s">
        <v>9</v>
      </c>
      <c r="F4675" s="3">
        <v>51750</v>
      </c>
      <c r="G4675" s="3">
        <v>51750</v>
      </c>
      <c r="H4675" t="s">
        <v>3</v>
      </c>
      <c r="I4675" t="s">
        <v>3</v>
      </c>
      <c r="J4675" t="s">
        <v>9</v>
      </c>
      <c r="K4675" t="s">
        <v>9</v>
      </c>
      <c r="L4675" t="s">
        <v>16</v>
      </c>
      <c r="M4675" t="s">
        <v>302</v>
      </c>
      <c r="N4675" s="2">
        <v>46112</v>
      </c>
    </row>
    <row r="4676" spans="1:14" x14ac:dyDescent="0.25">
      <c r="A4676" t="s">
        <v>625</v>
      </c>
      <c r="B4676" s="2">
        <v>46081</v>
      </c>
      <c r="C4676" t="s">
        <v>625</v>
      </c>
      <c r="D4676" t="s">
        <v>112</v>
      </c>
      <c r="E4676" t="s">
        <v>9</v>
      </c>
      <c r="F4676" s="3">
        <v>-48550</v>
      </c>
      <c r="G4676" s="3">
        <v>-48550</v>
      </c>
      <c r="H4676" t="s">
        <v>3</v>
      </c>
      <c r="I4676" t="s">
        <v>3</v>
      </c>
      <c r="J4676" t="s">
        <v>304</v>
      </c>
      <c r="K4676" t="s">
        <v>13</v>
      </c>
      <c r="L4676" t="s">
        <v>16</v>
      </c>
      <c r="M4676" t="s">
        <v>114</v>
      </c>
      <c r="N4676" s="2">
        <v>46082</v>
      </c>
    </row>
    <row r="4677" spans="1:14" x14ac:dyDescent="0.25">
      <c r="A4677" t="s">
        <v>625</v>
      </c>
      <c r="B4677" s="2">
        <v>46081</v>
      </c>
      <c r="C4677" t="s">
        <v>625</v>
      </c>
      <c r="D4677" t="s">
        <v>112</v>
      </c>
      <c r="E4677" t="s">
        <v>9</v>
      </c>
      <c r="F4677" s="3">
        <v>-300</v>
      </c>
      <c r="G4677" s="3">
        <v>-300</v>
      </c>
      <c r="H4677" t="s">
        <v>3</v>
      </c>
      <c r="I4677" t="s">
        <v>3</v>
      </c>
      <c r="J4677" t="s">
        <v>368</v>
      </c>
      <c r="K4677" t="s">
        <v>13</v>
      </c>
      <c r="L4677" t="s">
        <v>16</v>
      </c>
      <c r="M4677" t="s">
        <v>114</v>
      </c>
      <c r="N4677" s="2">
        <v>46082</v>
      </c>
    </row>
    <row r="4678" spans="1:14" x14ac:dyDescent="0.25">
      <c r="A4678" t="s">
        <v>625</v>
      </c>
      <c r="B4678" s="2">
        <v>46081</v>
      </c>
      <c r="C4678" t="s">
        <v>625</v>
      </c>
      <c r="D4678" t="s">
        <v>112</v>
      </c>
      <c r="E4678" t="s">
        <v>9</v>
      </c>
      <c r="F4678" s="3">
        <v>-800</v>
      </c>
      <c r="G4678" s="3">
        <v>-800</v>
      </c>
      <c r="H4678" t="s">
        <v>3</v>
      </c>
      <c r="I4678" t="s">
        <v>3</v>
      </c>
      <c r="J4678" t="s">
        <v>393</v>
      </c>
      <c r="K4678" t="s">
        <v>13</v>
      </c>
      <c r="L4678" t="s">
        <v>16</v>
      </c>
      <c r="M4678" t="s">
        <v>114</v>
      </c>
      <c r="N4678" s="2">
        <v>46082</v>
      </c>
    </row>
    <row r="4679" spans="1:14" x14ac:dyDescent="0.25">
      <c r="A4679" t="s">
        <v>625</v>
      </c>
      <c r="B4679" s="2">
        <v>46112</v>
      </c>
      <c r="C4679" t="s">
        <v>625</v>
      </c>
      <c r="D4679" t="s">
        <v>112</v>
      </c>
      <c r="E4679" t="s">
        <v>9</v>
      </c>
      <c r="F4679" s="3">
        <v>95900</v>
      </c>
      <c r="G4679" s="3">
        <v>95900</v>
      </c>
      <c r="H4679" t="s">
        <v>3</v>
      </c>
      <c r="I4679" t="s">
        <v>3</v>
      </c>
      <c r="J4679" t="s">
        <v>307</v>
      </c>
      <c r="K4679" t="s">
        <v>13</v>
      </c>
      <c r="L4679" t="s">
        <v>16</v>
      </c>
      <c r="M4679" t="s">
        <v>114</v>
      </c>
      <c r="N4679" s="2">
        <v>46112</v>
      </c>
    </row>
    <row r="4680" spans="1:14" x14ac:dyDescent="0.25">
      <c r="A4680" t="s">
        <v>625</v>
      </c>
      <c r="B4680" s="2">
        <v>46112</v>
      </c>
      <c r="C4680" t="s">
        <v>625</v>
      </c>
      <c r="D4680" t="s">
        <v>112</v>
      </c>
      <c r="E4680" t="s">
        <v>9</v>
      </c>
      <c r="F4680" s="3">
        <v>300</v>
      </c>
      <c r="G4680" s="3">
        <v>300</v>
      </c>
      <c r="H4680" t="s">
        <v>3</v>
      </c>
      <c r="I4680" t="s">
        <v>3</v>
      </c>
      <c r="J4680" t="s">
        <v>369</v>
      </c>
      <c r="K4680" t="s">
        <v>13</v>
      </c>
      <c r="L4680" t="s">
        <v>16</v>
      </c>
      <c r="M4680" t="s">
        <v>114</v>
      </c>
      <c r="N4680" s="2">
        <v>46112</v>
      </c>
    </row>
    <row r="4681" spans="1:14" x14ac:dyDescent="0.25">
      <c r="A4681" t="s">
        <v>625</v>
      </c>
      <c r="B4681" s="2">
        <v>46112</v>
      </c>
      <c r="C4681" t="s">
        <v>625</v>
      </c>
      <c r="D4681" t="s">
        <v>112</v>
      </c>
      <c r="E4681" t="s">
        <v>9</v>
      </c>
      <c r="F4681" s="3">
        <v>5200</v>
      </c>
      <c r="G4681" s="3">
        <v>5200</v>
      </c>
      <c r="H4681" t="s">
        <v>3</v>
      </c>
      <c r="I4681" t="s">
        <v>3</v>
      </c>
      <c r="J4681" t="s">
        <v>395</v>
      </c>
      <c r="K4681" t="s">
        <v>13</v>
      </c>
      <c r="L4681" t="s">
        <v>16</v>
      </c>
      <c r="M4681" t="s">
        <v>114</v>
      </c>
      <c r="N4681" s="2">
        <v>46112</v>
      </c>
    </row>
    <row r="4682" spans="1:14" x14ac:dyDescent="0.25">
      <c r="A4682" t="s">
        <v>625</v>
      </c>
      <c r="B4682" s="2">
        <v>46112</v>
      </c>
      <c r="C4682" t="s">
        <v>625</v>
      </c>
      <c r="D4682" t="s">
        <v>301</v>
      </c>
      <c r="E4682" t="s">
        <v>9</v>
      </c>
      <c r="F4682" s="3">
        <v>-51750</v>
      </c>
      <c r="G4682" s="3">
        <v>-51750</v>
      </c>
      <c r="H4682" t="s">
        <v>3</v>
      </c>
      <c r="I4682" t="s">
        <v>3</v>
      </c>
      <c r="J4682" t="s">
        <v>10</v>
      </c>
      <c r="K4682" t="s">
        <v>13</v>
      </c>
      <c r="L4682" t="s">
        <v>16</v>
      </c>
      <c r="M4682" t="s">
        <v>302</v>
      </c>
      <c r="N4682" s="2">
        <v>46112</v>
      </c>
    </row>
    <row r="4683" spans="1:14" x14ac:dyDescent="0.25">
      <c r="A4683" s="4" t="s">
        <v>244</v>
      </c>
      <c r="B4683" s="5"/>
      <c r="C4683" s="4" t="s">
        <v>9</v>
      </c>
      <c r="D4683" s="4" t="s">
        <v>9</v>
      </c>
      <c r="E4683" s="4" t="s">
        <v>9</v>
      </c>
      <c r="F4683" s="6">
        <v>0</v>
      </c>
      <c r="G4683" s="6">
        <v>0</v>
      </c>
      <c r="H4683" s="4" t="s">
        <v>9</v>
      </c>
      <c r="I4683" s="4" t="s">
        <v>3</v>
      </c>
      <c r="J4683" s="4" t="s">
        <v>9</v>
      </c>
      <c r="K4683" s="4" t="s">
        <v>9</v>
      </c>
      <c r="L4683" s="4" t="s">
        <v>9</v>
      </c>
      <c r="M4683" s="4" t="s">
        <v>9</v>
      </c>
      <c r="N4683" s="5"/>
    </row>
    <row r="4684" spans="1:14" x14ac:dyDescent="0.25">
      <c r="A4684" t="s">
        <v>625</v>
      </c>
      <c r="B4684" s="2">
        <v>46147</v>
      </c>
      <c r="C4684" t="s">
        <v>625</v>
      </c>
      <c r="D4684" t="s">
        <v>112</v>
      </c>
      <c r="E4684" t="s">
        <v>9</v>
      </c>
      <c r="F4684" s="3">
        <v>-42500</v>
      </c>
      <c r="G4684" s="3">
        <v>-42500</v>
      </c>
      <c r="H4684" t="s">
        <v>3</v>
      </c>
      <c r="I4684" t="s">
        <v>3</v>
      </c>
      <c r="J4684" t="s">
        <v>9</v>
      </c>
      <c r="K4684" t="s">
        <v>9</v>
      </c>
      <c r="L4684" t="s">
        <v>17</v>
      </c>
      <c r="M4684" t="s">
        <v>114</v>
      </c>
      <c r="N4684" s="2">
        <v>46142</v>
      </c>
    </row>
    <row r="4685" spans="1:14" x14ac:dyDescent="0.25">
      <c r="A4685" t="s">
        <v>625</v>
      </c>
      <c r="B4685" s="2">
        <v>46147</v>
      </c>
      <c r="C4685" t="s">
        <v>625</v>
      </c>
      <c r="D4685" t="s">
        <v>301</v>
      </c>
      <c r="E4685" t="s">
        <v>9</v>
      </c>
      <c r="F4685" s="3">
        <v>42500</v>
      </c>
      <c r="G4685" s="3">
        <v>42500</v>
      </c>
      <c r="H4685" t="s">
        <v>3</v>
      </c>
      <c r="I4685" t="s">
        <v>3</v>
      </c>
      <c r="J4685" t="s">
        <v>9</v>
      </c>
      <c r="K4685" t="s">
        <v>9</v>
      </c>
      <c r="L4685" t="s">
        <v>17</v>
      </c>
      <c r="M4685" t="s">
        <v>302</v>
      </c>
      <c r="N4685" s="2">
        <v>46142</v>
      </c>
    </row>
    <row r="4686" spans="1:14" x14ac:dyDescent="0.25">
      <c r="A4686" t="s">
        <v>625</v>
      </c>
      <c r="B4686" s="2">
        <v>46112</v>
      </c>
      <c r="C4686" t="s">
        <v>625</v>
      </c>
      <c r="D4686" t="s">
        <v>112</v>
      </c>
      <c r="E4686" t="s">
        <v>9</v>
      </c>
      <c r="F4686" s="3">
        <v>-95900</v>
      </c>
      <c r="G4686" s="3">
        <v>-95900</v>
      </c>
      <c r="H4686" t="s">
        <v>3</v>
      </c>
      <c r="I4686" t="s">
        <v>3</v>
      </c>
      <c r="J4686" t="s">
        <v>307</v>
      </c>
      <c r="K4686" t="s">
        <v>13</v>
      </c>
      <c r="L4686" t="s">
        <v>17</v>
      </c>
      <c r="M4686" t="s">
        <v>114</v>
      </c>
      <c r="N4686" s="2">
        <v>46113</v>
      </c>
    </row>
    <row r="4687" spans="1:14" x14ac:dyDescent="0.25">
      <c r="A4687" t="s">
        <v>625</v>
      </c>
      <c r="B4687" s="2">
        <v>46112</v>
      </c>
      <c r="C4687" t="s">
        <v>625</v>
      </c>
      <c r="D4687" t="s">
        <v>112</v>
      </c>
      <c r="E4687" t="s">
        <v>9</v>
      </c>
      <c r="F4687" s="3">
        <v>-300</v>
      </c>
      <c r="G4687" s="3">
        <v>-300</v>
      </c>
      <c r="H4687" t="s">
        <v>3</v>
      </c>
      <c r="I4687" t="s">
        <v>3</v>
      </c>
      <c r="J4687" t="s">
        <v>369</v>
      </c>
      <c r="K4687" t="s">
        <v>13</v>
      </c>
      <c r="L4687" t="s">
        <v>17</v>
      </c>
      <c r="M4687" t="s">
        <v>114</v>
      </c>
      <c r="N4687" s="2">
        <v>46113</v>
      </c>
    </row>
    <row r="4688" spans="1:14" x14ac:dyDescent="0.25">
      <c r="A4688" t="s">
        <v>625</v>
      </c>
      <c r="B4688" s="2">
        <v>46112</v>
      </c>
      <c r="C4688" t="s">
        <v>625</v>
      </c>
      <c r="D4688" t="s">
        <v>112</v>
      </c>
      <c r="E4688" t="s">
        <v>9</v>
      </c>
      <c r="F4688" s="3">
        <v>-5200</v>
      </c>
      <c r="G4688" s="3">
        <v>-5200</v>
      </c>
      <c r="H4688" t="s">
        <v>3</v>
      </c>
      <c r="I4688" t="s">
        <v>3</v>
      </c>
      <c r="J4688" t="s">
        <v>395</v>
      </c>
      <c r="K4688" t="s">
        <v>13</v>
      </c>
      <c r="L4688" t="s">
        <v>17</v>
      </c>
      <c r="M4688" t="s">
        <v>114</v>
      </c>
      <c r="N4688" s="2">
        <v>46113</v>
      </c>
    </row>
    <row r="4689" spans="1:14" x14ac:dyDescent="0.25">
      <c r="A4689" t="s">
        <v>625</v>
      </c>
      <c r="B4689" s="2">
        <v>46142</v>
      </c>
      <c r="C4689" t="s">
        <v>625</v>
      </c>
      <c r="D4689" t="s">
        <v>112</v>
      </c>
      <c r="E4689" t="s">
        <v>9</v>
      </c>
      <c r="F4689" s="3">
        <v>136800</v>
      </c>
      <c r="G4689" s="3">
        <v>136800</v>
      </c>
      <c r="H4689" t="s">
        <v>3</v>
      </c>
      <c r="I4689" t="s">
        <v>3</v>
      </c>
      <c r="J4689" t="s">
        <v>310</v>
      </c>
      <c r="K4689" t="s">
        <v>13</v>
      </c>
      <c r="L4689" t="s">
        <v>17</v>
      </c>
      <c r="M4689" t="s">
        <v>114</v>
      </c>
      <c r="N4689" s="2">
        <v>46142</v>
      </c>
    </row>
    <row r="4690" spans="1:14" x14ac:dyDescent="0.25">
      <c r="A4690" t="s">
        <v>625</v>
      </c>
      <c r="B4690" s="2">
        <v>46142</v>
      </c>
      <c r="C4690" t="s">
        <v>625</v>
      </c>
      <c r="D4690" t="s">
        <v>112</v>
      </c>
      <c r="E4690" t="s">
        <v>9</v>
      </c>
      <c r="F4690" s="3">
        <v>300</v>
      </c>
      <c r="G4690" s="3">
        <v>300</v>
      </c>
      <c r="H4690" t="s">
        <v>3</v>
      </c>
      <c r="I4690" t="s">
        <v>3</v>
      </c>
      <c r="J4690" t="s">
        <v>370</v>
      </c>
      <c r="K4690" t="s">
        <v>13</v>
      </c>
      <c r="L4690" t="s">
        <v>17</v>
      </c>
      <c r="M4690" t="s">
        <v>114</v>
      </c>
      <c r="N4690" s="2">
        <v>46142</v>
      </c>
    </row>
    <row r="4691" spans="1:14" x14ac:dyDescent="0.25">
      <c r="A4691" t="s">
        <v>625</v>
      </c>
      <c r="B4691" s="2">
        <v>46142</v>
      </c>
      <c r="C4691" t="s">
        <v>625</v>
      </c>
      <c r="D4691" t="s">
        <v>112</v>
      </c>
      <c r="E4691" t="s">
        <v>9</v>
      </c>
      <c r="F4691" s="3">
        <v>6800</v>
      </c>
      <c r="G4691" s="3">
        <v>6800</v>
      </c>
      <c r="H4691" t="s">
        <v>3</v>
      </c>
      <c r="I4691" t="s">
        <v>3</v>
      </c>
      <c r="J4691" t="s">
        <v>423</v>
      </c>
      <c r="K4691" t="s">
        <v>13</v>
      </c>
      <c r="L4691" t="s">
        <v>17</v>
      </c>
      <c r="M4691" t="s">
        <v>114</v>
      </c>
      <c r="N4691" s="2">
        <v>46142</v>
      </c>
    </row>
    <row r="4692" spans="1:14" x14ac:dyDescent="0.25">
      <c r="A4692" t="s">
        <v>625</v>
      </c>
      <c r="B4692" s="2">
        <v>46142</v>
      </c>
      <c r="C4692" t="s">
        <v>625</v>
      </c>
      <c r="D4692" t="s">
        <v>301</v>
      </c>
      <c r="E4692" t="s">
        <v>9</v>
      </c>
      <c r="F4692" s="3">
        <v>-42500</v>
      </c>
      <c r="G4692" s="3">
        <v>-42500</v>
      </c>
      <c r="H4692" t="s">
        <v>3</v>
      </c>
      <c r="I4692" t="s">
        <v>3</v>
      </c>
      <c r="J4692" t="s">
        <v>10</v>
      </c>
      <c r="K4692" t="s">
        <v>13</v>
      </c>
      <c r="L4692" t="s">
        <v>17</v>
      </c>
      <c r="M4692" t="s">
        <v>302</v>
      </c>
      <c r="N4692" s="2">
        <v>46142</v>
      </c>
    </row>
    <row r="4693" spans="1:14" x14ac:dyDescent="0.25">
      <c r="A4693" s="4" t="s">
        <v>249</v>
      </c>
      <c r="B4693" s="5"/>
      <c r="C4693" s="4" t="s">
        <v>9</v>
      </c>
      <c r="D4693" s="4" t="s">
        <v>9</v>
      </c>
      <c r="E4693" s="4" t="s">
        <v>9</v>
      </c>
      <c r="F4693" s="6">
        <v>0</v>
      </c>
      <c r="G4693" s="6">
        <v>0</v>
      </c>
      <c r="H4693" s="4" t="s">
        <v>9</v>
      </c>
      <c r="I4693" s="4" t="s">
        <v>3</v>
      </c>
      <c r="J4693" s="4" t="s">
        <v>9</v>
      </c>
      <c r="K4693" s="4" t="s">
        <v>9</v>
      </c>
      <c r="L4693" s="4" t="s">
        <v>9</v>
      </c>
      <c r="M4693" s="4" t="s">
        <v>9</v>
      </c>
      <c r="N4693" s="5"/>
    </row>
    <row r="4694" spans="1:14" x14ac:dyDescent="0.25">
      <c r="A4694" t="s">
        <v>625</v>
      </c>
      <c r="B4694" s="2">
        <v>46175</v>
      </c>
      <c r="C4694" t="s">
        <v>625</v>
      </c>
      <c r="D4694" t="s">
        <v>112</v>
      </c>
      <c r="E4694" t="s">
        <v>9</v>
      </c>
      <c r="F4694" s="3">
        <v>-35300</v>
      </c>
      <c r="G4694" s="3">
        <v>-35300</v>
      </c>
      <c r="H4694" t="s">
        <v>3</v>
      </c>
      <c r="I4694" t="s">
        <v>3</v>
      </c>
      <c r="J4694" t="s">
        <v>9</v>
      </c>
      <c r="K4694" t="s">
        <v>9</v>
      </c>
      <c r="L4694" t="s">
        <v>18</v>
      </c>
      <c r="M4694" t="s">
        <v>114</v>
      </c>
      <c r="N4694" s="2">
        <v>46173</v>
      </c>
    </row>
    <row r="4695" spans="1:14" x14ac:dyDescent="0.25">
      <c r="A4695" t="s">
        <v>625</v>
      </c>
      <c r="B4695" s="2">
        <v>46175</v>
      </c>
      <c r="C4695" t="s">
        <v>625</v>
      </c>
      <c r="D4695" t="s">
        <v>301</v>
      </c>
      <c r="E4695" t="s">
        <v>9</v>
      </c>
      <c r="F4695" s="3">
        <v>35300</v>
      </c>
      <c r="G4695" s="3">
        <v>35300</v>
      </c>
      <c r="H4695" t="s">
        <v>3</v>
      </c>
      <c r="I4695" t="s">
        <v>3</v>
      </c>
      <c r="J4695" t="s">
        <v>9</v>
      </c>
      <c r="K4695" t="s">
        <v>9</v>
      </c>
      <c r="L4695" t="s">
        <v>18</v>
      </c>
      <c r="M4695" t="s">
        <v>302</v>
      </c>
      <c r="N4695" s="2">
        <v>46173</v>
      </c>
    </row>
    <row r="4696" spans="1:14" x14ac:dyDescent="0.25">
      <c r="A4696" t="s">
        <v>625</v>
      </c>
      <c r="B4696" s="2">
        <v>46142</v>
      </c>
      <c r="C4696" t="s">
        <v>625</v>
      </c>
      <c r="D4696" t="s">
        <v>112</v>
      </c>
      <c r="E4696" t="s">
        <v>9</v>
      </c>
      <c r="F4696" s="3">
        <v>-136800</v>
      </c>
      <c r="G4696" s="3">
        <v>-136800</v>
      </c>
      <c r="H4696" t="s">
        <v>3</v>
      </c>
      <c r="I4696" t="s">
        <v>3</v>
      </c>
      <c r="J4696" t="s">
        <v>310</v>
      </c>
      <c r="K4696" t="s">
        <v>13</v>
      </c>
      <c r="L4696" t="s">
        <v>18</v>
      </c>
      <c r="M4696" t="s">
        <v>114</v>
      </c>
      <c r="N4696" s="2">
        <v>46143</v>
      </c>
    </row>
    <row r="4697" spans="1:14" x14ac:dyDescent="0.25">
      <c r="A4697" t="s">
        <v>625</v>
      </c>
      <c r="B4697" s="2">
        <v>46142</v>
      </c>
      <c r="C4697" t="s">
        <v>625</v>
      </c>
      <c r="D4697" t="s">
        <v>112</v>
      </c>
      <c r="E4697" t="s">
        <v>9</v>
      </c>
      <c r="F4697" s="3">
        <v>-300</v>
      </c>
      <c r="G4697" s="3">
        <v>-300</v>
      </c>
      <c r="H4697" t="s">
        <v>3</v>
      </c>
      <c r="I4697" t="s">
        <v>3</v>
      </c>
      <c r="J4697" t="s">
        <v>370</v>
      </c>
      <c r="K4697" t="s">
        <v>13</v>
      </c>
      <c r="L4697" t="s">
        <v>18</v>
      </c>
      <c r="M4697" t="s">
        <v>114</v>
      </c>
      <c r="N4697" s="2">
        <v>46143</v>
      </c>
    </row>
    <row r="4698" spans="1:14" x14ac:dyDescent="0.25">
      <c r="A4698" t="s">
        <v>625</v>
      </c>
      <c r="B4698" s="2">
        <v>46142</v>
      </c>
      <c r="C4698" t="s">
        <v>625</v>
      </c>
      <c r="D4698" t="s">
        <v>112</v>
      </c>
      <c r="E4698" t="s">
        <v>9</v>
      </c>
      <c r="F4698" s="3">
        <v>-6800</v>
      </c>
      <c r="G4698" s="3">
        <v>-6800</v>
      </c>
      <c r="H4698" t="s">
        <v>3</v>
      </c>
      <c r="I4698" t="s">
        <v>3</v>
      </c>
      <c r="J4698" t="s">
        <v>423</v>
      </c>
      <c r="K4698" t="s">
        <v>13</v>
      </c>
      <c r="L4698" t="s">
        <v>18</v>
      </c>
      <c r="M4698" t="s">
        <v>114</v>
      </c>
      <c r="N4698" s="2">
        <v>46143</v>
      </c>
    </row>
    <row r="4699" spans="1:14" x14ac:dyDescent="0.25">
      <c r="A4699" t="s">
        <v>625</v>
      </c>
      <c r="B4699" s="2">
        <v>46173</v>
      </c>
      <c r="C4699" t="s">
        <v>625</v>
      </c>
      <c r="D4699" t="s">
        <v>112</v>
      </c>
      <c r="E4699" t="s">
        <v>9</v>
      </c>
      <c r="F4699" s="3">
        <v>170900</v>
      </c>
      <c r="G4699" s="3">
        <v>170900</v>
      </c>
      <c r="H4699" t="s">
        <v>3</v>
      </c>
      <c r="I4699" t="s">
        <v>3</v>
      </c>
      <c r="J4699" t="s">
        <v>313</v>
      </c>
      <c r="K4699" t="s">
        <v>13</v>
      </c>
      <c r="L4699" t="s">
        <v>18</v>
      </c>
      <c r="M4699" t="s">
        <v>114</v>
      </c>
      <c r="N4699" s="2">
        <v>46173</v>
      </c>
    </row>
    <row r="4700" spans="1:14" x14ac:dyDescent="0.25">
      <c r="A4700" t="s">
        <v>625</v>
      </c>
      <c r="B4700" s="2">
        <v>46173</v>
      </c>
      <c r="C4700" t="s">
        <v>625</v>
      </c>
      <c r="D4700" t="s">
        <v>112</v>
      </c>
      <c r="E4700" t="s">
        <v>9</v>
      </c>
      <c r="F4700" s="3">
        <v>300</v>
      </c>
      <c r="G4700" s="3">
        <v>300</v>
      </c>
      <c r="H4700" t="s">
        <v>3</v>
      </c>
      <c r="I4700" t="s">
        <v>3</v>
      </c>
      <c r="J4700" t="s">
        <v>371</v>
      </c>
      <c r="K4700" t="s">
        <v>13</v>
      </c>
      <c r="L4700" t="s">
        <v>18</v>
      </c>
      <c r="M4700" t="s">
        <v>114</v>
      </c>
      <c r="N4700" s="2">
        <v>46173</v>
      </c>
    </row>
    <row r="4701" spans="1:14" x14ac:dyDescent="0.25">
      <c r="A4701" t="s">
        <v>625</v>
      </c>
      <c r="B4701" s="2">
        <v>46173</v>
      </c>
      <c r="C4701" t="s">
        <v>625</v>
      </c>
      <c r="D4701" t="s">
        <v>112</v>
      </c>
      <c r="E4701" t="s">
        <v>9</v>
      </c>
      <c r="F4701" s="3">
        <v>8000</v>
      </c>
      <c r="G4701" s="3">
        <v>8000</v>
      </c>
      <c r="H4701" t="s">
        <v>3</v>
      </c>
      <c r="I4701" t="s">
        <v>3</v>
      </c>
      <c r="J4701" t="s">
        <v>427</v>
      </c>
      <c r="K4701" t="s">
        <v>13</v>
      </c>
      <c r="L4701" t="s">
        <v>18</v>
      </c>
      <c r="M4701" t="s">
        <v>114</v>
      </c>
      <c r="N4701" s="2">
        <v>46173</v>
      </c>
    </row>
    <row r="4702" spans="1:14" x14ac:dyDescent="0.25">
      <c r="A4702" t="s">
        <v>625</v>
      </c>
      <c r="B4702" s="2">
        <v>46173</v>
      </c>
      <c r="C4702" t="s">
        <v>625</v>
      </c>
      <c r="D4702" t="s">
        <v>301</v>
      </c>
      <c r="E4702" t="s">
        <v>9</v>
      </c>
      <c r="F4702" s="3">
        <v>-35300</v>
      </c>
      <c r="G4702" s="3">
        <v>-35300</v>
      </c>
      <c r="H4702" t="s">
        <v>3</v>
      </c>
      <c r="I4702" t="s">
        <v>3</v>
      </c>
      <c r="J4702" t="s">
        <v>10</v>
      </c>
      <c r="K4702" t="s">
        <v>13</v>
      </c>
      <c r="L4702" t="s">
        <v>18</v>
      </c>
      <c r="M4702" t="s">
        <v>302</v>
      </c>
      <c r="N4702" s="2">
        <v>46173</v>
      </c>
    </row>
    <row r="4703" spans="1:14" x14ac:dyDescent="0.25">
      <c r="A4703" s="4" t="s">
        <v>223</v>
      </c>
      <c r="B4703" s="5"/>
      <c r="C4703" s="4" t="s">
        <v>9</v>
      </c>
      <c r="D4703" s="4" t="s">
        <v>9</v>
      </c>
      <c r="E4703" s="4" t="s">
        <v>9</v>
      </c>
      <c r="F4703" s="6">
        <v>0</v>
      </c>
      <c r="G4703" s="6">
        <v>0</v>
      </c>
      <c r="H4703" s="4" t="s">
        <v>9</v>
      </c>
      <c r="I4703" s="4" t="s">
        <v>3</v>
      </c>
      <c r="J4703" s="4" t="s">
        <v>9</v>
      </c>
      <c r="K4703" s="4" t="s">
        <v>9</v>
      </c>
      <c r="L4703" s="4" t="s">
        <v>9</v>
      </c>
      <c r="M4703" s="4" t="s">
        <v>9</v>
      </c>
      <c r="N4703" s="5"/>
    </row>
    <row r="4704" spans="1:14" x14ac:dyDescent="0.25">
      <c r="A4704" t="s">
        <v>625</v>
      </c>
      <c r="B4704" s="2">
        <v>46205</v>
      </c>
      <c r="C4704" t="s">
        <v>625</v>
      </c>
      <c r="D4704" t="s">
        <v>112</v>
      </c>
      <c r="E4704" t="s">
        <v>9</v>
      </c>
      <c r="F4704" s="3">
        <v>-43858.400000000001</v>
      </c>
      <c r="G4704" s="3">
        <v>-43858.400000000001</v>
      </c>
      <c r="H4704" t="s">
        <v>3</v>
      </c>
      <c r="I4704" t="s">
        <v>3</v>
      </c>
      <c r="J4704" t="s">
        <v>9</v>
      </c>
      <c r="K4704" t="s">
        <v>9</v>
      </c>
      <c r="L4704" t="s">
        <v>19</v>
      </c>
      <c r="M4704" t="s">
        <v>114</v>
      </c>
      <c r="N4704" s="2">
        <v>46203</v>
      </c>
    </row>
    <row r="4705" spans="1:14" x14ac:dyDescent="0.25">
      <c r="A4705" t="s">
        <v>625</v>
      </c>
      <c r="B4705" s="2">
        <v>46205</v>
      </c>
      <c r="C4705" t="s">
        <v>625</v>
      </c>
      <c r="D4705" t="s">
        <v>301</v>
      </c>
      <c r="E4705" t="s">
        <v>9</v>
      </c>
      <c r="F4705" s="3">
        <v>43858.400000000001</v>
      </c>
      <c r="G4705" s="3">
        <v>43858.400000000001</v>
      </c>
      <c r="H4705" t="s">
        <v>3</v>
      </c>
      <c r="I4705" t="s">
        <v>3</v>
      </c>
      <c r="J4705" t="s">
        <v>9</v>
      </c>
      <c r="K4705" t="s">
        <v>9</v>
      </c>
      <c r="L4705" t="s">
        <v>19</v>
      </c>
      <c r="M4705" t="s">
        <v>302</v>
      </c>
      <c r="N4705" s="2">
        <v>46203</v>
      </c>
    </row>
    <row r="4706" spans="1:14" x14ac:dyDescent="0.25">
      <c r="A4706" t="s">
        <v>625</v>
      </c>
      <c r="B4706" s="2">
        <v>46173</v>
      </c>
      <c r="C4706" t="s">
        <v>625</v>
      </c>
      <c r="D4706" t="s">
        <v>112</v>
      </c>
      <c r="E4706" t="s">
        <v>9</v>
      </c>
      <c r="F4706" s="3">
        <v>-170900</v>
      </c>
      <c r="G4706" s="3">
        <v>-170900</v>
      </c>
      <c r="H4706" t="s">
        <v>3</v>
      </c>
      <c r="I4706" t="s">
        <v>3</v>
      </c>
      <c r="J4706" t="s">
        <v>313</v>
      </c>
      <c r="K4706" t="s">
        <v>13</v>
      </c>
      <c r="L4706" t="s">
        <v>19</v>
      </c>
      <c r="M4706" t="s">
        <v>114</v>
      </c>
      <c r="N4706" s="2">
        <v>46174</v>
      </c>
    </row>
    <row r="4707" spans="1:14" x14ac:dyDescent="0.25">
      <c r="A4707" t="s">
        <v>625</v>
      </c>
      <c r="B4707" s="2">
        <v>46173</v>
      </c>
      <c r="C4707" t="s">
        <v>625</v>
      </c>
      <c r="D4707" t="s">
        <v>112</v>
      </c>
      <c r="E4707" t="s">
        <v>9</v>
      </c>
      <c r="F4707" s="3">
        <v>-300</v>
      </c>
      <c r="G4707" s="3">
        <v>-300</v>
      </c>
      <c r="H4707" t="s">
        <v>3</v>
      </c>
      <c r="I4707" t="s">
        <v>3</v>
      </c>
      <c r="J4707" t="s">
        <v>371</v>
      </c>
      <c r="K4707" t="s">
        <v>13</v>
      </c>
      <c r="L4707" t="s">
        <v>19</v>
      </c>
      <c r="M4707" t="s">
        <v>114</v>
      </c>
      <c r="N4707" s="2">
        <v>46174</v>
      </c>
    </row>
    <row r="4708" spans="1:14" x14ac:dyDescent="0.25">
      <c r="A4708" t="s">
        <v>625</v>
      </c>
      <c r="B4708" s="2">
        <v>46173</v>
      </c>
      <c r="C4708" t="s">
        <v>625</v>
      </c>
      <c r="D4708" t="s">
        <v>112</v>
      </c>
      <c r="E4708" t="s">
        <v>9</v>
      </c>
      <c r="F4708" s="3">
        <v>-8000</v>
      </c>
      <c r="G4708" s="3">
        <v>-8000</v>
      </c>
      <c r="H4708" t="s">
        <v>3</v>
      </c>
      <c r="I4708" t="s">
        <v>3</v>
      </c>
      <c r="J4708" t="s">
        <v>427</v>
      </c>
      <c r="K4708" t="s">
        <v>13</v>
      </c>
      <c r="L4708" t="s">
        <v>19</v>
      </c>
      <c r="M4708" t="s">
        <v>114</v>
      </c>
      <c r="N4708" s="2">
        <v>46174</v>
      </c>
    </row>
    <row r="4709" spans="1:14" x14ac:dyDescent="0.25">
      <c r="A4709" t="s">
        <v>625</v>
      </c>
      <c r="B4709" s="2">
        <v>46203</v>
      </c>
      <c r="C4709" t="s">
        <v>625</v>
      </c>
      <c r="D4709" t="s">
        <v>112</v>
      </c>
      <c r="E4709" t="s">
        <v>9</v>
      </c>
      <c r="F4709" s="3">
        <v>214758.39999999999</v>
      </c>
      <c r="G4709" s="3">
        <v>214758.39999999999</v>
      </c>
      <c r="H4709" t="s">
        <v>3</v>
      </c>
      <c r="I4709" t="s">
        <v>3</v>
      </c>
      <c r="J4709" t="s">
        <v>316</v>
      </c>
      <c r="K4709" t="s">
        <v>13</v>
      </c>
      <c r="L4709" t="s">
        <v>19</v>
      </c>
      <c r="M4709" t="s">
        <v>114</v>
      </c>
      <c r="N4709" s="2">
        <v>46203</v>
      </c>
    </row>
    <row r="4710" spans="1:14" x14ac:dyDescent="0.25">
      <c r="A4710" t="s">
        <v>625</v>
      </c>
      <c r="B4710" s="2">
        <v>46203</v>
      </c>
      <c r="C4710" t="s">
        <v>625</v>
      </c>
      <c r="D4710" t="s">
        <v>112</v>
      </c>
      <c r="E4710" t="s">
        <v>9</v>
      </c>
      <c r="F4710" s="3">
        <v>300</v>
      </c>
      <c r="G4710" s="3">
        <v>300</v>
      </c>
      <c r="H4710" t="s">
        <v>3</v>
      </c>
      <c r="I4710" t="s">
        <v>3</v>
      </c>
      <c r="J4710" t="s">
        <v>372</v>
      </c>
      <c r="K4710" t="s">
        <v>13</v>
      </c>
      <c r="L4710" t="s">
        <v>19</v>
      </c>
      <c r="M4710" t="s">
        <v>114</v>
      </c>
      <c r="N4710" s="2">
        <v>46203</v>
      </c>
    </row>
    <row r="4711" spans="1:14" x14ac:dyDescent="0.25">
      <c r="A4711" t="s">
        <v>625</v>
      </c>
      <c r="B4711" s="2">
        <v>46203</v>
      </c>
      <c r="C4711" t="s">
        <v>625</v>
      </c>
      <c r="D4711" t="s">
        <v>112</v>
      </c>
      <c r="E4711" t="s">
        <v>9</v>
      </c>
      <c r="F4711" s="3">
        <v>8000</v>
      </c>
      <c r="G4711" s="3">
        <v>8000</v>
      </c>
      <c r="H4711" t="s">
        <v>3</v>
      </c>
      <c r="I4711" t="s">
        <v>3</v>
      </c>
      <c r="J4711" t="s">
        <v>428</v>
      </c>
      <c r="K4711" t="s">
        <v>13</v>
      </c>
      <c r="L4711" t="s">
        <v>19</v>
      </c>
      <c r="M4711" t="s">
        <v>114</v>
      </c>
      <c r="N4711" s="2">
        <v>46203</v>
      </c>
    </row>
    <row r="4712" spans="1:14" x14ac:dyDescent="0.25">
      <c r="A4712" t="s">
        <v>625</v>
      </c>
      <c r="B4712" s="2">
        <v>46203</v>
      </c>
      <c r="C4712" t="s">
        <v>625</v>
      </c>
      <c r="D4712" t="s">
        <v>301</v>
      </c>
      <c r="E4712" t="s">
        <v>9</v>
      </c>
      <c r="F4712" s="3">
        <v>-43858.400000000001</v>
      </c>
      <c r="G4712" s="3">
        <v>-43858.400000000001</v>
      </c>
      <c r="H4712" t="s">
        <v>3</v>
      </c>
      <c r="I4712" t="s">
        <v>3</v>
      </c>
      <c r="J4712" t="s">
        <v>10</v>
      </c>
      <c r="K4712" t="s">
        <v>13</v>
      </c>
      <c r="L4712" t="s">
        <v>19</v>
      </c>
      <c r="M4712" t="s">
        <v>302</v>
      </c>
      <c r="N4712" s="2">
        <v>46203</v>
      </c>
    </row>
    <row r="4713" spans="1:14" x14ac:dyDescent="0.25">
      <c r="A4713" s="4" t="s">
        <v>224</v>
      </c>
      <c r="B4713" s="5"/>
      <c r="C4713" s="4" t="s">
        <v>9</v>
      </c>
      <c r="D4713" s="4" t="s">
        <v>9</v>
      </c>
      <c r="E4713" s="4" t="s">
        <v>9</v>
      </c>
      <c r="F4713" s="6">
        <v>0</v>
      </c>
      <c r="G4713" s="6">
        <v>0</v>
      </c>
      <c r="H4713" s="4" t="s">
        <v>9</v>
      </c>
      <c r="I4713" s="4" t="s">
        <v>3</v>
      </c>
      <c r="J4713" s="4" t="s">
        <v>9</v>
      </c>
      <c r="K4713" s="4" t="s">
        <v>9</v>
      </c>
      <c r="L4713" s="4" t="s">
        <v>9</v>
      </c>
      <c r="M4713" s="4" t="s">
        <v>9</v>
      </c>
      <c r="N4713" s="5"/>
    </row>
    <row r="4714" spans="1:14" x14ac:dyDescent="0.25">
      <c r="A4714" t="s">
        <v>625</v>
      </c>
      <c r="B4714" s="2">
        <v>46239</v>
      </c>
      <c r="C4714" t="s">
        <v>625</v>
      </c>
      <c r="D4714" t="s">
        <v>112</v>
      </c>
      <c r="E4714" t="s">
        <v>9</v>
      </c>
      <c r="F4714" s="3">
        <v>-3991.6</v>
      </c>
      <c r="G4714" s="3">
        <v>-3991.6</v>
      </c>
      <c r="H4714" t="s">
        <v>3</v>
      </c>
      <c r="I4714" t="s">
        <v>3</v>
      </c>
      <c r="J4714" t="s">
        <v>9</v>
      </c>
      <c r="K4714" t="s">
        <v>9</v>
      </c>
      <c r="L4714" t="s">
        <v>21</v>
      </c>
      <c r="M4714" t="s">
        <v>114</v>
      </c>
      <c r="N4714" s="2">
        <v>46234</v>
      </c>
    </row>
    <row r="4715" spans="1:14" x14ac:dyDescent="0.25">
      <c r="A4715" t="s">
        <v>625</v>
      </c>
      <c r="B4715" s="2">
        <v>46239</v>
      </c>
      <c r="C4715" t="s">
        <v>625</v>
      </c>
      <c r="D4715" t="s">
        <v>301</v>
      </c>
      <c r="E4715" t="s">
        <v>9</v>
      </c>
      <c r="F4715" s="3">
        <v>3992</v>
      </c>
      <c r="G4715" s="3">
        <v>3992</v>
      </c>
      <c r="H4715" t="s">
        <v>3</v>
      </c>
      <c r="I4715" t="s">
        <v>3</v>
      </c>
      <c r="J4715" t="s">
        <v>9</v>
      </c>
      <c r="K4715" t="s">
        <v>9</v>
      </c>
      <c r="L4715" t="s">
        <v>21</v>
      </c>
      <c r="M4715" t="s">
        <v>302</v>
      </c>
      <c r="N4715" s="2">
        <v>46234</v>
      </c>
    </row>
    <row r="4716" spans="1:14" x14ac:dyDescent="0.25">
      <c r="A4716" t="s">
        <v>625</v>
      </c>
      <c r="B4716" s="2">
        <v>46203</v>
      </c>
      <c r="C4716" t="s">
        <v>625</v>
      </c>
      <c r="D4716" t="s">
        <v>112</v>
      </c>
      <c r="E4716" t="s">
        <v>9</v>
      </c>
      <c r="F4716" s="3">
        <v>-214758.39999999999</v>
      </c>
      <c r="G4716" s="3">
        <v>-214758.39999999999</v>
      </c>
      <c r="H4716" t="s">
        <v>3</v>
      </c>
      <c r="I4716" t="s">
        <v>3</v>
      </c>
      <c r="J4716" t="s">
        <v>316</v>
      </c>
      <c r="K4716" t="s">
        <v>13</v>
      </c>
      <c r="L4716" t="s">
        <v>21</v>
      </c>
      <c r="M4716" t="s">
        <v>114</v>
      </c>
      <c r="N4716" s="2">
        <v>46204</v>
      </c>
    </row>
    <row r="4717" spans="1:14" x14ac:dyDescent="0.25">
      <c r="A4717" t="s">
        <v>625</v>
      </c>
      <c r="B4717" s="2">
        <v>46203</v>
      </c>
      <c r="C4717" t="s">
        <v>625</v>
      </c>
      <c r="D4717" t="s">
        <v>112</v>
      </c>
      <c r="E4717" t="s">
        <v>9</v>
      </c>
      <c r="F4717" s="3">
        <v>-300</v>
      </c>
      <c r="G4717" s="3">
        <v>-300</v>
      </c>
      <c r="H4717" t="s">
        <v>3</v>
      </c>
      <c r="I4717" t="s">
        <v>3</v>
      </c>
      <c r="J4717" t="s">
        <v>372</v>
      </c>
      <c r="K4717" t="s">
        <v>13</v>
      </c>
      <c r="L4717" t="s">
        <v>21</v>
      </c>
      <c r="M4717" t="s">
        <v>114</v>
      </c>
      <c r="N4717" s="2">
        <v>46204</v>
      </c>
    </row>
    <row r="4718" spans="1:14" x14ac:dyDescent="0.25">
      <c r="A4718" t="s">
        <v>625</v>
      </c>
      <c r="B4718" s="2">
        <v>46203</v>
      </c>
      <c r="C4718" t="s">
        <v>625</v>
      </c>
      <c r="D4718" t="s">
        <v>112</v>
      </c>
      <c r="E4718" t="s">
        <v>9</v>
      </c>
      <c r="F4718" s="3">
        <v>-8000</v>
      </c>
      <c r="G4718" s="3">
        <v>-8000</v>
      </c>
      <c r="H4718" t="s">
        <v>3</v>
      </c>
      <c r="I4718" t="s">
        <v>3</v>
      </c>
      <c r="J4718" t="s">
        <v>428</v>
      </c>
      <c r="K4718" t="s">
        <v>13</v>
      </c>
      <c r="L4718" t="s">
        <v>21</v>
      </c>
      <c r="M4718" t="s">
        <v>114</v>
      </c>
      <c r="N4718" s="2">
        <v>46204</v>
      </c>
    </row>
    <row r="4719" spans="1:14" x14ac:dyDescent="0.25">
      <c r="A4719" t="s">
        <v>625</v>
      </c>
      <c r="B4719" s="2">
        <v>46234</v>
      </c>
      <c r="C4719" t="s">
        <v>625</v>
      </c>
      <c r="D4719" t="s">
        <v>301</v>
      </c>
      <c r="E4719" t="s">
        <v>9</v>
      </c>
      <c r="F4719" s="3">
        <v>-3992</v>
      </c>
      <c r="G4719" s="3">
        <v>-3992</v>
      </c>
      <c r="H4719" t="s">
        <v>3</v>
      </c>
      <c r="I4719" t="s">
        <v>3</v>
      </c>
      <c r="J4719" t="s">
        <v>10</v>
      </c>
      <c r="K4719" t="s">
        <v>13</v>
      </c>
      <c r="L4719" t="s">
        <v>21</v>
      </c>
      <c r="M4719" t="s">
        <v>302</v>
      </c>
      <c r="N4719" s="2">
        <v>46234</v>
      </c>
    </row>
    <row r="4720" spans="1:14" x14ac:dyDescent="0.25">
      <c r="A4720" t="s">
        <v>625</v>
      </c>
      <c r="B4720" s="2">
        <v>46234</v>
      </c>
      <c r="C4720" t="s">
        <v>625</v>
      </c>
      <c r="D4720" t="s">
        <v>112</v>
      </c>
      <c r="E4720" t="s">
        <v>9</v>
      </c>
      <c r="F4720" s="3">
        <v>218750</v>
      </c>
      <c r="G4720" s="3">
        <v>218750</v>
      </c>
      <c r="H4720" t="s">
        <v>3</v>
      </c>
      <c r="I4720" t="s">
        <v>3</v>
      </c>
      <c r="J4720" t="s">
        <v>319</v>
      </c>
      <c r="K4720" t="s">
        <v>13</v>
      </c>
      <c r="L4720" t="s">
        <v>21</v>
      </c>
      <c r="M4720" t="s">
        <v>114</v>
      </c>
      <c r="N4720" s="2">
        <v>46234</v>
      </c>
    </row>
    <row r="4721" spans="1:14" x14ac:dyDescent="0.25">
      <c r="A4721" t="s">
        <v>625</v>
      </c>
      <c r="B4721" s="2">
        <v>46234</v>
      </c>
      <c r="C4721" t="s">
        <v>625</v>
      </c>
      <c r="D4721" t="s">
        <v>112</v>
      </c>
      <c r="E4721" t="s">
        <v>9</v>
      </c>
      <c r="F4721" s="3">
        <v>300</v>
      </c>
      <c r="G4721" s="3">
        <v>300</v>
      </c>
      <c r="H4721" t="s">
        <v>3</v>
      </c>
      <c r="I4721" t="s">
        <v>3</v>
      </c>
      <c r="J4721" t="s">
        <v>373</v>
      </c>
      <c r="K4721" t="s">
        <v>13</v>
      </c>
      <c r="L4721" t="s">
        <v>21</v>
      </c>
      <c r="M4721" t="s">
        <v>114</v>
      </c>
      <c r="N4721" s="2">
        <v>46234</v>
      </c>
    </row>
    <row r="4722" spans="1:14" x14ac:dyDescent="0.25">
      <c r="A4722" t="s">
        <v>625</v>
      </c>
      <c r="B4722" s="2">
        <v>46234</v>
      </c>
      <c r="C4722" t="s">
        <v>625</v>
      </c>
      <c r="D4722" t="s">
        <v>112</v>
      </c>
      <c r="E4722" t="s">
        <v>9</v>
      </c>
      <c r="F4722" s="3">
        <v>8000</v>
      </c>
      <c r="G4722" s="3">
        <v>8000</v>
      </c>
      <c r="H4722" t="s">
        <v>3</v>
      </c>
      <c r="I4722" t="s">
        <v>3</v>
      </c>
      <c r="J4722" t="s">
        <v>429</v>
      </c>
      <c r="K4722" t="s">
        <v>13</v>
      </c>
      <c r="L4722" t="s">
        <v>21</v>
      </c>
      <c r="M4722" t="s">
        <v>114</v>
      </c>
      <c r="N4722" s="2">
        <v>46234</v>
      </c>
    </row>
    <row r="4723" spans="1:14" x14ac:dyDescent="0.25">
      <c r="A4723" s="4" t="s">
        <v>262</v>
      </c>
      <c r="B4723" s="5"/>
      <c r="C4723" s="4" t="s">
        <v>9</v>
      </c>
      <c r="D4723" s="4" t="s">
        <v>9</v>
      </c>
      <c r="E4723" s="4" t="s">
        <v>9</v>
      </c>
      <c r="F4723" s="6">
        <v>0</v>
      </c>
      <c r="G4723" s="6">
        <v>0</v>
      </c>
      <c r="H4723" s="4" t="s">
        <v>9</v>
      </c>
      <c r="I4723" s="4" t="s">
        <v>3</v>
      </c>
      <c r="J4723" s="4" t="s">
        <v>9</v>
      </c>
      <c r="K4723" s="4" t="s">
        <v>9</v>
      </c>
      <c r="L4723" s="4" t="s">
        <v>9</v>
      </c>
      <c r="M4723" s="4" t="s">
        <v>9</v>
      </c>
      <c r="N4723" s="5"/>
    </row>
    <row r="4724" spans="1:14" x14ac:dyDescent="0.25">
      <c r="A4724" t="s">
        <v>625</v>
      </c>
      <c r="B4724" s="2">
        <v>46267</v>
      </c>
      <c r="C4724" t="s">
        <v>625</v>
      </c>
      <c r="D4724" t="s">
        <v>112</v>
      </c>
      <c r="E4724" t="s">
        <v>9</v>
      </c>
      <c r="F4724" s="3">
        <v>-700</v>
      </c>
      <c r="G4724" s="3">
        <v>-700</v>
      </c>
      <c r="H4724" t="s">
        <v>3</v>
      </c>
      <c r="I4724" t="s">
        <v>3</v>
      </c>
      <c r="J4724" t="s">
        <v>9</v>
      </c>
      <c r="K4724" t="s">
        <v>9</v>
      </c>
      <c r="L4724" t="s">
        <v>22</v>
      </c>
      <c r="M4724" t="s">
        <v>114</v>
      </c>
      <c r="N4724" s="2">
        <v>46265</v>
      </c>
    </row>
    <row r="4725" spans="1:14" x14ac:dyDescent="0.25">
      <c r="A4725" t="s">
        <v>625</v>
      </c>
      <c r="B4725" s="2">
        <v>46267</v>
      </c>
      <c r="C4725" t="s">
        <v>625</v>
      </c>
      <c r="D4725" t="s">
        <v>301</v>
      </c>
      <c r="E4725" t="s">
        <v>9</v>
      </c>
      <c r="F4725" s="3">
        <v>700</v>
      </c>
      <c r="G4725" s="3">
        <v>700</v>
      </c>
      <c r="H4725" t="s">
        <v>3</v>
      </c>
      <c r="I4725" t="s">
        <v>3</v>
      </c>
      <c r="J4725" t="s">
        <v>9</v>
      </c>
      <c r="K4725" t="s">
        <v>9</v>
      </c>
      <c r="L4725" t="s">
        <v>22</v>
      </c>
      <c r="M4725" t="s">
        <v>302</v>
      </c>
      <c r="N4725" s="2">
        <v>46265</v>
      </c>
    </row>
    <row r="4726" spans="1:14" x14ac:dyDescent="0.25">
      <c r="A4726" t="s">
        <v>625</v>
      </c>
      <c r="B4726" s="2">
        <v>46234</v>
      </c>
      <c r="C4726" t="s">
        <v>625</v>
      </c>
      <c r="D4726" t="s">
        <v>112</v>
      </c>
      <c r="E4726" t="s">
        <v>9</v>
      </c>
      <c r="F4726" s="3">
        <v>-218750</v>
      </c>
      <c r="G4726" s="3">
        <v>-218750</v>
      </c>
      <c r="H4726" t="s">
        <v>3</v>
      </c>
      <c r="I4726" t="s">
        <v>3</v>
      </c>
      <c r="J4726" t="s">
        <v>319</v>
      </c>
      <c r="K4726" t="s">
        <v>13</v>
      </c>
      <c r="L4726" t="s">
        <v>22</v>
      </c>
      <c r="M4726" t="s">
        <v>114</v>
      </c>
      <c r="N4726" s="2">
        <v>46235</v>
      </c>
    </row>
    <row r="4727" spans="1:14" x14ac:dyDescent="0.25">
      <c r="A4727" t="s">
        <v>625</v>
      </c>
      <c r="B4727" s="2">
        <v>46234</v>
      </c>
      <c r="C4727" t="s">
        <v>625</v>
      </c>
      <c r="D4727" t="s">
        <v>112</v>
      </c>
      <c r="E4727" t="s">
        <v>9</v>
      </c>
      <c r="F4727" s="3">
        <v>-300</v>
      </c>
      <c r="G4727" s="3">
        <v>-300</v>
      </c>
      <c r="H4727" t="s">
        <v>3</v>
      </c>
      <c r="I4727" t="s">
        <v>3</v>
      </c>
      <c r="J4727" t="s">
        <v>373</v>
      </c>
      <c r="K4727" t="s">
        <v>13</v>
      </c>
      <c r="L4727" t="s">
        <v>22</v>
      </c>
      <c r="M4727" t="s">
        <v>114</v>
      </c>
      <c r="N4727" s="2">
        <v>46235</v>
      </c>
    </row>
    <row r="4728" spans="1:14" x14ac:dyDescent="0.25">
      <c r="A4728" t="s">
        <v>625</v>
      </c>
      <c r="B4728" s="2">
        <v>46234</v>
      </c>
      <c r="C4728" t="s">
        <v>625</v>
      </c>
      <c r="D4728" t="s">
        <v>112</v>
      </c>
      <c r="E4728" t="s">
        <v>9</v>
      </c>
      <c r="F4728" s="3">
        <v>-8000</v>
      </c>
      <c r="G4728" s="3">
        <v>-8000</v>
      </c>
      <c r="H4728" t="s">
        <v>3</v>
      </c>
      <c r="I4728" t="s">
        <v>3</v>
      </c>
      <c r="J4728" t="s">
        <v>429</v>
      </c>
      <c r="K4728" t="s">
        <v>13</v>
      </c>
      <c r="L4728" t="s">
        <v>22</v>
      </c>
      <c r="M4728" t="s">
        <v>114</v>
      </c>
      <c r="N4728" s="2">
        <v>46235</v>
      </c>
    </row>
    <row r="4729" spans="1:14" x14ac:dyDescent="0.25">
      <c r="A4729" t="s">
        <v>625</v>
      </c>
      <c r="B4729" s="2">
        <v>46265</v>
      </c>
      <c r="C4729" t="s">
        <v>625</v>
      </c>
      <c r="D4729" t="s">
        <v>112</v>
      </c>
      <c r="E4729" t="s">
        <v>9</v>
      </c>
      <c r="F4729" s="3">
        <v>219150</v>
      </c>
      <c r="G4729" s="3">
        <v>219150</v>
      </c>
      <c r="H4729" t="s">
        <v>3</v>
      </c>
      <c r="I4729" t="s">
        <v>3</v>
      </c>
      <c r="J4729" t="s">
        <v>322</v>
      </c>
      <c r="K4729" t="s">
        <v>13</v>
      </c>
      <c r="L4729" t="s">
        <v>22</v>
      </c>
      <c r="M4729" t="s">
        <v>114</v>
      </c>
      <c r="N4729" s="2">
        <v>46265</v>
      </c>
    </row>
    <row r="4730" spans="1:14" x14ac:dyDescent="0.25">
      <c r="A4730" t="s">
        <v>625</v>
      </c>
      <c r="B4730" s="2">
        <v>46265</v>
      </c>
      <c r="C4730" t="s">
        <v>625</v>
      </c>
      <c r="D4730" t="s">
        <v>112</v>
      </c>
      <c r="E4730" t="s">
        <v>9</v>
      </c>
      <c r="F4730" s="3">
        <v>600</v>
      </c>
      <c r="G4730" s="3">
        <v>600</v>
      </c>
      <c r="H4730" t="s">
        <v>3</v>
      </c>
      <c r="I4730" t="s">
        <v>3</v>
      </c>
      <c r="J4730" t="s">
        <v>430</v>
      </c>
      <c r="K4730" t="s">
        <v>13</v>
      </c>
      <c r="L4730" t="s">
        <v>22</v>
      </c>
      <c r="M4730" t="s">
        <v>114</v>
      </c>
      <c r="N4730" s="2">
        <v>46265</v>
      </c>
    </row>
    <row r="4731" spans="1:14" x14ac:dyDescent="0.25">
      <c r="A4731" t="s">
        <v>625</v>
      </c>
      <c r="B4731" s="2">
        <v>46265</v>
      </c>
      <c r="C4731" t="s">
        <v>625</v>
      </c>
      <c r="D4731" t="s">
        <v>112</v>
      </c>
      <c r="E4731" t="s">
        <v>9</v>
      </c>
      <c r="F4731" s="3">
        <v>8000</v>
      </c>
      <c r="G4731" s="3">
        <v>8000</v>
      </c>
      <c r="H4731" t="s">
        <v>3</v>
      </c>
      <c r="I4731" t="s">
        <v>3</v>
      </c>
      <c r="J4731" t="s">
        <v>431</v>
      </c>
      <c r="K4731" t="s">
        <v>13</v>
      </c>
      <c r="L4731" t="s">
        <v>22</v>
      </c>
      <c r="M4731" t="s">
        <v>114</v>
      </c>
      <c r="N4731" s="2">
        <v>46265</v>
      </c>
    </row>
    <row r="4732" spans="1:14" x14ac:dyDescent="0.25">
      <c r="A4732" t="s">
        <v>625</v>
      </c>
      <c r="B4732" s="2">
        <v>46265</v>
      </c>
      <c r="C4732" t="s">
        <v>625</v>
      </c>
      <c r="D4732" t="s">
        <v>301</v>
      </c>
      <c r="E4732" t="s">
        <v>9</v>
      </c>
      <c r="F4732" s="3">
        <v>-700</v>
      </c>
      <c r="G4732" s="3">
        <v>-700</v>
      </c>
      <c r="H4732" t="s">
        <v>3</v>
      </c>
      <c r="I4732" t="s">
        <v>3</v>
      </c>
      <c r="J4732" t="s">
        <v>10</v>
      </c>
      <c r="K4732" t="s">
        <v>13</v>
      </c>
      <c r="L4732" t="s">
        <v>22</v>
      </c>
      <c r="M4732" t="s">
        <v>302</v>
      </c>
      <c r="N4732" s="2">
        <v>46265</v>
      </c>
    </row>
    <row r="4733" spans="1:14" x14ac:dyDescent="0.25">
      <c r="A4733" s="4" t="s">
        <v>267</v>
      </c>
      <c r="B4733" s="5"/>
      <c r="C4733" s="4" t="s">
        <v>9</v>
      </c>
      <c r="D4733" s="4" t="s">
        <v>9</v>
      </c>
      <c r="E4733" s="4" t="s">
        <v>9</v>
      </c>
      <c r="F4733" s="6">
        <v>0</v>
      </c>
      <c r="G4733" s="6">
        <v>0</v>
      </c>
      <c r="H4733" s="4" t="s">
        <v>9</v>
      </c>
      <c r="I4733" s="4" t="s">
        <v>3</v>
      </c>
      <c r="J4733" s="4" t="s">
        <v>9</v>
      </c>
      <c r="K4733" s="4" t="s">
        <v>9</v>
      </c>
      <c r="L4733" s="4" t="s">
        <v>9</v>
      </c>
      <c r="M4733" s="4" t="s">
        <v>9</v>
      </c>
      <c r="N4733" s="5"/>
    </row>
    <row r="4734" spans="1:14" x14ac:dyDescent="0.25">
      <c r="A4734" t="s">
        <v>625</v>
      </c>
      <c r="B4734" s="2">
        <v>45993</v>
      </c>
      <c r="C4734" t="s">
        <v>625</v>
      </c>
      <c r="D4734" t="s">
        <v>112</v>
      </c>
      <c r="E4734" t="s">
        <v>9</v>
      </c>
      <c r="F4734" s="3">
        <v>-18900</v>
      </c>
      <c r="G4734" s="3">
        <v>-18900</v>
      </c>
      <c r="H4734" t="s">
        <v>3</v>
      </c>
      <c r="I4734" t="s">
        <v>3</v>
      </c>
      <c r="J4734" t="s">
        <v>9</v>
      </c>
      <c r="K4734" t="s">
        <v>9</v>
      </c>
      <c r="L4734" t="s">
        <v>11</v>
      </c>
      <c r="M4734" t="s">
        <v>114</v>
      </c>
      <c r="N4734" s="2">
        <v>45991</v>
      </c>
    </row>
    <row r="4735" spans="1:14" x14ac:dyDescent="0.25">
      <c r="A4735" t="s">
        <v>625</v>
      </c>
      <c r="B4735" s="2">
        <v>45993</v>
      </c>
      <c r="C4735" t="s">
        <v>625</v>
      </c>
      <c r="D4735" t="s">
        <v>301</v>
      </c>
      <c r="E4735" t="s">
        <v>9</v>
      </c>
      <c r="F4735" s="3">
        <v>18900</v>
      </c>
      <c r="G4735" s="3">
        <v>18900</v>
      </c>
      <c r="H4735" t="s">
        <v>3</v>
      </c>
      <c r="I4735" t="s">
        <v>3</v>
      </c>
      <c r="J4735" t="s">
        <v>9</v>
      </c>
      <c r="K4735" t="s">
        <v>9</v>
      </c>
      <c r="L4735" t="s">
        <v>11</v>
      </c>
      <c r="M4735" t="s">
        <v>302</v>
      </c>
      <c r="N4735" s="2">
        <v>45991</v>
      </c>
    </row>
    <row r="4736" spans="1:14" x14ac:dyDescent="0.25">
      <c r="A4736" t="s">
        <v>625</v>
      </c>
      <c r="B4736" s="2">
        <v>45991</v>
      </c>
      <c r="C4736" t="s">
        <v>625</v>
      </c>
      <c r="D4736" t="s">
        <v>112</v>
      </c>
      <c r="E4736" t="s">
        <v>9</v>
      </c>
      <c r="F4736" s="3">
        <v>18500</v>
      </c>
      <c r="G4736" s="3">
        <v>18500</v>
      </c>
      <c r="H4736" t="s">
        <v>3</v>
      </c>
      <c r="I4736" t="s">
        <v>3</v>
      </c>
      <c r="J4736" t="s">
        <v>328</v>
      </c>
      <c r="K4736" t="s">
        <v>5</v>
      </c>
      <c r="L4736" t="s">
        <v>11</v>
      </c>
      <c r="M4736" t="s">
        <v>114</v>
      </c>
      <c r="N4736" s="2">
        <v>45991</v>
      </c>
    </row>
    <row r="4737" spans="1:14" x14ac:dyDescent="0.25">
      <c r="A4737" t="s">
        <v>625</v>
      </c>
      <c r="B4737" s="2">
        <v>45991</v>
      </c>
      <c r="C4737" t="s">
        <v>625</v>
      </c>
      <c r="D4737" t="s">
        <v>112</v>
      </c>
      <c r="E4737" t="s">
        <v>9</v>
      </c>
      <c r="F4737" s="3">
        <v>400</v>
      </c>
      <c r="G4737" s="3">
        <v>400</v>
      </c>
      <c r="H4737" t="s">
        <v>3</v>
      </c>
      <c r="I4737" t="s">
        <v>3</v>
      </c>
      <c r="J4737" t="s">
        <v>329</v>
      </c>
      <c r="K4737" t="s">
        <v>5</v>
      </c>
      <c r="L4737" t="s">
        <v>11</v>
      </c>
      <c r="M4737" t="s">
        <v>114</v>
      </c>
      <c r="N4737" s="2">
        <v>45991</v>
      </c>
    </row>
    <row r="4738" spans="1:14" x14ac:dyDescent="0.25">
      <c r="A4738" t="s">
        <v>625</v>
      </c>
      <c r="B4738" s="2">
        <v>45991</v>
      </c>
      <c r="C4738" t="s">
        <v>625</v>
      </c>
      <c r="D4738" t="s">
        <v>301</v>
      </c>
      <c r="E4738" t="s">
        <v>9</v>
      </c>
      <c r="F4738" s="3">
        <v>-18900</v>
      </c>
      <c r="G4738" s="3">
        <v>-18900</v>
      </c>
      <c r="H4738" t="s">
        <v>3</v>
      </c>
      <c r="I4738" t="s">
        <v>3</v>
      </c>
      <c r="J4738" t="s">
        <v>10</v>
      </c>
      <c r="K4738" t="s">
        <v>5</v>
      </c>
      <c r="L4738" t="s">
        <v>11</v>
      </c>
      <c r="M4738" t="s">
        <v>302</v>
      </c>
      <c r="N4738" s="2">
        <v>45991</v>
      </c>
    </row>
    <row r="4739" spans="1:14" x14ac:dyDescent="0.25">
      <c r="A4739" s="4" t="s">
        <v>226</v>
      </c>
      <c r="B4739" s="5"/>
      <c r="C4739" s="4" t="s">
        <v>9</v>
      </c>
      <c r="D4739" s="4" t="s">
        <v>9</v>
      </c>
      <c r="E4739" s="4" t="s">
        <v>9</v>
      </c>
      <c r="F4739" s="6">
        <v>0</v>
      </c>
      <c r="G4739" s="6">
        <v>0</v>
      </c>
      <c r="H4739" s="4" t="s">
        <v>9</v>
      </c>
      <c r="I4739" s="4" t="s">
        <v>3</v>
      </c>
      <c r="J4739" s="4" t="s">
        <v>9</v>
      </c>
      <c r="K4739" s="4" t="s">
        <v>9</v>
      </c>
      <c r="L4739" s="4" t="s">
        <v>9</v>
      </c>
      <c r="M4739" s="4" t="s">
        <v>9</v>
      </c>
      <c r="N4739" s="5"/>
    </row>
    <row r="4740" spans="1:14" x14ac:dyDescent="0.25">
      <c r="A4740" t="s">
        <v>625</v>
      </c>
      <c r="B4740" s="2">
        <v>46028</v>
      </c>
      <c r="C4740" t="s">
        <v>625</v>
      </c>
      <c r="D4740" t="s">
        <v>112</v>
      </c>
      <c r="E4740" t="s">
        <v>9</v>
      </c>
      <c r="F4740" s="3">
        <v>-19100</v>
      </c>
      <c r="G4740" s="3">
        <v>-19100</v>
      </c>
      <c r="H4740" t="s">
        <v>3</v>
      </c>
      <c r="I4740" t="s">
        <v>3</v>
      </c>
      <c r="J4740" t="s">
        <v>9</v>
      </c>
      <c r="K4740" t="s">
        <v>9</v>
      </c>
      <c r="L4740" t="s">
        <v>12</v>
      </c>
      <c r="M4740" t="s">
        <v>114</v>
      </c>
      <c r="N4740" s="2">
        <v>46022</v>
      </c>
    </row>
    <row r="4741" spans="1:14" x14ac:dyDescent="0.25">
      <c r="A4741" t="s">
        <v>625</v>
      </c>
      <c r="B4741" s="2">
        <v>46028</v>
      </c>
      <c r="C4741" t="s">
        <v>625</v>
      </c>
      <c r="D4741" t="s">
        <v>301</v>
      </c>
      <c r="E4741" t="s">
        <v>9</v>
      </c>
      <c r="F4741" s="3">
        <v>19100</v>
      </c>
      <c r="G4741" s="3">
        <v>19100</v>
      </c>
      <c r="H4741" t="s">
        <v>3</v>
      </c>
      <c r="I4741" t="s">
        <v>3</v>
      </c>
      <c r="J4741" t="s">
        <v>9</v>
      </c>
      <c r="K4741" t="s">
        <v>9</v>
      </c>
      <c r="L4741" t="s">
        <v>12</v>
      </c>
      <c r="M4741" t="s">
        <v>302</v>
      </c>
      <c r="N4741" s="2">
        <v>46022</v>
      </c>
    </row>
    <row r="4742" spans="1:14" x14ac:dyDescent="0.25">
      <c r="A4742" t="s">
        <v>625</v>
      </c>
      <c r="B4742" s="2">
        <v>45991</v>
      </c>
      <c r="C4742" t="s">
        <v>625</v>
      </c>
      <c r="D4742" t="s">
        <v>112</v>
      </c>
      <c r="E4742" t="s">
        <v>9</v>
      </c>
      <c r="F4742" s="3">
        <v>-18500</v>
      </c>
      <c r="G4742" s="3">
        <v>-18500</v>
      </c>
      <c r="H4742" t="s">
        <v>3</v>
      </c>
      <c r="I4742" t="s">
        <v>3</v>
      </c>
      <c r="J4742" t="s">
        <v>328</v>
      </c>
      <c r="K4742" t="s">
        <v>5</v>
      </c>
      <c r="L4742" t="s">
        <v>12</v>
      </c>
      <c r="M4742" t="s">
        <v>114</v>
      </c>
      <c r="N4742" s="2">
        <v>45992</v>
      </c>
    </row>
    <row r="4743" spans="1:14" x14ac:dyDescent="0.25">
      <c r="A4743" t="s">
        <v>625</v>
      </c>
      <c r="B4743" s="2">
        <v>45991</v>
      </c>
      <c r="C4743" t="s">
        <v>625</v>
      </c>
      <c r="D4743" t="s">
        <v>112</v>
      </c>
      <c r="E4743" t="s">
        <v>9</v>
      </c>
      <c r="F4743" s="3">
        <v>-400</v>
      </c>
      <c r="G4743" s="3">
        <v>-400</v>
      </c>
      <c r="H4743" t="s">
        <v>3</v>
      </c>
      <c r="I4743" t="s">
        <v>3</v>
      </c>
      <c r="J4743" t="s">
        <v>329</v>
      </c>
      <c r="K4743" t="s">
        <v>5</v>
      </c>
      <c r="L4743" t="s">
        <v>12</v>
      </c>
      <c r="M4743" t="s">
        <v>114</v>
      </c>
      <c r="N4743" s="2">
        <v>45992</v>
      </c>
    </row>
    <row r="4744" spans="1:14" x14ac:dyDescent="0.25">
      <c r="A4744" t="s">
        <v>625</v>
      </c>
      <c r="B4744" s="2">
        <v>46022</v>
      </c>
      <c r="C4744" t="s">
        <v>625</v>
      </c>
      <c r="D4744" t="s">
        <v>112</v>
      </c>
      <c r="E4744" t="s">
        <v>9</v>
      </c>
      <c r="F4744" s="3">
        <v>37600</v>
      </c>
      <c r="G4744" s="3">
        <v>37600</v>
      </c>
      <c r="H4744" t="s">
        <v>3</v>
      </c>
      <c r="I4744" t="s">
        <v>3</v>
      </c>
      <c r="J4744" t="s">
        <v>298</v>
      </c>
      <c r="K4744" t="s">
        <v>5</v>
      </c>
      <c r="L4744" t="s">
        <v>12</v>
      </c>
      <c r="M4744" t="s">
        <v>114</v>
      </c>
      <c r="N4744" s="2">
        <v>46022</v>
      </c>
    </row>
    <row r="4745" spans="1:14" x14ac:dyDescent="0.25">
      <c r="A4745" t="s">
        <v>625</v>
      </c>
      <c r="B4745" s="2">
        <v>46022</v>
      </c>
      <c r="C4745" t="s">
        <v>625</v>
      </c>
      <c r="D4745" t="s">
        <v>112</v>
      </c>
      <c r="E4745" t="s">
        <v>9</v>
      </c>
      <c r="F4745" s="3">
        <v>400</v>
      </c>
      <c r="G4745" s="3">
        <v>400</v>
      </c>
      <c r="H4745" t="s">
        <v>3</v>
      </c>
      <c r="I4745" t="s">
        <v>3</v>
      </c>
      <c r="J4745" t="s">
        <v>299</v>
      </c>
      <c r="K4745" t="s">
        <v>5</v>
      </c>
      <c r="L4745" t="s">
        <v>12</v>
      </c>
      <c r="M4745" t="s">
        <v>114</v>
      </c>
      <c r="N4745" s="2">
        <v>46022</v>
      </c>
    </row>
    <row r="4746" spans="1:14" x14ac:dyDescent="0.25">
      <c r="A4746" t="s">
        <v>625</v>
      </c>
      <c r="B4746" s="2">
        <v>46022</v>
      </c>
      <c r="C4746" t="s">
        <v>625</v>
      </c>
      <c r="D4746" t="s">
        <v>301</v>
      </c>
      <c r="E4746" t="s">
        <v>9</v>
      </c>
      <c r="F4746" s="3">
        <v>-19100</v>
      </c>
      <c r="G4746" s="3">
        <v>-19100</v>
      </c>
      <c r="H4746" t="s">
        <v>3</v>
      </c>
      <c r="I4746" t="s">
        <v>3</v>
      </c>
      <c r="J4746" t="s">
        <v>10</v>
      </c>
      <c r="K4746" t="s">
        <v>5</v>
      </c>
      <c r="L4746" t="s">
        <v>12</v>
      </c>
      <c r="M4746" t="s">
        <v>302</v>
      </c>
      <c r="N4746" s="2">
        <v>46022</v>
      </c>
    </row>
    <row r="4747" spans="1:14" x14ac:dyDescent="0.25">
      <c r="A4747" t="s">
        <v>625</v>
      </c>
      <c r="B4747" s="2">
        <v>46022</v>
      </c>
      <c r="C4747" t="s">
        <v>625</v>
      </c>
      <c r="D4747" t="s">
        <v>112</v>
      </c>
      <c r="E4747" t="s">
        <v>9</v>
      </c>
      <c r="F4747" s="3">
        <v>37600</v>
      </c>
      <c r="G4747" s="3">
        <v>37600</v>
      </c>
      <c r="H4747" t="s">
        <v>3</v>
      </c>
      <c r="I4747" t="s">
        <v>3</v>
      </c>
      <c r="J4747" t="s">
        <v>298</v>
      </c>
      <c r="K4747" t="s">
        <v>5</v>
      </c>
      <c r="L4747" t="s">
        <v>12</v>
      </c>
      <c r="M4747" t="s">
        <v>114</v>
      </c>
      <c r="N4747" s="2">
        <v>46022</v>
      </c>
    </row>
    <row r="4748" spans="1:14" x14ac:dyDescent="0.25">
      <c r="A4748" t="s">
        <v>625</v>
      </c>
      <c r="B4748" s="2">
        <v>46022</v>
      </c>
      <c r="C4748" t="s">
        <v>625</v>
      </c>
      <c r="D4748" t="s">
        <v>112</v>
      </c>
      <c r="E4748" t="s">
        <v>9</v>
      </c>
      <c r="F4748" s="3">
        <v>400</v>
      </c>
      <c r="G4748" s="3">
        <v>400</v>
      </c>
      <c r="H4748" t="s">
        <v>3</v>
      </c>
      <c r="I4748" t="s">
        <v>3</v>
      </c>
      <c r="J4748" t="s">
        <v>299</v>
      </c>
      <c r="K4748" t="s">
        <v>5</v>
      </c>
      <c r="L4748" t="s">
        <v>12</v>
      </c>
      <c r="M4748" t="s">
        <v>114</v>
      </c>
      <c r="N4748" s="2">
        <v>46022</v>
      </c>
    </row>
    <row r="4749" spans="1:14" x14ac:dyDescent="0.25">
      <c r="A4749" t="s">
        <v>625</v>
      </c>
      <c r="B4749" s="2">
        <v>46022</v>
      </c>
      <c r="C4749" t="s">
        <v>625</v>
      </c>
      <c r="D4749" t="s">
        <v>112</v>
      </c>
      <c r="E4749" t="s">
        <v>9</v>
      </c>
      <c r="F4749" s="3">
        <v>-37600</v>
      </c>
      <c r="G4749" s="3">
        <v>-37600</v>
      </c>
      <c r="H4749" t="s">
        <v>3</v>
      </c>
      <c r="I4749" t="s">
        <v>3</v>
      </c>
      <c r="J4749" t="s">
        <v>298</v>
      </c>
      <c r="K4749" t="s">
        <v>5</v>
      </c>
      <c r="L4749" t="s">
        <v>12</v>
      </c>
      <c r="M4749" t="s">
        <v>114</v>
      </c>
      <c r="N4749" s="2">
        <v>46022</v>
      </c>
    </row>
    <row r="4750" spans="1:14" x14ac:dyDescent="0.25">
      <c r="A4750" t="s">
        <v>625</v>
      </c>
      <c r="B4750" s="2">
        <v>46022</v>
      </c>
      <c r="C4750" t="s">
        <v>625</v>
      </c>
      <c r="D4750" t="s">
        <v>112</v>
      </c>
      <c r="E4750" t="s">
        <v>9</v>
      </c>
      <c r="F4750" s="3">
        <v>-400</v>
      </c>
      <c r="G4750" s="3">
        <v>-400</v>
      </c>
      <c r="H4750" t="s">
        <v>3</v>
      </c>
      <c r="I4750" t="s">
        <v>3</v>
      </c>
      <c r="J4750" t="s">
        <v>299</v>
      </c>
      <c r="K4750" t="s">
        <v>5</v>
      </c>
      <c r="L4750" t="s">
        <v>12</v>
      </c>
      <c r="M4750" t="s">
        <v>114</v>
      </c>
      <c r="N4750" s="2">
        <v>46022</v>
      </c>
    </row>
    <row r="4751" spans="1:14" x14ac:dyDescent="0.25">
      <c r="A4751" s="4" t="s">
        <v>228</v>
      </c>
      <c r="B4751" s="5"/>
      <c r="C4751" s="4" t="s">
        <v>9</v>
      </c>
      <c r="D4751" s="4" t="s">
        <v>9</v>
      </c>
      <c r="E4751" s="4" t="s">
        <v>9</v>
      </c>
      <c r="F4751" s="6">
        <v>0</v>
      </c>
      <c r="G4751" s="6">
        <v>0</v>
      </c>
      <c r="H4751" s="4" t="s">
        <v>9</v>
      </c>
      <c r="I4751" s="4" t="s">
        <v>3</v>
      </c>
      <c r="J4751" s="4" t="s">
        <v>9</v>
      </c>
      <c r="K4751" s="4" t="s">
        <v>9</v>
      </c>
      <c r="L4751" s="4" t="s">
        <v>9</v>
      </c>
      <c r="M4751" s="4" t="s">
        <v>9</v>
      </c>
      <c r="N4751" s="5"/>
    </row>
    <row r="4752" spans="1:14" x14ac:dyDescent="0.25">
      <c r="A4752" s="4" t="s">
        <v>625</v>
      </c>
      <c r="B4752" s="5"/>
      <c r="C4752" s="4" t="s">
        <v>9</v>
      </c>
      <c r="D4752" s="4" t="s">
        <v>9</v>
      </c>
      <c r="E4752" s="4" t="s">
        <v>9</v>
      </c>
      <c r="F4752" s="6">
        <v>0</v>
      </c>
      <c r="G4752" s="6">
        <v>0</v>
      </c>
      <c r="H4752" s="4" t="s">
        <v>9</v>
      </c>
      <c r="I4752" s="4" t="s">
        <v>3</v>
      </c>
      <c r="J4752" s="4" t="s">
        <v>9</v>
      </c>
      <c r="K4752" s="4" t="s">
        <v>9</v>
      </c>
      <c r="L4752" s="4" t="s">
        <v>9</v>
      </c>
      <c r="M4752" s="4" t="s">
        <v>9</v>
      </c>
      <c r="N4752" s="5"/>
    </row>
    <row r="4753" spans="1:14" x14ac:dyDescent="0.25">
      <c r="A4753" t="s">
        <v>626</v>
      </c>
      <c r="B4753" s="2">
        <v>46028</v>
      </c>
      <c r="C4753" t="s">
        <v>626</v>
      </c>
      <c r="D4753" t="s">
        <v>33</v>
      </c>
      <c r="E4753" t="s">
        <v>9</v>
      </c>
      <c r="F4753" s="3">
        <v>12000</v>
      </c>
      <c r="G4753" s="3">
        <v>12000</v>
      </c>
      <c r="H4753" t="s">
        <v>3</v>
      </c>
      <c r="I4753" t="s">
        <v>3</v>
      </c>
      <c r="J4753" t="s">
        <v>9</v>
      </c>
      <c r="K4753" t="s">
        <v>9</v>
      </c>
      <c r="L4753" t="s">
        <v>12</v>
      </c>
      <c r="M4753" t="s">
        <v>35</v>
      </c>
      <c r="N4753" s="2">
        <v>46022</v>
      </c>
    </row>
    <row r="4754" spans="1:14" x14ac:dyDescent="0.25">
      <c r="A4754" t="s">
        <v>626</v>
      </c>
      <c r="B4754" s="2">
        <v>46007</v>
      </c>
      <c r="C4754" t="s">
        <v>626</v>
      </c>
      <c r="D4754" t="s">
        <v>33</v>
      </c>
      <c r="E4754" t="s">
        <v>9</v>
      </c>
      <c r="F4754" s="3">
        <v>-12000</v>
      </c>
      <c r="G4754" s="3">
        <v>-12000</v>
      </c>
      <c r="H4754" t="s">
        <v>3</v>
      </c>
      <c r="I4754" t="s">
        <v>3</v>
      </c>
      <c r="J4754" t="s">
        <v>9</v>
      </c>
      <c r="K4754" t="s">
        <v>5</v>
      </c>
      <c r="L4754" t="s">
        <v>12</v>
      </c>
      <c r="M4754" t="s">
        <v>35</v>
      </c>
      <c r="N4754" s="2">
        <v>46007</v>
      </c>
    </row>
    <row r="4755" spans="1:14" x14ac:dyDescent="0.25">
      <c r="A4755" s="4" t="s">
        <v>228</v>
      </c>
      <c r="B4755" s="5"/>
      <c r="C4755" s="4" t="s">
        <v>9</v>
      </c>
      <c r="D4755" s="4" t="s">
        <v>9</v>
      </c>
      <c r="E4755" s="4" t="s">
        <v>9</v>
      </c>
      <c r="F4755" s="6">
        <v>0</v>
      </c>
      <c r="G4755" s="6">
        <v>0</v>
      </c>
      <c r="H4755" s="4" t="s">
        <v>9</v>
      </c>
      <c r="I4755" s="4" t="s">
        <v>3</v>
      </c>
      <c r="J4755" s="4" t="s">
        <v>9</v>
      </c>
      <c r="K4755" s="4" t="s">
        <v>9</v>
      </c>
      <c r="L4755" s="4" t="s">
        <v>9</v>
      </c>
      <c r="M4755" s="4" t="s">
        <v>9</v>
      </c>
      <c r="N4755" s="5"/>
    </row>
    <row r="4756" spans="1:14" x14ac:dyDescent="0.25">
      <c r="A4756" s="4" t="s">
        <v>626</v>
      </c>
      <c r="B4756" s="5"/>
      <c r="C4756" s="4" t="s">
        <v>9</v>
      </c>
      <c r="D4756" s="4" t="s">
        <v>9</v>
      </c>
      <c r="E4756" s="4" t="s">
        <v>9</v>
      </c>
      <c r="F4756" s="6">
        <v>0</v>
      </c>
      <c r="G4756" s="6">
        <v>0</v>
      </c>
      <c r="H4756" s="4" t="s">
        <v>9</v>
      </c>
      <c r="I4756" s="4" t="s">
        <v>3</v>
      </c>
      <c r="J4756" s="4" t="s">
        <v>9</v>
      </c>
      <c r="K4756" s="4" t="s">
        <v>9</v>
      </c>
      <c r="L4756" s="4" t="s">
        <v>9</v>
      </c>
      <c r="M4756" s="4" t="s">
        <v>9</v>
      </c>
      <c r="N4756" s="5"/>
    </row>
    <row r="4757" spans="1:14" x14ac:dyDescent="0.25">
      <c r="A4757" t="s">
        <v>627</v>
      </c>
      <c r="B4757" s="2">
        <v>46056</v>
      </c>
      <c r="C4757" t="s">
        <v>627</v>
      </c>
      <c r="D4757" t="s">
        <v>112</v>
      </c>
      <c r="E4757" t="s">
        <v>9</v>
      </c>
      <c r="F4757" s="3">
        <v>-600</v>
      </c>
      <c r="G4757" s="3">
        <v>-600</v>
      </c>
      <c r="H4757" t="s">
        <v>3</v>
      </c>
      <c r="I4757" t="s">
        <v>3</v>
      </c>
      <c r="J4757" t="s">
        <v>9</v>
      </c>
      <c r="K4757" t="s">
        <v>9</v>
      </c>
      <c r="L4757" t="s">
        <v>14</v>
      </c>
      <c r="M4757" t="s">
        <v>114</v>
      </c>
      <c r="N4757" s="2">
        <v>46053</v>
      </c>
    </row>
    <row r="4758" spans="1:14" x14ac:dyDescent="0.25">
      <c r="A4758" t="s">
        <v>627</v>
      </c>
      <c r="B4758" s="2">
        <v>46022</v>
      </c>
      <c r="C4758" t="s">
        <v>627</v>
      </c>
      <c r="D4758" t="s">
        <v>112</v>
      </c>
      <c r="E4758" t="s">
        <v>9</v>
      </c>
      <c r="F4758" s="3">
        <v>-4000</v>
      </c>
      <c r="G4758" s="3">
        <v>-4000</v>
      </c>
      <c r="H4758" t="s">
        <v>3</v>
      </c>
      <c r="I4758" t="s">
        <v>3</v>
      </c>
      <c r="J4758" t="s">
        <v>299</v>
      </c>
      <c r="K4758" t="s">
        <v>13</v>
      </c>
      <c r="L4758" t="s">
        <v>14</v>
      </c>
      <c r="M4758" t="s">
        <v>114</v>
      </c>
      <c r="N4758" s="2">
        <v>46023</v>
      </c>
    </row>
    <row r="4759" spans="1:14" x14ac:dyDescent="0.25">
      <c r="A4759" t="s">
        <v>627</v>
      </c>
      <c r="B4759" s="2">
        <v>46023</v>
      </c>
      <c r="C4759" t="s">
        <v>627</v>
      </c>
      <c r="D4759" t="s">
        <v>112</v>
      </c>
      <c r="E4759" t="s">
        <v>9</v>
      </c>
      <c r="F4759" s="3">
        <v>4000</v>
      </c>
      <c r="G4759" s="3">
        <v>4000</v>
      </c>
      <c r="H4759" t="s">
        <v>3</v>
      </c>
      <c r="I4759" t="s">
        <v>3</v>
      </c>
      <c r="J4759" t="s">
        <v>299</v>
      </c>
      <c r="K4759" t="s">
        <v>13</v>
      </c>
      <c r="L4759" t="s">
        <v>14</v>
      </c>
      <c r="M4759" t="s">
        <v>114</v>
      </c>
      <c r="N4759" s="2">
        <v>46023</v>
      </c>
    </row>
    <row r="4760" spans="1:14" x14ac:dyDescent="0.25">
      <c r="A4760" t="s">
        <v>627</v>
      </c>
      <c r="B4760" s="2">
        <v>46053</v>
      </c>
      <c r="C4760" t="s">
        <v>627</v>
      </c>
      <c r="D4760" t="s">
        <v>112</v>
      </c>
      <c r="E4760" t="s">
        <v>9</v>
      </c>
      <c r="F4760" s="3">
        <v>600</v>
      </c>
      <c r="G4760" s="3">
        <v>600</v>
      </c>
      <c r="H4760" t="s">
        <v>3</v>
      </c>
      <c r="I4760" t="s">
        <v>3</v>
      </c>
      <c r="J4760" t="s">
        <v>367</v>
      </c>
      <c r="K4760" t="s">
        <v>13</v>
      </c>
      <c r="L4760" t="s">
        <v>14</v>
      </c>
      <c r="M4760" t="s">
        <v>114</v>
      </c>
      <c r="N4760" s="2">
        <v>46053</v>
      </c>
    </row>
    <row r="4761" spans="1:14" x14ac:dyDescent="0.25">
      <c r="A4761" s="4" t="s">
        <v>234</v>
      </c>
      <c r="B4761" s="5"/>
      <c r="C4761" s="4" t="s">
        <v>9</v>
      </c>
      <c r="D4761" s="4" t="s">
        <v>9</v>
      </c>
      <c r="E4761" s="4" t="s">
        <v>9</v>
      </c>
      <c r="F4761" s="6">
        <v>0</v>
      </c>
      <c r="G4761" s="6">
        <v>0</v>
      </c>
      <c r="H4761" s="4" t="s">
        <v>9</v>
      </c>
      <c r="I4761" s="4" t="s">
        <v>3</v>
      </c>
      <c r="J4761" s="4" t="s">
        <v>9</v>
      </c>
      <c r="K4761" s="4" t="s">
        <v>9</v>
      </c>
      <c r="L4761" s="4" t="s">
        <v>9</v>
      </c>
      <c r="M4761" s="4" t="s">
        <v>9</v>
      </c>
      <c r="N4761" s="5"/>
    </row>
    <row r="4762" spans="1:14" x14ac:dyDescent="0.25">
      <c r="A4762" t="s">
        <v>627</v>
      </c>
      <c r="B4762" s="2">
        <v>46084</v>
      </c>
      <c r="C4762" t="s">
        <v>627</v>
      </c>
      <c r="D4762" t="s">
        <v>112</v>
      </c>
      <c r="E4762" t="s">
        <v>9</v>
      </c>
      <c r="F4762" s="3">
        <v>-415</v>
      </c>
      <c r="G4762" s="3">
        <v>-415</v>
      </c>
      <c r="H4762" t="s">
        <v>3</v>
      </c>
      <c r="I4762" t="s">
        <v>3</v>
      </c>
      <c r="J4762" t="s">
        <v>9</v>
      </c>
      <c r="K4762" t="s">
        <v>9</v>
      </c>
      <c r="L4762" t="s">
        <v>15</v>
      </c>
      <c r="M4762" t="s">
        <v>114</v>
      </c>
      <c r="N4762" s="2">
        <v>46081</v>
      </c>
    </row>
    <row r="4763" spans="1:14" x14ac:dyDescent="0.25">
      <c r="A4763" t="s">
        <v>627</v>
      </c>
      <c r="B4763" s="2">
        <v>46054</v>
      </c>
      <c r="C4763" t="s">
        <v>627</v>
      </c>
      <c r="D4763" t="s">
        <v>112</v>
      </c>
      <c r="E4763" t="s">
        <v>9</v>
      </c>
      <c r="F4763" s="3">
        <v>-600</v>
      </c>
      <c r="G4763" s="3">
        <v>-600</v>
      </c>
      <c r="H4763" t="s">
        <v>3</v>
      </c>
      <c r="I4763" t="s">
        <v>3</v>
      </c>
      <c r="J4763" t="s">
        <v>367</v>
      </c>
      <c r="K4763" t="s">
        <v>13</v>
      </c>
      <c r="L4763" t="s">
        <v>15</v>
      </c>
      <c r="M4763" t="s">
        <v>114</v>
      </c>
      <c r="N4763" s="2">
        <v>46054</v>
      </c>
    </row>
    <row r="4764" spans="1:14" x14ac:dyDescent="0.25">
      <c r="A4764" t="s">
        <v>627</v>
      </c>
      <c r="B4764" s="2">
        <v>46054</v>
      </c>
      <c r="C4764" t="s">
        <v>627</v>
      </c>
      <c r="D4764" t="s">
        <v>112</v>
      </c>
      <c r="E4764" t="s">
        <v>9</v>
      </c>
      <c r="F4764" s="3">
        <v>600</v>
      </c>
      <c r="G4764" s="3">
        <v>600</v>
      </c>
      <c r="H4764" t="s">
        <v>3</v>
      </c>
      <c r="I4764" t="s">
        <v>3</v>
      </c>
      <c r="J4764" t="s">
        <v>367</v>
      </c>
      <c r="K4764" t="s">
        <v>13</v>
      </c>
      <c r="L4764" t="s">
        <v>15</v>
      </c>
      <c r="M4764" t="s">
        <v>114</v>
      </c>
      <c r="N4764" s="2">
        <v>46055</v>
      </c>
    </row>
    <row r="4765" spans="1:14" x14ac:dyDescent="0.25">
      <c r="A4765" t="s">
        <v>627</v>
      </c>
      <c r="B4765" s="2">
        <v>46054</v>
      </c>
      <c r="C4765" t="s">
        <v>627</v>
      </c>
      <c r="D4765" t="s">
        <v>112</v>
      </c>
      <c r="E4765" t="s">
        <v>9</v>
      </c>
      <c r="F4765" s="3">
        <v>-600</v>
      </c>
      <c r="G4765" s="3">
        <v>-600</v>
      </c>
      <c r="H4765" t="s">
        <v>3</v>
      </c>
      <c r="I4765" t="s">
        <v>3</v>
      </c>
      <c r="J4765" t="s">
        <v>367</v>
      </c>
      <c r="K4765" t="s">
        <v>13</v>
      </c>
      <c r="L4765" t="s">
        <v>15</v>
      </c>
      <c r="M4765" t="s">
        <v>114</v>
      </c>
      <c r="N4765" s="2">
        <v>46054</v>
      </c>
    </row>
    <row r="4766" spans="1:14" x14ac:dyDescent="0.25">
      <c r="A4766" t="s">
        <v>627</v>
      </c>
      <c r="B4766" s="2">
        <v>46081</v>
      </c>
      <c r="C4766" t="s">
        <v>627</v>
      </c>
      <c r="D4766" t="s">
        <v>112</v>
      </c>
      <c r="E4766" t="s">
        <v>9</v>
      </c>
      <c r="F4766" s="3">
        <v>1015</v>
      </c>
      <c r="G4766" s="3">
        <v>1015</v>
      </c>
      <c r="H4766" t="s">
        <v>3</v>
      </c>
      <c r="I4766" t="s">
        <v>3</v>
      </c>
      <c r="J4766" t="s">
        <v>368</v>
      </c>
      <c r="K4766" t="s">
        <v>13</v>
      </c>
      <c r="L4766" t="s">
        <v>15</v>
      </c>
      <c r="M4766" t="s">
        <v>114</v>
      </c>
      <c r="N4766" s="2">
        <v>46081</v>
      </c>
    </row>
    <row r="4767" spans="1:14" x14ac:dyDescent="0.25">
      <c r="A4767" s="4" t="s">
        <v>239</v>
      </c>
      <c r="B4767" s="5"/>
      <c r="C4767" s="4" t="s">
        <v>9</v>
      </c>
      <c r="D4767" s="4" t="s">
        <v>9</v>
      </c>
      <c r="E4767" s="4" t="s">
        <v>9</v>
      </c>
      <c r="F4767" s="6">
        <v>0</v>
      </c>
      <c r="G4767" s="6">
        <v>0</v>
      </c>
      <c r="H4767" s="4" t="s">
        <v>9</v>
      </c>
      <c r="I4767" s="4" t="s">
        <v>3</v>
      </c>
      <c r="J4767" s="4" t="s">
        <v>9</v>
      </c>
      <c r="K4767" s="4" t="s">
        <v>9</v>
      </c>
      <c r="L4767" s="4" t="s">
        <v>9</v>
      </c>
      <c r="M4767" s="4" t="s">
        <v>9</v>
      </c>
      <c r="N4767" s="5"/>
    </row>
    <row r="4768" spans="1:14" x14ac:dyDescent="0.25">
      <c r="A4768" t="s">
        <v>627</v>
      </c>
      <c r="B4768" s="2">
        <v>46115</v>
      </c>
      <c r="C4768" t="s">
        <v>627</v>
      </c>
      <c r="D4768" t="s">
        <v>112</v>
      </c>
      <c r="E4768" t="s">
        <v>9</v>
      </c>
      <c r="F4768" s="3">
        <v>-100</v>
      </c>
      <c r="G4768" s="3">
        <v>-100</v>
      </c>
      <c r="H4768" t="s">
        <v>3</v>
      </c>
      <c r="I4768" t="s">
        <v>3</v>
      </c>
      <c r="J4768" t="s">
        <v>9</v>
      </c>
      <c r="K4768" t="s">
        <v>9</v>
      </c>
      <c r="L4768" t="s">
        <v>16</v>
      </c>
      <c r="M4768" t="s">
        <v>114</v>
      </c>
      <c r="N4768" s="2">
        <v>46112</v>
      </c>
    </row>
    <row r="4769" spans="1:14" x14ac:dyDescent="0.25">
      <c r="A4769" t="s">
        <v>627</v>
      </c>
      <c r="B4769" s="2">
        <v>46081</v>
      </c>
      <c r="C4769" t="s">
        <v>627</v>
      </c>
      <c r="D4769" t="s">
        <v>112</v>
      </c>
      <c r="E4769" t="s">
        <v>9</v>
      </c>
      <c r="F4769" s="3">
        <v>-1015</v>
      </c>
      <c r="G4769" s="3">
        <v>-1015</v>
      </c>
      <c r="H4769" t="s">
        <v>3</v>
      </c>
      <c r="I4769" t="s">
        <v>3</v>
      </c>
      <c r="J4769" t="s">
        <v>368</v>
      </c>
      <c r="K4769" t="s">
        <v>13</v>
      </c>
      <c r="L4769" t="s">
        <v>16</v>
      </c>
      <c r="M4769" t="s">
        <v>114</v>
      </c>
      <c r="N4769" s="2">
        <v>46082</v>
      </c>
    </row>
    <row r="4770" spans="1:14" x14ac:dyDescent="0.25">
      <c r="A4770" t="s">
        <v>627</v>
      </c>
      <c r="B4770" s="2">
        <v>46112</v>
      </c>
      <c r="C4770" t="s">
        <v>627</v>
      </c>
      <c r="D4770" t="s">
        <v>112</v>
      </c>
      <c r="E4770" t="s">
        <v>9</v>
      </c>
      <c r="F4770" s="3">
        <v>1115</v>
      </c>
      <c r="G4770" s="3">
        <v>1115</v>
      </c>
      <c r="H4770" t="s">
        <v>3</v>
      </c>
      <c r="I4770" t="s">
        <v>3</v>
      </c>
      <c r="J4770" t="s">
        <v>369</v>
      </c>
      <c r="K4770" t="s">
        <v>13</v>
      </c>
      <c r="L4770" t="s">
        <v>16</v>
      </c>
      <c r="M4770" t="s">
        <v>114</v>
      </c>
      <c r="N4770" s="2">
        <v>46112</v>
      </c>
    </row>
    <row r="4771" spans="1:14" x14ac:dyDescent="0.25">
      <c r="A4771" s="4" t="s">
        <v>244</v>
      </c>
      <c r="B4771" s="5"/>
      <c r="C4771" s="4" t="s">
        <v>9</v>
      </c>
      <c r="D4771" s="4" t="s">
        <v>9</v>
      </c>
      <c r="E4771" s="4" t="s">
        <v>9</v>
      </c>
      <c r="F4771" s="6">
        <v>0</v>
      </c>
      <c r="G4771" s="6">
        <v>0</v>
      </c>
      <c r="H4771" s="4" t="s">
        <v>9</v>
      </c>
      <c r="I4771" s="4" t="s">
        <v>3</v>
      </c>
      <c r="J4771" s="4" t="s">
        <v>9</v>
      </c>
      <c r="K4771" s="4" t="s">
        <v>9</v>
      </c>
      <c r="L4771" s="4" t="s">
        <v>9</v>
      </c>
      <c r="M4771" s="4" t="s">
        <v>9</v>
      </c>
      <c r="N4771" s="5"/>
    </row>
    <row r="4772" spans="1:14" x14ac:dyDescent="0.25">
      <c r="A4772" t="s">
        <v>627</v>
      </c>
      <c r="B4772" s="2">
        <v>46112</v>
      </c>
      <c r="C4772" t="s">
        <v>627</v>
      </c>
      <c r="D4772" t="s">
        <v>112</v>
      </c>
      <c r="E4772" t="s">
        <v>9</v>
      </c>
      <c r="F4772" s="3">
        <v>-1115</v>
      </c>
      <c r="G4772" s="3">
        <v>-1115</v>
      </c>
      <c r="H4772" t="s">
        <v>3</v>
      </c>
      <c r="I4772" t="s">
        <v>3</v>
      </c>
      <c r="J4772" t="s">
        <v>369</v>
      </c>
      <c r="K4772" t="s">
        <v>13</v>
      </c>
      <c r="L4772" t="s">
        <v>17</v>
      </c>
      <c r="M4772" t="s">
        <v>114</v>
      </c>
      <c r="N4772" s="2">
        <v>46113</v>
      </c>
    </row>
    <row r="4773" spans="1:14" x14ac:dyDescent="0.25">
      <c r="A4773" t="s">
        <v>627</v>
      </c>
      <c r="B4773" s="2">
        <v>46142</v>
      </c>
      <c r="C4773" t="s">
        <v>627</v>
      </c>
      <c r="D4773" t="s">
        <v>112</v>
      </c>
      <c r="E4773" t="s">
        <v>9</v>
      </c>
      <c r="F4773" s="3">
        <v>1115</v>
      </c>
      <c r="G4773" s="3">
        <v>1115</v>
      </c>
      <c r="H4773" t="s">
        <v>3</v>
      </c>
      <c r="I4773" t="s">
        <v>3</v>
      </c>
      <c r="J4773" t="s">
        <v>370</v>
      </c>
      <c r="K4773" t="s">
        <v>13</v>
      </c>
      <c r="L4773" t="s">
        <v>17</v>
      </c>
      <c r="M4773" t="s">
        <v>114</v>
      </c>
      <c r="N4773" s="2">
        <v>46142</v>
      </c>
    </row>
    <row r="4774" spans="1:14" x14ac:dyDescent="0.25">
      <c r="A4774" s="4" t="s">
        <v>249</v>
      </c>
      <c r="B4774" s="5"/>
      <c r="C4774" s="4" t="s">
        <v>9</v>
      </c>
      <c r="D4774" s="4" t="s">
        <v>9</v>
      </c>
      <c r="E4774" s="4" t="s">
        <v>9</v>
      </c>
      <c r="F4774" s="6">
        <v>0</v>
      </c>
      <c r="G4774" s="6">
        <v>0</v>
      </c>
      <c r="H4774" s="4" t="s">
        <v>9</v>
      </c>
      <c r="I4774" s="4" t="s">
        <v>3</v>
      </c>
      <c r="J4774" s="4" t="s">
        <v>9</v>
      </c>
      <c r="K4774" s="4" t="s">
        <v>9</v>
      </c>
      <c r="L4774" s="4" t="s">
        <v>9</v>
      </c>
      <c r="M4774" s="4" t="s">
        <v>9</v>
      </c>
      <c r="N4774" s="5"/>
    </row>
    <row r="4775" spans="1:14" x14ac:dyDescent="0.25">
      <c r="A4775" t="s">
        <v>627</v>
      </c>
      <c r="B4775" s="2">
        <v>46142</v>
      </c>
      <c r="C4775" t="s">
        <v>627</v>
      </c>
      <c r="D4775" t="s">
        <v>112</v>
      </c>
      <c r="E4775" t="s">
        <v>9</v>
      </c>
      <c r="F4775" s="3">
        <v>-1115</v>
      </c>
      <c r="G4775" s="3">
        <v>-1115</v>
      </c>
      <c r="H4775" t="s">
        <v>3</v>
      </c>
      <c r="I4775" t="s">
        <v>3</v>
      </c>
      <c r="J4775" t="s">
        <v>370</v>
      </c>
      <c r="K4775" t="s">
        <v>13</v>
      </c>
      <c r="L4775" t="s">
        <v>18</v>
      </c>
      <c r="M4775" t="s">
        <v>114</v>
      </c>
      <c r="N4775" s="2">
        <v>46143</v>
      </c>
    </row>
    <row r="4776" spans="1:14" x14ac:dyDescent="0.25">
      <c r="A4776" t="s">
        <v>627</v>
      </c>
      <c r="B4776" s="2">
        <v>46173</v>
      </c>
      <c r="C4776" t="s">
        <v>627</v>
      </c>
      <c r="D4776" t="s">
        <v>112</v>
      </c>
      <c r="E4776" t="s">
        <v>9</v>
      </c>
      <c r="F4776" s="3">
        <v>1115</v>
      </c>
      <c r="G4776" s="3">
        <v>1115</v>
      </c>
      <c r="H4776" t="s">
        <v>3</v>
      </c>
      <c r="I4776" t="s">
        <v>3</v>
      </c>
      <c r="J4776" t="s">
        <v>371</v>
      </c>
      <c r="K4776" t="s">
        <v>13</v>
      </c>
      <c r="L4776" t="s">
        <v>18</v>
      </c>
      <c r="M4776" t="s">
        <v>114</v>
      </c>
      <c r="N4776" s="2">
        <v>46173</v>
      </c>
    </row>
    <row r="4777" spans="1:14" x14ac:dyDescent="0.25">
      <c r="A4777" s="4" t="s">
        <v>223</v>
      </c>
      <c r="B4777" s="5"/>
      <c r="C4777" s="4" t="s">
        <v>9</v>
      </c>
      <c r="D4777" s="4" t="s">
        <v>9</v>
      </c>
      <c r="E4777" s="4" t="s">
        <v>9</v>
      </c>
      <c r="F4777" s="6">
        <v>0</v>
      </c>
      <c r="G4777" s="6">
        <v>0</v>
      </c>
      <c r="H4777" s="4" t="s">
        <v>9</v>
      </c>
      <c r="I4777" s="4" t="s">
        <v>3</v>
      </c>
      <c r="J4777" s="4" t="s">
        <v>9</v>
      </c>
      <c r="K4777" s="4" t="s">
        <v>9</v>
      </c>
      <c r="L4777" s="4" t="s">
        <v>9</v>
      </c>
      <c r="M4777" s="4" t="s">
        <v>9</v>
      </c>
      <c r="N4777" s="5"/>
    </row>
    <row r="4778" spans="1:14" x14ac:dyDescent="0.25">
      <c r="A4778" t="s">
        <v>627</v>
      </c>
      <c r="B4778" s="2">
        <v>46173</v>
      </c>
      <c r="C4778" t="s">
        <v>627</v>
      </c>
      <c r="D4778" t="s">
        <v>112</v>
      </c>
      <c r="E4778" t="s">
        <v>9</v>
      </c>
      <c r="F4778" s="3">
        <v>-1115</v>
      </c>
      <c r="G4778" s="3">
        <v>-1115</v>
      </c>
      <c r="H4778" t="s">
        <v>3</v>
      </c>
      <c r="I4778" t="s">
        <v>3</v>
      </c>
      <c r="J4778" t="s">
        <v>371</v>
      </c>
      <c r="K4778" t="s">
        <v>13</v>
      </c>
      <c r="L4778" t="s">
        <v>19</v>
      </c>
      <c r="M4778" t="s">
        <v>114</v>
      </c>
      <c r="N4778" s="2">
        <v>46174</v>
      </c>
    </row>
    <row r="4779" spans="1:14" x14ac:dyDescent="0.25">
      <c r="A4779" t="s">
        <v>627</v>
      </c>
      <c r="B4779" s="2">
        <v>46203</v>
      </c>
      <c r="C4779" t="s">
        <v>627</v>
      </c>
      <c r="D4779" t="s">
        <v>112</v>
      </c>
      <c r="E4779" t="s">
        <v>9</v>
      </c>
      <c r="F4779" s="3">
        <v>1115</v>
      </c>
      <c r="G4779" s="3">
        <v>1115</v>
      </c>
      <c r="H4779" t="s">
        <v>3</v>
      </c>
      <c r="I4779" t="s">
        <v>3</v>
      </c>
      <c r="J4779" t="s">
        <v>372</v>
      </c>
      <c r="K4779" t="s">
        <v>13</v>
      </c>
      <c r="L4779" t="s">
        <v>19</v>
      </c>
      <c r="M4779" t="s">
        <v>114</v>
      </c>
      <c r="N4779" s="2">
        <v>46203</v>
      </c>
    </row>
    <row r="4780" spans="1:14" x14ac:dyDescent="0.25">
      <c r="A4780" s="4" t="s">
        <v>224</v>
      </c>
      <c r="B4780" s="5"/>
      <c r="C4780" s="4" t="s">
        <v>9</v>
      </c>
      <c r="D4780" s="4" t="s">
        <v>9</v>
      </c>
      <c r="E4780" s="4" t="s">
        <v>9</v>
      </c>
      <c r="F4780" s="6">
        <v>0</v>
      </c>
      <c r="G4780" s="6">
        <v>0</v>
      </c>
      <c r="H4780" s="4" t="s">
        <v>9</v>
      </c>
      <c r="I4780" s="4" t="s">
        <v>3</v>
      </c>
      <c r="J4780" s="4" t="s">
        <v>9</v>
      </c>
      <c r="K4780" s="4" t="s">
        <v>9</v>
      </c>
      <c r="L4780" s="4" t="s">
        <v>9</v>
      </c>
      <c r="M4780" s="4" t="s">
        <v>9</v>
      </c>
      <c r="N4780" s="5"/>
    </row>
    <row r="4781" spans="1:14" x14ac:dyDescent="0.25">
      <c r="A4781" t="s">
        <v>627</v>
      </c>
      <c r="B4781" s="2">
        <v>46203</v>
      </c>
      <c r="C4781" t="s">
        <v>627</v>
      </c>
      <c r="D4781" t="s">
        <v>112</v>
      </c>
      <c r="E4781" t="s">
        <v>9</v>
      </c>
      <c r="F4781" s="3">
        <v>-1115</v>
      </c>
      <c r="G4781" s="3">
        <v>-1115</v>
      </c>
      <c r="H4781" t="s">
        <v>3</v>
      </c>
      <c r="I4781" t="s">
        <v>3</v>
      </c>
      <c r="J4781" t="s">
        <v>372</v>
      </c>
      <c r="K4781" t="s">
        <v>13</v>
      </c>
      <c r="L4781" t="s">
        <v>21</v>
      </c>
      <c r="M4781" t="s">
        <v>114</v>
      </c>
      <c r="N4781" s="2">
        <v>46204</v>
      </c>
    </row>
    <row r="4782" spans="1:14" x14ac:dyDescent="0.25">
      <c r="A4782" t="s">
        <v>627</v>
      </c>
      <c r="B4782" s="2">
        <v>46234</v>
      </c>
      <c r="C4782" t="s">
        <v>627</v>
      </c>
      <c r="D4782" t="s">
        <v>112</v>
      </c>
      <c r="E4782" t="s">
        <v>9</v>
      </c>
      <c r="F4782" s="3">
        <v>1115</v>
      </c>
      <c r="G4782" s="3">
        <v>1115</v>
      </c>
      <c r="H4782" t="s">
        <v>3</v>
      </c>
      <c r="I4782" t="s">
        <v>3</v>
      </c>
      <c r="J4782" t="s">
        <v>628</v>
      </c>
      <c r="K4782" t="s">
        <v>13</v>
      </c>
      <c r="L4782" t="s">
        <v>21</v>
      </c>
      <c r="M4782" t="s">
        <v>114</v>
      </c>
      <c r="N4782" s="2">
        <v>46234</v>
      </c>
    </row>
    <row r="4783" spans="1:14" x14ac:dyDescent="0.25">
      <c r="A4783" s="4" t="s">
        <v>262</v>
      </c>
      <c r="B4783" s="5"/>
      <c r="C4783" s="4" t="s">
        <v>9</v>
      </c>
      <c r="D4783" s="4" t="s">
        <v>9</v>
      </c>
      <c r="E4783" s="4" t="s">
        <v>9</v>
      </c>
      <c r="F4783" s="6">
        <v>0</v>
      </c>
      <c r="G4783" s="6">
        <v>0</v>
      </c>
      <c r="H4783" s="4" t="s">
        <v>9</v>
      </c>
      <c r="I4783" s="4" t="s">
        <v>3</v>
      </c>
      <c r="J4783" s="4" t="s">
        <v>9</v>
      </c>
      <c r="K4783" s="4" t="s">
        <v>9</v>
      </c>
      <c r="L4783" s="4" t="s">
        <v>9</v>
      </c>
      <c r="M4783" s="4" t="s">
        <v>9</v>
      </c>
      <c r="N4783" s="5"/>
    </row>
    <row r="4784" spans="1:14" x14ac:dyDescent="0.25">
      <c r="A4784" t="s">
        <v>627</v>
      </c>
      <c r="B4784" s="2">
        <v>45993</v>
      </c>
      <c r="C4784" t="s">
        <v>627</v>
      </c>
      <c r="D4784" t="s">
        <v>112</v>
      </c>
      <c r="E4784" t="s">
        <v>9</v>
      </c>
      <c r="F4784" s="3">
        <v>-400</v>
      </c>
      <c r="G4784" s="3">
        <v>-400</v>
      </c>
      <c r="H4784" t="s">
        <v>3</v>
      </c>
      <c r="I4784" t="s">
        <v>3</v>
      </c>
      <c r="J4784" t="s">
        <v>9</v>
      </c>
      <c r="K4784" t="s">
        <v>9</v>
      </c>
      <c r="L4784" t="s">
        <v>11</v>
      </c>
      <c r="M4784" t="s">
        <v>114</v>
      </c>
      <c r="N4784" s="2">
        <v>45991</v>
      </c>
    </row>
    <row r="4785" spans="1:14" x14ac:dyDescent="0.25">
      <c r="A4785" t="s">
        <v>627</v>
      </c>
      <c r="B4785" s="2">
        <v>45993</v>
      </c>
      <c r="C4785" t="s">
        <v>627</v>
      </c>
      <c r="D4785" t="s">
        <v>99</v>
      </c>
      <c r="E4785" t="s">
        <v>9</v>
      </c>
      <c r="F4785" s="3">
        <v>-917</v>
      </c>
      <c r="G4785" s="3">
        <v>-917</v>
      </c>
      <c r="H4785" t="s">
        <v>3</v>
      </c>
      <c r="I4785" t="s">
        <v>3</v>
      </c>
      <c r="J4785" t="s">
        <v>9</v>
      </c>
      <c r="K4785" t="s">
        <v>9</v>
      </c>
      <c r="L4785" t="s">
        <v>11</v>
      </c>
      <c r="M4785" t="s">
        <v>102</v>
      </c>
      <c r="N4785" s="2">
        <v>45991</v>
      </c>
    </row>
    <row r="4786" spans="1:14" x14ac:dyDescent="0.25">
      <c r="A4786" t="s">
        <v>627</v>
      </c>
      <c r="B4786" s="2">
        <v>45991</v>
      </c>
      <c r="C4786" t="s">
        <v>627</v>
      </c>
      <c r="D4786" t="s">
        <v>99</v>
      </c>
      <c r="E4786" t="s">
        <v>9</v>
      </c>
      <c r="F4786" s="3">
        <v>917</v>
      </c>
      <c r="G4786" s="3">
        <v>917</v>
      </c>
      <c r="H4786" t="s">
        <v>3</v>
      </c>
      <c r="I4786" t="s">
        <v>3</v>
      </c>
      <c r="J4786" t="s">
        <v>629</v>
      </c>
      <c r="K4786" t="s">
        <v>5</v>
      </c>
      <c r="L4786" t="s">
        <v>11</v>
      </c>
      <c r="M4786" t="s">
        <v>102</v>
      </c>
      <c r="N4786" s="2">
        <v>45991</v>
      </c>
    </row>
    <row r="4787" spans="1:14" x14ac:dyDescent="0.25">
      <c r="A4787" t="s">
        <v>627</v>
      </c>
      <c r="B4787" s="2">
        <v>45991</v>
      </c>
      <c r="C4787" t="s">
        <v>627</v>
      </c>
      <c r="D4787" t="s">
        <v>112</v>
      </c>
      <c r="E4787" t="s">
        <v>9</v>
      </c>
      <c r="F4787" s="3">
        <v>400</v>
      </c>
      <c r="G4787" s="3">
        <v>400</v>
      </c>
      <c r="H4787" t="s">
        <v>3</v>
      </c>
      <c r="I4787" t="s">
        <v>3</v>
      </c>
      <c r="J4787" t="s">
        <v>329</v>
      </c>
      <c r="K4787" t="s">
        <v>5</v>
      </c>
      <c r="L4787" t="s">
        <v>11</v>
      </c>
      <c r="M4787" t="s">
        <v>114</v>
      </c>
      <c r="N4787" s="2">
        <v>45991</v>
      </c>
    </row>
    <row r="4788" spans="1:14" x14ac:dyDescent="0.25">
      <c r="A4788" s="4" t="s">
        <v>226</v>
      </c>
      <c r="B4788" s="5"/>
      <c r="C4788" s="4" t="s">
        <v>9</v>
      </c>
      <c r="D4788" s="4" t="s">
        <v>9</v>
      </c>
      <c r="E4788" s="4" t="s">
        <v>9</v>
      </c>
      <c r="F4788" s="6">
        <v>0</v>
      </c>
      <c r="G4788" s="6">
        <v>0</v>
      </c>
      <c r="H4788" s="4" t="s">
        <v>9</v>
      </c>
      <c r="I4788" s="4" t="s">
        <v>3</v>
      </c>
      <c r="J4788" s="4" t="s">
        <v>9</v>
      </c>
      <c r="K4788" s="4" t="s">
        <v>9</v>
      </c>
      <c r="L4788" s="4" t="s">
        <v>9</v>
      </c>
      <c r="M4788" s="4" t="s">
        <v>9</v>
      </c>
      <c r="N4788" s="5"/>
    </row>
    <row r="4789" spans="1:14" x14ac:dyDescent="0.25">
      <c r="A4789" t="s">
        <v>627</v>
      </c>
      <c r="B4789" s="2">
        <v>46028</v>
      </c>
      <c r="C4789" t="s">
        <v>627</v>
      </c>
      <c r="D4789" t="s">
        <v>112</v>
      </c>
      <c r="E4789" t="s">
        <v>9</v>
      </c>
      <c r="F4789" s="3">
        <v>-3600</v>
      </c>
      <c r="G4789" s="3">
        <v>-3600</v>
      </c>
      <c r="H4789" t="s">
        <v>3</v>
      </c>
      <c r="I4789" t="s">
        <v>3</v>
      </c>
      <c r="J4789" t="s">
        <v>9</v>
      </c>
      <c r="K4789" t="s">
        <v>9</v>
      </c>
      <c r="L4789" t="s">
        <v>12</v>
      </c>
      <c r="M4789" t="s">
        <v>114</v>
      </c>
      <c r="N4789" s="2">
        <v>46022</v>
      </c>
    </row>
    <row r="4790" spans="1:14" x14ac:dyDescent="0.25">
      <c r="A4790" t="s">
        <v>627</v>
      </c>
      <c r="B4790" s="2">
        <v>46028</v>
      </c>
      <c r="C4790" t="s">
        <v>627</v>
      </c>
      <c r="D4790" t="s">
        <v>99</v>
      </c>
      <c r="E4790" t="s">
        <v>9</v>
      </c>
      <c r="F4790" s="3">
        <v>-1146</v>
      </c>
      <c r="G4790" s="3">
        <v>-1146</v>
      </c>
      <c r="H4790" t="s">
        <v>3</v>
      </c>
      <c r="I4790" t="s">
        <v>3</v>
      </c>
      <c r="J4790" t="s">
        <v>9</v>
      </c>
      <c r="K4790" t="s">
        <v>9</v>
      </c>
      <c r="L4790" t="s">
        <v>12</v>
      </c>
      <c r="M4790" t="s">
        <v>102</v>
      </c>
      <c r="N4790" s="2">
        <v>46022</v>
      </c>
    </row>
    <row r="4791" spans="1:14" x14ac:dyDescent="0.25">
      <c r="A4791" t="s">
        <v>627</v>
      </c>
      <c r="B4791" s="2">
        <v>45991</v>
      </c>
      <c r="C4791" t="s">
        <v>627</v>
      </c>
      <c r="D4791" t="s">
        <v>112</v>
      </c>
      <c r="E4791" t="s">
        <v>9</v>
      </c>
      <c r="F4791" s="3">
        <v>-400</v>
      </c>
      <c r="G4791" s="3">
        <v>-400</v>
      </c>
      <c r="H4791" t="s">
        <v>3</v>
      </c>
      <c r="I4791" t="s">
        <v>3</v>
      </c>
      <c r="J4791" t="s">
        <v>329</v>
      </c>
      <c r="K4791" t="s">
        <v>5</v>
      </c>
      <c r="L4791" t="s">
        <v>12</v>
      </c>
      <c r="M4791" t="s">
        <v>114</v>
      </c>
      <c r="N4791" s="2">
        <v>45992</v>
      </c>
    </row>
    <row r="4792" spans="1:14" x14ac:dyDescent="0.25">
      <c r="A4792" t="s">
        <v>627</v>
      </c>
      <c r="B4792" s="2">
        <v>45992</v>
      </c>
      <c r="C4792" t="s">
        <v>627</v>
      </c>
      <c r="D4792" t="s">
        <v>99</v>
      </c>
      <c r="E4792" t="s">
        <v>9</v>
      </c>
      <c r="F4792" s="3">
        <v>1146</v>
      </c>
      <c r="G4792" s="3">
        <v>1146</v>
      </c>
      <c r="H4792" t="s">
        <v>3</v>
      </c>
      <c r="I4792" t="s">
        <v>3</v>
      </c>
      <c r="J4792" t="s">
        <v>630</v>
      </c>
      <c r="K4792" t="s">
        <v>5</v>
      </c>
      <c r="L4792" t="s">
        <v>12</v>
      </c>
      <c r="M4792" t="s">
        <v>102</v>
      </c>
      <c r="N4792" s="2">
        <v>45992</v>
      </c>
    </row>
    <row r="4793" spans="1:14" x14ac:dyDescent="0.25">
      <c r="A4793" t="s">
        <v>627</v>
      </c>
      <c r="B4793" s="2">
        <v>46022</v>
      </c>
      <c r="C4793" t="s">
        <v>627</v>
      </c>
      <c r="D4793" t="s">
        <v>112</v>
      </c>
      <c r="E4793" t="s">
        <v>9</v>
      </c>
      <c r="F4793" s="3">
        <v>4000</v>
      </c>
      <c r="G4793" s="3">
        <v>4000</v>
      </c>
      <c r="H4793" t="s">
        <v>3</v>
      </c>
      <c r="I4793" t="s">
        <v>3</v>
      </c>
      <c r="J4793" t="s">
        <v>299</v>
      </c>
      <c r="K4793" t="s">
        <v>5</v>
      </c>
      <c r="L4793" t="s">
        <v>12</v>
      </c>
      <c r="M4793" t="s">
        <v>114</v>
      </c>
      <c r="N4793" s="2">
        <v>46022</v>
      </c>
    </row>
    <row r="4794" spans="1:14" x14ac:dyDescent="0.25">
      <c r="A4794" t="s">
        <v>627</v>
      </c>
      <c r="B4794" s="2">
        <v>46022</v>
      </c>
      <c r="C4794" t="s">
        <v>627</v>
      </c>
      <c r="D4794" t="s">
        <v>112</v>
      </c>
      <c r="E4794" t="s">
        <v>9</v>
      </c>
      <c r="F4794" s="3">
        <v>4000</v>
      </c>
      <c r="G4794" s="3">
        <v>4000</v>
      </c>
      <c r="H4794" t="s">
        <v>3</v>
      </c>
      <c r="I4794" t="s">
        <v>3</v>
      </c>
      <c r="J4794" t="s">
        <v>299</v>
      </c>
      <c r="K4794" t="s">
        <v>5</v>
      </c>
      <c r="L4794" t="s">
        <v>12</v>
      </c>
      <c r="M4794" t="s">
        <v>114</v>
      </c>
      <c r="N4794" s="2">
        <v>46022</v>
      </c>
    </row>
    <row r="4795" spans="1:14" x14ac:dyDescent="0.25">
      <c r="A4795" t="s">
        <v>627</v>
      </c>
      <c r="B4795" s="2">
        <v>46022</v>
      </c>
      <c r="C4795" t="s">
        <v>627</v>
      </c>
      <c r="D4795" t="s">
        <v>112</v>
      </c>
      <c r="E4795" t="s">
        <v>9</v>
      </c>
      <c r="F4795" s="3">
        <v>-4000</v>
      </c>
      <c r="G4795" s="3">
        <v>-4000</v>
      </c>
      <c r="H4795" t="s">
        <v>3</v>
      </c>
      <c r="I4795" t="s">
        <v>3</v>
      </c>
      <c r="J4795" t="s">
        <v>299</v>
      </c>
      <c r="K4795" t="s">
        <v>5</v>
      </c>
      <c r="L4795" t="s">
        <v>12</v>
      </c>
      <c r="M4795" t="s">
        <v>114</v>
      </c>
      <c r="N4795" s="2">
        <v>46022</v>
      </c>
    </row>
    <row r="4796" spans="1:14" x14ac:dyDescent="0.25">
      <c r="A4796" s="4" t="s">
        <v>228</v>
      </c>
      <c r="B4796" s="5"/>
      <c r="C4796" s="4" t="s">
        <v>9</v>
      </c>
      <c r="D4796" s="4" t="s">
        <v>9</v>
      </c>
      <c r="E4796" s="4" t="s">
        <v>9</v>
      </c>
      <c r="F4796" s="6">
        <v>0</v>
      </c>
      <c r="G4796" s="6">
        <v>0</v>
      </c>
      <c r="H4796" s="4" t="s">
        <v>9</v>
      </c>
      <c r="I4796" s="4" t="s">
        <v>3</v>
      </c>
      <c r="J4796" s="4" t="s">
        <v>9</v>
      </c>
      <c r="K4796" s="4" t="s">
        <v>9</v>
      </c>
      <c r="L4796" s="4" t="s">
        <v>9</v>
      </c>
      <c r="M4796" s="4" t="s">
        <v>9</v>
      </c>
      <c r="N4796" s="5"/>
    </row>
    <row r="4797" spans="1:14" x14ac:dyDescent="0.25">
      <c r="A4797" s="4" t="s">
        <v>627</v>
      </c>
      <c r="B4797" s="5"/>
      <c r="C4797" s="4" t="s">
        <v>9</v>
      </c>
      <c r="D4797" s="4" t="s">
        <v>9</v>
      </c>
      <c r="E4797" s="4" t="s">
        <v>9</v>
      </c>
      <c r="F4797" s="6">
        <v>0</v>
      </c>
      <c r="G4797" s="6">
        <v>0</v>
      </c>
      <c r="H4797" s="4" t="s">
        <v>9</v>
      </c>
      <c r="I4797" s="4" t="s">
        <v>3</v>
      </c>
      <c r="J4797" s="4" t="s">
        <v>9</v>
      </c>
      <c r="K4797" s="4" t="s">
        <v>9</v>
      </c>
      <c r="L4797" s="4" t="s">
        <v>9</v>
      </c>
      <c r="M4797" s="4" t="s">
        <v>9</v>
      </c>
      <c r="N4797" s="5"/>
    </row>
    <row r="4798" spans="1:14" x14ac:dyDescent="0.25">
      <c r="A4798" t="s">
        <v>631</v>
      </c>
      <c r="B4798" s="2">
        <v>46084</v>
      </c>
      <c r="C4798" t="s">
        <v>631</v>
      </c>
      <c r="D4798" t="s">
        <v>33</v>
      </c>
      <c r="E4798" t="s">
        <v>9</v>
      </c>
      <c r="F4798" s="3">
        <v>1299</v>
      </c>
      <c r="G4798" s="3">
        <v>1299</v>
      </c>
      <c r="H4798" t="s">
        <v>3</v>
      </c>
      <c r="I4798" t="s">
        <v>3</v>
      </c>
      <c r="J4798" t="s">
        <v>9</v>
      </c>
      <c r="K4798" t="s">
        <v>9</v>
      </c>
      <c r="L4798" t="s">
        <v>15</v>
      </c>
      <c r="M4798" t="s">
        <v>35</v>
      </c>
      <c r="N4798" s="2">
        <v>46081</v>
      </c>
    </row>
    <row r="4799" spans="1:14" x14ac:dyDescent="0.25">
      <c r="A4799" t="s">
        <v>631</v>
      </c>
      <c r="B4799" s="2">
        <v>46065</v>
      </c>
      <c r="C4799" t="s">
        <v>631</v>
      </c>
      <c r="D4799" t="s">
        <v>33</v>
      </c>
      <c r="E4799" t="s">
        <v>9</v>
      </c>
      <c r="F4799" s="3">
        <v>-1299</v>
      </c>
      <c r="G4799" s="3">
        <v>-1299</v>
      </c>
      <c r="H4799" t="s">
        <v>3</v>
      </c>
      <c r="I4799" t="s">
        <v>3</v>
      </c>
      <c r="J4799" t="s">
        <v>9</v>
      </c>
      <c r="K4799" t="s">
        <v>13</v>
      </c>
      <c r="L4799" t="s">
        <v>15</v>
      </c>
      <c r="M4799" t="s">
        <v>35</v>
      </c>
      <c r="N4799" s="2">
        <v>46065</v>
      </c>
    </row>
    <row r="4800" spans="1:14" x14ac:dyDescent="0.25">
      <c r="A4800" s="4" t="s">
        <v>239</v>
      </c>
      <c r="B4800" s="5"/>
      <c r="C4800" s="4" t="s">
        <v>9</v>
      </c>
      <c r="D4800" s="4" t="s">
        <v>9</v>
      </c>
      <c r="E4800" s="4" t="s">
        <v>9</v>
      </c>
      <c r="F4800" s="6">
        <v>0</v>
      </c>
      <c r="G4800" s="6">
        <v>0</v>
      </c>
      <c r="H4800" s="4" t="s">
        <v>9</v>
      </c>
      <c r="I4800" s="4" t="s">
        <v>3</v>
      </c>
      <c r="J4800" s="4" t="s">
        <v>9</v>
      </c>
      <c r="K4800" s="4" t="s">
        <v>9</v>
      </c>
      <c r="L4800" s="4" t="s">
        <v>9</v>
      </c>
      <c r="M4800" s="4" t="s">
        <v>9</v>
      </c>
      <c r="N4800" s="5"/>
    </row>
    <row r="4801" spans="1:14" x14ac:dyDescent="0.25">
      <c r="A4801" t="s">
        <v>631</v>
      </c>
      <c r="B4801" s="2">
        <v>46115</v>
      </c>
      <c r="C4801" t="s">
        <v>631</v>
      </c>
      <c r="D4801" t="s">
        <v>33</v>
      </c>
      <c r="E4801" t="s">
        <v>9</v>
      </c>
      <c r="F4801" s="3">
        <v>7082</v>
      </c>
      <c r="G4801" s="3">
        <v>7082</v>
      </c>
      <c r="H4801" t="s">
        <v>3</v>
      </c>
      <c r="I4801" t="s">
        <v>3</v>
      </c>
      <c r="J4801" t="s">
        <v>9</v>
      </c>
      <c r="K4801" t="s">
        <v>9</v>
      </c>
      <c r="L4801" t="s">
        <v>16</v>
      </c>
      <c r="M4801" t="s">
        <v>35</v>
      </c>
      <c r="N4801" s="2">
        <v>46112</v>
      </c>
    </row>
    <row r="4802" spans="1:14" x14ac:dyDescent="0.25">
      <c r="A4802" t="s">
        <v>631</v>
      </c>
      <c r="B4802" s="2">
        <v>46100</v>
      </c>
      <c r="C4802" t="s">
        <v>631</v>
      </c>
      <c r="D4802" t="s">
        <v>33</v>
      </c>
      <c r="E4802" t="s">
        <v>9</v>
      </c>
      <c r="F4802" s="3">
        <v>-7082</v>
      </c>
      <c r="G4802" s="3">
        <v>-7082</v>
      </c>
      <c r="H4802" t="s">
        <v>3</v>
      </c>
      <c r="I4802" t="s">
        <v>3</v>
      </c>
      <c r="J4802" t="s">
        <v>9</v>
      </c>
      <c r="K4802" t="s">
        <v>13</v>
      </c>
      <c r="L4802" t="s">
        <v>16</v>
      </c>
      <c r="M4802" t="s">
        <v>35</v>
      </c>
      <c r="N4802" s="2">
        <v>46100</v>
      </c>
    </row>
    <row r="4803" spans="1:14" x14ac:dyDescent="0.25">
      <c r="A4803" s="4" t="s">
        <v>244</v>
      </c>
      <c r="B4803" s="5"/>
      <c r="C4803" s="4" t="s">
        <v>9</v>
      </c>
      <c r="D4803" s="4" t="s">
        <v>9</v>
      </c>
      <c r="E4803" s="4" t="s">
        <v>9</v>
      </c>
      <c r="F4803" s="6">
        <v>0</v>
      </c>
      <c r="G4803" s="6">
        <v>0</v>
      </c>
      <c r="H4803" s="4" t="s">
        <v>9</v>
      </c>
      <c r="I4803" s="4" t="s">
        <v>3</v>
      </c>
      <c r="J4803" s="4" t="s">
        <v>9</v>
      </c>
      <c r="K4803" s="4" t="s">
        <v>9</v>
      </c>
      <c r="L4803" s="4" t="s">
        <v>9</v>
      </c>
      <c r="M4803" s="4" t="s">
        <v>9</v>
      </c>
      <c r="N4803" s="5"/>
    </row>
    <row r="4804" spans="1:14" x14ac:dyDescent="0.25">
      <c r="A4804" t="s">
        <v>631</v>
      </c>
      <c r="B4804" s="2">
        <v>46028</v>
      </c>
      <c r="C4804" t="s">
        <v>631</v>
      </c>
      <c r="D4804" t="s">
        <v>33</v>
      </c>
      <c r="E4804" t="s">
        <v>9</v>
      </c>
      <c r="F4804" s="3">
        <v>8068</v>
      </c>
      <c r="G4804" s="3">
        <v>8068</v>
      </c>
      <c r="H4804" t="s">
        <v>3</v>
      </c>
      <c r="I4804" t="s">
        <v>3</v>
      </c>
      <c r="J4804" t="s">
        <v>9</v>
      </c>
      <c r="K4804" t="s">
        <v>9</v>
      </c>
      <c r="L4804" t="s">
        <v>12</v>
      </c>
      <c r="M4804" t="s">
        <v>35</v>
      </c>
      <c r="N4804" s="2">
        <v>46022</v>
      </c>
    </row>
    <row r="4805" spans="1:14" x14ac:dyDescent="0.25">
      <c r="A4805" t="s">
        <v>631</v>
      </c>
      <c r="B4805" s="2">
        <v>46007</v>
      </c>
      <c r="C4805" t="s">
        <v>631</v>
      </c>
      <c r="D4805" t="s">
        <v>33</v>
      </c>
      <c r="E4805" t="s">
        <v>9</v>
      </c>
      <c r="F4805" s="3">
        <v>-8068</v>
      </c>
      <c r="G4805" s="3">
        <v>-8068</v>
      </c>
      <c r="H4805" t="s">
        <v>3</v>
      </c>
      <c r="I4805" t="s">
        <v>3</v>
      </c>
      <c r="J4805" t="s">
        <v>9</v>
      </c>
      <c r="K4805" t="s">
        <v>5</v>
      </c>
      <c r="L4805" t="s">
        <v>12</v>
      </c>
      <c r="M4805" t="s">
        <v>35</v>
      </c>
      <c r="N4805" s="2">
        <v>46007</v>
      </c>
    </row>
    <row r="4806" spans="1:14" x14ac:dyDescent="0.25">
      <c r="A4806" s="4" t="s">
        <v>228</v>
      </c>
      <c r="B4806" s="5"/>
      <c r="C4806" s="4" t="s">
        <v>9</v>
      </c>
      <c r="D4806" s="4" t="s">
        <v>9</v>
      </c>
      <c r="E4806" s="4" t="s">
        <v>9</v>
      </c>
      <c r="F4806" s="6">
        <v>0</v>
      </c>
      <c r="G4806" s="6">
        <v>0</v>
      </c>
      <c r="H4806" s="4" t="s">
        <v>9</v>
      </c>
      <c r="I4806" s="4" t="s">
        <v>3</v>
      </c>
      <c r="J4806" s="4" t="s">
        <v>9</v>
      </c>
      <c r="K4806" s="4" t="s">
        <v>9</v>
      </c>
      <c r="L4806" s="4" t="s">
        <v>9</v>
      </c>
      <c r="M4806" s="4" t="s">
        <v>9</v>
      </c>
      <c r="N4806" s="5"/>
    </row>
    <row r="4807" spans="1:14" x14ac:dyDescent="0.25">
      <c r="A4807" s="4" t="s">
        <v>631</v>
      </c>
      <c r="B4807" s="5"/>
      <c r="C4807" s="4" t="s">
        <v>9</v>
      </c>
      <c r="D4807" s="4" t="s">
        <v>9</v>
      </c>
      <c r="E4807" s="4" t="s">
        <v>9</v>
      </c>
      <c r="F4807" s="6">
        <v>0</v>
      </c>
      <c r="G4807" s="6">
        <v>0</v>
      </c>
      <c r="H4807" s="4" t="s">
        <v>9</v>
      </c>
      <c r="I4807" s="4" t="s">
        <v>3</v>
      </c>
      <c r="J4807" s="4" t="s">
        <v>9</v>
      </c>
      <c r="K4807" s="4" t="s">
        <v>9</v>
      </c>
      <c r="L4807" s="4" t="s">
        <v>9</v>
      </c>
      <c r="M4807" s="4" t="s">
        <v>9</v>
      </c>
      <c r="N4807" s="5"/>
    </row>
    <row r="4808" spans="1:14" x14ac:dyDescent="0.25">
      <c r="A4808" t="s">
        <v>632</v>
      </c>
      <c r="B4808" s="2">
        <v>46056</v>
      </c>
      <c r="C4808" t="s">
        <v>632</v>
      </c>
      <c r="D4808" t="s">
        <v>112</v>
      </c>
      <c r="E4808" t="s">
        <v>9</v>
      </c>
      <c r="F4808" s="3">
        <v>-1237</v>
      </c>
      <c r="G4808" s="3">
        <v>-1237</v>
      </c>
      <c r="H4808" t="s">
        <v>3</v>
      </c>
      <c r="I4808" t="s">
        <v>3</v>
      </c>
      <c r="J4808" t="s">
        <v>9</v>
      </c>
      <c r="K4808" t="s">
        <v>9</v>
      </c>
      <c r="L4808" t="s">
        <v>14</v>
      </c>
      <c r="M4808" t="s">
        <v>114</v>
      </c>
      <c r="N4808" s="2">
        <v>46053</v>
      </c>
    </row>
    <row r="4809" spans="1:14" x14ac:dyDescent="0.25">
      <c r="A4809" t="s">
        <v>632</v>
      </c>
      <c r="B4809" s="2">
        <v>46022</v>
      </c>
      <c r="C4809" t="s">
        <v>632</v>
      </c>
      <c r="D4809" t="s">
        <v>112</v>
      </c>
      <c r="E4809" t="s">
        <v>9</v>
      </c>
      <c r="F4809" s="3">
        <v>-7684</v>
      </c>
      <c r="G4809" s="3">
        <v>-7684</v>
      </c>
      <c r="H4809" t="s">
        <v>3</v>
      </c>
      <c r="I4809" t="s">
        <v>3</v>
      </c>
      <c r="J4809" t="s">
        <v>381</v>
      </c>
      <c r="K4809" t="s">
        <v>13</v>
      </c>
      <c r="L4809" t="s">
        <v>14</v>
      </c>
      <c r="M4809" t="s">
        <v>114</v>
      </c>
      <c r="N4809" s="2">
        <v>46023</v>
      </c>
    </row>
    <row r="4810" spans="1:14" x14ac:dyDescent="0.25">
      <c r="A4810" t="s">
        <v>632</v>
      </c>
      <c r="B4810" s="2">
        <v>46023</v>
      </c>
      <c r="C4810" t="s">
        <v>632</v>
      </c>
      <c r="D4810" t="s">
        <v>112</v>
      </c>
      <c r="E4810" t="s">
        <v>9</v>
      </c>
      <c r="F4810" s="3">
        <v>7684</v>
      </c>
      <c r="G4810" s="3">
        <v>7684</v>
      </c>
      <c r="H4810" t="s">
        <v>3</v>
      </c>
      <c r="I4810" t="s">
        <v>3</v>
      </c>
      <c r="J4810" t="s">
        <v>381</v>
      </c>
      <c r="K4810" t="s">
        <v>13</v>
      </c>
      <c r="L4810" t="s">
        <v>14</v>
      </c>
      <c r="M4810" t="s">
        <v>114</v>
      </c>
      <c r="N4810" s="2">
        <v>46023</v>
      </c>
    </row>
    <row r="4811" spans="1:14" x14ac:dyDescent="0.25">
      <c r="A4811" t="s">
        <v>632</v>
      </c>
      <c r="B4811" s="2">
        <v>46053</v>
      </c>
      <c r="C4811" t="s">
        <v>632</v>
      </c>
      <c r="D4811" t="s">
        <v>112</v>
      </c>
      <c r="E4811" t="s">
        <v>9</v>
      </c>
      <c r="F4811" s="3">
        <v>1237</v>
      </c>
      <c r="G4811" s="3">
        <v>1237</v>
      </c>
      <c r="H4811" t="s">
        <v>3</v>
      </c>
      <c r="I4811" t="s">
        <v>3</v>
      </c>
      <c r="J4811" t="s">
        <v>391</v>
      </c>
      <c r="K4811" t="s">
        <v>13</v>
      </c>
      <c r="L4811" t="s">
        <v>14</v>
      </c>
      <c r="M4811" t="s">
        <v>114</v>
      </c>
      <c r="N4811" s="2">
        <v>46053</v>
      </c>
    </row>
    <row r="4812" spans="1:14" x14ac:dyDescent="0.25">
      <c r="A4812" s="4" t="s">
        <v>234</v>
      </c>
      <c r="B4812" s="5"/>
      <c r="C4812" s="4" t="s">
        <v>9</v>
      </c>
      <c r="D4812" s="4" t="s">
        <v>9</v>
      </c>
      <c r="E4812" s="4" t="s">
        <v>9</v>
      </c>
      <c r="F4812" s="6">
        <v>0</v>
      </c>
      <c r="G4812" s="6">
        <v>0</v>
      </c>
      <c r="H4812" s="4" t="s">
        <v>9</v>
      </c>
      <c r="I4812" s="4" t="s">
        <v>3</v>
      </c>
      <c r="J4812" s="4" t="s">
        <v>9</v>
      </c>
      <c r="K4812" s="4" t="s">
        <v>9</v>
      </c>
      <c r="L4812" s="4" t="s">
        <v>9</v>
      </c>
      <c r="M4812" s="4" t="s">
        <v>9</v>
      </c>
      <c r="N4812" s="5"/>
    </row>
    <row r="4813" spans="1:14" x14ac:dyDescent="0.25">
      <c r="A4813" t="s">
        <v>632</v>
      </c>
      <c r="B4813" s="2">
        <v>46084</v>
      </c>
      <c r="C4813" t="s">
        <v>632</v>
      </c>
      <c r="D4813" t="s">
        <v>112</v>
      </c>
      <c r="E4813" t="s">
        <v>9</v>
      </c>
      <c r="F4813" s="3">
        <v>-6744.5</v>
      </c>
      <c r="G4813" s="3">
        <v>-6744.5</v>
      </c>
      <c r="H4813" t="s">
        <v>3</v>
      </c>
      <c r="I4813" t="s">
        <v>3</v>
      </c>
      <c r="J4813" t="s">
        <v>9</v>
      </c>
      <c r="K4813" t="s">
        <v>9</v>
      </c>
      <c r="L4813" t="s">
        <v>15</v>
      </c>
      <c r="M4813" t="s">
        <v>114</v>
      </c>
      <c r="N4813" s="2">
        <v>46081</v>
      </c>
    </row>
    <row r="4814" spans="1:14" x14ac:dyDescent="0.25">
      <c r="A4814" t="s">
        <v>632</v>
      </c>
      <c r="B4814" s="2">
        <v>46054</v>
      </c>
      <c r="C4814" t="s">
        <v>632</v>
      </c>
      <c r="D4814" t="s">
        <v>112</v>
      </c>
      <c r="E4814" t="s">
        <v>9</v>
      </c>
      <c r="F4814" s="3">
        <v>-1237</v>
      </c>
      <c r="G4814" s="3">
        <v>-1237</v>
      </c>
      <c r="H4814" t="s">
        <v>3</v>
      </c>
      <c r="I4814" t="s">
        <v>3</v>
      </c>
      <c r="J4814" t="s">
        <v>391</v>
      </c>
      <c r="K4814" t="s">
        <v>13</v>
      </c>
      <c r="L4814" t="s">
        <v>15</v>
      </c>
      <c r="M4814" t="s">
        <v>114</v>
      </c>
      <c r="N4814" s="2">
        <v>46054</v>
      </c>
    </row>
    <row r="4815" spans="1:14" x14ac:dyDescent="0.25">
      <c r="A4815" t="s">
        <v>632</v>
      </c>
      <c r="B4815" s="2">
        <v>46054</v>
      </c>
      <c r="C4815" t="s">
        <v>632</v>
      </c>
      <c r="D4815" t="s">
        <v>112</v>
      </c>
      <c r="E4815" t="s">
        <v>9</v>
      </c>
      <c r="F4815" s="3">
        <v>1237</v>
      </c>
      <c r="G4815" s="3">
        <v>1237</v>
      </c>
      <c r="H4815" t="s">
        <v>3</v>
      </c>
      <c r="I4815" t="s">
        <v>3</v>
      </c>
      <c r="J4815" t="s">
        <v>391</v>
      </c>
      <c r="K4815" t="s">
        <v>13</v>
      </c>
      <c r="L4815" t="s">
        <v>15</v>
      </c>
      <c r="M4815" t="s">
        <v>114</v>
      </c>
      <c r="N4815" s="2">
        <v>46055</v>
      </c>
    </row>
    <row r="4816" spans="1:14" x14ac:dyDescent="0.25">
      <c r="A4816" t="s">
        <v>632</v>
      </c>
      <c r="B4816" s="2">
        <v>46054</v>
      </c>
      <c r="C4816" t="s">
        <v>632</v>
      </c>
      <c r="D4816" t="s">
        <v>112</v>
      </c>
      <c r="E4816" t="s">
        <v>9</v>
      </c>
      <c r="F4816" s="3">
        <v>-1237</v>
      </c>
      <c r="G4816" s="3">
        <v>-1237</v>
      </c>
      <c r="H4816" t="s">
        <v>3</v>
      </c>
      <c r="I4816" t="s">
        <v>3</v>
      </c>
      <c r="J4816" t="s">
        <v>391</v>
      </c>
      <c r="K4816" t="s">
        <v>13</v>
      </c>
      <c r="L4816" t="s">
        <v>15</v>
      </c>
      <c r="M4816" t="s">
        <v>114</v>
      </c>
      <c r="N4816" s="2">
        <v>46054</v>
      </c>
    </row>
    <row r="4817" spans="1:14" x14ac:dyDescent="0.25">
      <c r="A4817" t="s">
        <v>632</v>
      </c>
      <c r="B4817" s="2">
        <v>46081</v>
      </c>
      <c r="C4817" t="s">
        <v>632</v>
      </c>
      <c r="D4817" t="s">
        <v>112</v>
      </c>
      <c r="E4817" t="s">
        <v>9</v>
      </c>
      <c r="F4817" s="3">
        <v>7981.5</v>
      </c>
      <c r="G4817" s="3">
        <v>7981.5</v>
      </c>
      <c r="H4817" t="s">
        <v>3</v>
      </c>
      <c r="I4817" t="s">
        <v>3</v>
      </c>
      <c r="J4817" t="s">
        <v>393</v>
      </c>
      <c r="K4817" t="s">
        <v>13</v>
      </c>
      <c r="L4817" t="s">
        <v>15</v>
      </c>
      <c r="M4817" t="s">
        <v>114</v>
      </c>
      <c r="N4817" s="2">
        <v>46081</v>
      </c>
    </row>
    <row r="4818" spans="1:14" x14ac:dyDescent="0.25">
      <c r="A4818" s="4" t="s">
        <v>239</v>
      </c>
      <c r="B4818" s="5"/>
      <c r="C4818" s="4" t="s">
        <v>9</v>
      </c>
      <c r="D4818" s="4" t="s">
        <v>9</v>
      </c>
      <c r="E4818" s="4" t="s">
        <v>9</v>
      </c>
      <c r="F4818" s="6">
        <v>0</v>
      </c>
      <c r="G4818" s="6">
        <v>0</v>
      </c>
      <c r="H4818" s="4" t="s">
        <v>9</v>
      </c>
      <c r="I4818" s="4" t="s">
        <v>3</v>
      </c>
      <c r="J4818" s="4" t="s">
        <v>9</v>
      </c>
      <c r="K4818" s="4" t="s">
        <v>9</v>
      </c>
      <c r="L4818" s="4" t="s">
        <v>9</v>
      </c>
      <c r="M4818" s="4" t="s">
        <v>9</v>
      </c>
      <c r="N4818" s="5"/>
    </row>
    <row r="4819" spans="1:14" x14ac:dyDescent="0.25">
      <c r="A4819" t="s">
        <v>632</v>
      </c>
      <c r="B4819" s="2">
        <v>46115</v>
      </c>
      <c r="C4819" t="s">
        <v>632</v>
      </c>
      <c r="D4819" t="s">
        <v>112</v>
      </c>
      <c r="E4819" t="s">
        <v>9</v>
      </c>
      <c r="F4819" s="3">
        <v>-495</v>
      </c>
      <c r="G4819" s="3">
        <v>-495</v>
      </c>
      <c r="H4819" t="s">
        <v>3</v>
      </c>
      <c r="I4819" t="s">
        <v>3</v>
      </c>
      <c r="J4819" t="s">
        <v>9</v>
      </c>
      <c r="K4819" t="s">
        <v>9</v>
      </c>
      <c r="L4819" t="s">
        <v>16</v>
      </c>
      <c r="M4819" t="s">
        <v>114</v>
      </c>
      <c r="N4819" s="2">
        <v>46112</v>
      </c>
    </row>
    <row r="4820" spans="1:14" x14ac:dyDescent="0.25">
      <c r="A4820" t="s">
        <v>632</v>
      </c>
      <c r="B4820" s="2">
        <v>46081</v>
      </c>
      <c r="C4820" t="s">
        <v>632</v>
      </c>
      <c r="D4820" t="s">
        <v>112</v>
      </c>
      <c r="E4820" t="s">
        <v>9</v>
      </c>
      <c r="F4820" s="3">
        <v>-7981.5</v>
      </c>
      <c r="G4820" s="3">
        <v>-7981.5</v>
      </c>
      <c r="H4820" t="s">
        <v>3</v>
      </c>
      <c r="I4820" t="s">
        <v>3</v>
      </c>
      <c r="J4820" t="s">
        <v>393</v>
      </c>
      <c r="K4820" t="s">
        <v>13</v>
      </c>
      <c r="L4820" t="s">
        <v>16</v>
      </c>
      <c r="M4820" t="s">
        <v>114</v>
      </c>
      <c r="N4820" s="2">
        <v>46082</v>
      </c>
    </row>
    <row r="4821" spans="1:14" x14ac:dyDescent="0.25">
      <c r="A4821" t="s">
        <v>632</v>
      </c>
      <c r="B4821" s="2">
        <v>46112</v>
      </c>
      <c r="C4821" t="s">
        <v>632</v>
      </c>
      <c r="D4821" t="s">
        <v>112</v>
      </c>
      <c r="E4821" t="s">
        <v>9</v>
      </c>
      <c r="F4821" s="3">
        <v>8476.5</v>
      </c>
      <c r="G4821" s="3">
        <v>8476.5</v>
      </c>
      <c r="H4821" t="s">
        <v>3</v>
      </c>
      <c r="I4821" t="s">
        <v>3</v>
      </c>
      <c r="J4821" t="s">
        <v>395</v>
      </c>
      <c r="K4821" t="s">
        <v>13</v>
      </c>
      <c r="L4821" t="s">
        <v>16</v>
      </c>
      <c r="M4821" t="s">
        <v>114</v>
      </c>
      <c r="N4821" s="2">
        <v>46112</v>
      </c>
    </row>
    <row r="4822" spans="1:14" x14ac:dyDescent="0.25">
      <c r="A4822" s="4" t="s">
        <v>244</v>
      </c>
      <c r="B4822" s="5"/>
      <c r="C4822" s="4" t="s">
        <v>9</v>
      </c>
      <c r="D4822" s="4" t="s">
        <v>9</v>
      </c>
      <c r="E4822" s="4" t="s">
        <v>9</v>
      </c>
      <c r="F4822" s="6">
        <v>0</v>
      </c>
      <c r="G4822" s="6">
        <v>0</v>
      </c>
      <c r="H4822" s="4" t="s">
        <v>9</v>
      </c>
      <c r="I4822" s="4" t="s">
        <v>3</v>
      </c>
      <c r="J4822" s="4" t="s">
        <v>9</v>
      </c>
      <c r="K4822" s="4" t="s">
        <v>9</v>
      </c>
      <c r="L4822" s="4" t="s">
        <v>9</v>
      </c>
      <c r="M4822" s="4" t="s">
        <v>9</v>
      </c>
      <c r="N4822" s="5"/>
    </row>
    <row r="4823" spans="1:14" x14ac:dyDescent="0.25">
      <c r="A4823" t="s">
        <v>632</v>
      </c>
      <c r="B4823" s="2">
        <v>46147</v>
      </c>
      <c r="C4823" t="s">
        <v>632</v>
      </c>
      <c r="D4823" t="s">
        <v>112</v>
      </c>
      <c r="E4823" t="s">
        <v>9</v>
      </c>
      <c r="F4823" s="3">
        <v>-90</v>
      </c>
      <c r="G4823" s="3">
        <v>-90</v>
      </c>
      <c r="H4823" t="s">
        <v>3</v>
      </c>
      <c r="I4823" t="s">
        <v>3</v>
      </c>
      <c r="J4823" t="s">
        <v>9</v>
      </c>
      <c r="K4823" t="s">
        <v>9</v>
      </c>
      <c r="L4823" t="s">
        <v>17</v>
      </c>
      <c r="M4823" t="s">
        <v>114</v>
      </c>
      <c r="N4823" s="2">
        <v>46142</v>
      </c>
    </row>
    <row r="4824" spans="1:14" x14ac:dyDescent="0.25">
      <c r="A4824" t="s">
        <v>632</v>
      </c>
      <c r="B4824" s="2">
        <v>46112</v>
      </c>
      <c r="C4824" t="s">
        <v>632</v>
      </c>
      <c r="D4824" t="s">
        <v>112</v>
      </c>
      <c r="E4824" t="s">
        <v>9</v>
      </c>
      <c r="F4824" s="3">
        <v>-8476.5</v>
      </c>
      <c r="G4824" s="3">
        <v>-8476.5</v>
      </c>
      <c r="H4824" t="s">
        <v>3</v>
      </c>
      <c r="I4824" t="s">
        <v>3</v>
      </c>
      <c r="J4824" t="s">
        <v>395</v>
      </c>
      <c r="K4824" t="s">
        <v>13</v>
      </c>
      <c r="L4824" t="s">
        <v>17</v>
      </c>
      <c r="M4824" t="s">
        <v>114</v>
      </c>
      <c r="N4824" s="2">
        <v>46113</v>
      </c>
    </row>
    <row r="4825" spans="1:14" x14ac:dyDescent="0.25">
      <c r="A4825" t="s">
        <v>632</v>
      </c>
      <c r="B4825" s="2">
        <v>46142</v>
      </c>
      <c r="C4825" t="s">
        <v>632</v>
      </c>
      <c r="D4825" t="s">
        <v>112</v>
      </c>
      <c r="E4825" t="s">
        <v>9</v>
      </c>
      <c r="F4825" s="3">
        <v>8566.5</v>
      </c>
      <c r="G4825" s="3">
        <v>8566.5</v>
      </c>
      <c r="H4825" t="s">
        <v>3</v>
      </c>
      <c r="I4825" t="s">
        <v>3</v>
      </c>
      <c r="J4825" t="s">
        <v>423</v>
      </c>
      <c r="K4825" t="s">
        <v>13</v>
      </c>
      <c r="L4825" t="s">
        <v>17</v>
      </c>
      <c r="M4825" t="s">
        <v>114</v>
      </c>
      <c r="N4825" s="2">
        <v>46142</v>
      </c>
    </row>
    <row r="4826" spans="1:14" x14ac:dyDescent="0.25">
      <c r="A4826" s="4" t="s">
        <v>249</v>
      </c>
      <c r="B4826" s="5"/>
      <c r="C4826" s="4" t="s">
        <v>9</v>
      </c>
      <c r="D4826" s="4" t="s">
        <v>9</v>
      </c>
      <c r="E4826" s="4" t="s">
        <v>9</v>
      </c>
      <c r="F4826" s="6">
        <v>0</v>
      </c>
      <c r="G4826" s="6">
        <v>0</v>
      </c>
      <c r="H4826" s="4" t="s">
        <v>9</v>
      </c>
      <c r="I4826" s="4" t="s">
        <v>3</v>
      </c>
      <c r="J4826" s="4" t="s">
        <v>9</v>
      </c>
      <c r="K4826" s="4" t="s">
        <v>9</v>
      </c>
      <c r="L4826" s="4" t="s">
        <v>9</v>
      </c>
      <c r="M4826" s="4" t="s">
        <v>9</v>
      </c>
      <c r="N4826" s="5"/>
    </row>
    <row r="4827" spans="1:14" x14ac:dyDescent="0.25">
      <c r="A4827" t="s">
        <v>632</v>
      </c>
      <c r="B4827" s="2">
        <v>46175</v>
      </c>
      <c r="C4827" t="s">
        <v>632</v>
      </c>
      <c r="D4827" t="s">
        <v>112</v>
      </c>
      <c r="E4827" t="s">
        <v>9</v>
      </c>
      <c r="F4827" s="3">
        <v>-90</v>
      </c>
      <c r="G4827" s="3">
        <v>-90</v>
      </c>
      <c r="H4827" t="s">
        <v>3</v>
      </c>
      <c r="I4827" t="s">
        <v>3</v>
      </c>
      <c r="J4827" t="s">
        <v>9</v>
      </c>
      <c r="K4827" t="s">
        <v>9</v>
      </c>
      <c r="L4827" t="s">
        <v>18</v>
      </c>
      <c r="M4827" t="s">
        <v>114</v>
      </c>
      <c r="N4827" s="2">
        <v>46173</v>
      </c>
    </row>
    <row r="4828" spans="1:14" x14ac:dyDescent="0.25">
      <c r="A4828" t="s">
        <v>632</v>
      </c>
      <c r="B4828" s="2">
        <v>46142</v>
      </c>
      <c r="C4828" t="s">
        <v>632</v>
      </c>
      <c r="D4828" t="s">
        <v>112</v>
      </c>
      <c r="E4828" t="s">
        <v>9</v>
      </c>
      <c r="F4828" s="3">
        <v>-8566.5</v>
      </c>
      <c r="G4828" s="3">
        <v>-8566.5</v>
      </c>
      <c r="H4828" t="s">
        <v>3</v>
      </c>
      <c r="I4828" t="s">
        <v>3</v>
      </c>
      <c r="J4828" t="s">
        <v>423</v>
      </c>
      <c r="K4828" t="s">
        <v>13</v>
      </c>
      <c r="L4828" t="s">
        <v>18</v>
      </c>
      <c r="M4828" t="s">
        <v>114</v>
      </c>
      <c r="N4828" s="2">
        <v>46143</v>
      </c>
    </row>
    <row r="4829" spans="1:14" x14ac:dyDescent="0.25">
      <c r="A4829" t="s">
        <v>632</v>
      </c>
      <c r="B4829" s="2">
        <v>46173</v>
      </c>
      <c r="C4829" t="s">
        <v>632</v>
      </c>
      <c r="D4829" t="s">
        <v>112</v>
      </c>
      <c r="E4829" t="s">
        <v>9</v>
      </c>
      <c r="F4829" s="3">
        <v>8656.5</v>
      </c>
      <c r="G4829" s="3">
        <v>8656.5</v>
      </c>
      <c r="H4829" t="s">
        <v>3</v>
      </c>
      <c r="I4829" t="s">
        <v>3</v>
      </c>
      <c r="J4829" t="s">
        <v>427</v>
      </c>
      <c r="K4829" t="s">
        <v>13</v>
      </c>
      <c r="L4829" t="s">
        <v>18</v>
      </c>
      <c r="M4829" t="s">
        <v>114</v>
      </c>
      <c r="N4829" s="2">
        <v>46173</v>
      </c>
    </row>
    <row r="4830" spans="1:14" x14ac:dyDescent="0.25">
      <c r="A4830" s="4" t="s">
        <v>223</v>
      </c>
      <c r="B4830" s="5"/>
      <c r="C4830" s="4" t="s">
        <v>9</v>
      </c>
      <c r="D4830" s="4" t="s">
        <v>9</v>
      </c>
      <c r="E4830" s="4" t="s">
        <v>9</v>
      </c>
      <c r="F4830" s="6">
        <v>0</v>
      </c>
      <c r="G4830" s="6">
        <v>0</v>
      </c>
      <c r="H4830" s="4" t="s">
        <v>9</v>
      </c>
      <c r="I4830" s="4" t="s">
        <v>3</v>
      </c>
      <c r="J4830" s="4" t="s">
        <v>9</v>
      </c>
      <c r="K4830" s="4" t="s">
        <v>9</v>
      </c>
      <c r="L4830" s="4" t="s">
        <v>9</v>
      </c>
      <c r="M4830" s="4" t="s">
        <v>9</v>
      </c>
      <c r="N4830" s="5"/>
    </row>
    <row r="4831" spans="1:14" x14ac:dyDescent="0.25">
      <c r="A4831" t="s">
        <v>632</v>
      </c>
      <c r="B4831" s="2">
        <v>46173</v>
      </c>
      <c r="C4831" t="s">
        <v>632</v>
      </c>
      <c r="D4831" t="s">
        <v>112</v>
      </c>
      <c r="E4831" t="s">
        <v>9</v>
      </c>
      <c r="F4831" s="3">
        <v>-8656.5</v>
      </c>
      <c r="G4831" s="3">
        <v>-8656.5</v>
      </c>
      <c r="H4831" t="s">
        <v>3</v>
      </c>
      <c r="I4831" t="s">
        <v>3</v>
      </c>
      <c r="J4831" t="s">
        <v>427</v>
      </c>
      <c r="K4831" t="s">
        <v>13</v>
      </c>
      <c r="L4831" t="s">
        <v>19</v>
      </c>
      <c r="M4831" t="s">
        <v>114</v>
      </c>
      <c r="N4831" s="2">
        <v>46174</v>
      </c>
    </row>
    <row r="4832" spans="1:14" x14ac:dyDescent="0.25">
      <c r="A4832" t="s">
        <v>632</v>
      </c>
      <c r="B4832" s="2">
        <v>46203</v>
      </c>
      <c r="C4832" t="s">
        <v>632</v>
      </c>
      <c r="D4832" t="s">
        <v>112</v>
      </c>
      <c r="E4832" t="s">
        <v>9</v>
      </c>
      <c r="F4832" s="3">
        <v>8656.5</v>
      </c>
      <c r="G4832" s="3">
        <v>8656.5</v>
      </c>
      <c r="H4832" t="s">
        <v>3</v>
      </c>
      <c r="I4832" t="s">
        <v>3</v>
      </c>
      <c r="J4832" t="s">
        <v>428</v>
      </c>
      <c r="K4832" t="s">
        <v>13</v>
      </c>
      <c r="L4832" t="s">
        <v>19</v>
      </c>
      <c r="M4832" t="s">
        <v>114</v>
      </c>
      <c r="N4832" s="2">
        <v>46203</v>
      </c>
    </row>
    <row r="4833" spans="1:14" x14ac:dyDescent="0.25">
      <c r="A4833" s="4" t="s">
        <v>224</v>
      </c>
      <c r="B4833" s="5"/>
      <c r="C4833" s="4" t="s">
        <v>9</v>
      </c>
      <c r="D4833" s="4" t="s">
        <v>9</v>
      </c>
      <c r="E4833" s="4" t="s">
        <v>9</v>
      </c>
      <c r="F4833" s="6">
        <v>0</v>
      </c>
      <c r="G4833" s="6">
        <v>0</v>
      </c>
      <c r="H4833" s="4" t="s">
        <v>9</v>
      </c>
      <c r="I4833" s="4" t="s">
        <v>3</v>
      </c>
      <c r="J4833" s="4" t="s">
        <v>9</v>
      </c>
      <c r="K4833" s="4" t="s">
        <v>9</v>
      </c>
      <c r="L4833" s="4" t="s">
        <v>9</v>
      </c>
      <c r="M4833" s="4" t="s">
        <v>9</v>
      </c>
      <c r="N4833" s="5"/>
    </row>
    <row r="4834" spans="1:14" x14ac:dyDescent="0.25">
      <c r="A4834" t="s">
        <v>632</v>
      </c>
      <c r="B4834" s="2">
        <v>46203</v>
      </c>
      <c r="C4834" t="s">
        <v>632</v>
      </c>
      <c r="D4834" t="s">
        <v>112</v>
      </c>
      <c r="E4834" t="s">
        <v>9</v>
      </c>
      <c r="F4834" s="3">
        <v>-8656.5</v>
      </c>
      <c r="G4834" s="3">
        <v>-8656.5</v>
      </c>
      <c r="H4834" t="s">
        <v>3</v>
      </c>
      <c r="I4834" t="s">
        <v>3</v>
      </c>
      <c r="J4834" t="s">
        <v>428</v>
      </c>
      <c r="K4834" t="s">
        <v>13</v>
      </c>
      <c r="L4834" t="s">
        <v>21</v>
      </c>
      <c r="M4834" t="s">
        <v>114</v>
      </c>
      <c r="N4834" s="2">
        <v>46204</v>
      </c>
    </row>
    <row r="4835" spans="1:14" x14ac:dyDescent="0.25">
      <c r="A4835" t="s">
        <v>632</v>
      </c>
      <c r="B4835" s="2">
        <v>46234</v>
      </c>
      <c r="C4835" t="s">
        <v>632</v>
      </c>
      <c r="D4835" t="s">
        <v>112</v>
      </c>
      <c r="E4835" t="s">
        <v>9</v>
      </c>
      <c r="F4835" s="3">
        <v>8656.5</v>
      </c>
      <c r="G4835" s="3">
        <v>8656.5</v>
      </c>
      <c r="H4835" t="s">
        <v>3</v>
      </c>
      <c r="I4835" t="s">
        <v>3</v>
      </c>
      <c r="J4835" t="s">
        <v>429</v>
      </c>
      <c r="K4835" t="s">
        <v>13</v>
      </c>
      <c r="L4835" t="s">
        <v>21</v>
      </c>
      <c r="M4835" t="s">
        <v>114</v>
      </c>
      <c r="N4835" s="2">
        <v>46234</v>
      </c>
    </row>
    <row r="4836" spans="1:14" x14ac:dyDescent="0.25">
      <c r="A4836" s="4" t="s">
        <v>262</v>
      </c>
      <c r="B4836" s="5"/>
      <c r="C4836" s="4" t="s">
        <v>9</v>
      </c>
      <c r="D4836" s="4" t="s">
        <v>9</v>
      </c>
      <c r="E4836" s="4" t="s">
        <v>9</v>
      </c>
      <c r="F4836" s="6">
        <v>0</v>
      </c>
      <c r="G4836" s="6">
        <v>0</v>
      </c>
      <c r="H4836" s="4" t="s">
        <v>9</v>
      </c>
      <c r="I4836" s="4" t="s">
        <v>3</v>
      </c>
      <c r="J4836" s="4" t="s">
        <v>9</v>
      </c>
      <c r="K4836" s="4" t="s">
        <v>9</v>
      </c>
      <c r="L4836" s="4" t="s">
        <v>9</v>
      </c>
      <c r="M4836" s="4" t="s">
        <v>9</v>
      </c>
      <c r="N4836" s="5"/>
    </row>
    <row r="4837" spans="1:14" x14ac:dyDescent="0.25">
      <c r="A4837" t="s">
        <v>632</v>
      </c>
      <c r="B4837" s="2">
        <v>46234</v>
      </c>
      <c r="C4837" t="s">
        <v>632</v>
      </c>
      <c r="D4837" t="s">
        <v>112</v>
      </c>
      <c r="E4837" t="s">
        <v>9</v>
      </c>
      <c r="F4837" s="3">
        <v>-8656.5</v>
      </c>
      <c r="G4837" s="3">
        <v>-8656.5</v>
      </c>
      <c r="H4837" t="s">
        <v>3</v>
      </c>
      <c r="I4837" t="s">
        <v>3</v>
      </c>
      <c r="J4837" t="s">
        <v>429</v>
      </c>
      <c r="K4837" t="s">
        <v>13</v>
      </c>
      <c r="L4837" t="s">
        <v>22</v>
      </c>
      <c r="M4837" t="s">
        <v>114</v>
      </c>
      <c r="N4837" s="2">
        <v>46235</v>
      </c>
    </row>
    <row r="4838" spans="1:14" x14ac:dyDescent="0.25">
      <c r="A4838" t="s">
        <v>632</v>
      </c>
      <c r="B4838" s="2">
        <v>46265</v>
      </c>
      <c r="C4838" t="s">
        <v>632</v>
      </c>
      <c r="D4838" t="s">
        <v>112</v>
      </c>
      <c r="E4838" t="s">
        <v>9</v>
      </c>
      <c r="F4838" s="3">
        <v>8656.5</v>
      </c>
      <c r="G4838" s="3">
        <v>8656.5</v>
      </c>
      <c r="H4838" t="s">
        <v>3</v>
      </c>
      <c r="I4838" t="s">
        <v>3</v>
      </c>
      <c r="J4838" t="s">
        <v>431</v>
      </c>
      <c r="K4838" t="s">
        <v>13</v>
      </c>
      <c r="L4838" t="s">
        <v>22</v>
      </c>
      <c r="M4838" t="s">
        <v>114</v>
      </c>
      <c r="N4838" s="2">
        <v>46265</v>
      </c>
    </row>
    <row r="4839" spans="1:14" x14ac:dyDescent="0.25">
      <c r="A4839" s="4" t="s">
        <v>267</v>
      </c>
      <c r="B4839" s="5"/>
      <c r="C4839" s="4" t="s">
        <v>9</v>
      </c>
      <c r="D4839" s="4" t="s">
        <v>9</v>
      </c>
      <c r="E4839" s="4" t="s">
        <v>9</v>
      </c>
      <c r="F4839" s="6">
        <v>0</v>
      </c>
      <c r="G4839" s="6">
        <v>0</v>
      </c>
      <c r="H4839" s="4" t="s">
        <v>9</v>
      </c>
      <c r="I4839" s="4" t="s">
        <v>3</v>
      </c>
      <c r="J4839" s="4" t="s">
        <v>9</v>
      </c>
      <c r="K4839" s="4" t="s">
        <v>9</v>
      </c>
      <c r="L4839" s="4" t="s">
        <v>9</v>
      </c>
      <c r="M4839" s="4" t="s">
        <v>9</v>
      </c>
      <c r="N4839" s="5"/>
    </row>
    <row r="4840" spans="1:14" x14ac:dyDescent="0.25">
      <c r="A4840" t="s">
        <v>632</v>
      </c>
      <c r="B4840" s="2">
        <v>45965</v>
      </c>
      <c r="C4840" t="s">
        <v>632</v>
      </c>
      <c r="D4840" t="s">
        <v>112</v>
      </c>
      <c r="E4840" t="s">
        <v>9</v>
      </c>
      <c r="F4840" s="3">
        <v>-4300</v>
      </c>
      <c r="G4840" s="3">
        <v>-4300</v>
      </c>
      <c r="H4840" t="s">
        <v>3</v>
      </c>
      <c r="I4840" t="s">
        <v>3</v>
      </c>
      <c r="J4840" t="s">
        <v>9</v>
      </c>
      <c r="K4840" t="s">
        <v>9</v>
      </c>
      <c r="L4840" t="s">
        <v>8</v>
      </c>
      <c r="M4840" t="s">
        <v>114</v>
      </c>
      <c r="N4840" s="2">
        <v>45961</v>
      </c>
    </row>
    <row r="4841" spans="1:14" x14ac:dyDescent="0.25">
      <c r="A4841" t="s">
        <v>632</v>
      </c>
      <c r="B4841" s="2">
        <v>45961</v>
      </c>
      <c r="C4841" t="s">
        <v>632</v>
      </c>
      <c r="D4841" t="s">
        <v>112</v>
      </c>
      <c r="E4841" t="s">
        <v>9</v>
      </c>
      <c r="F4841" s="3">
        <v>4300</v>
      </c>
      <c r="G4841" s="3">
        <v>4300</v>
      </c>
      <c r="H4841" t="s">
        <v>3</v>
      </c>
      <c r="I4841" t="s">
        <v>3</v>
      </c>
      <c r="J4841" t="s">
        <v>385</v>
      </c>
      <c r="K4841" t="s">
        <v>5</v>
      </c>
      <c r="L4841" t="s">
        <v>8</v>
      </c>
      <c r="M4841" t="s">
        <v>114</v>
      </c>
      <c r="N4841" s="2">
        <v>45961</v>
      </c>
    </row>
    <row r="4842" spans="1:14" x14ac:dyDescent="0.25">
      <c r="A4842" s="4" t="s">
        <v>278</v>
      </c>
      <c r="B4842" s="5"/>
      <c r="C4842" s="4" t="s">
        <v>9</v>
      </c>
      <c r="D4842" s="4" t="s">
        <v>9</v>
      </c>
      <c r="E4842" s="4" t="s">
        <v>9</v>
      </c>
      <c r="F4842" s="6">
        <v>0</v>
      </c>
      <c r="G4842" s="6">
        <v>0</v>
      </c>
      <c r="H4842" s="4" t="s">
        <v>9</v>
      </c>
      <c r="I4842" s="4" t="s">
        <v>3</v>
      </c>
      <c r="J4842" s="4" t="s">
        <v>9</v>
      </c>
      <c r="K4842" s="4" t="s">
        <v>9</v>
      </c>
      <c r="L4842" s="4" t="s">
        <v>9</v>
      </c>
      <c r="M4842" s="4" t="s">
        <v>9</v>
      </c>
      <c r="N4842" s="5"/>
    </row>
    <row r="4843" spans="1:14" x14ac:dyDescent="0.25">
      <c r="A4843" t="s">
        <v>632</v>
      </c>
      <c r="B4843" s="2">
        <v>45993</v>
      </c>
      <c r="C4843" t="s">
        <v>632</v>
      </c>
      <c r="D4843" t="s">
        <v>112</v>
      </c>
      <c r="E4843" t="s">
        <v>9</v>
      </c>
      <c r="F4843" s="3">
        <v>-1567.5</v>
      </c>
      <c r="G4843" s="3">
        <v>-1567.5</v>
      </c>
      <c r="H4843" t="s">
        <v>3</v>
      </c>
      <c r="I4843" t="s">
        <v>3</v>
      </c>
      <c r="J4843" t="s">
        <v>9</v>
      </c>
      <c r="K4843" t="s">
        <v>9</v>
      </c>
      <c r="L4843" t="s">
        <v>11</v>
      </c>
      <c r="M4843" t="s">
        <v>114</v>
      </c>
      <c r="N4843" s="2">
        <v>45991</v>
      </c>
    </row>
    <row r="4844" spans="1:14" x14ac:dyDescent="0.25">
      <c r="A4844" t="s">
        <v>632</v>
      </c>
      <c r="B4844" s="2">
        <v>45961</v>
      </c>
      <c r="C4844" t="s">
        <v>632</v>
      </c>
      <c r="D4844" t="s">
        <v>112</v>
      </c>
      <c r="E4844" t="s">
        <v>9</v>
      </c>
      <c r="F4844" s="3">
        <v>-4300</v>
      </c>
      <c r="G4844" s="3">
        <v>-4300</v>
      </c>
      <c r="H4844" t="s">
        <v>3</v>
      </c>
      <c r="I4844" t="s">
        <v>3</v>
      </c>
      <c r="J4844" t="s">
        <v>385</v>
      </c>
      <c r="K4844" t="s">
        <v>5</v>
      </c>
      <c r="L4844" t="s">
        <v>11</v>
      </c>
      <c r="M4844" t="s">
        <v>114</v>
      </c>
      <c r="N4844" s="2">
        <v>45962</v>
      </c>
    </row>
    <row r="4845" spans="1:14" x14ac:dyDescent="0.25">
      <c r="A4845" t="s">
        <v>632</v>
      </c>
      <c r="B4845" s="2">
        <v>45991</v>
      </c>
      <c r="C4845" t="s">
        <v>632</v>
      </c>
      <c r="D4845" t="s">
        <v>112</v>
      </c>
      <c r="E4845" t="s">
        <v>9</v>
      </c>
      <c r="F4845" s="3">
        <v>5867.5</v>
      </c>
      <c r="G4845" s="3">
        <v>5867.5</v>
      </c>
      <c r="H4845" t="s">
        <v>3</v>
      </c>
      <c r="I4845" t="s">
        <v>3</v>
      </c>
      <c r="J4845" t="s">
        <v>387</v>
      </c>
      <c r="K4845" t="s">
        <v>5</v>
      </c>
      <c r="L4845" t="s">
        <v>11</v>
      </c>
      <c r="M4845" t="s">
        <v>114</v>
      </c>
      <c r="N4845" s="2">
        <v>45991</v>
      </c>
    </row>
    <row r="4846" spans="1:14" x14ac:dyDescent="0.25">
      <c r="A4846" s="4" t="s">
        <v>226</v>
      </c>
      <c r="B4846" s="5"/>
      <c r="C4846" s="4" t="s">
        <v>9</v>
      </c>
      <c r="D4846" s="4" t="s">
        <v>9</v>
      </c>
      <c r="E4846" s="4" t="s">
        <v>9</v>
      </c>
      <c r="F4846" s="6">
        <v>0</v>
      </c>
      <c r="G4846" s="6">
        <v>0</v>
      </c>
      <c r="H4846" s="4" t="s">
        <v>9</v>
      </c>
      <c r="I4846" s="4" t="s">
        <v>3</v>
      </c>
      <c r="J4846" s="4" t="s">
        <v>9</v>
      </c>
      <c r="K4846" s="4" t="s">
        <v>9</v>
      </c>
      <c r="L4846" s="4" t="s">
        <v>9</v>
      </c>
      <c r="M4846" s="4" t="s">
        <v>9</v>
      </c>
      <c r="N4846" s="5"/>
    </row>
    <row r="4847" spans="1:14" x14ac:dyDescent="0.25">
      <c r="A4847" t="s">
        <v>632</v>
      </c>
      <c r="B4847" s="2">
        <v>46028</v>
      </c>
      <c r="C4847" t="s">
        <v>632</v>
      </c>
      <c r="D4847" t="s">
        <v>112</v>
      </c>
      <c r="E4847" t="s">
        <v>9</v>
      </c>
      <c r="F4847" s="3">
        <v>-1816.5</v>
      </c>
      <c r="G4847" s="3">
        <v>-1816.5</v>
      </c>
      <c r="H4847" t="s">
        <v>3</v>
      </c>
      <c r="I4847" t="s">
        <v>3</v>
      </c>
      <c r="J4847" t="s">
        <v>9</v>
      </c>
      <c r="K4847" t="s">
        <v>9</v>
      </c>
      <c r="L4847" t="s">
        <v>12</v>
      </c>
      <c r="M4847" t="s">
        <v>114</v>
      </c>
      <c r="N4847" s="2">
        <v>46022</v>
      </c>
    </row>
    <row r="4848" spans="1:14" x14ac:dyDescent="0.25">
      <c r="A4848" t="s">
        <v>632</v>
      </c>
      <c r="B4848" s="2">
        <v>45991</v>
      </c>
      <c r="C4848" t="s">
        <v>632</v>
      </c>
      <c r="D4848" t="s">
        <v>112</v>
      </c>
      <c r="E4848" t="s">
        <v>9</v>
      </c>
      <c r="F4848" s="3">
        <v>-5867.5</v>
      </c>
      <c r="G4848" s="3">
        <v>-5867.5</v>
      </c>
      <c r="H4848" t="s">
        <v>3</v>
      </c>
      <c r="I4848" t="s">
        <v>3</v>
      </c>
      <c r="J4848" t="s">
        <v>387</v>
      </c>
      <c r="K4848" t="s">
        <v>5</v>
      </c>
      <c r="L4848" t="s">
        <v>12</v>
      </c>
      <c r="M4848" t="s">
        <v>114</v>
      </c>
      <c r="N4848" s="2">
        <v>45992</v>
      </c>
    </row>
    <row r="4849" spans="1:14" x14ac:dyDescent="0.25">
      <c r="A4849" t="s">
        <v>632</v>
      </c>
      <c r="B4849" s="2">
        <v>46022</v>
      </c>
      <c r="C4849" t="s">
        <v>632</v>
      </c>
      <c r="D4849" t="s">
        <v>112</v>
      </c>
      <c r="E4849" t="s">
        <v>9</v>
      </c>
      <c r="F4849" s="3">
        <v>7684</v>
      </c>
      <c r="G4849" s="3">
        <v>7684</v>
      </c>
      <c r="H4849" t="s">
        <v>3</v>
      </c>
      <c r="I4849" t="s">
        <v>3</v>
      </c>
      <c r="J4849" t="s">
        <v>381</v>
      </c>
      <c r="K4849" t="s">
        <v>5</v>
      </c>
      <c r="L4849" t="s">
        <v>12</v>
      </c>
      <c r="M4849" t="s">
        <v>114</v>
      </c>
      <c r="N4849" s="2">
        <v>46022</v>
      </c>
    </row>
    <row r="4850" spans="1:14" x14ac:dyDescent="0.25">
      <c r="A4850" t="s">
        <v>632</v>
      </c>
      <c r="B4850" s="2">
        <v>46022</v>
      </c>
      <c r="C4850" t="s">
        <v>632</v>
      </c>
      <c r="D4850" t="s">
        <v>112</v>
      </c>
      <c r="E4850" t="s">
        <v>9</v>
      </c>
      <c r="F4850" s="3">
        <v>7684</v>
      </c>
      <c r="G4850" s="3">
        <v>7684</v>
      </c>
      <c r="H4850" t="s">
        <v>3</v>
      </c>
      <c r="I4850" t="s">
        <v>3</v>
      </c>
      <c r="J4850" t="s">
        <v>381</v>
      </c>
      <c r="K4850" t="s">
        <v>5</v>
      </c>
      <c r="L4850" t="s">
        <v>12</v>
      </c>
      <c r="M4850" t="s">
        <v>114</v>
      </c>
      <c r="N4850" s="2">
        <v>46022</v>
      </c>
    </row>
    <row r="4851" spans="1:14" x14ac:dyDescent="0.25">
      <c r="A4851" t="s">
        <v>632</v>
      </c>
      <c r="B4851" s="2">
        <v>46022</v>
      </c>
      <c r="C4851" t="s">
        <v>632</v>
      </c>
      <c r="D4851" t="s">
        <v>112</v>
      </c>
      <c r="E4851" t="s">
        <v>9</v>
      </c>
      <c r="F4851" s="3">
        <v>-7684</v>
      </c>
      <c r="G4851" s="3">
        <v>-7684</v>
      </c>
      <c r="H4851" t="s">
        <v>3</v>
      </c>
      <c r="I4851" t="s">
        <v>3</v>
      </c>
      <c r="J4851" t="s">
        <v>381</v>
      </c>
      <c r="K4851" t="s">
        <v>5</v>
      </c>
      <c r="L4851" t="s">
        <v>12</v>
      </c>
      <c r="M4851" t="s">
        <v>114</v>
      </c>
      <c r="N4851" s="2">
        <v>46022</v>
      </c>
    </row>
    <row r="4852" spans="1:14" x14ac:dyDescent="0.25">
      <c r="A4852" s="4" t="s">
        <v>228</v>
      </c>
      <c r="B4852" s="5"/>
      <c r="C4852" s="4" t="s">
        <v>9</v>
      </c>
      <c r="D4852" s="4" t="s">
        <v>9</v>
      </c>
      <c r="E4852" s="4" t="s">
        <v>9</v>
      </c>
      <c r="F4852" s="6">
        <v>0</v>
      </c>
      <c r="G4852" s="6">
        <v>0</v>
      </c>
      <c r="H4852" s="4" t="s">
        <v>9</v>
      </c>
      <c r="I4852" s="4" t="s">
        <v>3</v>
      </c>
      <c r="J4852" s="4" t="s">
        <v>9</v>
      </c>
      <c r="K4852" s="4" t="s">
        <v>9</v>
      </c>
      <c r="L4852" s="4" t="s">
        <v>9</v>
      </c>
      <c r="M4852" s="4" t="s">
        <v>9</v>
      </c>
      <c r="N4852" s="5"/>
    </row>
    <row r="4853" spans="1:14" x14ac:dyDescent="0.25">
      <c r="A4853" s="4" t="s">
        <v>632</v>
      </c>
      <c r="B4853" s="5"/>
      <c r="C4853" s="4" t="s">
        <v>9</v>
      </c>
      <c r="D4853" s="4" t="s">
        <v>9</v>
      </c>
      <c r="E4853" s="4" t="s">
        <v>9</v>
      </c>
      <c r="F4853" s="6">
        <v>0</v>
      </c>
      <c r="G4853" s="6">
        <v>0</v>
      </c>
      <c r="H4853" s="4" t="s">
        <v>9</v>
      </c>
      <c r="I4853" s="4" t="s">
        <v>3</v>
      </c>
      <c r="J4853" s="4" t="s">
        <v>9</v>
      </c>
      <c r="K4853" s="4" t="s">
        <v>9</v>
      </c>
      <c r="L4853" s="4" t="s">
        <v>9</v>
      </c>
      <c r="M4853" s="4" t="s">
        <v>9</v>
      </c>
      <c r="N4853" s="5"/>
    </row>
    <row r="4854" spans="1:14" x14ac:dyDescent="0.25">
      <c r="A4854" t="s">
        <v>633</v>
      </c>
      <c r="B4854" s="2">
        <v>46084</v>
      </c>
      <c r="C4854" t="s">
        <v>633</v>
      </c>
      <c r="D4854" t="s">
        <v>112</v>
      </c>
      <c r="E4854" t="s">
        <v>9</v>
      </c>
      <c r="F4854" s="3">
        <v>-2800</v>
      </c>
      <c r="G4854" s="3">
        <v>-2800</v>
      </c>
      <c r="H4854" t="s">
        <v>3</v>
      </c>
      <c r="I4854" t="s">
        <v>3</v>
      </c>
      <c r="J4854" t="s">
        <v>9</v>
      </c>
      <c r="K4854" t="s">
        <v>9</v>
      </c>
      <c r="L4854" t="s">
        <v>15</v>
      </c>
      <c r="M4854" t="s">
        <v>114</v>
      </c>
      <c r="N4854" s="2">
        <v>46081</v>
      </c>
    </row>
    <row r="4855" spans="1:14" x14ac:dyDescent="0.25">
      <c r="A4855" t="s">
        <v>633</v>
      </c>
      <c r="B4855" s="2">
        <v>46081</v>
      </c>
      <c r="C4855" t="s">
        <v>633</v>
      </c>
      <c r="D4855" t="s">
        <v>112</v>
      </c>
      <c r="E4855" t="s">
        <v>9</v>
      </c>
      <c r="F4855" s="3">
        <v>2800</v>
      </c>
      <c r="G4855" s="3">
        <v>2800</v>
      </c>
      <c r="H4855" t="s">
        <v>3</v>
      </c>
      <c r="I4855" t="s">
        <v>3</v>
      </c>
      <c r="J4855" t="s">
        <v>368</v>
      </c>
      <c r="K4855" t="s">
        <v>13</v>
      </c>
      <c r="L4855" t="s">
        <v>15</v>
      </c>
      <c r="M4855" t="s">
        <v>114</v>
      </c>
      <c r="N4855" s="2">
        <v>46081</v>
      </c>
    </row>
    <row r="4856" spans="1:14" x14ac:dyDescent="0.25">
      <c r="A4856" s="4" t="s">
        <v>239</v>
      </c>
      <c r="B4856" s="5"/>
      <c r="C4856" s="4" t="s">
        <v>9</v>
      </c>
      <c r="D4856" s="4" t="s">
        <v>9</v>
      </c>
      <c r="E4856" s="4" t="s">
        <v>9</v>
      </c>
      <c r="F4856" s="6">
        <v>0</v>
      </c>
      <c r="G4856" s="6">
        <v>0</v>
      </c>
      <c r="H4856" s="4" t="s">
        <v>9</v>
      </c>
      <c r="I4856" s="4" t="s">
        <v>3</v>
      </c>
      <c r="J4856" s="4" t="s">
        <v>9</v>
      </c>
      <c r="K4856" s="4" t="s">
        <v>9</v>
      </c>
      <c r="L4856" s="4" t="s">
        <v>9</v>
      </c>
      <c r="M4856" s="4" t="s">
        <v>9</v>
      </c>
      <c r="N4856" s="5"/>
    </row>
    <row r="4857" spans="1:14" x14ac:dyDescent="0.25">
      <c r="A4857" t="s">
        <v>633</v>
      </c>
      <c r="B4857" s="2">
        <v>46115</v>
      </c>
      <c r="C4857" t="s">
        <v>633</v>
      </c>
      <c r="D4857" t="s">
        <v>112</v>
      </c>
      <c r="E4857" t="s">
        <v>9</v>
      </c>
      <c r="F4857" s="3">
        <v>-3200</v>
      </c>
      <c r="G4857" s="3">
        <v>-3200</v>
      </c>
      <c r="H4857" t="s">
        <v>3</v>
      </c>
      <c r="I4857" t="s">
        <v>3</v>
      </c>
      <c r="J4857" t="s">
        <v>9</v>
      </c>
      <c r="K4857" t="s">
        <v>9</v>
      </c>
      <c r="L4857" t="s">
        <v>16</v>
      </c>
      <c r="M4857" t="s">
        <v>114</v>
      </c>
      <c r="N4857" s="2">
        <v>46112</v>
      </c>
    </row>
    <row r="4858" spans="1:14" x14ac:dyDescent="0.25">
      <c r="A4858" t="s">
        <v>633</v>
      </c>
      <c r="B4858" s="2">
        <v>46081</v>
      </c>
      <c r="C4858" t="s">
        <v>633</v>
      </c>
      <c r="D4858" t="s">
        <v>112</v>
      </c>
      <c r="E4858" t="s">
        <v>9</v>
      </c>
      <c r="F4858" s="3">
        <v>-2800</v>
      </c>
      <c r="G4858" s="3">
        <v>-2800</v>
      </c>
      <c r="H4858" t="s">
        <v>3</v>
      </c>
      <c r="I4858" t="s">
        <v>3</v>
      </c>
      <c r="J4858" t="s">
        <v>368</v>
      </c>
      <c r="K4858" t="s">
        <v>13</v>
      </c>
      <c r="L4858" t="s">
        <v>16</v>
      </c>
      <c r="M4858" t="s">
        <v>114</v>
      </c>
      <c r="N4858" s="2">
        <v>46082</v>
      </c>
    </row>
    <row r="4859" spans="1:14" x14ac:dyDescent="0.25">
      <c r="A4859" t="s">
        <v>633</v>
      </c>
      <c r="B4859" s="2">
        <v>46112</v>
      </c>
      <c r="C4859" t="s">
        <v>633</v>
      </c>
      <c r="D4859" t="s">
        <v>112</v>
      </c>
      <c r="E4859" t="s">
        <v>9</v>
      </c>
      <c r="F4859" s="3">
        <v>6000</v>
      </c>
      <c r="G4859" s="3">
        <v>6000</v>
      </c>
      <c r="H4859" t="s">
        <v>3</v>
      </c>
      <c r="I4859" t="s">
        <v>3</v>
      </c>
      <c r="J4859" t="s">
        <v>369</v>
      </c>
      <c r="K4859" t="s">
        <v>13</v>
      </c>
      <c r="L4859" t="s">
        <v>16</v>
      </c>
      <c r="M4859" t="s">
        <v>114</v>
      </c>
      <c r="N4859" s="2">
        <v>46112</v>
      </c>
    </row>
    <row r="4860" spans="1:14" x14ac:dyDescent="0.25">
      <c r="A4860" s="4" t="s">
        <v>244</v>
      </c>
      <c r="B4860" s="5"/>
      <c r="C4860" s="4" t="s">
        <v>9</v>
      </c>
      <c r="D4860" s="4" t="s">
        <v>9</v>
      </c>
      <c r="E4860" s="4" t="s">
        <v>9</v>
      </c>
      <c r="F4860" s="6">
        <v>0</v>
      </c>
      <c r="G4860" s="6">
        <v>0</v>
      </c>
      <c r="H4860" s="4" t="s">
        <v>9</v>
      </c>
      <c r="I4860" s="4" t="s">
        <v>3</v>
      </c>
      <c r="J4860" s="4" t="s">
        <v>9</v>
      </c>
      <c r="K4860" s="4" t="s">
        <v>9</v>
      </c>
      <c r="L4860" s="4" t="s">
        <v>9</v>
      </c>
      <c r="M4860" s="4" t="s">
        <v>9</v>
      </c>
      <c r="N4860" s="5"/>
    </row>
    <row r="4861" spans="1:14" x14ac:dyDescent="0.25">
      <c r="A4861" t="s">
        <v>633</v>
      </c>
      <c r="B4861" s="2">
        <v>46147</v>
      </c>
      <c r="C4861" t="s">
        <v>633</v>
      </c>
      <c r="D4861" t="s">
        <v>112</v>
      </c>
      <c r="E4861" t="s">
        <v>9</v>
      </c>
      <c r="F4861" s="3">
        <v>-200</v>
      </c>
      <c r="G4861" s="3">
        <v>-200</v>
      </c>
      <c r="H4861" t="s">
        <v>3</v>
      </c>
      <c r="I4861" t="s">
        <v>3</v>
      </c>
      <c r="J4861" t="s">
        <v>9</v>
      </c>
      <c r="K4861" t="s">
        <v>9</v>
      </c>
      <c r="L4861" t="s">
        <v>17</v>
      </c>
      <c r="M4861" t="s">
        <v>114</v>
      </c>
      <c r="N4861" s="2">
        <v>46142</v>
      </c>
    </row>
    <row r="4862" spans="1:14" x14ac:dyDescent="0.25">
      <c r="A4862" t="s">
        <v>633</v>
      </c>
      <c r="B4862" s="2">
        <v>46112</v>
      </c>
      <c r="C4862" t="s">
        <v>633</v>
      </c>
      <c r="D4862" t="s">
        <v>112</v>
      </c>
      <c r="E4862" t="s">
        <v>9</v>
      </c>
      <c r="F4862" s="3">
        <v>-6000</v>
      </c>
      <c r="G4862" s="3">
        <v>-6000</v>
      </c>
      <c r="H4862" t="s">
        <v>3</v>
      </c>
      <c r="I4862" t="s">
        <v>3</v>
      </c>
      <c r="J4862" t="s">
        <v>369</v>
      </c>
      <c r="K4862" t="s">
        <v>13</v>
      </c>
      <c r="L4862" t="s">
        <v>17</v>
      </c>
      <c r="M4862" t="s">
        <v>114</v>
      </c>
      <c r="N4862" s="2">
        <v>46113</v>
      </c>
    </row>
    <row r="4863" spans="1:14" x14ac:dyDescent="0.25">
      <c r="A4863" t="s">
        <v>633</v>
      </c>
      <c r="B4863" s="2">
        <v>46142</v>
      </c>
      <c r="C4863" t="s">
        <v>633</v>
      </c>
      <c r="D4863" t="s">
        <v>112</v>
      </c>
      <c r="E4863" t="s">
        <v>9</v>
      </c>
      <c r="F4863" s="3">
        <v>6200</v>
      </c>
      <c r="G4863" s="3">
        <v>6200</v>
      </c>
      <c r="H4863" t="s">
        <v>3</v>
      </c>
      <c r="I4863" t="s">
        <v>3</v>
      </c>
      <c r="J4863" t="s">
        <v>370</v>
      </c>
      <c r="K4863" t="s">
        <v>13</v>
      </c>
      <c r="L4863" t="s">
        <v>17</v>
      </c>
      <c r="M4863" t="s">
        <v>114</v>
      </c>
      <c r="N4863" s="2">
        <v>46142</v>
      </c>
    </row>
    <row r="4864" spans="1:14" x14ac:dyDescent="0.25">
      <c r="A4864" s="4" t="s">
        <v>249</v>
      </c>
      <c r="B4864" s="5"/>
      <c r="C4864" s="4" t="s">
        <v>9</v>
      </c>
      <c r="D4864" s="4" t="s">
        <v>9</v>
      </c>
      <c r="E4864" s="4" t="s">
        <v>9</v>
      </c>
      <c r="F4864" s="6">
        <v>0</v>
      </c>
      <c r="G4864" s="6">
        <v>0</v>
      </c>
      <c r="H4864" s="4" t="s">
        <v>9</v>
      </c>
      <c r="I4864" s="4" t="s">
        <v>3</v>
      </c>
      <c r="J4864" s="4" t="s">
        <v>9</v>
      </c>
      <c r="K4864" s="4" t="s">
        <v>9</v>
      </c>
      <c r="L4864" s="4" t="s">
        <v>9</v>
      </c>
      <c r="M4864" s="4" t="s">
        <v>9</v>
      </c>
      <c r="N4864" s="5"/>
    </row>
    <row r="4865" spans="1:14" x14ac:dyDescent="0.25">
      <c r="A4865" t="s">
        <v>633</v>
      </c>
      <c r="B4865" s="2">
        <v>46142</v>
      </c>
      <c r="C4865" t="s">
        <v>633</v>
      </c>
      <c r="D4865" t="s">
        <v>112</v>
      </c>
      <c r="E4865" t="s">
        <v>9</v>
      </c>
      <c r="F4865" s="3">
        <v>-6200</v>
      </c>
      <c r="G4865" s="3">
        <v>-6200</v>
      </c>
      <c r="H4865" t="s">
        <v>3</v>
      </c>
      <c r="I4865" t="s">
        <v>3</v>
      </c>
      <c r="J4865" t="s">
        <v>370</v>
      </c>
      <c r="K4865" t="s">
        <v>13</v>
      </c>
      <c r="L4865" t="s">
        <v>18</v>
      </c>
      <c r="M4865" t="s">
        <v>114</v>
      </c>
      <c r="N4865" s="2">
        <v>46143</v>
      </c>
    </row>
    <row r="4866" spans="1:14" x14ac:dyDescent="0.25">
      <c r="A4866" t="s">
        <v>633</v>
      </c>
      <c r="B4866" s="2">
        <v>46173</v>
      </c>
      <c r="C4866" t="s">
        <v>633</v>
      </c>
      <c r="D4866" t="s">
        <v>112</v>
      </c>
      <c r="E4866" t="s">
        <v>9</v>
      </c>
      <c r="F4866" s="3">
        <v>6200</v>
      </c>
      <c r="G4866" s="3">
        <v>6200</v>
      </c>
      <c r="H4866" t="s">
        <v>3</v>
      </c>
      <c r="I4866" t="s">
        <v>3</v>
      </c>
      <c r="J4866" t="s">
        <v>371</v>
      </c>
      <c r="K4866" t="s">
        <v>13</v>
      </c>
      <c r="L4866" t="s">
        <v>18</v>
      </c>
      <c r="M4866" t="s">
        <v>114</v>
      </c>
      <c r="N4866" s="2">
        <v>46173</v>
      </c>
    </row>
    <row r="4867" spans="1:14" x14ac:dyDescent="0.25">
      <c r="A4867" s="4" t="s">
        <v>223</v>
      </c>
      <c r="B4867" s="5"/>
      <c r="C4867" s="4" t="s">
        <v>9</v>
      </c>
      <c r="D4867" s="4" t="s">
        <v>9</v>
      </c>
      <c r="E4867" s="4" t="s">
        <v>9</v>
      </c>
      <c r="F4867" s="6">
        <v>0</v>
      </c>
      <c r="G4867" s="6">
        <v>0</v>
      </c>
      <c r="H4867" s="4" t="s">
        <v>9</v>
      </c>
      <c r="I4867" s="4" t="s">
        <v>3</v>
      </c>
      <c r="J4867" s="4" t="s">
        <v>9</v>
      </c>
      <c r="K4867" s="4" t="s">
        <v>9</v>
      </c>
      <c r="L4867" s="4" t="s">
        <v>9</v>
      </c>
      <c r="M4867" s="4" t="s">
        <v>9</v>
      </c>
      <c r="N4867" s="5"/>
    </row>
    <row r="4868" spans="1:14" x14ac:dyDescent="0.25">
      <c r="A4868" t="s">
        <v>633</v>
      </c>
      <c r="B4868" s="2">
        <v>46173</v>
      </c>
      <c r="C4868" t="s">
        <v>633</v>
      </c>
      <c r="D4868" t="s">
        <v>112</v>
      </c>
      <c r="E4868" t="s">
        <v>9</v>
      </c>
      <c r="F4868" s="3">
        <v>-6200</v>
      </c>
      <c r="G4868" s="3">
        <v>-6200</v>
      </c>
      <c r="H4868" t="s">
        <v>3</v>
      </c>
      <c r="I4868" t="s">
        <v>3</v>
      </c>
      <c r="J4868" t="s">
        <v>371</v>
      </c>
      <c r="K4868" t="s">
        <v>13</v>
      </c>
      <c r="L4868" t="s">
        <v>19</v>
      </c>
      <c r="M4868" t="s">
        <v>114</v>
      </c>
      <c r="N4868" s="2">
        <v>46174</v>
      </c>
    </row>
    <row r="4869" spans="1:14" x14ac:dyDescent="0.25">
      <c r="A4869" t="s">
        <v>633</v>
      </c>
      <c r="B4869" s="2">
        <v>46203</v>
      </c>
      <c r="C4869" t="s">
        <v>633</v>
      </c>
      <c r="D4869" t="s">
        <v>112</v>
      </c>
      <c r="E4869" t="s">
        <v>9</v>
      </c>
      <c r="F4869" s="3">
        <v>6200</v>
      </c>
      <c r="G4869" s="3">
        <v>6200</v>
      </c>
      <c r="H4869" t="s">
        <v>3</v>
      </c>
      <c r="I4869" t="s">
        <v>3</v>
      </c>
      <c r="J4869" t="s">
        <v>372</v>
      </c>
      <c r="K4869" t="s">
        <v>13</v>
      </c>
      <c r="L4869" t="s">
        <v>19</v>
      </c>
      <c r="M4869" t="s">
        <v>114</v>
      </c>
      <c r="N4869" s="2">
        <v>46203</v>
      </c>
    </row>
    <row r="4870" spans="1:14" x14ac:dyDescent="0.25">
      <c r="A4870" s="4" t="s">
        <v>224</v>
      </c>
      <c r="B4870" s="5"/>
      <c r="C4870" s="4" t="s">
        <v>9</v>
      </c>
      <c r="D4870" s="4" t="s">
        <v>9</v>
      </c>
      <c r="E4870" s="4" t="s">
        <v>9</v>
      </c>
      <c r="F4870" s="6">
        <v>0</v>
      </c>
      <c r="G4870" s="6">
        <v>0</v>
      </c>
      <c r="H4870" s="4" t="s">
        <v>9</v>
      </c>
      <c r="I4870" s="4" t="s">
        <v>3</v>
      </c>
      <c r="J4870" s="4" t="s">
        <v>9</v>
      </c>
      <c r="K4870" s="4" t="s">
        <v>9</v>
      </c>
      <c r="L4870" s="4" t="s">
        <v>9</v>
      </c>
      <c r="M4870" s="4" t="s">
        <v>9</v>
      </c>
      <c r="N4870" s="5"/>
    </row>
    <row r="4871" spans="1:14" x14ac:dyDescent="0.25">
      <c r="A4871" t="s">
        <v>633</v>
      </c>
      <c r="B4871" s="2">
        <v>46203</v>
      </c>
      <c r="C4871" t="s">
        <v>633</v>
      </c>
      <c r="D4871" t="s">
        <v>112</v>
      </c>
      <c r="E4871" t="s">
        <v>9</v>
      </c>
      <c r="F4871" s="3">
        <v>-6200</v>
      </c>
      <c r="G4871" s="3">
        <v>-6200</v>
      </c>
      <c r="H4871" t="s">
        <v>3</v>
      </c>
      <c r="I4871" t="s">
        <v>3</v>
      </c>
      <c r="J4871" t="s">
        <v>372</v>
      </c>
      <c r="K4871" t="s">
        <v>13</v>
      </c>
      <c r="L4871" t="s">
        <v>21</v>
      </c>
      <c r="M4871" t="s">
        <v>114</v>
      </c>
      <c r="N4871" s="2">
        <v>46204</v>
      </c>
    </row>
    <row r="4872" spans="1:14" x14ac:dyDescent="0.25">
      <c r="A4872" t="s">
        <v>633</v>
      </c>
      <c r="B4872" s="2">
        <v>46234</v>
      </c>
      <c r="C4872" t="s">
        <v>633</v>
      </c>
      <c r="D4872" t="s">
        <v>112</v>
      </c>
      <c r="E4872" t="s">
        <v>9</v>
      </c>
      <c r="F4872" s="3">
        <v>6200</v>
      </c>
      <c r="G4872" s="3">
        <v>6200</v>
      </c>
      <c r="H4872" t="s">
        <v>3</v>
      </c>
      <c r="I4872" t="s">
        <v>3</v>
      </c>
      <c r="J4872" t="s">
        <v>373</v>
      </c>
      <c r="K4872" t="s">
        <v>13</v>
      </c>
      <c r="L4872" t="s">
        <v>21</v>
      </c>
      <c r="M4872" t="s">
        <v>114</v>
      </c>
      <c r="N4872" s="2">
        <v>46234</v>
      </c>
    </row>
    <row r="4873" spans="1:14" x14ac:dyDescent="0.25">
      <c r="A4873" s="4" t="s">
        <v>262</v>
      </c>
      <c r="B4873" s="5"/>
      <c r="C4873" s="4" t="s">
        <v>9</v>
      </c>
      <c r="D4873" s="4" t="s">
        <v>9</v>
      </c>
      <c r="E4873" s="4" t="s">
        <v>9</v>
      </c>
      <c r="F4873" s="6">
        <v>0</v>
      </c>
      <c r="G4873" s="6">
        <v>0</v>
      </c>
      <c r="H4873" s="4" t="s">
        <v>9</v>
      </c>
      <c r="I4873" s="4" t="s">
        <v>3</v>
      </c>
      <c r="J4873" s="4" t="s">
        <v>9</v>
      </c>
      <c r="K4873" s="4" t="s">
        <v>9</v>
      </c>
      <c r="L4873" s="4" t="s">
        <v>9</v>
      </c>
      <c r="M4873" s="4" t="s">
        <v>9</v>
      </c>
      <c r="N4873" s="5"/>
    </row>
    <row r="4874" spans="1:14" x14ac:dyDescent="0.25">
      <c r="A4874" t="s">
        <v>633</v>
      </c>
      <c r="B4874" s="2">
        <v>46234</v>
      </c>
      <c r="C4874" t="s">
        <v>633</v>
      </c>
      <c r="D4874" t="s">
        <v>112</v>
      </c>
      <c r="E4874" t="s">
        <v>9</v>
      </c>
      <c r="F4874" s="3">
        <v>-6200</v>
      </c>
      <c r="G4874" s="3">
        <v>-6200</v>
      </c>
      <c r="H4874" t="s">
        <v>3</v>
      </c>
      <c r="I4874" t="s">
        <v>3</v>
      </c>
      <c r="J4874" t="s">
        <v>373</v>
      </c>
      <c r="K4874" t="s">
        <v>13</v>
      </c>
      <c r="L4874" t="s">
        <v>22</v>
      </c>
      <c r="M4874" t="s">
        <v>114</v>
      </c>
      <c r="N4874" s="2">
        <v>46235</v>
      </c>
    </row>
    <row r="4875" spans="1:14" x14ac:dyDescent="0.25">
      <c r="A4875" t="s">
        <v>633</v>
      </c>
      <c r="B4875" s="2">
        <v>46265</v>
      </c>
      <c r="C4875" t="s">
        <v>633</v>
      </c>
      <c r="D4875" t="s">
        <v>112</v>
      </c>
      <c r="E4875" t="s">
        <v>9</v>
      </c>
      <c r="F4875" s="3">
        <v>6200</v>
      </c>
      <c r="G4875" s="3">
        <v>6200</v>
      </c>
      <c r="H4875" t="s">
        <v>3</v>
      </c>
      <c r="I4875" t="s">
        <v>3</v>
      </c>
      <c r="J4875" t="s">
        <v>374</v>
      </c>
      <c r="K4875" t="s">
        <v>13</v>
      </c>
      <c r="L4875" t="s">
        <v>22</v>
      </c>
      <c r="M4875" t="s">
        <v>114</v>
      </c>
      <c r="N4875" s="2">
        <v>46265</v>
      </c>
    </row>
    <row r="4876" spans="1:14" x14ac:dyDescent="0.25">
      <c r="A4876" s="4" t="s">
        <v>267</v>
      </c>
      <c r="B4876" s="5"/>
      <c r="C4876" s="4" t="s">
        <v>9</v>
      </c>
      <c r="D4876" s="4" t="s">
        <v>9</v>
      </c>
      <c r="E4876" s="4" t="s">
        <v>9</v>
      </c>
      <c r="F4876" s="6">
        <v>0</v>
      </c>
      <c r="G4876" s="6">
        <v>0</v>
      </c>
      <c r="H4876" s="4" t="s">
        <v>9</v>
      </c>
      <c r="I4876" s="4" t="s">
        <v>3</v>
      </c>
      <c r="J4876" s="4" t="s">
        <v>9</v>
      </c>
      <c r="K4876" s="4" t="s">
        <v>9</v>
      </c>
      <c r="L4876" s="4" t="s">
        <v>9</v>
      </c>
      <c r="M4876" s="4" t="s">
        <v>9</v>
      </c>
      <c r="N4876" s="5"/>
    </row>
    <row r="4877" spans="1:14" x14ac:dyDescent="0.25">
      <c r="A4877" s="4" t="s">
        <v>633</v>
      </c>
      <c r="B4877" s="5"/>
      <c r="C4877" s="4" t="s">
        <v>9</v>
      </c>
      <c r="D4877" s="4" t="s">
        <v>9</v>
      </c>
      <c r="E4877" s="4" t="s">
        <v>9</v>
      </c>
      <c r="F4877" s="6">
        <v>0</v>
      </c>
      <c r="G4877" s="6">
        <v>0</v>
      </c>
      <c r="H4877" s="4" t="s">
        <v>9</v>
      </c>
      <c r="I4877" s="4" t="s">
        <v>3</v>
      </c>
      <c r="J4877" s="4" t="s">
        <v>9</v>
      </c>
      <c r="K4877" s="4" t="s">
        <v>9</v>
      </c>
      <c r="L4877" s="4" t="s">
        <v>9</v>
      </c>
      <c r="M4877" s="4" t="s">
        <v>9</v>
      </c>
      <c r="N4877" s="5"/>
    </row>
    <row r="4878" spans="1:14" x14ac:dyDescent="0.25">
      <c r="A4878" t="s">
        <v>634</v>
      </c>
      <c r="B4878" s="2">
        <v>46028</v>
      </c>
      <c r="C4878" t="s">
        <v>634</v>
      </c>
      <c r="D4878" t="s">
        <v>33</v>
      </c>
      <c r="E4878" t="s">
        <v>9</v>
      </c>
      <c r="F4878" s="3">
        <v>12000</v>
      </c>
      <c r="G4878" s="3">
        <v>12000</v>
      </c>
      <c r="H4878" t="s">
        <v>3</v>
      </c>
      <c r="I4878" t="s">
        <v>3</v>
      </c>
      <c r="J4878" t="s">
        <v>9</v>
      </c>
      <c r="K4878" t="s">
        <v>9</v>
      </c>
      <c r="L4878" t="s">
        <v>12</v>
      </c>
      <c r="M4878" t="s">
        <v>35</v>
      </c>
      <c r="N4878" s="2">
        <v>46022</v>
      </c>
    </row>
    <row r="4879" spans="1:14" x14ac:dyDescent="0.25">
      <c r="A4879" t="s">
        <v>634</v>
      </c>
      <c r="B4879" s="2">
        <v>46007</v>
      </c>
      <c r="C4879" t="s">
        <v>634</v>
      </c>
      <c r="D4879" t="s">
        <v>33</v>
      </c>
      <c r="E4879" t="s">
        <v>9</v>
      </c>
      <c r="F4879" s="3">
        <v>-12000</v>
      </c>
      <c r="G4879" s="3">
        <v>-12000</v>
      </c>
      <c r="H4879" t="s">
        <v>3</v>
      </c>
      <c r="I4879" t="s">
        <v>3</v>
      </c>
      <c r="J4879" t="s">
        <v>9</v>
      </c>
      <c r="K4879" t="s">
        <v>5</v>
      </c>
      <c r="L4879" t="s">
        <v>12</v>
      </c>
      <c r="M4879" t="s">
        <v>35</v>
      </c>
      <c r="N4879" s="2">
        <v>46007</v>
      </c>
    </row>
    <row r="4880" spans="1:14" x14ac:dyDescent="0.25">
      <c r="A4880" s="4" t="s">
        <v>228</v>
      </c>
      <c r="B4880" s="5"/>
      <c r="C4880" s="4" t="s">
        <v>9</v>
      </c>
      <c r="D4880" s="4" t="s">
        <v>9</v>
      </c>
      <c r="E4880" s="4" t="s">
        <v>9</v>
      </c>
      <c r="F4880" s="6">
        <v>0</v>
      </c>
      <c r="G4880" s="6">
        <v>0</v>
      </c>
      <c r="H4880" s="4" t="s">
        <v>9</v>
      </c>
      <c r="I4880" s="4" t="s">
        <v>3</v>
      </c>
      <c r="J4880" s="4" t="s">
        <v>9</v>
      </c>
      <c r="K4880" s="4" t="s">
        <v>9</v>
      </c>
      <c r="L4880" s="4" t="s">
        <v>9</v>
      </c>
      <c r="M4880" s="4" t="s">
        <v>9</v>
      </c>
      <c r="N4880" s="5"/>
    </row>
    <row r="4881" spans="1:14" x14ac:dyDescent="0.25">
      <c r="A4881" s="4" t="s">
        <v>634</v>
      </c>
      <c r="B4881" s="5"/>
      <c r="C4881" s="4" t="s">
        <v>9</v>
      </c>
      <c r="D4881" s="4" t="s">
        <v>9</v>
      </c>
      <c r="E4881" s="4" t="s">
        <v>9</v>
      </c>
      <c r="F4881" s="6">
        <v>0</v>
      </c>
      <c r="G4881" s="6">
        <v>0</v>
      </c>
      <c r="H4881" s="4" t="s">
        <v>9</v>
      </c>
      <c r="I4881" s="4" t="s">
        <v>3</v>
      </c>
      <c r="J4881" s="4" t="s">
        <v>9</v>
      </c>
      <c r="K4881" s="4" t="s">
        <v>9</v>
      </c>
      <c r="L4881" s="4" t="s">
        <v>9</v>
      </c>
      <c r="M4881" s="4" t="s">
        <v>9</v>
      </c>
      <c r="N4881" s="5"/>
    </row>
    <row r="4882" spans="1:14" x14ac:dyDescent="0.25">
      <c r="A4882" t="s">
        <v>635</v>
      </c>
      <c r="B4882" s="2">
        <v>46056</v>
      </c>
      <c r="C4882" t="s">
        <v>635</v>
      </c>
      <c r="D4882" t="s">
        <v>112</v>
      </c>
      <c r="E4882" t="s">
        <v>9</v>
      </c>
      <c r="F4882" s="3">
        <v>-1000</v>
      </c>
      <c r="G4882" s="3">
        <v>-1000</v>
      </c>
      <c r="H4882" t="s">
        <v>3</v>
      </c>
      <c r="I4882" t="s">
        <v>3</v>
      </c>
      <c r="J4882" t="s">
        <v>9</v>
      </c>
      <c r="K4882" t="s">
        <v>9</v>
      </c>
      <c r="L4882" t="s">
        <v>14</v>
      </c>
      <c r="M4882" t="s">
        <v>114</v>
      </c>
      <c r="N4882" s="2">
        <v>46053</v>
      </c>
    </row>
    <row r="4883" spans="1:14" x14ac:dyDescent="0.25">
      <c r="A4883" t="s">
        <v>635</v>
      </c>
      <c r="B4883" s="2">
        <v>46022</v>
      </c>
      <c r="C4883" t="s">
        <v>635</v>
      </c>
      <c r="D4883" t="s">
        <v>112</v>
      </c>
      <c r="E4883" t="s">
        <v>9</v>
      </c>
      <c r="F4883" s="3">
        <v>-1900</v>
      </c>
      <c r="G4883" s="3">
        <v>-1900</v>
      </c>
      <c r="H4883" t="s">
        <v>3</v>
      </c>
      <c r="I4883" t="s">
        <v>3</v>
      </c>
      <c r="J4883" t="s">
        <v>299</v>
      </c>
      <c r="K4883" t="s">
        <v>13</v>
      </c>
      <c r="L4883" t="s">
        <v>14</v>
      </c>
      <c r="M4883" t="s">
        <v>114</v>
      </c>
      <c r="N4883" s="2">
        <v>46023</v>
      </c>
    </row>
    <row r="4884" spans="1:14" x14ac:dyDescent="0.25">
      <c r="A4884" t="s">
        <v>635</v>
      </c>
      <c r="B4884" s="2">
        <v>46023</v>
      </c>
      <c r="C4884" t="s">
        <v>635</v>
      </c>
      <c r="D4884" t="s">
        <v>112</v>
      </c>
      <c r="E4884" t="s">
        <v>9</v>
      </c>
      <c r="F4884" s="3">
        <v>1900</v>
      </c>
      <c r="G4884" s="3">
        <v>1900</v>
      </c>
      <c r="H4884" t="s">
        <v>3</v>
      </c>
      <c r="I4884" t="s">
        <v>3</v>
      </c>
      <c r="J4884" t="s">
        <v>299</v>
      </c>
      <c r="K4884" t="s">
        <v>13</v>
      </c>
      <c r="L4884" t="s">
        <v>14</v>
      </c>
      <c r="M4884" t="s">
        <v>114</v>
      </c>
      <c r="N4884" s="2">
        <v>46023</v>
      </c>
    </row>
    <row r="4885" spans="1:14" x14ac:dyDescent="0.25">
      <c r="A4885" t="s">
        <v>635</v>
      </c>
      <c r="B4885" s="2">
        <v>46053</v>
      </c>
      <c r="C4885" t="s">
        <v>635</v>
      </c>
      <c r="D4885" t="s">
        <v>112</v>
      </c>
      <c r="E4885" t="s">
        <v>9</v>
      </c>
      <c r="F4885" s="3">
        <v>1000</v>
      </c>
      <c r="G4885" s="3">
        <v>1000</v>
      </c>
      <c r="H4885" t="s">
        <v>3</v>
      </c>
      <c r="I4885" t="s">
        <v>3</v>
      </c>
      <c r="J4885" t="s">
        <v>367</v>
      </c>
      <c r="K4885" t="s">
        <v>13</v>
      </c>
      <c r="L4885" t="s">
        <v>14</v>
      </c>
      <c r="M4885" t="s">
        <v>114</v>
      </c>
      <c r="N4885" s="2">
        <v>46053</v>
      </c>
    </row>
    <row r="4886" spans="1:14" x14ac:dyDescent="0.25">
      <c r="A4886" s="4" t="s">
        <v>234</v>
      </c>
      <c r="B4886" s="5"/>
      <c r="C4886" s="4" t="s">
        <v>9</v>
      </c>
      <c r="D4886" s="4" t="s">
        <v>9</v>
      </c>
      <c r="E4886" s="4" t="s">
        <v>9</v>
      </c>
      <c r="F4886" s="6">
        <v>0</v>
      </c>
      <c r="G4886" s="6">
        <v>0</v>
      </c>
      <c r="H4886" s="4" t="s">
        <v>9</v>
      </c>
      <c r="I4886" s="4" t="s">
        <v>3</v>
      </c>
      <c r="J4886" s="4" t="s">
        <v>9</v>
      </c>
      <c r="K4886" s="4" t="s">
        <v>9</v>
      </c>
      <c r="L4886" s="4" t="s">
        <v>9</v>
      </c>
      <c r="M4886" s="4" t="s">
        <v>9</v>
      </c>
      <c r="N4886" s="5"/>
    </row>
    <row r="4887" spans="1:14" x14ac:dyDescent="0.25">
      <c r="A4887" t="s">
        <v>635</v>
      </c>
      <c r="B4887" s="2">
        <v>46084</v>
      </c>
      <c r="C4887" t="s">
        <v>635</v>
      </c>
      <c r="D4887" t="s">
        <v>112</v>
      </c>
      <c r="E4887" t="s">
        <v>9</v>
      </c>
      <c r="F4887" s="3">
        <v>-2625</v>
      </c>
      <c r="G4887" s="3">
        <v>-2625</v>
      </c>
      <c r="H4887" t="s">
        <v>3</v>
      </c>
      <c r="I4887" t="s">
        <v>3</v>
      </c>
      <c r="J4887" t="s">
        <v>9</v>
      </c>
      <c r="K4887" t="s">
        <v>9</v>
      </c>
      <c r="L4887" t="s">
        <v>15</v>
      </c>
      <c r="M4887" t="s">
        <v>114</v>
      </c>
      <c r="N4887" s="2">
        <v>46081</v>
      </c>
    </row>
    <row r="4888" spans="1:14" x14ac:dyDescent="0.25">
      <c r="A4888" t="s">
        <v>635</v>
      </c>
      <c r="B4888" s="2">
        <v>46054</v>
      </c>
      <c r="C4888" t="s">
        <v>635</v>
      </c>
      <c r="D4888" t="s">
        <v>112</v>
      </c>
      <c r="E4888" t="s">
        <v>9</v>
      </c>
      <c r="F4888" s="3">
        <v>-1000</v>
      </c>
      <c r="G4888" s="3">
        <v>-1000</v>
      </c>
      <c r="H4888" t="s">
        <v>3</v>
      </c>
      <c r="I4888" t="s">
        <v>3</v>
      </c>
      <c r="J4888" t="s">
        <v>367</v>
      </c>
      <c r="K4888" t="s">
        <v>13</v>
      </c>
      <c r="L4888" t="s">
        <v>15</v>
      </c>
      <c r="M4888" t="s">
        <v>114</v>
      </c>
      <c r="N4888" s="2">
        <v>46054</v>
      </c>
    </row>
    <row r="4889" spans="1:14" x14ac:dyDescent="0.25">
      <c r="A4889" t="s">
        <v>635</v>
      </c>
      <c r="B4889" s="2">
        <v>46054</v>
      </c>
      <c r="C4889" t="s">
        <v>635</v>
      </c>
      <c r="D4889" t="s">
        <v>112</v>
      </c>
      <c r="E4889" t="s">
        <v>9</v>
      </c>
      <c r="F4889" s="3">
        <v>1000</v>
      </c>
      <c r="G4889" s="3">
        <v>1000</v>
      </c>
      <c r="H4889" t="s">
        <v>3</v>
      </c>
      <c r="I4889" t="s">
        <v>3</v>
      </c>
      <c r="J4889" t="s">
        <v>367</v>
      </c>
      <c r="K4889" t="s">
        <v>13</v>
      </c>
      <c r="L4889" t="s">
        <v>15</v>
      </c>
      <c r="M4889" t="s">
        <v>114</v>
      </c>
      <c r="N4889" s="2">
        <v>46055</v>
      </c>
    </row>
    <row r="4890" spans="1:14" x14ac:dyDescent="0.25">
      <c r="A4890" t="s">
        <v>635</v>
      </c>
      <c r="B4890" s="2">
        <v>46054</v>
      </c>
      <c r="C4890" t="s">
        <v>635</v>
      </c>
      <c r="D4890" t="s">
        <v>112</v>
      </c>
      <c r="E4890" t="s">
        <v>9</v>
      </c>
      <c r="F4890" s="3">
        <v>-1000</v>
      </c>
      <c r="G4890" s="3">
        <v>-1000</v>
      </c>
      <c r="H4890" t="s">
        <v>3</v>
      </c>
      <c r="I4890" t="s">
        <v>3</v>
      </c>
      <c r="J4890" t="s">
        <v>367</v>
      </c>
      <c r="K4890" t="s">
        <v>13</v>
      </c>
      <c r="L4890" t="s">
        <v>15</v>
      </c>
      <c r="M4890" t="s">
        <v>114</v>
      </c>
      <c r="N4890" s="2">
        <v>46054</v>
      </c>
    </row>
    <row r="4891" spans="1:14" x14ac:dyDescent="0.25">
      <c r="A4891" t="s">
        <v>635</v>
      </c>
      <c r="B4891" s="2">
        <v>46081</v>
      </c>
      <c r="C4891" t="s">
        <v>635</v>
      </c>
      <c r="D4891" t="s">
        <v>112</v>
      </c>
      <c r="E4891" t="s">
        <v>9</v>
      </c>
      <c r="F4891" s="3">
        <v>3625</v>
      </c>
      <c r="G4891" s="3">
        <v>3625</v>
      </c>
      <c r="H4891" t="s">
        <v>3</v>
      </c>
      <c r="I4891" t="s">
        <v>3</v>
      </c>
      <c r="J4891" t="s">
        <v>368</v>
      </c>
      <c r="K4891" t="s">
        <v>13</v>
      </c>
      <c r="L4891" t="s">
        <v>15</v>
      </c>
      <c r="M4891" t="s">
        <v>114</v>
      </c>
      <c r="N4891" s="2">
        <v>46081</v>
      </c>
    </row>
    <row r="4892" spans="1:14" x14ac:dyDescent="0.25">
      <c r="A4892" s="4" t="s">
        <v>239</v>
      </c>
      <c r="B4892" s="5"/>
      <c r="C4892" s="4" t="s">
        <v>9</v>
      </c>
      <c r="D4892" s="4" t="s">
        <v>9</v>
      </c>
      <c r="E4892" s="4" t="s">
        <v>9</v>
      </c>
      <c r="F4892" s="6">
        <v>0</v>
      </c>
      <c r="G4892" s="6">
        <v>0</v>
      </c>
      <c r="H4892" s="4" t="s">
        <v>9</v>
      </c>
      <c r="I4892" s="4" t="s">
        <v>3</v>
      </c>
      <c r="J4892" s="4" t="s">
        <v>9</v>
      </c>
      <c r="K4892" s="4" t="s">
        <v>9</v>
      </c>
      <c r="L4892" s="4" t="s">
        <v>9</v>
      </c>
      <c r="M4892" s="4" t="s">
        <v>9</v>
      </c>
      <c r="N4892" s="5"/>
    </row>
    <row r="4893" spans="1:14" x14ac:dyDescent="0.25">
      <c r="A4893" t="s">
        <v>635</v>
      </c>
      <c r="B4893" s="2">
        <v>46115</v>
      </c>
      <c r="C4893" t="s">
        <v>635</v>
      </c>
      <c r="D4893" t="s">
        <v>112</v>
      </c>
      <c r="E4893" t="s">
        <v>9</v>
      </c>
      <c r="F4893" s="3">
        <v>-800</v>
      </c>
      <c r="G4893" s="3">
        <v>-800</v>
      </c>
      <c r="H4893" t="s">
        <v>3</v>
      </c>
      <c r="I4893" t="s">
        <v>3</v>
      </c>
      <c r="J4893" t="s">
        <v>9</v>
      </c>
      <c r="K4893" t="s">
        <v>9</v>
      </c>
      <c r="L4893" t="s">
        <v>16</v>
      </c>
      <c r="M4893" t="s">
        <v>114</v>
      </c>
      <c r="N4893" s="2">
        <v>46112</v>
      </c>
    </row>
    <row r="4894" spans="1:14" x14ac:dyDescent="0.25">
      <c r="A4894" t="s">
        <v>635</v>
      </c>
      <c r="B4894" s="2">
        <v>46081</v>
      </c>
      <c r="C4894" t="s">
        <v>635</v>
      </c>
      <c r="D4894" t="s">
        <v>112</v>
      </c>
      <c r="E4894" t="s">
        <v>9</v>
      </c>
      <c r="F4894" s="3">
        <v>-3625</v>
      </c>
      <c r="G4894" s="3">
        <v>-3625</v>
      </c>
      <c r="H4894" t="s">
        <v>3</v>
      </c>
      <c r="I4894" t="s">
        <v>3</v>
      </c>
      <c r="J4894" t="s">
        <v>368</v>
      </c>
      <c r="K4894" t="s">
        <v>13</v>
      </c>
      <c r="L4894" t="s">
        <v>16</v>
      </c>
      <c r="M4894" t="s">
        <v>114</v>
      </c>
      <c r="N4894" s="2">
        <v>46082</v>
      </c>
    </row>
    <row r="4895" spans="1:14" x14ac:dyDescent="0.25">
      <c r="A4895" t="s">
        <v>635</v>
      </c>
      <c r="B4895" s="2">
        <v>46112</v>
      </c>
      <c r="C4895" t="s">
        <v>635</v>
      </c>
      <c r="D4895" t="s">
        <v>112</v>
      </c>
      <c r="E4895" t="s">
        <v>9</v>
      </c>
      <c r="F4895" s="3">
        <v>4425</v>
      </c>
      <c r="G4895" s="3">
        <v>4425</v>
      </c>
      <c r="H4895" t="s">
        <v>3</v>
      </c>
      <c r="I4895" t="s">
        <v>3</v>
      </c>
      <c r="J4895" t="s">
        <v>369</v>
      </c>
      <c r="K4895" t="s">
        <v>13</v>
      </c>
      <c r="L4895" t="s">
        <v>16</v>
      </c>
      <c r="M4895" t="s">
        <v>114</v>
      </c>
      <c r="N4895" s="2">
        <v>46112</v>
      </c>
    </row>
    <row r="4896" spans="1:14" x14ac:dyDescent="0.25">
      <c r="A4896" s="4" t="s">
        <v>244</v>
      </c>
      <c r="B4896" s="5"/>
      <c r="C4896" s="4" t="s">
        <v>9</v>
      </c>
      <c r="D4896" s="4" t="s">
        <v>9</v>
      </c>
      <c r="E4896" s="4" t="s">
        <v>9</v>
      </c>
      <c r="F4896" s="6">
        <v>0</v>
      </c>
      <c r="G4896" s="6">
        <v>0</v>
      </c>
      <c r="H4896" s="4" t="s">
        <v>9</v>
      </c>
      <c r="I4896" s="4" t="s">
        <v>3</v>
      </c>
      <c r="J4896" s="4" t="s">
        <v>9</v>
      </c>
      <c r="K4896" s="4" t="s">
        <v>9</v>
      </c>
      <c r="L4896" s="4" t="s">
        <v>9</v>
      </c>
      <c r="M4896" s="4" t="s">
        <v>9</v>
      </c>
      <c r="N4896" s="5"/>
    </row>
    <row r="4897" spans="1:14" x14ac:dyDescent="0.25">
      <c r="A4897" t="s">
        <v>635</v>
      </c>
      <c r="B4897" s="2">
        <v>46112</v>
      </c>
      <c r="C4897" t="s">
        <v>635</v>
      </c>
      <c r="D4897" t="s">
        <v>112</v>
      </c>
      <c r="E4897" t="s">
        <v>9</v>
      </c>
      <c r="F4897" s="3">
        <v>-4425</v>
      </c>
      <c r="G4897" s="3">
        <v>-4425</v>
      </c>
      <c r="H4897" t="s">
        <v>3</v>
      </c>
      <c r="I4897" t="s">
        <v>3</v>
      </c>
      <c r="J4897" t="s">
        <v>369</v>
      </c>
      <c r="K4897" t="s">
        <v>13</v>
      </c>
      <c r="L4897" t="s">
        <v>17</v>
      </c>
      <c r="M4897" t="s">
        <v>114</v>
      </c>
      <c r="N4897" s="2">
        <v>46113</v>
      </c>
    </row>
    <row r="4898" spans="1:14" x14ac:dyDescent="0.25">
      <c r="A4898" t="s">
        <v>635</v>
      </c>
      <c r="B4898" s="2">
        <v>46142</v>
      </c>
      <c r="C4898" t="s">
        <v>635</v>
      </c>
      <c r="D4898" t="s">
        <v>112</v>
      </c>
      <c r="E4898" t="s">
        <v>9</v>
      </c>
      <c r="F4898" s="3">
        <v>4425</v>
      </c>
      <c r="G4898" s="3">
        <v>4425</v>
      </c>
      <c r="H4898" t="s">
        <v>3</v>
      </c>
      <c r="I4898" t="s">
        <v>3</v>
      </c>
      <c r="J4898" t="s">
        <v>370</v>
      </c>
      <c r="K4898" t="s">
        <v>13</v>
      </c>
      <c r="L4898" t="s">
        <v>17</v>
      </c>
      <c r="M4898" t="s">
        <v>114</v>
      </c>
      <c r="N4898" s="2">
        <v>46142</v>
      </c>
    </row>
    <row r="4899" spans="1:14" x14ac:dyDescent="0.25">
      <c r="A4899" s="4" t="s">
        <v>249</v>
      </c>
      <c r="B4899" s="5"/>
      <c r="C4899" s="4" t="s">
        <v>9</v>
      </c>
      <c r="D4899" s="4" t="s">
        <v>9</v>
      </c>
      <c r="E4899" s="4" t="s">
        <v>9</v>
      </c>
      <c r="F4899" s="6">
        <v>0</v>
      </c>
      <c r="G4899" s="6">
        <v>0</v>
      </c>
      <c r="H4899" s="4" t="s">
        <v>9</v>
      </c>
      <c r="I4899" s="4" t="s">
        <v>3</v>
      </c>
      <c r="J4899" s="4" t="s">
        <v>9</v>
      </c>
      <c r="K4899" s="4" t="s">
        <v>9</v>
      </c>
      <c r="L4899" s="4" t="s">
        <v>9</v>
      </c>
      <c r="M4899" s="4" t="s">
        <v>9</v>
      </c>
      <c r="N4899" s="5"/>
    </row>
    <row r="4900" spans="1:14" x14ac:dyDescent="0.25">
      <c r="A4900" t="s">
        <v>635</v>
      </c>
      <c r="B4900" s="2">
        <v>45993</v>
      </c>
      <c r="C4900" t="s">
        <v>635</v>
      </c>
      <c r="D4900" t="s">
        <v>112</v>
      </c>
      <c r="E4900" t="s">
        <v>9</v>
      </c>
      <c r="F4900" s="3">
        <v>-700</v>
      </c>
      <c r="G4900" s="3">
        <v>-700</v>
      </c>
      <c r="H4900" t="s">
        <v>3</v>
      </c>
      <c r="I4900" t="s">
        <v>3</v>
      </c>
      <c r="J4900" t="s">
        <v>9</v>
      </c>
      <c r="K4900" t="s">
        <v>9</v>
      </c>
      <c r="L4900" t="s">
        <v>11</v>
      </c>
      <c r="M4900" t="s">
        <v>114</v>
      </c>
      <c r="N4900" s="2">
        <v>45991</v>
      </c>
    </row>
    <row r="4901" spans="1:14" x14ac:dyDescent="0.25">
      <c r="A4901" t="s">
        <v>635</v>
      </c>
      <c r="B4901" s="2">
        <v>45991</v>
      </c>
      <c r="C4901" t="s">
        <v>635</v>
      </c>
      <c r="D4901" t="s">
        <v>112</v>
      </c>
      <c r="E4901" t="s">
        <v>9</v>
      </c>
      <c r="F4901" s="3">
        <v>700</v>
      </c>
      <c r="G4901" s="3">
        <v>700</v>
      </c>
      <c r="H4901" t="s">
        <v>3</v>
      </c>
      <c r="I4901" t="s">
        <v>3</v>
      </c>
      <c r="J4901" t="s">
        <v>329</v>
      </c>
      <c r="K4901" t="s">
        <v>5</v>
      </c>
      <c r="L4901" t="s">
        <v>11</v>
      </c>
      <c r="M4901" t="s">
        <v>114</v>
      </c>
      <c r="N4901" s="2">
        <v>45991</v>
      </c>
    </row>
    <row r="4902" spans="1:14" x14ac:dyDescent="0.25">
      <c r="A4902" s="4" t="s">
        <v>226</v>
      </c>
      <c r="B4902" s="5"/>
      <c r="C4902" s="4" t="s">
        <v>9</v>
      </c>
      <c r="D4902" s="4" t="s">
        <v>9</v>
      </c>
      <c r="E4902" s="4" t="s">
        <v>9</v>
      </c>
      <c r="F4902" s="6">
        <v>0</v>
      </c>
      <c r="G4902" s="6">
        <v>0</v>
      </c>
      <c r="H4902" s="4" t="s">
        <v>9</v>
      </c>
      <c r="I4902" s="4" t="s">
        <v>3</v>
      </c>
      <c r="J4902" s="4" t="s">
        <v>9</v>
      </c>
      <c r="K4902" s="4" t="s">
        <v>9</v>
      </c>
      <c r="L4902" s="4" t="s">
        <v>9</v>
      </c>
      <c r="M4902" s="4" t="s">
        <v>9</v>
      </c>
      <c r="N4902" s="5"/>
    </row>
    <row r="4903" spans="1:14" x14ac:dyDescent="0.25">
      <c r="A4903" t="s">
        <v>635</v>
      </c>
      <c r="B4903" s="2">
        <v>46028</v>
      </c>
      <c r="C4903" t="s">
        <v>635</v>
      </c>
      <c r="D4903" t="s">
        <v>112</v>
      </c>
      <c r="E4903" t="s">
        <v>9</v>
      </c>
      <c r="F4903" s="3">
        <v>-1200</v>
      </c>
      <c r="G4903" s="3">
        <v>-1200</v>
      </c>
      <c r="H4903" t="s">
        <v>3</v>
      </c>
      <c r="I4903" t="s">
        <v>3</v>
      </c>
      <c r="J4903" t="s">
        <v>9</v>
      </c>
      <c r="K4903" t="s">
        <v>9</v>
      </c>
      <c r="L4903" t="s">
        <v>12</v>
      </c>
      <c r="M4903" t="s">
        <v>114</v>
      </c>
      <c r="N4903" s="2">
        <v>46022</v>
      </c>
    </row>
    <row r="4904" spans="1:14" x14ac:dyDescent="0.25">
      <c r="A4904" t="s">
        <v>635</v>
      </c>
      <c r="B4904" s="2">
        <v>46028</v>
      </c>
      <c r="C4904" t="s">
        <v>635</v>
      </c>
      <c r="D4904" t="s">
        <v>99</v>
      </c>
      <c r="E4904" t="s">
        <v>9</v>
      </c>
      <c r="F4904" s="3">
        <v>-1261</v>
      </c>
      <c r="G4904" s="3">
        <v>-1261</v>
      </c>
      <c r="H4904" t="s">
        <v>3</v>
      </c>
      <c r="I4904" t="s">
        <v>3</v>
      </c>
      <c r="J4904" t="s">
        <v>9</v>
      </c>
      <c r="K4904" t="s">
        <v>9</v>
      </c>
      <c r="L4904" t="s">
        <v>12</v>
      </c>
      <c r="M4904" t="s">
        <v>102</v>
      </c>
      <c r="N4904" s="2">
        <v>46022</v>
      </c>
    </row>
    <row r="4905" spans="1:14" x14ac:dyDescent="0.25">
      <c r="A4905" t="s">
        <v>635</v>
      </c>
      <c r="B4905" s="2">
        <v>45991</v>
      </c>
      <c r="C4905" t="s">
        <v>635</v>
      </c>
      <c r="D4905" t="s">
        <v>112</v>
      </c>
      <c r="E4905" t="s">
        <v>9</v>
      </c>
      <c r="F4905" s="3">
        <v>-700</v>
      </c>
      <c r="G4905" s="3">
        <v>-700</v>
      </c>
      <c r="H4905" t="s">
        <v>3</v>
      </c>
      <c r="I4905" t="s">
        <v>3</v>
      </c>
      <c r="J4905" t="s">
        <v>329</v>
      </c>
      <c r="K4905" t="s">
        <v>5</v>
      </c>
      <c r="L4905" t="s">
        <v>12</v>
      </c>
      <c r="M4905" t="s">
        <v>114</v>
      </c>
      <c r="N4905" s="2">
        <v>45992</v>
      </c>
    </row>
    <row r="4906" spans="1:14" x14ac:dyDescent="0.25">
      <c r="A4906" t="s">
        <v>635</v>
      </c>
      <c r="B4906" s="2">
        <v>45992</v>
      </c>
      <c r="C4906" t="s">
        <v>635</v>
      </c>
      <c r="D4906" t="s">
        <v>99</v>
      </c>
      <c r="E4906" t="s">
        <v>9</v>
      </c>
      <c r="F4906" s="3">
        <v>1261</v>
      </c>
      <c r="G4906" s="3">
        <v>1261</v>
      </c>
      <c r="H4906" t="s">
        <v>3</v>
      </c>
      <c r="I4906" t="s">
        <v>3</v>
      </c>
      <c r="J4906" t="s">
        <v>630</v>
      </c>
      <c r="K4906" t="s">
        <v>5</v>
      </c>
      <c r="L4906" t="s">
        <v>12</v>
      </c>
      <c r="M4906" t="s">
        <v>102</v>
      </c>
      <c r="N4906" s="2">
        <v>45992</v>
      </c>
    </row>
    <row r="4907" spans="1:14" x14ac:dyDescent="0.25">
      <c r="A4907" t="s">
        <v>635</v>
      </c>
      <c r="B4907" s="2">
        <v>46022</v>
      </c>
      <c r="C4907" t="s">
        <v>635</v>
      </c>
      <c r="D4907" t="s">
        <v>112</v>
      </c>
      <c r="E4907" t="s">
        <v>9</v>
      </c>
      <c r="F4907" s="3">
        <v>1900</v>
      </c>
      <c r="G4907" s="3">
        <v>1900</v>
      </c>
      <c r="H4907" t="s">
        <v>3</v>
      </c>
      <c r="I4907" t="s">
        <v>3</v>
      </c>
      <c r="J4907" t="s">
        <v>299</v>
      </c>
      <c r="K4907" t="s">
        <v>5</v>
      </c>
      <c r="L4907" t="s">
        <v>12</v>
      </c>
      <c r="M4907" t="s">
        <v>114</v>
      </c>
      <c r="N4907" s="2">
        <v>46022</v>
      </c>
    </row>
    <row r="4908" spans="1:14" x14ac:dyDescent="0.25">
      <c r="A4908" t="s">
        <v>635</v>
      </c>
      <c r="B4908" s="2">
        <v>46022</v>
      </c>
      <c r="C4908" t="s">
        <v>635</v>
      </c>
      <c r="D4908" t="s">
        <v>112</v>
      </c>
      <c r="E4908" t="s">
        <v>9</v>
      </c>
      <c r="F4908" s="3">
        <v>1900</v>
      </c>
      <c r="G4908" s="3">
        <v>1900</v>
      </c>
      <c r="H4908" t="s">
        <v>3</v>
      </c>
      <c r="I4908" t="s">
        <v>3</v>
      </c>
      <c r="J4908" t="s">
        <v>299</v>
      </c>
      <c r="K4908" t="s">
        <v>5</v>
      </c>
      <c r="L4908" t="s">
        <v>12</v>
      </c>
      <c r="M4908" t="s">
        <v>114</v>
      </c>
      <c r="N4908" s="2">
        <v>46022</v>
      </c>
    </row>
    <row r="4909" spans="1:14" x14ac:dyDescent="0.25">
      <c r="A4909" t="s">
        <v>635</v>
      </c>
      <c r="B4909" s="2">
        <v>46022</v>
      </c>
      <c r="C4909" t="s">
        <v>635</v>
      </c>
      <c r="D4909" t="s">
        <v>112</v>
      </c>
      <c r="E4909" t="s">
        <v>9</v>
      </c>
      <c r="F4909" s="3">
        <v>-1900</v>
      </c>
      <c r="G4909" s="3">
        <v>-1900</v>
      </c>
      <c r="H4909" t="s">
        <v>3</v>
      </c>
      <c r="I4909" t="s">
        <v>3</v>
      </c>
      <c r="J4909" t="s">
        <v>299</v>
      </c>
      <c r="K4909" t="s">
        <v>5</v>
      </c>
      <c r="L4909" t="s">
        <v>12</v>
      </c>
      <c r="M4909" t="s">
        <v>114</v>
      </c>
      <c r="N4909" s="2">
        <v>46022</v>
      </c>
    </row>
    <row r="4910" spans="1:14" x14ac:dyDescent="0.25">
      <c r="A4910" s="4" t="s">
        <v>228</v>
      </c>
      <c r="B4910" s="5"/>
      <c r="C4910" s="4" t="s">
        <v>9</v>
      </c>
      <c r="D4910" s="4" t="s">
        <v>9</v>
      </c>
      <c r="E4910" s="4" t="s">
        <v>9</v>
      </c>
      <c r="F4910" s="6">
        <v>0</v>
      </c>
      <c r="G4910" s="6">
        <v>0</v>
      </c>
      <c r="H4910" s="4" t="s">
        <v>9</v>
      </c>
      <c r="I4910" s="4" t="s">
        <v>3</v>
      </c>
      <c r="J4910" s="4" t="s">
        <v>9</v>
      </c>
      <c r="K4910" s="4" t="s">
        <v>9</v>
      </c>
      <c r="L4910" s="4" t="s">
        <v>9</v>
      </c>
      <c r="M4910" s="4" t="s">
        <v>9</v>
      </c>
      <c r="N4910" s="5"/>
    </row>
    <row r="4911" spans="1:14" x14ac:dyDescent="0.25">
      <c r="A4911" s="4" t="s">
        <v>635</v>
      </c>
      <c r="B4911" s="5"/>
      <c r="C4911" s="4" t="s">
        <v>9</v>
      </c>
      <c r="D4911" s="4" t="s">
        <v>9</v>
      </c>
      <c r="E4911" s="4" t="s">
        <v>9</v>
      </c>
      <c r="F4911" s="6">
        <v>0</v>
      </c>
      <c r="G4911" s="6">
        <v>0</v>
      </c>
      <c r="H4911" s="4" t="s">
        <v>9</v>
      </c>
      <c r="I4911" s="4" t="s">
        <v>3</v>
      </c>
      <c r="J4911" s="4" t="s">
        <v>9</v>
      </c>
      <c r="K4911" s="4" t="s">
        <v>9</v>
      </c>
      <c r="L4911" s="4" t="s">
        <v>9</v>
      </c>
      <c r="M4911" s="4" t="s">
        <v>9</v>
      </c>
      <c r="N4911" s="5"/>
    </row>
    <row r="4912" spans="1:14" x14ac:dyDescent="0.25">
      <c r="A4912" t="s">
        <v>636</v>
      </c>
      <c r="B4912" s="2">
        <v>46028</v>
      </c>
      <c r="C4912" t="s">
        <v>636</v>
      </c>
      <c r="D4912" t="s">
        <v>33</v>
      </c>
      <c r="E4912" t="s">
        <v>9</v>
      </c>
      <c r="F4912" s="3">
        <v>12000</v>
      </c>
      <c r="G4912" s="3">
        <v>12000</v>
      </c>
      <c r="H4912" t="s">
        <v>3</v>
      </c>
      <c r="I4912" t="s">
        <v>3</v>
      </c>
      <c r="J4912" t="s">
        <v>9</v>
      </c>
      <c r="K4912" t="s">
        <v>9</v>
      </c>
      <c r="L4912" t="s">
        <v>12</v>
      </c>
      <c r="M4912" t="s">
        <v>35</v>
      </c>
      <c r="N4912" s="2">
        <v>46022</v>
      </c>
    </row>
    <row r="4913" spans="1:14" x14ac:dyDescent="0.25">
      <c r="A4913" t="s">
        <v>636</v>
      </c>
      <c r="B4913" s="2">
        <v>46007</v>
      </c>
      <c r="C4913" t="s">
        <v>636</v>
      </c>
      <c r="D4913" t="s">
        <v>33</v>
      </c>
      <c r="E4913" t="s">
        <v>9</v>
      </c>
      <c r="F4913" s="3">
        <v>-12000</v>
      </c>
      <c r="G4913" s="3">
        <v>-12000</v>
      </c>
      <c r="H4913" t="s">
        <v>3</v>
      </c>
      <c r="I4913" t="s">
        <v>3</v>
      </c>
      <c r="J4913" t="s">
        <v>9</v>
      </c>
      <c r="K4913" t="s">
        <v>5</v>
      </c>
      <c r="L4913" t="s">
        <v>12</v>
      </c>
      <c r="M4913" t="s">
        <v>35</v>
      </c>
      <c r="N4913" s="2">
        <v>46007</v>
      </c>
    </row>
    <row r="4914" spans="1:14" x14ac:dyDescent="0.25">
      <c r="A4914" s="4" t="s">
        <v>228</v>
      </c>
      <c r="B4914" s="5"/>
      <c r="C4914" s="4" t="s">
        <v>9</v>
      </c>
      <c r="D4914" s="4" t="s">
        <v>9</v>
      </c>
      <c r="E4914" s="4" t="s">
        <v>9</v>
      </c>
      <c r="F4914" s="6">
        <v>0</v>
      </c>
      <c r="G4914" s="6">
        <v>0</v>
      </c>
      <c r="H4914" s="4" t="s">
        <v>9</v>
      </c>
      <c r="I4914" s="4" t="s">
        <v>3</v>
      </c>
      <c r="J4914" s="4" t="s">
        <v>9</v>
      </c>
      <c r="K4914" s="4" t="s">
        <v>9</v>
      </c>
      <c r="L4914" s="4" t="s">
        <v>9</v>
      </c>
      <c r="M4914" s="4" t="s">
        <v>9</v>
      </c>
      <c r="N4914" s="5"/>
    </row>
    <row r="4915" spans="1:14" x14ac:dyDescent="0.25">
      <c r="A4915" s="4" t="s">
        <v>636</v>
      </c>
      <c r="B4915" s="5"/>
      <c r="C4915" s="4" t="s">
        <v>9</v>
      </c>
      <c r="D4915" s="4" t="s">
        <v>9</v>
      </c>
      <c r="E4915" s="4" t="s">
        <v>9</v>
      </c>
      <c r="F4915" s="6">
        <v>0</v>
      </c>
      <c r="G4915" s="6">
        <v>0</v>
      </c>
      <c r="H4915" s="4" t="s">
        <v>9</v>
      </c>
      <c r="I4915" s="4" t="s">
        <v>3</v>
      </c>
      <c r="J4915" s="4" t="s">
        <v>9</v>
      </c>
      <c r="K4915" s="4" t="s">
        <v>9</v>
      </c>
      <c r="L4915" s="4" t="s">
        <v>9</v>
      </c>
      <c r="M4915" s="4" t="s">
        <v>9</v>
      </c>
      <c r="N4915" s="5"/>
    </row>
    <row r="4916" spans="1:14" x14ac:dyDescent="0.25">
      <c r="A4916" t="s">
        <v>637</v>
      </c>
      <c r="B4916" s="2">
        <v>46056</v>
      </c>
      <c r="C4916" t="s">
        <v>637</v>
      </c>
      <c r="D4916" t="s">
        <v>112</v>
      </c>
      <c r="E4916" t="s">
        <v>9</v>
      </c>
      <c r="F4916" s="3">
        <v>-600</v>
      </c>
      <c r="G4916" s="3">
        <v>-600</v>
      </c>
      <c r="H4916" t="s">
        <v>3</v>
      </c>
      <c r="I4916" t="s">
        <v>3</v>
      </c>
      <c r="J4916" t="s">
        <v>9</v>
      </c>
      <c r="K4916" t="s">
        <v>9</v>
      </c>
      <c r="L4916" t="s">
        <v>14</v>
      </c>
      <c r="M4916" t="s">
        <v>114</v>
      </c>
      <c r="N4916" s="2">
        <v>46053</v>
      </c>
    </row>
    <row r="4917" spans="1:14" x14ac:dyDescent="0.25">
      <c r="A4917" t="s">
        <v>637</v>
      </c>
      <c r="B4917" s="2">
        <v>46022</v>
      </c>
      <c r="C4917" t="s">
        <v>637</v>
      </c>
      <c r="D4917" t="s">
        <v>112</v>
      </c>
      <c r="E4917" t="s">
        <v>9</v>
      </c>
      <c r="F4917" s="3">
        <v>-6700</v>
      </c>
      <c r="G4917" s="3">
        <v>-6700</v>
      </c>
      <c r="H4917" t="s">
        <v>3</v>
      </c>
      <c r="I4917" t="s">
        <v>3</v>
      </c>
      <c r="J4917" t="s">
        <v>299</v>
      </c>
      <c r="K4917" t="s">
        <v>13</v>
      </c>
      <c r="L4917" t="s">
        <v>14</v>
      </c>
      <c r="M4917" t="s">
        <v>114</v>
      </c>
      <c r="N4917" s="2">
        <v>46023</v>
      </c>
    </row>
    <row r="4918" spans="1:14" x14ac:dyDescent="0.25">
      <c r="A4918" t="s">
        <v>637</v>
      </c>
      <c r="B4918" s="2">
        <v>46023</v>
      </c>
      <c r="C4918" t="s">
        <v>637</v>
      </c>
      <c r="D4918" t="s">
        <v>112</v>
      </c>
      <c r="E4918" t="s">
        <v>9</v>
      </c>
      <c r="F4918" s="3">
        <v>6700</v>
      </c>
      <c r="G4918" s="3">
        <v>6700</v>
      </c>
      <c r="H4918" t="s">
        <v>3</v>
      </c>
      <c r="I4918" t="s">
        <v>3</v>
      </c>
      <c r="J4918" t="s">
        <v>299</v>
      </c>
      <c r="K4918" t="s">
        <v>13</v>
      </c>
      <c r="L4918" t="s">
        <v>14</v>
      </c>
      <c r="M4918" t="s">
        <v>114</v>
      </c>
      <c r="N4918" s="2">
        <v>46023</v>
      </c>
    </row>
    <row r="4919" spans="1:14" x14ac:dyDescent="0.25">
      <c r="A4919" t="s">
        <v>637</v>
      </c>
      <c r="B4919" s="2">
        <v>46053</v>
      </c>
      <c r="C4919" t="s">
        <v>637</v>
      </c>
      <c r="D4919" t="s">
        <v>112</v>
      </c>
      <c r="E4919" t="s">
        <v>9</v>
      </c>
      <c r="F4919" s="3">
        <v>600</v>
      </c>
      <c r="G4919" s="3">
        <v>600</v>
      </c>
      <c r="H4919" t="s">
        <v>3</v>
      </c>
      <c r="I4919" t="s">
        <v>3</v>
      </c>
      <c r="J4919" t="s">
        <v>367</v>
      </c>
      <c r="K4919" t="s">
        <v>13</v>
      </c>
      <c r="L4919" t="s">
        <v>14</v>
      </c>
      <c r="M4919" t="s">
        <v>114</v>
      </c>
      <c r="N4919" s="2">
        <v>46053</v>
      </c>
    </row>
    <row r="4920" spans="1:14" x14ac:dyDescent="0.25">
      <c r="A4920" s="4" t="s">
        <v>234</v>
      </c>
      <c r="B4920" s="5"/>
      <c r="C4920" s="4" t="s">
        <v>9</v>
      </c>
      <c r="D4920" s="4" t="s">
        <v>9</v>
      </c>
      <c r="E4920" s="4" t="s">
        <v>9</v>
      </c>
      <c r="F4920" s="6">
        <v>0</v>
      </c>
      <c r="G4920" s="6">
        <v>0</v>
      </c>
      <c r="H4920" s="4" t="s">
        <v>9</v>
      </c>
      <c r="I4920" s="4" t="s">
        <v>3</v>
      </c>
      <c r="J4920" s="4" t="s">
        <v>9</v>
      </c>
      <c r="K4920" s="4" t="s">
        <v>9</v>
      </c>
      <c r="L4920" s="4" t="s">
        <v>9</v>
      </c>
      <c r="M4920" s="4" t="s">
        <v>9</v>
      </c>
      <c r="N4920" s="5"/>
    </row>
    <row r="4921" spans="1:14" x14ac:dyDescent="0.25">
      <c r="A4921" t="s">
        <v>637</v>
      </c>
      <c r="B4921" s="2">
        <v>46084</v>
      </c>
      <c r="C4921" t="s">
        <v>637</v>
      </c>
      <c r="D4921" t="s">
        <v>112</v>
      </c>
      <c r="E4921" t="s">
        <v>9</v>
      </c>
      <c r="F4921" s="3">
        <v>-1490</v>
      </c>
      <c r="G4921" s="3">
        <v>-1490</v>
      </c>
      <c r="H4921" t="s">
        <v>3</v>
      </c>
      <c r="I4921" t="s">
        <v>3</v>
      </c>
      <c r="J4921" t="s">
        <v>9</v>
      </c>
      <c r="K4921" t="s">
        <v>9</v>
      </c>
      <c r="L4921" t="s">
        <v>15</v>
      </c>
      <c r="M4921" t="s">
        <v>114</v>
      </c>
      <c r="N4921" s="2">
        <v>46081</v>
      </c>
    </row>
    <row r="4922" spans="1:14" x14ac:dyDescent="0.25">
      <c r="A4922" t="s">
        <v>637</v>
      </c>
      <c r="B4922" s="2">
        <v>46054</v>
      </c>
      <c r="C4922" t="s">
        <v>637</v>
      </c>
      <c r="D4922" t="s">
        <v>112</v>
      </c>
      <c r="E4922" t="s">
        <v>9</v>
      </c>
      <c r="F4922" s="3">
        <v>-600</v>
      </c>
      <c r="G4922" s="3">
        <v>-600</v>
      </c>
      <c r="H4922" t="s">
        <v>3</v>
      </c>
      <c r="I4922" t="s">
        <v>3</v>
      </c>
      <c r="J4922" t="s">
        <v>367</v>
      </c>
      <c r="K4922" t="s">
        <v>13</v>
      </c>
      <c r="L4922" t="s">
        <v>15</v>
      </c>
      <c r="M4922" t="s">
        <v>114</v>
      </c>
      <c r="N4922" s="2">
        <v>46054</v>
      </c>
    </row>
    <row r="4923" spans="1:14" x14ac:dyDescent="0.25">
      <c r="A4923" t="s">
        <v>637</v>
      </c>
      <c r="B4923" s="2">
        <v>46054</v>
      </c>
      <c r="C4923" t="s">
        <v>637</v>
      </c>
      <c r="D4923" t="s">
        <v>112</v>
      </c>
      <c r="E4923" t="s">
        <v>9</v>
      </c>
      <c r="F4923" s="3">
        <v>600</v>
      </c>
      <c r="G4923" s="3">
        <v>600</v>
      </c>
      <c r="H4923" t="s">
        <v>3</v>
      </c>
      <c r="I4923" t="s">
        <v>3</v>
      </c>
      <c r="J4923" t="s">
        <v>367</v>
      </c>
      <c r="K4923" t="s">
        <v>13</v>
      </c>
      <c r="L4923" t="s">
        <v>15</v>
      </c>
      <c r="M4923" t="s">
        <v>114</v>
      </c>
      <c r="N4923" s="2">
        <v>46055</v>
      </c>
    </row>
    <row r="4924" spans="1:14" x14ac:dyDescent="0.25">
      <c r="A4924" t="s">
        <v>637</v>
      </c>
      <c r="B4924" s="2">
        <v>46054</v>
      </c>
      <c r="C4924" t="s">
        <v>637</v>
      </c>
      <c r="D4924" t="s">
        <v>112</v>
      </c>
      <c r="E4924" t="s">
        <v>9</v>
      </c>
      <c r="F4924" s="3">
        <v>-600</v>
      </c>
      <c r="G4924" s="3">
        <v>-600</v>
      </c>
      <c r="H4924" t="s">
        <v>3</v>
      </c>
      <c r="I4924" t="s">
        <v>3</v>
      </c>
      <c r="J4924" t="s">
        <v>367</v>
      </c>
      <c r="K4924" t="s">
        <v>13</v>
      </c>
      <c r="L4924" t="s">
        <v>15</v>
      </c>
      <c r="M4924" t="s">
        <v>114</v>
      </c>
      <c r="N4924" s="2">
        <v>46054</v>
      </c>
    </row>
    <row r="4925" spans="1:14" x14ac:dyDescent="0.25">
      <c r="A4925" t="s">
        <v>637</v>
      </c>
      <c r="B4925" s="2">
        <v>46081</v>
      </c>
      <c r="C4925" t="s">
        <v>637</v>
      </c>
      <c r="D4925" t="s">
        <v>112</v>
      </c>
      <c r="E4925" t="s">
        <v>9</v>
      </c>
      <c r="F4925" s="3">
        <v>2090</v>
      </c>
      <c r="G4925" s="3">
        <v>2090</v>
      </c>
      <c r="H4925" t="s">
        <v>3</v>
      </c>
      <c r="I4925" t="s">
        <v>3</v>
      </c>
      <c r="J4925" t="s">
        <v>368</v>
      </c>
      <c r="K4925" t="s">
        <v>13</v>
      </c>
      <c r="L4925" t="s">
        <v>15</v>
      </c>
      <c r="M4925" t="s">
        <v>114</v>
      </c>
      <c r="N4925" s="2">
        <v>46081</v>
      </c>
    </row>
    <row r="4926" spans="1:14" x14ac:dyDescent="0.25">
      <c r="A4926" s="4" t="s">
        <v>239</v>
      </c>
      <c r="B4926" s="5"/>
      <c r="C4926" s="4" t="s">
        <v>9</v>
      </c>
      <c r="D4926" s="4" t="s">
        <v>9</v>
      </c>
      <c r="E4926" s="4" t="s">
        <v>9</v>
      </c>
      <c r="F4926" s="6">
        <v>0</v>
      </c>
      <c r="G4926" s="6">
        <v>0</v>
      </c>
      <c r="H4926" s="4" t="s">
        <v>9</v>
      </c>
      <c r="I4926" s="4" t="s">
        <v>3</v>
      </c>
      <c r="J4926" s="4" t="s">
        <v>9</v>
      </c>
      <c r="K4926" s="4" t="s">
        <v>9</v>
      </c>
      <c r="L4926" s="4" t="s">
        <v>9</v>
      </c>
      <c r="M4926" s="4" t="s">
        <v>9</v>
      </c>
      <c r="N4926" s="5"/>
    </row>
    <row r="4927" spans="1:14" x14ac:dyDescent="0.25">
      <c r="A4927" t="s">
        <v>637</v>
      </c>
      <c r="B4927" s="2">
        <v>46115</v>
      </c>
      <c r="C4927" t="s">
        <v>637</v>
      </c>
      <c r="D4927" t="s">
        <v>112</v>
      </c>
      <c r="E4927" t="s">
        <v>9</v>
      </c>
      <c r="F4927" s="3">
        <v>-1750</v>
      </c>
      <c r="G4927" s="3">
        <v>-1750</v>
      </c>
      <c r="H4927" t="s">
        <v>3</v>
      </c>
      <c r="I4927" t="s">
        <v>3</v>
      </c>
      <c r="J4927" t="s">
        <v>9</v>
      </c>
      <c r="K4927" t="s">
        <v>9</v>
      </c>
      <c r="L4927" t="s">
        <v>16</v>
      </c>
      <c r="M4927" t="s">
        <v>114</v>
      </c>
      <c r="N4927" s="2">
        <v>46112</v>
      </c>
    </row>
    <row r="4928" spans="1:14" x14ac:dyDescent="0.25">
      <c r="A4928" t="s">
        <v>637</v>
      </c>
      <c r="B4928" s="2">
        <v>46081</v>
      </c>
      <c r="C4928" t="s">
        <v>637</v>
      </c>
      <c r="D4928" t="s">
        <v>112</v>
      </c>
      <c r="E4928" t="s">
        <v>9</v>
      </c>
      <c r="F4928" s="3">
        <v>-2090</v>
      </c>
      <c r="G4928" s="3">
        <v>-2090</v>
      </c>
      <c r="H4928" t="s">
        <v>3</v>
      </c>
      <c r="I4928" t="s">
        <v>3</v>
      </c>
      <c r="J4928" t="s">
        <v>368</v>
      </c>
      <c r="K4928" t="s">
        <v>13</v>
      </c>
      <c r="L4928" t="s">
        <v>16</v>
      </c>
      <c r="M4928" t="s">
        <v>114</v>
      </c>
      <c r="N4928" s="2">
        <v>46082</v>
      </c>
    </row>
    <row r="4929" spans="1:14" x14ac:dyDescent="0.25">
      <c r="A4929" t="s">
        <v>637</v>
      </c>
      <c r="B4929" s="2">
        <v>46112</v>
      </c>
      <c r="C4929" t="s">
        <v>637</v>
      </c>
      <c r="D4929" t="s">
        <v>112</v>
      </c>
      <c r="E4929" t="s">
        <v>9</v>
      </c>
      <c r="F4929" s="3">
        <v>3840</v>
      </c>
      <c r="G4929" s="3">
        <v>3840</v>
      </c>
      <c r="H4929" t="s">
        <v>3</v>
      </c>
      <c r="I4929" t="s">
        <v>3</v>
      </c>
      <c r="J4929" t="s">
        <v>369</v>
      </c>
      <c r="K4929" t="s">
        <v>13</v>
      </c>
      <c r="L4929" t="s">
        <v>16</v>
      </c>
      <c r="M4929" t="s">
        <v>114</v>
      </c>
      <c r="N4929" s="2">
        <v>46112</v>
      </c>
    </row>
    <row r="4930" spans="1:14" x14ac:dyDescent="0.25">
      <c r="A4930" s="4" t="s">
        <v>244</v>
      </c>
      <c r="B4930" s="5"/>
      <c r="C4930" s="4" t="s">
        <v>9</v>
      </c>
      <c r="D4930" s="4" t="s">
        <v>9</v>
      </c>
      <c r="E4930" s="4" t="s">
        <v>9</v>
      </c>
      <c r="F4930" s="6">
        <v>0</v>
      </c>
      <c r="G4930" s="6">
        <v>0</v>
      </c>
      <c r="H4930" s="4" t="s">
        <v>9</v>
      </c>
      <c r="I4930" s="4" t="s">
        <v>3</v>
      </c>
      <c r="J4930" s="4" t="s">
        <v>9</v>
      </c>
      <c r="K4930" s="4" t="s">
        <v>9</v>
      </c>
      <c r="L4930" s="4" t="s">
        <v>9</v>
      </c>
      <c r="M4930" s="4" t="s">
        <v>9</v>
      </c>
      <c r="N4930" s="5"/>
    </row>
    <row r="4931" spans="1:14" x14ac:dyDescent="0.25">
      <c r="A4931" t="s">
        <v>637</v>
      </c>
      <c r="B4931" s="2">
        <v>46147</v>
      </c>
      <c r="C4931" t="s">
        <v>637</v>
      </c>
      <c r="D4931" t="s">
        <v>112</v>
      </c>
      <c r="E4931" t="s">
        <v>9</v>
      </c>
      <c r="F4931" s="3">
        <v>-750</v>
      </c>
      <c r="G4931" s="3">
        <v>-750</v>
      </c>
      <c r="H4931" t="s">
        <v>3</v>
      </c>
      <c r="I4931" t="s">
        <v>3</v>
      </c>
      <c r="J4931" t="s">
        <v>9</v>
      </c>
      <c r="K4931" t="s">
        <v>9</v>
      </c>
      <c r="L4931" t="s">
        <v>17</v>
      </c>
      <c r="M4931" t="s">
        <v>114</v>
      </c>
      <c r="N4931" s="2">
        <v>46142</v>
      </c>
    </row>
    <row r="4932" spans="1:14" x14ac:dyDescent="0.25">
      <c r="A4932" t="s">
        <v>637</v>
      </c>
      <c r="B4932" s="2">
        <v>46112</v>
      </c>
      <c r="C4932" t="s">
        <v>637</v>
      </c>
      <c r="D4932" t="s">
        <v>112</v>
      </c>
      <c r="E4932" t="s">
        <v>9</v>
      </c>
      <c r="F4932" s="3">
        <v>-3840</v>
      </c>
      <c r="G4932" s="3">
        <v>-3840</v>
      </c>
      <c r="H4932" t="s">
        <v>3</v>
      </c>
      <c r="I4932" t="s">
        <v>3</v>
      </c>
      <c r="J4932" t="s">
        <v>369</v>
      </c>
      <c r="K4932" t="s">
        <v>13</v>
      </c>
      <c r="L4932" t="s">
        <v>17</v>
      </c>
      <c r="M4932" t="s">
        <v>114</v>
      </c>
      <c r="N4932" s="2">
        <v>46113</v>
      </c>
    </row>
    <row r="4933" spans="1:14" x14ac:dyDescent="0.25">
      <c r="A4933" t="s">
        <v>637</v>
      </c>
      <c r="B4933" s="2">
        <v>46142</v>
      </c>
      <c r="C4933" t="s">
        <v>637</v>
      </c>
      <c r="D4933" t="s">
        <v>112</v>
      </c>
      <c r="E4933" t="s">
        <v>9</v>
      </c>
      <c r="F4933" s="3">
        <v>4590</v>
      </c>
      <c r="G4933" s="3">
        <v>4590</v>
      </c>
      <c r="H4933" t="s">
        <v>3</v>
      </c>
      <c r="I4933" t="s">
        <v>3</v>
      </c>
      <c r="J4933" t="s">
        <v>370</v>
      </c>
      <c r="K4933" t="s">
        <v>13</v>
      </c>
      <c r="L4933" t="s">
        <v>17</v>
      </c>
      <c r="M4933" t="s">
        <v>114</v>
      </c>
      <c r="N4933" s="2">
        <v>46142</v>
      </c>
    </row>
    <row r="4934" spans="1:14" x14ac:dyDescent="0.25">
      <c r="A4934" s="4" t="s">
        <v>249</v>
      </c>
      <c r="B4934" s="5"/>
      <c r="C4934" s="4" t="s">
        <v>9</v>
      </c>
      <c r="D4934" s="4" t="s">
        <v>9</v>
      </c>
      <c r="E4934" s="4" t="s">
        <v>9</v>
      </c>
      <c r="F4934" s="6">
        <v>0</v>
      </c>
      <c r="G4934" s="6">
        <v>0</v>
      </c>
      <c r="H4934" s="4" t="s">
        <v>9</v>
      </c>
      <c r="I4934" s="4" t="s">
        <v>3</v>
      </c>
      <c r="J4934" s="4" t="s">
        <v>9</v>
      </c>
      <c r="K4934" s="4" t="s">
        <v>9</v>
      </c>
      <c r="L4934" s="4" t="s">
        <v>9</v>
      </c>
      <c r="M4934" s="4" t="s">
        <v>9</v>
      </c>
      <c r="N4934" s="5"/>
    </row>
    <row r="4935" spans="1:14" x14ac:dyDescent="0.25">
      <c r="A4935" t="s">
        <v>637</v>
      </c>
      <c r="B4935" s="2">
        <v>46175</v>
      </c>
      <c r="C4935" t="s">
        <v>637</v>
      </c>
      <c r="D4935" t="s">
        <v>112</v>
      </c>
      <c r="E4935" t="s">
        <v>9</v>
      </c>
      <c r="F4935" s="3">
        <v>-550</v>
      </c>
      <c r="G4935" s="3">
        <v>-550</v>
      </c>
      <c r="H4935" t="s">
        <v>3</v>
      </c>
      <c r="I4935" t="s">
        <v>3</v>
      </c>
      <c r="J4935" t="s">
        <v>9</v>
      </c>
      <c r="K4935" t="s">
        <v>9</v>
      </c>
      <c r="L4935" t="s">
        <v>18</v>
      </c>
      <c r="M4935" t="s">
        <v>114</v>
      </c>
      <c r="N4935" s="2">
        <v>46173</v>
      </c>
    </row>
    <row r="4936" spans="1:14" x14ac:dyDescent="0.25">
      <c r="A4936" t="s">
        <v>637</v>
      </c>
      <c r="B4936" s="2">
        <v>46142</v>
      </c>
      <c r="C4936" t="s">
        <v>637</v>
      </c>
      <c r="D4936" t="s">
        <v>112</v>
      </c>
      <c r="E4936" t="s">
        <v>9</v>
      </c>
      <c r="F4936" s="3">
        <v>-4590</v>
      </c>
      <c r="G4936" s="3">
        <v>-4590</v>
      </c>
      <c r="H4936" t="s">
        <v>3</v>
      </c>
      <c r="I4936" t="s">
        <v>3</v>
      </c>
      <c r="J4936" t="s">
        <v>370</v>
      </c>
      <c r="K4936" t="s">
        <v>13</v>
      </c>
      <c r="L4936" t="s">
        <v>18</v>
      </c>
      <c r="M4936" t="s">
        <v>114</v>
      </c>
      <c r="N4936" s="2">
        <v>46143</v>
      </c>
    </row>
    <row r="4937" spans="1:14" x14ac:dyDescent="0.25">
      <c r="A4937" t="s">
        <v>637</v>
      </c>
      <c r="B4937" s="2">
        <v>46173</v>
      </c>
      <c r="C4937" t="s">
        <v>637</v>
      </c>
      <c r="D4937" t="s">
        <v>112</v>
      </c>
      <c r="E4937" t="s">
        <v>9</v>
      </c>
      <c r="F4937" s="3">
        <v>5140</v>
      </c>
      <c r="G4937" s="3">
        <v>5140</v>
      </c>
      <c r="H4937" t="s">
        <v>3</v>
      </c>
      <c r="I4937" t="s">
        <v>3</v>
      </c>
      <c r="J4937" t="s">
        <v>371</v>
      </c>
      <c r="K4937" t="s">
        <v>13</v>
      </c>
      <c r="L4937" t="s">
        <v>18</v>
      </c>
      <c r="M4937" t="s">
        <v>114</v>
      </c>
      <c r="N4937" s="2">
        <v>46173</v>
      </c>
    </row>
    <row r="4938" spans="1:14" x14ac:dyDescent="0.25">
      <c r="A4938" s="4" t="s">
        <v>223</v>
      </c>
      <c r="B4938" s="5"/>
      <c r="C4938" s="4" t="s">
        <v>9</v>
      </c>
      <c r="D4938" s="4" t="s">
        <v>9</v>
      </c>
      <c r="E4938" s="4" t="s">
        <v>9</v>
      </c>
      <c r="F4938" s="6">
        <v>0</v>
      </c>
      <c r="G4938" s="6">
        <v>0</v>
      </c>
      <c r="H4938" s="4" t="s">
        <v>9</v>
      </c>
      <c r="I4938" s="4" t="s">
        <v>3</v>
      </c>
      <c r="J4938" s="4" t="s">
        <v>9</v>
      </c>
      <c r="K4938" s="4" t="s">
        <v>9</v>
      </c>
      <c r="L4938" s="4" t="s">
        <v>9</v>
      </c>
      <c r="M4938" s="4" t="s">
        <v>9</v>
      </c>
      <c r="N4938" s="5"/>
    </row>
    <row r="4939" spans="1:14" x14ac:dyDescent="0.25">
      <c r="A4939" t="s">
        <v>637</v>
      </c>
      <c r="B4939" s="2">
        <v>46205</v>
      </c>
      <c r="C4939" t="s">
        <v>637</v>
      </c>
      <c r="D4939" t="s">
        <v>112</v>
      </c>
      <c r="E4939" t="s">
        <v>9</v>
      </c>
      <c r="F4939" s="3">
        <v>-500</v>
      </c>
      <c r="G4939" s="3">
        <v>-500</v>
      </c>
      <c r="H4939" t="s">
        <v>3</v>
      </c>
      <c r="I4939" t="s">
        <v>3</v>
      </c>
      <c r="J4939" t="s">
        <v>9</v>
      </c>
      <c r="K4939" t="s">
        <v>9</v>
      </c>
      <c r="L4939" t="s">
        <v>19</v>
      </c>
      <c r="M4939" t="s">
        <v>114</v>
      </c>
      <c r="N4939" s="2">
        <v>46203</v>
      </c>
    </row>
    <row r="4940" spans="1:14" x14ac:dyDescent="0.25">
      <c r="A4940" t="s">
        <v>637</v>
      </c>
      <c r="B4940" s="2">
        <v>46173</v>
      </c>
      <c r="C4940" t="s">
        <v>637</v>
      </c>
      <c r="D4940" t="s">
        <v>112</v>
      </c>
      <c r="E4940" t="s">
        <v>9</v>
      </c>
      <c r="F4940" s="3">
        <v>-5140</v>
      </c>
      <c r="G4940" s="3">
        <v>-5140</v>
      </c>
      <c r="H4940" t="s">
        <v>3</v>
      </c>
      <c r="I4940" t="s">
        <v>3</v>
      </c>
      <c r="J4940" t="s">
        <v>371</v>
      </c>
      <c r="K4940" t="s">
        <v>13</v>
      </c>
      <c r="L4940" t="s">
        <v>19</v>
      </c>
      <c r="M4940" t="s">
        <v>114</v>
      </c>
      <c r="N4940" s="2">
        <v>46174</v>
      </c>
    </row>
    <row r="4941" spans="1:14" x14ac:dyDescent="0.25">
      <c r="A4941" t="s">
        <v>637</v>
      </c>
      <c r="B4941" s="2">
        <v>46203</v>
      </c>
      <c r="C4941" t="s">
        <v>637</v>
      </c>
      <c r="D4941" t="s">
        <v>112</v>
      </c>
      <c r="E4941" t="s">
        <v>9</v>
      </c>
      <c r="F4941" s="3">
        <v>5640</v>
      </c>
      <c r="G4941" s="3">
        <v>5640</v>
      </c>
      <c r="H4941" t="s">
        <v>3</v>
      </c>
      <c r="I4941" t="s">
        <v>3</v>
      </c>
      <c r="J4941" t="s">
        <v>372</v>
      </c>
      <c r="K4941" t="s">
        <v>13</v>
      </c>
      <c r="L4941" t="s">
        <v>19</v>
      </c>
      <c r="M4941" t="s">
        <v>114</v>
      </c>
      <c r="N4941" s="2">
        <v>46203</v>
      </c>
    </row>
    <row r="4942" spans="1:14" x14ac:dyDescent="0.25">
      <c r="A4942" s="4" t="s">
        <v>224</v>
      </c>
      <c r="B4942" s="5"/>
      <c r="C4942" s="4" t="s">
        <v>9</v>
      </c>
      <c r="D4942" s="4" t="s">
        <v>9</v>
      </c>
      <c r="E4942" s="4" t="s">
        <v>9</v>
      </c>
      <c r="F4942" s="6">
        <v>0</v>
      </c>
      <c r="G4942" s="6">
        <v>0</v>
      </c>
      <c r="H4942" s="4" t="s">
        <v>9</v>
      </c>
      <c r="I4942" s="4" t="s">
        <v>3</v>
      </c>
      <c r="J4942" s="4" t="s">
        <v>9</v>
      </c>
      <c r="K4942" s="4" t="s">
        <v>9</v>
      </c>
      <c r="L4942" s="4" t="s">
        <v>9</v>
      </c>
      <c r="M4942" s="4" t="s">
        <v>9</v>
      </c>
      <c r="N4942" s="5"/>
    </row>
    <row r="4943" spans="1:14" x14ac:dyDescent="0.25">
      <c r="A4943" t="s">
        <v>637</v>
      </c>
      <c r="B4943" s="2">
        <v>46239</v>
      </c>
      <c r="C4943" t="s">
        <v>637</v>
      </c>
      <c r="D4943" t="s">
        <v>112</v>
      </c>
      <c r="E4943" t="s">
        <v>9</v>
      </c>
      <c r="F4943" s="3">
        <v>-2300</v>
      </c>
      <c r="G4943" s="3">
        <v>-2300</v>
      </c>
      <c r="H4943" t="s">
        <v>3</v>
      </c>
      <c r="I4943" t="s">
        <v>3</v>
      </c>
      <c r="J4943" t="s">
        <v>9</v>
      </c>
      <c r="K4943" t="s">
        <v>9</v>
      </c>
      <c r="L4943" t="s">
        <v>21</v>
      </c>
      <c r="M4943" t="s">
        <v>114</v>
      </c>
      <c r="N4943" s="2">
        <v>46234</v>
      </c>
    </row>
    <row r="4944" spans="1:14" x14ac:dyDescent="0.25">
      <c r="A4944" t="s">
        <v>637</v>
      </c>
      <c r="B4944" s="2">
        <v>46203</v>
      </c>
      <c r="C4944" t="s">
        <v>637</v>
      </c>
      <c r="D4944" t="s">
        <v>112</v>
      </c>
      <c r="E4944" t="s">
        <v>9</v>
      </c>
      <c r="F4944" s="3">
        <v>-5640</v>
      </c>
      <c r="G4944" s="3">
        <v>-5640</v>
      </c>
      <c r="H4944" t="s">
        <v>3</v>
      </c>
      <c r="I4944" t="s">
        <v>3</v>
      </c>
      <c r="J4944" t="s">
        <v>372</v>
      </c>
      <c r="K4944" t="s">
        <v>13</v>
      </c>
      <c r="L4944" t="s">
        <v>21</v>
      </c>
      <c r="M4944" t="s">
        <v>114</v>
      </c>
      <c r="N4944" s="2">
        <v>46204</v>
      </c>
    </row>
    <row r="4945" spans="1:14" x14ac:dyDescent="0.25">
      <c r="A4945" t="s">
        <v>637</v>
      </c>
      <c r="B4945" s="2">
        <v>46234</v>
      </c>
      <c r="C4945" t="s">
        <v>637</v>
      </c>
      <c r="D4945" t="s">
        <v>112</v>
      </c>
      <c r="E4945" t="s">
        <v>9</v>
      </c>
      <c r="F4945" s="3">
        <v>7940</v>
      </c>
      <c r="G4945" s="3">
        <v>7940</v>
      </c>
      <c r="H4945" t="s">
        <v>3</v>
      </c>
      <c r="I4945" t="s">
        <v>3</v>
      </c>
      <c r="J4945" t="s">
        <v>373</v>
      </c>
      <c r="K4945" t="s">
        <v>13</v>
      </c>
      <c r="L4945" t="s">
        <v>21</v>
      </c>
      <c r="M4945" t="s">
        <v>114</v>
      </c>
      <c r="N4945" s="2">
        <v>46234</v>
      </c>
    </row>
    <row r="4946" spans="1:14" x14ac:dyDescent="0.25">
      <c r="A4946" s="4" t="s">
        <v>262</v>
      </c>
      <c r="B4946" s="5"/>
      <c r="C4946" s="4" t="s">
        <v>9</v>
      </c>
      <c r="D4946" s="4" t="s">
        <v>9</v>
      </c>
      <c r="E4946" s="4" t="s">
        <v>9</v>
      </c>
      <c r="F4946" s="6">
        <v>0</v>
      </c>
      <c r="G4946" s="6">
        <v>0</v>
      </c>
      <c r="H4946" s="4" t="s">
        <v>9</v>
      </c>
      <c r="I4946" s="4" t="s">
        <v>3</v>
      </c>
      <c r="J4946" s="4" t="s">
        <v>9</v>
      </c>
      <c r="K4946" s="4" t="s">
        <v>9</v>
      </c>
      <c r="L4946" s="4" t="s">
        <v>9</v>
      </c>
      <c r="M4946" s="4" t="s">
        <v>9</v>
      </c>
      <c r="N4946" s="5"/>
    </row>
    <row r="4947" spans="1:14" x14ac:dyDescent="0.25">
      <c r="A4947" t="s">
        <v>637</v>
      </c>
      <c r="B4947" s="2">
        <v>46267</v>
      </c>
      <c r="C4947" t="s">
        <v>637</v>
      </c>
      <c r="D4947" t="s">
        <v>112</v>
      </c>
      <c r="E4947" t="s">
        <v>9</v>
      </c>
      <c r="F4947" s="3">
        <v>-1100</v>
      </c>
      <c r="G4947" s="3">
        <v>-1100</v>
      </c>
      <c r="H4947" t="s">
        <v>3</v>
      </c>
      <c r="I4947" t="s">
        <v>3</v>
      </c>
      <c r="J4947" t="s">
        <v>9</v>
      </c>
      <c r="K4947" t="s">
        <v>9</v>
      </c>
      <c r="L4947" t="s">
        <v>22</v>
      </c>
      <c r="M4947" t="s">
        <v>114</v>
      </c>
      <c r="N4947" s="2">
        <v>46265</v>
      </c>
    </row>
    <row r="4948" spans="1:14" x14ac:dyDescent="0.25">
      <c r="A4948" t="s">
        <v>637</v>
      </c>
      <c r="B4948" s="2">
        <v>46234</v>
      </c>
      <c r="C4948" t="s">
        <v>637</v>
      </c>
      <c r="D4948" t="s">
        <v>112</v>
      </c>
      <c r="E4948" t="s">
        <v>9</v>
      </c>
      <c r="F4948" s="3">
        <v>-7940</v>
      </c>
      <c r="G4948" s="3">
        <v>-7940</v>
      </c>
      <c r="H4948" t="s">
        <v>3</v>
      </c>
      <c r="I4948" t="s">
        <v>3</v>
      </c>
      <c r="J4948" t="s">
        <v>373</v>
      </c>
      <c r="K4948" t="s">
        <v>13</v>
      </c>
      <c r="L4948" t="s">
        <v>22</v>
      </c>
      <c r="M4948" t="s">
        <v>114</v>
      </c>
      <c r="N4948" s="2">
        <v>46235</v>
      </c>
    </row>
    <row r="4949" spans="1:14" x14ac:dyDescent="0.25">
      <c r="A4949" t="s">
        <v>637</v>
      </c>
      <c r="B4949" s="2">
        <v>46265</v>
      </c>
      <c r="C4949" t="s">
        <v>637</v>
      </c>
      <c r="D4949" t="s">
        <v>112</v>
      </c>
      <c r="E4949" t="s">
        <v>9</v>
      </c>
      <c r="F4949" s="3">
        <v>9040</v>
      </c>
      <c r="G4949" s="3">
        <v>9040</v>
      </c>
      <c r="H4949" t="s">
        <v>3</v>
      </c>
      <c r="I4949" t="s">
        <v>3</v>
      </c>
      <c r="J4949" t="s">
        <v>430</v>
      </c>
      <c r="K4949" t="s">
        <v>13</v>
      </c>
      <c r="L4949" t="s">
        <v>22</v>
      </c>
      <c r="M4949" t="s">
        <v>114</v>
      </c>
      <c r="N4949" s="2">
        <v>46265</v>
      </c>
    </row>
    <row r="4950" spans="1:14" x14ac:dyDescent="0.25">
      <c r="A4950" s="4" t="s">
        <v>267</v>
      </c>
      <c r="B4950" s="5"/>
      <c r="C4950" s="4" t="s">
        <v>9</v>
      </c>
      <c r="D4950" s="4" t="s">
        <v>9</v>
      </c>
      <c r="E4950" s="4" t="s">
        <v>9</v>
      </c>
      <c r="F4950" s="6">
        <v>0</v>
      </c>
      <c r="G4950" s="6">
        <v>0</v>
      </c>
      <c r="H4950" s="4" t="s">
        <v>9</v>
      </c>
      <c r="I4950" s="4" t="s">
        <v>3</v>
      </c>
      <c r="J4950" s="4" t="s">
        <v>9</v>
      </c>
      <c r="K4950" s="4" t="s">
        <v>9</v>
      </c>
      <c r="L4950" s="4" t="s">
        <v>9</v>
      </c>
      <c r="M4950" s="4" t="s">
        <v>9</v>
      </c>
      <c r="N4950" s="5"/>
    </row>
    <row r="4951" spans="1:14" x14ac:dyDescent="0.25">
      <c r="A4951" t="s">
        <v>637</v>
      </c>
      <c r="B4951" s="2">
        <v>46028</v>
      </c>
      <c r="C4951" t="s">
        <v>637</v>
      </c>
      <c r="D4951" t="s">
        <v>112</v>
      </c>
      <c r="E4951" t="s">
        <v>9</v>
      </c>
      <c r="F4951" s="3">
        <v>-6700</v>
      </c>
      <c r="G4951" s="3">
        <v>-6700</v>
      </c>
      <c r="H4951" t="s">
        <v>3</v>
      </c>
      <c r="I4951" t="s">
        <v>3</v>
      </c>
      <c r="J4951" t="s">
        <v>9</v>
      </c>
      <c r="K4951" t="s">
        <v>9</v>
      </c>
      <c r="L4951" t="s">
        <v>12</v>
      </c>
      <c r="M4951" t="s">
        <v>114</v>
      </c>
      <c r="N4951" s="2">
        <v>46022</v>
      </c>
    </row>
    <row r="4952" spans="1:14" x14ac:dyDescent="0.25">
      <c r="A4952" t="s">
        <v>637</v>
      </c>
      <c r="B4952" s="2">
        <v>46028</v>
      </c>
      <c r="C4952" t="s">
        <v>637</v>
      </c>
      <c r="D4952" t="s">
        <v>99</v>
      </c>
      <c r="E4952" t="s">
        <v>9</v>
      </c>
      <c r="F4952" s="3">
        <v>-802</v>
      </c>
      <c r="G4952" s="3">
        <v>-802</v>
      </c>
      <c r="H4952" t="s">
        <v>3</v>
      </c>
      <c r="I4952" t="s">
        <v>3</v>
      </c>
      <c r="J4952" t="s">
        <v>9</v>
      </c>
      <c r="K4952" t="s">
        <v>9</v>
      </c>
      <c r="L4952" t="s">
        <v>12</v>
      </c>
      <c r="M4952" t="s">
        <v>102</v>
      </c>
      <c r="N4952" s="2">
        <v>46022</v>
      </c>
    </row>
    <row r="4953" spans="1:14" x14ac:dyDescent="0.25">
      <c r="A4953" t="s">
        <v>637</v>
      </c>
      <c r="B4953" s="2">
        <v>45992</v>
      </c>
      <c r="C4953" t="s">
        <v>637</v>
      </c>
      <c r="D4953" t="s">
        <v>99</v>
      </c>
      <c r="E4953" t="s">
        <v>9</v>
      </c>
      <c r="F4953" s="3">
        <v>802</v>
      </c>
      <c r="G4953" s="3">
        <v>802</v>
      </c>
      <c r="H4953" t="s">
        <v>3</v>
      </c>
      <c r="I4953" t="s">
        <v>3</v>
      </c>
      <c r="J4953" t="s">
        <v>630</v>
      </c>
      <c r="K4953" t="s">
        <v>5</v>
      </c>
      <c r="L4953" t="s">
        <v>12</v>
      </c>
      <c r="M4953" t="s">
        <v>102</v>
      </c>
      <c r="N4953" s="2">
        <v>45992</v>
      </c>
    </row>
    <row r="4954" spans="1:14" x14ac:dyDescent="0.25">
      <c r="A4954" t="s">
        <v>637</v>
      </c>
      <c r="B4954" s="2">
        <v>46022</v>
      </c>
      <c r="C4954" t="s">
        <v>637</v>
      </c>
      <c r="D4954" t="s">
        <v>112</v>
      </c>
      <c r="E4954" t="s">
        <v>9</v>
      </c>
      <c r="F4954" s="3">
        <v>6700</v>
      </c>
      <c r="G4954" s="3">
        <v>6700</v>
      </c>
      <c r="H4954" t="s">
        <v>3</v>
      </c>
      <c r="I4954" t="s">
        <v>3</v>
      </c>
      <c r="J4954" t="s">
        <v>299</v>
      </c>
      <c r="K4954" t="s">
        <v>5</v>
      </c>
      <c r="L4954" t="s">
        <v>12</v>
      </c>
      <c r="M4954" t="s">
        <v>114</v>
      </c>
      <c r="N4954" s="2">
        <v>46022</v>
      </c>
    </row>
    <row r="4955" spans="1:14" x14ac:dyDescent="0.25">
      <c r="A4955" t="s">
        <v>637</v>
      </c>
      <c r="B4955" s="2">
        <v>46022</v>
      </c>
      <c r="C4955" t="s">
        <v>637</v>
      </c>
      <c r="D4955" t="s">
        <v>112</v>
      </c>
      <c r="E4955" t="s">
        <v>9</v>
      </c>
      <c r="F4955" s="3">
        <v>6700</v>
      </c>
      <c r="G4955" s="3">
        <v>6700</v>
      </c>
      <c r="H4955" t="s">
        <v>3</v>
      </c>
      <c r="I4955" t="s">
        <v>3</v>
      </c>
      <c r="J4955" t="s">
        <v>299</v>
      </c>
      <c r="K4955" t="s">
        <v>5</v>
      </c>
      <c r="L4955" t="s">
        <v>12</v>
      </c>
      <c r="M4955" t="s">
        <v>114</v>
      </c>
      <c r="N4955" s="2">
        <v>46022</v>
      </c>
    </row>
    <row r="4956" spans="1:14" x14ac:dyDescent="0.25">
      <c r="A4956" t="s">
        <v>637</v>
      </c>
      <c r="B4956" s="2">
        <v>46022</v>
      </c>
      <c r="C4956" t="s">
        <v>637</v>
      </c>
      <c r="D4956" t="s">
        <v>112</v>
      </c>
      <c r="E4956" t="s">
        <v>9</v>
      </c>
      <c r="F4956" s="3">
        <v>-6700</v>
      </c>
      <c r="G4956" s="3">
        <v>-6700</v>
      </c>
      <c r="H4956" t="s">
        <v>3</v>
      </c>
      <c r="I4956" t="s">
        <v>3</v>
      </c>
      <c r="J4956" t="s">
        <v>299</v>
      </c>
      <c r="K4956" t="s">
        <v>5</v>
      </c>
      <c r="L4956" t="s">
        <v>12</v>
      </c>
      <c r="M4956" t="s">
        <v>114</v>
      </c>
      <c r="N4956" s="2">
        <v>46022</v>
      </c>
    </row>
    <row r="4957" spans="1:14" x14ac:dyDescent="0.25">
      <c r="A4957" s="4" t="s">
        <v>228</v>
      </c>
      <c r="B4957" s="5"/>
      <c r="C4957" s="4" t="s">
        <v>9</v>
      </c>
      <c r="D4957" s="4" t="s">
        <v>9</v>
      </c>
      <c r="E4957" s="4" t="s">
        <v>9</v>
      </c>
      <c r="F4957" s="6">
        <v>0</v>
      </c>
      <c r="G4957" s="6">
        <v>0</v>
      </c>
      <c r="H4957" s="4" t="s">
        <v>9</v>
      </c>
      <c r="I4957" s="4" t="s">
        <v>3</v>
      </c>
      <c r="J4957" s="4" t="s">
        <v>9</v>
      </c>
      <c r="K4957" s="4" t="s">
        <v>9</v>
      </c>
      <c r="L4957" s="4" t="s">
        <v>9</v>
      </c>
      <c r="M4957" s="4" t="s">
        <v>9</v>
      </c>
      <c r="N4957" s="5"/>
    </row>
    <row r="4958" spans="1:14" x14ac:dyDescent="0.25">
      <c r="A4958" s="4" t="s">
        <v>637</v>
      </c>
      <c r="B4958" s="5"/>
      <c r="C4958" s="4" t="s">
        <v>9</v>
      </c>
      <c r="D4958" s="4" t="s">
        <v>9</v>
      </c>
      <c r="E4958" s="4" t="s">
        <v>9</v>
      </c>
      <c r="F4958" s="6">
        <v>0</v>
      </c>
      <c r="G4958" s="6">
        <v>0</v>
      </c>
      <c r="H4958" s="4" t="s">
        <v>9</v>
      </c>
      <c r="I4958" s="4" t="s">
        <v>3</v>
      </c>
      <c r="J4958" s="4" t="s">
        <v>9</v>
      </c>
      <c r="K4958" s="4" t="s">
        <v>9</v>
      </c>
      <c r="L4958" s="4" t="s">
        <v>9</v>
      </c>
      <c r="M4958" s="4" t="s">
        <v>9</v>
      </c>
      <c r="N4958" s="5"/>
    </row>
    <row r="4959" spans="1:14" x14ac:dyDescent="0.25">
      <c r="A4959" t="s">
        <v>638</v>
      </c>
      <c r="B4959" s="2">
        <v>46115</v>
      </c>
      <c r="C4959" t="s">
        <v>638</v>
      </c>
      <c r="D4959" t="s">
        <v>33</v>
      </c>
      <c r="E4959" t="s">
        <v>9</v>
      </c>
      <c r="F4959" s="3">
        <v>3990</v>
      </c>
      <c r="G4959" s="3">
        <v>3990</v>
      </c>
      <c r="H4959" t="s">
        <v>3</v>
      </c>
      <c r="I4959" t="s">
        <v>3</v>
      </c>
      <c r="J4959" t="s">
        <v>9</v>
      </c>
      <c r="K4959" t="s">
        <v>9</v>
      </c>
      <c r="L4959" t="s">
        <v>16</v>
      </c>
      <c r="M4959" t="s">
        <v>35</v>
      </c>
      <c r="N4959" s="2">
        <v>46112</v>
      </c>
    </row>
    <row r="4960" spans="1:14" x14ac:dyDescent="0.25">
      <c r="A4960" t="s">
        <v>638</v>
      </c>
      <c r="B4960" s="2">
        <v>46100</v>
      </c>
      <c r="C4960" t="s">
        <v>638</v>
      </c>
      <c r="D4960" t="s">
        <v>33</v>
      </c>
      <c r="E4960" t="s">
        <v>9</v>
      </c>
      <c r="F4960" s="3">
        <v>-3990</v>
      </c>
      <c r="G4960" s="3">
        <v>-3990</v>
      </c>
      <c r="H4960" t="s">
        <v>3</v>
      </c>
      <c r="I4960" t="s">
        <v>3</v>
      </c>
      <c r="J4960" t="s">
        <v>9</v>
      </c>
      <c r="K4960" t="s">
        <v>13</v>
      </c>
      <c r="L4960" t="s">
        <v>16</v>
      </c>
      <c r="M4960" t="s">
        <v>35</v>
      </c>
      <c r="N4960" s="2">
        <v>46100</v>
      </c>
    </row>
    <row r="4961" spans="1:14" x14ac:dyDescent="0.25">
      <c r="A4961" s="4" t="s">
        <v>244</v>
      </c>
      <c r="B4961" s="5"/>
      <c r="C4961" s="4" t="s">
        <v>9</v>
      </c>
      <c r="D4961" s="4" t="s">
        <v>9</v>
      </c>
      <c r="E4961" s="4" t="s">
        <v>9</v>
      </c>
      <c r="F4961" s="6">
        <v>0</v>
      </c>
      <c r="G4961" s="6">
        <v>0</v>
      </c>
      <c r="H4961" s="4" t="s">
        <v>9</v>
      </c>
      <c r="I4961" s="4" t="s">
        <v>3</v>
      </c>
      <c r="J4961" s="4" t="s">
        <v>9</v>
      </c>
      <c r="K4961" s="4" t="s">
        <v>9</v>
      </c>
      <c r="L4961" s="4" t="s">
        <v>9</v>
      </c>
      <c r="M4961" s="4" t="s">
        <v>9</v>
      </c>
      <c r="N4961" s="5"/>
    </row>
    <row r="4962" spans="1:14" x14ac:dyDescent="0.25">
      <c r="A4962" t="s">
        <v>638</v>
      </c>
      <c r="B4962" s="2">
        <v>46028</v>
      </c>
      <c r="C4962" t="s">
        <v>638</v>
      </c>
      <c r="D4962" t="s">
        <v>33</v>
      </c>
      <c r="E4962" t="s">
        <v>9</v>
      </c>
      <c r="F4962" s="3">
        <v>1365</v>
      </c>
      <c r="G4962" s="3">
        <v>1365</v>
      </c>
      <c r="H4962" t="s">
        <v>3</v>
      </c>
      <c r="I4962" t="s">
        <v>3</v>
      </c>
      <c r="J4962" t="s">
        <v>9</v>
      </c>
      <c r="K4962" t="s">
        <v>9</v>
      </c>
      <c r="L4962" t="s">
        <v>12</v>
      </c>
      <c r="M4962" t="s">
        <v>35</v>
      </c>
      <c r="N4962" s="2">
        <v>46022</v>
      </c>
    </row>
    <row r="4963" spans="1:14" x14ac:dyDescent="0.25">
      <c r="A4963" t="s">
        <v>638</v>
      </c>
      <c r="B4963" s="2">
        <v>46007</v>
      </c>
      <c r="C4963" t="s">
        <v>638</v>
      </c>
      <c r="D4963" t="s">
        <v>33</v>
      </c>
      <c r="E4963" t="s">
        <v>9</v>
      </c>
      <c r="F4963" s="3">
        <v>-1365</v>
      </c>
      <c r="G4963" s="3">
        <v>-1365</v>
      </c>
      <c r="H4963" t="s">
        <v>3</v>
      </c>
      <c r="I4963" t="s">
        <v>3</v>
      </c>
      <c r="J4963" t="s">
        <v>9</v>
      </c>
      <c r="K4963" t="s">
        <v>5</v>
      </c>
      <c r="L4963" t="s">
        <v>12</v>
      </c>
      <c r="M4963" t="s">
        <v>35</v>
      </c>
      <c r="N4963" s="2">
        <v>46007</v>
      </c>
    </row>
    <row r="4964" spans="1:14" x14ac:dyDescent="0.25">
      <c r="A4964" s="4" t="s">
        <v>228</v>
      </c>
      <c r="B4964" s="5"/>
      <c r="C4964" s="4" t="s">
        <v>9</v>
      </c>
      <c r="D4964" s="4" t="s">
        <v>9</v>
      </c>
      <c r="E4964" s="4" t="s">
        <v>9</v>
      </c>
      <c r="F4964" s="6">
        <v>0</v>
      </c>
      <c r="G4964" s="6">
        <v>0</v>
      </c>
      <c r="H4964" s="4" t="s">
        <v>9</v>
      </c>
      <c r="I4964" s="4" t="s">
        <v>3</v>
      </c>
      <c r="J4964" s="4" t="s">
        <v>9</v>
      </c>
      <c r="K4964" s="4" t="s">
        <v>9</v>
      </c>
      <c r="L4964" s="4" t="s">
        <v>9</v>
      </c>
      <c r="M4964" s="4" t="s">
        <v>9</v>
      </c>
      <c r="N4964" s="5"/>
    </row>
    <row r="4965" spans="1:14" x14ac:dyDescent="0.25">
      <c r="A4965" s="4" t="s">
        <v>638</v>
      </c>
      <c r="B4965" s="5"/>
      <c r="C4965" s="4" t="s">
        <v>9</v>
      </c>
      <c r="D4965" s="4" t="s">
        <v>9</v>
      </c>
      <c r="E4965" s="4" t="s">
        <v>9</v>
      </c>
      <c r="F4965" s="6">
        <v>0</v>
      </c>
      <c r="G4965" s="6">
        <v>0</v>
      </c>
      <c r="H4965" s="4" t="s">
        <v>9</v>
      </c>
      <c r="I4965" s="4" t="s">
        <v>3</v>
      </c>
      <c r="J4965" s="4" t="s">
        <v>9</v>
      </c>
      <c r="K4965" s="4" t="s">
        <v>9</v>
      </c>
      <c r="L4965" s="4" t="s">
        <v>9</v>
      </c>
      <c r="M4965" s="4" t="s">
        <v>9</v>
      </c>
      <c r="N4965" s="5"/>
    </row>
    <row r="4966" spans="1:14" x14ac:dyDescent="0.25">
      <c r="A4966" t="s">
        <v>639</v>
      </c>
      <c r="B4966" s="2">
        <v>46022</v>
      </c>
      <c r="C4966" t="s">
        <v>639</v>
      </c>
      <c r="D4966" t="s">
        <v>112</v>
      </c>
      <c r="E4966" t="s">
        <v>9</v>
      </c>
      <c r="F4966" s="3">
        <v>-1300</v>
      </c>
      <c r="G4966" s="3">
        <v>-1300</v>
      </c>
      <c r="H4966" t="s">
        <v>3</v>
      </c>
      <c r="I4966" t="s">
        <v>3</v>
      </c>
      <c r="J4966" t="s">
        <v>298</v>
      </c>
      <c r="K4966" t="s">
        <v>13</v>
      </c>
      <c r="L4966" t="s">
        <v>14</v>
      </c>
      <c r="M4966" t="s">
        <v>114</v>
      </c>
      <c r="N4966" s="2">
        <v>46023</v>
      </c>
    </row>
    <row r="4967" spans="1:14" x14ac:dyDescent="0.25">
      <c r="A4967" t="s">
        <v>639</v>
      </c>
      <c r="B4967" s="2">
        <v>46023</v>
      </c>
      <c r="C4967" t="s">
        <v>639</v>
      </c>
      <c r="D4967" t="s">
        <v>112</v>
      </c>
      <c r="E4967" t="s">
        <v>9</v>
      </c>
      <c r="F4967" s="3">
        <v>1300</v>
      </c>
      <c r="G4967" s="3">
        <v>1300</v>
      </c>
      <c r="H4967" t="s">
        <v>3</v>
      </c>
      <c r="I4967" t="s">
        <v>3</v>
      </c>
      <c r="J4967" t="s">
        <v>298</v>
      </c>
      <c r="K4967" t="s">
        <v>13</v>
      </c>
      <c r="L4967" t="s">
        <v>14</v>
      </c>
      <c r="M4967" t="s">
        <v>114</v>
      </c>
      <c r="N4967" s="2">
        <v>46023</v>
      </c>
    </row>
    <row r="4968" spans="1:14" x14ac:dyDescent="0.25">
      <c r="A4968" s="4" t="s">
        <v>234</v>
      </c>
      <c r="B4968" s="5"/>
      <c r="C4968" s="4" t="s">
        <v>9</v>
      </c>
      <c r="D4968" s="4" t="s">
        <v>9</v>
      </c>
      <c r="E4968" s="4" t="s">
        <v>9</v>
      </c>
      <c r="F4968" s="6">
        <v>0</v>
      </c>
      <c r="G4968" s="6">
        <v>0</v>
      </c>
      <c r="H4968" s="4" t="s">
        <v>9</v>
      </c>
      <c r="I4968" s="4" t="s">
        <v>3</v>
      </c>
      <c r="J4968" s="4" t="s">
        <v>9</v>
      </c>
      <c r="K4968" s="4" t="s">
        <v>9</v>
      </c>
      <c r="L4968" s="4" t="s">
        <v>9</v>
      </c>
      <c r="M4968" s="4" t="s">
        <v>9</v>
      </c>
      <c r="N4968" s="5"/>
    </row>
    <row r="4969" spans="1:14" x14ac:dyDescent="0.25">
      <c r="A4969" t="s">
        <v>639</v>
      </c>
      <c r="B4969" s="2">
        <v>46084</v>
      </c>
      <c r="C4969" t="s">
        <v>639</v>
      </c>
      <c r="D4969" t="s">
        <v>112</v>
      </c>
      <c r="E4969" t="s">
        <v>9</v>
      </c>
      <c r="F4969" s="3">
        <v>-3800</v>
      </c>
      <c r="G4969" s="3">
        <v>-3800</v>
      </c>
      <c r="H4969" t="s">
        <v>3</v>
      </c>
      <c r="I4969" t="s">
        <v>3</v>
      </c>
      <c r="J4969" t="s">
        <v>9</v>
      </c>
      <c r="K4969" t="s">
        <v>9</v>
      </c>
      <c r="L4969" t="s">
        <v>15</v>
      </c>
      <c r="M4969" t="s">
        <v>114</v>
      </c>
      <c r="N4969" s="2">
        <v>46081</v>
      </c>
    </row>
    <row r="4970" spans="1:14" x14ac:dyDescent="0.25">
      <c r="A4970" t="s">
        <v>639</v>
      </c>
      <c r="B4970" s="2">
        <v>46081</v>
      </c>
      <c r="C4970" t="s">
        <v>639</v>
      </c>
      <c r="D4970" t="s">
        <v>112</v>
      </c>
      <c r="E4970" t="s">
        <v>9</v>
      </c>
      <c r="F4970" s="3">
        <v>3800</v>
      </c>
      <c r="G4970" s="3">
        <v>3800</v>
      </c>
      <c r="H4970" t="s">
        <v>3</v>
      </c>
      <c r="I4970" t="s">
        <v>3</v>
      </c>
      <c r="J4970" t="s">
        <v>304</v>
      </c>
      <c r="K4970" t="s">
        <v>13</v>
      </c>
      <c r="L4970" t="s">
        <v>15</v>
      </c>
      <c r="M4970" t="s">
        <v>114</v>
      </c>
      <c r="N4970" s="2">
        <v>46081</v>
      </c>
    </row>
    <row r="4971" spans="1:14" x14ac:dyDescent="0.25">
      <c r="A4971" s="4" t="s">
        <v>239</v>
      </c>
      <c r="B4971" s="5"/>
      <c r="C4971" s="4" t="s">
        <v>9</v>
      </c>
      <c r="D4971" s="4" t="s">
        <v>9</v>
      </c>
      <c r="E4971" s="4" t="s">
        <v>9</v>
      </c>
      <c r="F4971" s="6">
        <v>0</v>
      </c>
      <c r="G4971" s="6">
        <v>0</v>
      </c>
      <c r="H4971" s="4" t="s">
        <v>9</v>
      </c>
      <c r="I4971" s="4" t="s">
        <v>3</v>
      </c>
      <c r="J4971" s="4" t="s">
        <v>9</v>
      </c>
      <c r="K4971" s="4" t="s">
        <v>9</v>
      </c>
      <c r="L4971" s="4" t="s">
        <v>9</v>
      </c>
      <c r="M4971" s="4" t="s">
        <v>9</v>
      </c>
      <c r="N4971" s="5"/>
    </row>
    <row r="4972" spans="1:14" x14ac:dyDescent="0.25">
      <c r="A4972" t="s">
        <v>639</v>
      </c>
      <c r="B4972" s="2">
        <v>46115</v>
      </c>
      <c r="C4972" t="s">
        <v>639</v>
      </c>
      <c r="D4972" t="s">
        <v>112</v>
      </c>
      <c r="E4972" t="s">
        <v>9</v>
      </c>
      <c r="F4972" s="3">
        <v>-100</v>
      </c>
      <c r="G4972" s="3">
        <v>-100</v>
      </c>
      <c r="H4972" t="s">
        <v>3</v>
      </c>
      <c r="I4972" t="s">
        <v>3</v>
      </c>
      <c r="J4972" t="s">
        <v>9</v>
      </c>
      <c r="K4972" t="s">
        <v>9</v>
      </c>
      <c r="L4972" t="s">
        <v>16</v>
      </c>
      <c r="M4972" t="s">
        <v>114</v>
      </c>
      <c r="N4972" s="2">
        <v>46112</v>
      </c>
    </row>
    <row r="4973" spans="1:14" x14ac:dyDescent="0.25">
      <c r="A4973" t="s">
        <v>639</v>
      </c>
      <c r="B4973" s="2">
        <v>46081</v>
      </c>
      <c r="C4973" t="s">
        <v>639</v>
      </c>
      <c r="D4973" t="s">
        <v>112</v>
      </c>
      <c r="E4973" t="s">
        <v>9</v>
      </c>
      <c r="F4973" s="3">
        <v>-3800</v>
      </c>
      <c r="G4973" s="3">
        <v>-3800</v>
      </c>
      <c r="H4973" t="s">
        <v>3</v>
      </c>
      <c r="I4973" t="s">
        <v>3</v>
      </c>
      <c r="J4973" t="s">
        <v>304</v>
      </c>
      <c r="K4973" t="s">
        <v>13</v>
      </c>
      <c r="L4973" t="s">
        <v>16</v>
      </c>
      <c r="M4973" t="s">
        <v>114</v>
      </c>
      <c r="N4973" s="2">
        <v>46082</v>
      </c>
    </row>
    <row r="4974" spans="1:14" x14ac:dyDescent="0.25">
      <c r="A4974" t="s">
        <v>639</v>
      </c>
      <c r="B4974" s="2">
        <v>46112</v>
      </c>
      <c r="C4974" t="s">
        <v>639</v>
      </c>
      <c r="D4974" t="s">
        <v>112</v>
      </c>
      <c r="E4974" t="s">
        <v>9</v>
      </c>
      <c r="F4974" s="3">
        <v>3900</v>
      </c>
      <c r="G4974" s="3">
        <v>3900</v>
      </c>
      <c r="H4974" t="s">
        <v>3</v>
      </c>
      <c r="I4974" t="s">
        <v>3</v>
      </c>
      <c r="J4974" t="s">
        <v>307</v>
      </c>
      <c r="K4974" t="s">
        <v>13</v>
      </c>
      <c r="L4974" t="s">
        <v>16</v>
      </c>
      <c r="M4974" t="s">
        <v>114</v>
      </c>
      <c r="N4974" s="2">
        <v>46112</v>
      </c>
    </row>
    <row r="4975" spans="1:14" x14ac:dyDescent="0.25">
      <c r="A4975" s="4" t="s">
        <v>244</v>
      </c>
      <c r="B4975" s="5"/>
      <c r="C4975" s="4" t="s">
        <v>9</v>
      </c>
      <c r="D4975" s="4" t="s">
        <v>9</v>
      </c>
      <c r="E4975" s="4" t="s">
        <v>9</v>
      </c>
      <c r="F4975" s="6">
        <v>0</v>
      </c>
      <c r="G4975" s="6">
        <v>0</v>
      </c>
      <c r="H4975" s="4" t="s">
        <v>9</v>
      </c>
      <c r="I4975" s="4" t="s">
        <v>3</v>
      </c>
      <c r="J4975" s="4" t="s">
        <v>9</v>
      </c>
      <c r="K4975" s="4" t="s">
        <v>9</v>
      </c>
      <c r="L4975" s="4" t="s">
        <v>9</v>
      </c>
      <c r="M4975" s="4" t="s">
        <v>9</v>
      </c>
      <c r="N4975" s="5"/>
    </row>
    <row r="4976" spans="1:14" x14ac:dyDescent="0.25">
      <c r="A4976" t="s">
        <v>639</v>
      </c>
      <c r="B4976" s="2">
        <v>46112</v>
      </c>
      <c r="C4976" t="s">
        <v>639</v>
      </c>
      <c r="D4976" t="s">
        <v>112</v>
      </c>
      <c r="E4976" t="s">
        <v>9</v>
      </c>
      <c r="F4976" s="3">
        <v>-3900</v>
      </c>
      <c r="G4976" s="3">
        <v>-3900</v>
      </c>
      <c r="H4976" t="s">
        <v>3</v>
      </c>
      <c r="I4976" t="s">
        <v>3</v>
      </c>
      <c r="J4976" t="s">
        <v>307</v>
      </c>
      <c r="K4976" t="s">
        <v>13</v>
      </c>
      <c r="L4976" t="s">
        <v>17</v>
      </c>
      <c r="M4976" t="s">
        <v>114</v>
      </c>
      <c r="N4976" s="2">
        <v>46113</v>
      </c>
    </row>
    <row r="4977" spans="1:14" x14ac:dyDescent="0.25">
      <c r="A4977" t="s">
        <v>639</v>
      </c>
      <c r="B4977" s="2">
        <v>46142</v>
      </c>
      <c r="C4977" t="s">
        <v>639</v>
      </c>
      <c r="D4977" t="s">
        <v>112</v>
      </c>
      <c r="E4977" t="s">
        <v>9</v>
      </c>
      <c r="F4977" s="3">
        <v>3900</v>
      </c>
      <c r="G4977" s="3">
        <v>3900</v>
      </c>
      <c r="H4977" t="s">
        <v>3</v>
      </c>
      <c r="I4977" t="s">
        <v>3</v>
      </c>
      <c r="J4977" t="s">
        <v>310</v>
      </c>
      <c r="K4977" t="s">
        <v>13</v>
      </c>
      <c r="L4977" t="s">
        <v>17</v>
      </c>
      <c r="M4977" t="s">
        <v>114</v>
      </c>
      <c r="N4977" s="2">
        <v>46142</v>
      </c>
    </row>
    <row r="4978" spans="1:14" x14ac:dyDescent="0.25">
      <c r="A4978" s="4" t="s">
        <v>249</v>
      </c>
      <c r="B4978" s="5"/>
      <c r="C4978" s="4" t="s">
        <v>9</v>
      </c>
      <c r="D4978" s="4" t="s">
        <v>9</v>
      </c>
      <c r="E4978" s="4" t="s">
        <v>9</v>
      </c>
      <c r="F4978" s="6">
        <v>0</v>
      </c>
      <c r="G4978" s="6">
        <v>0</v>
      </c>
      <c r="H4978" s="4" t="s">
        <v>9</v>
      </c>
      <c r="I4978" s="4" t="s">
        <v>3</v>
      </c>
      <c r="J4978" s="4" t="s">
        <v>9</v>
      </c>
      <c r="K4978" s="4" t="s">
        <v>9</v>
      </c>
      <c r="L4978" s="4" t="s">
        <v>9</v>
      </c>
      <c r="M4978" s="4" t="s">
        <v>9</v>
      </c>
      <c r="N4978" s="5"/>
    </row>
    <row r="4979" spans="1:14" x14ac:dyDescent="0.25">
      <c r="A4979" t="s">
        <v>639</v>
      </c>
      <c r="B4979" s="2">
        <v>46142</v>
      </c>
      <c r="C4979" t="s">
        <v>639</v>
      </c>
      <c r="D4979" t="s">
        <v>112</v>
      </c>
      <c r="E4979" t="s">
        <v>9</v>
      </c>
      <c r="F4979" s="3">
        <v>-3900</v>
      </c>
      <c r="G4979" s="3">
        <v>-3900</v>
      </c>
      <c r="H4979" t="s">
        <v>3</v>
      </c>
      <c r="I4979" t="s">
        <v>3</v>
      </c>
      <c r="J4979" t="s">
        <v>310</v>
      </c>
      <c r="K4979" t="s">
        <v>13</v>
      </c>
      <c r="L4979" t="s">
        <v>18</v>
      </c>
      <c r="M4979" t="s">
        <v>114</v>
      </c>
      <c r="N4979" s="2">
        <v>46143</v>
      </c>
    </row>
    <row r="4980" spans="1:14" x14ac:dyDescent="0.25">
      <c r="A4980" t="s">
        <v>639</v>
      </c>
      <c r="B4980" s="2">
        <v>46173</v>
      </c>
      <c r="C4980" t="s">
        <v>639</v>
      </c>
      <c r="D4980" t="s">
        <v>112</v>
      </c>
      <c r="E4980" t="s">
        <v>9</v>
      </c>
      <c r="F4980" s="3">
        <v>3900</v>
      </c>
      <c r="G4980" s="3">
        <v>3900</v>
      </c>
      <c r="H4980" t="s">
        <v>3</v>
      </c>
      <c r="I4980" t="s">
        <v>3</v>
      </c>
      <c r="J4980" t="s">
        <v>313</v>
      </c>
      <c r="K4980" t="s">
        <v>13</v>
      </c>
      <c r="L4980" t="s">
        <v>18</v>
      </c>
      <c r="M4980" t="s">
        <v>114</v>
      </c>
      <c r="N4980" s="2">
        <v>46173</v>
      </c>
    </row>
    <row r="4981" spans="1:14" x14ac:dyDescent="0.25">
      <c r="A4981" s="4" t="s">
        <v>223</v>
      </c>
      <c r="B4981" s="5"/>
      <c r="C4981" s="4" t="s">
        <v>9</v>
      </c>
      <c r="D4981" s="4" t="s">
        <v>9</v>
      </c>
      <c r="E4981" s="4" t="s">
        <v>9</v>
      </c>
      <c r="F4981" s="6">
        <v>0</v>
      </c>
      <c r="G4981" s="6">
        <v>0</v>
      </c>
      <c r="H4981" s="4" t="s">
        <v>9</v>
      </c>
      <c r="I4981" s="4" t="s">
        <v>3</v>
      </c>
      <c r="J4981" s="4" t="s">
        <v>9</v>
      </c>
      <c r="K4981" s="4" t="s">
        <v>9</v>
      </c>
      <c r="L4981" s="4" t="s">
        <v>9</v>
      </c>
      <c r="M4981" s="4" t="s">
        <v>9</v>
      </c>
      <c r="N4981" s="5"/>
    </row>
    <row r="4982" spans="1:14" x14ac:dyDescent="0.25">
      <c r="A4982" t="s">
        <v>639</v>
      </c>
      <c r="B4982" s="2">
        <v>46173</v>
      </c>
      <c r="C4982" t="s">
        <v>639</v>
      </c>
      <c r="D4982" t="s">
        <v>112</v>
      </c>
      <c r="E4982" t="s">
        <v>9</v>
      </c>
      <c r="F4982" s="3">
        <v>-3900</v>
      </c>
      <c r="G4982" s="3">
        <v>-3900</v>
      </c>
      <c r="H4982" t="s">
        <v>3</v>
      </c>
      <c r="I4982" t="s">
        <v>3</v>
      </c>
      <c r="J4982" t="s">
        <v>313</v>
      </c>
      <c r="K4982" t="s">
        <v>13</v>
      </c>
      <c r="L4982" t="s">
        <v>19</v>
      </c>
      <c r="M4982" t="s">
        <v>114</v>
      </c>
      <c r="N4982" s="2">
        <v>46174</v>
      </c>
    </row>
    <row r="4983" spans="1:14" x14ac:dyDescent="0.25">
      <c r="A4983" t="s">
        <v>639</v>
      </c>
      <c r="B4983" s="2">
        <v>46203</v>
      </c>
      <c r="C4983" t="s">
        <v>639</v>
      </c>
      <c r="D4983" t="s">
        <v>112</v>
      </c>
      <c r="E4983" t="s">
        <v>9</v>
      </c>
      <c r="F4983" s="3">
        <v>3900</v>
      </c>
      <c r="G4983" s="3">
        <v>3900</v>
      </c>
      <c r="H4983" t="s">
        <v>3</v>
      </c>
      <c r="I4983" t="s">
        <v>3</v>
      </c>
      <c r="J4983" t="s">
        <v>316</v>
      </c>
      <c r="K4983" t="s">
        <v>13</v>
      </c>
      <c r="L4983" t="s">
        <v>19</v>
      </c>
      <c r="M4983" t="s">
        <v>114</v>
      </c>
      <c r="N4983" s="2">
        <v>46203</v>
      </c>
    </row>
    <row r="4984" spans="1:14" x14ac:dyDescent="0.25">
      <c r="A4984" s="4" t="s">
        <v>224</v>
      </c>
      <c r="B4984" s="5"/>
      <c r="C4984" s="4" t="s">
        <v>9</v>
      </c>
      <c r="D4984" s="4" t="s">
        <v>9</v>
      </c>
      <c r="E4984" s="4" t="s">
        <v>9</v>
      </c>
      <c r="F4984" s="6">
        <v>0</v>
      </c>
      <c r="G4984" s="6">
        <v>0</v>
      </c>
      <c r="H4984" s="4" t="s">
        <v>9</v>
      </c>
      <c r="I4984" s="4" t="s">
        <v>3</v>
      </c>
      <c r="J4984" s="4" t="s">
        <v>9</v>
      </c>
      <c r="K4984" s="4" t="s">
        <v>9</v>
      </c>
      <c r="L4984" s="4" t="s">
        <v>9</v>
      </c>
      <c r="M4984" s="4" t="s">
        <v>9</v>
      </c>
      <c r="N4984" s="5"/>
    </row>
    <row r="4985" spans="1:14" x14ac:dyDescent="0.25">
      <c r="A4985" t="s">
        <v>639</v>
      </c>
      <c r="B4985" s="2">
        <v>46203</v>
      </c>
      <c r="C4985" t="s">
        <v>639</v>
      </c>
      <c r="D4985" t="s">
        <v>112</v>
      </c>
      <c r="E4985" t="s">
        <v>9</v>
      </c>
      <c r="F4985" s="3">
        <v>-3900</v>
      </c>
      <c r="G4985" s="3">
        <v>-3900</v>
      </c>
      <c r="H4985" t="s">
        <v>3</v>
      </c>
      <c r="I4985" t="s">
        <v>3</v>
      </c>
      <c r="J4985" t="s">
        <v>316</v>
      </c>
      <c r="K4985" t="s">
        <v>13</v>
      </c>
      <c r="L4985" t="s">
        <v>21</v>
      </c>
      <c r="M4985" t="s">
        <v>114</v>
      </c>
      <c r="N4985" s="2">
        <v>46204</v>
      </c>
    </row>
    <row r="4986" spans="1:14" x14ac:dyDescent="0.25">
      <c r="A4986" t="s">
        <v>639</v>
      </c>
      <c r="B4986" s="2">
        <v>46234</v>
      </c>
      <c r="C4986" t="s">
        <v>639</v>
      </c>
      <c r="D4986" t="s">
        <v>112</v>
      </c>
      <c r="E4986" t="s">
        <v>9</v>
      </c>
      <c r="F4986" s="3">
        <v>3900</v>
      </c>
      <c r="G4986" s="3">
        <v>3900</v>
      </c>
      <c r="H4986" t="s">
        <v>3</v>
      </c>
      <c r="I4986" t="s">
        <v>3</v>
      </c>
      <c r="J4986" t="s">
        <v>341</v>
      </c>
      <c r="K4986" t="s">
        <v>13</v>
      </c>
      <c r="L4986" t="s">
        <v>21</v>
      </c>
      <c r="M4986" t="s">
        <v>114</v>
      </c>
      <c r="N4986" s="2">
        <v>46234</v>
      </c>
    </row>
    <row r="4987" spans="1:14" x14ac:dyDescent="0.25">
      <c r="A4987" s="4" t="s">
        <v>262</v>
      </c>
      <c r="B4987" s="5"/>
      <c r="C4987" s="4" t="s">
        <v>9</v>
      </c>
      <c r="D4987" s="4" t="s">
        <v>9</v>
      </c>
      <c r="E4987" s="4" t="s">
        <v>9</v>
      </c>
      <c r="F4987" s="6">
        <v>0</v>
      </c>
      <c r="G4987" s="6">
        <v>0</v>
      </c>
      <c r="H4987" s="4" t="s">
        <v>9</v>
      </c>
      <c r="I4987" s="4" t="s">
        <v>3</v>
      </c>
      <c r="J4987" s="4" t="s">
        <v>9</v>
      </c>
      <c r="K4987" s="4" t="s">
        <v>9</v>
      </c>
      <c r="L4987" s="4" t="s">
        <v>9</v>
      </c>
      <c r="M4987" s="4" t="s">
        <v>9</v>
      </c>
      <c r="N4987" s="5"/>
    </row>
    <row r="4988" spans="1:14" x14ac:dyDescent="0.25">
      <c r="A4988" t="s">
        <v>639</v>
      </c>
      <c r="B4988" s="2">
        <v>45993</v>
      </c>
      <c r="C4988" t="s">
        <v>639</v>
      </c>
      <c r="D4988" t="s">
        <v>112</v>
      </c>
      <c r="E4988" t="s">
        <v>9</v>
      </c>
      <c r="F4988" s="3">
        <v>-500</v>
      </c>
      <c r="G4988" s="3">
        <v>-500</v>
      </c>
      <c r="H4988" t="s">
        <v>3</v>
      </c>
      <c r="I4988" t="s">
        <v>3</v>
      </c>
      <c r="J4988" t="s">
        <v>9</v>
      </c>
      <c r="K4988" t="s">
        <v>9</v>
      </c>
      <c r="L4988" t="s">
        <v>11</v>
      </c>
      <c r="M4988" t="s">
        <v>114</v>
      </c>
      <c r="N4988" s="2">
        <v>45991</v>
      </c>
    </row>
    <row r="4989" spans="1:14" x14ac:dyDescent="0.25">
      <c r="A4989" t="s">
        <v>639</v>
      </c>
      <c r="B4989" s="2">
        <v>45991</v>
      </c>
      <c r="C4989" t="s">
        <v>639</v>
      </c>
      <c r="D4989" t="s">
        <v>112</v>
      </c>
      <c r="E4989" t="s">
        <v>9</v>
      </c>
      <c r="F4989" s="3">
        <v>500</v>
      </c>
      <c r="G4989" s="3">
        <v>500</v>
      </c>
      <c r="H4989" t="s">
        <v>3</v>
      </c>
      <c r="I4989" t="s">
        <v>3</v>
      </c>
      <c r="J4989" t="s">
        <v>328</v>
      </c>
      <c r="K4989" t="s">
        <v>5</v>
      </c>
      <c r="L4989" t="s">
        <v>11</v>
      </c>
      <c r="M4989" t="s">
        <v>114</v>
      </c>
      <c r="N4989" s="2">
        <v>45991</v>
      </c>
    </row>
    <row r="4990" spans="1:14" x14ac:dyDescent="0.25">
      <c r="A4990" s="4" t="s">
        <v>226</v>
      </c>
      <c r="B4990" s="5"/>
      <c r="C4990" s="4" t="s">
        <v>9</v>
      </c>
      <c r="D4990" s="4" t="s">
        <v>9</v>
      </c>
      <c r="E4990" s="4" t="s">
        <v>9</v>
      </c>
      <c r="F4990" s="6">
        <v>0</v>
      </c>
      <c r="G4990" s="6">
        <v>0</v>
      </c>
      <c r="H4990" s="4" t="s">
        <v>9</v>
      </c>
      <c r="I4990" s="4" t="s">
        <v>3</v>
      </c>
      <c r="J4990" s="4" t="s">
        <v>9</v>
      </c>
      <c r="K4990" s="4" t="s">
        <v>9</v>
      </c>
      <c r="L4990" s="4" t="s">
        <v>9</v>
      </c>
      <c r="M4990" s="4" t="s">
        <v>9</v>
      </c>
      <c r="N4990" s="5"/>
    </row>
    <row r="4991" spans="1:14" x14ac:dyDescent="0.25">
      <c r="A4991" t="s">
        <v>639</v>
      </c>
      <c r="B4991" s="2">
        <v>46028</v>
      </c>
      <c r="C4991" t="s">
        <v>639</v>
      </c>
      <c r="D4991" t="s">
        <v>112</v>
      </c>
      <c r="E4991" t="s">
        <v>9</v>
      </c>
      <c r="F4991" s="3">
        <v>-800</v>
      </c>
      <c r="G4991" s="3">
        <v>-800</v>
      </c>
      <c r="H4991" t="s">
        <v>3</v>
      </c>
      <c r="I4991" t="s">
        <v>3</v>
      </c>
      <c r="J4991" t="s">
        <v>9</v>
      </c>
      <c r="K4991" t="s">
        <v>9</v>
      </c>
      <c r="L4991" t="s">
        <v>12</v>
      </c>
      <c r="M4991" t="s">
        <v>114</v>
      </c>
      <c r="N4991" s="2">
        <v>46022</v>
      </c>
    </row>
    <row r="4992" spans="1:14" x14ac:dyDescent="0.25">
      <c r="A4992" t="s">
        <v>639</v>
      </c>
      <c r="B4992" s="2">
        <v>45991</v>
      </c>
      <c r="C4992" t="s">
        <v>639</v>
      </c>
      <c r="D4992" t="s">
        <v>112</v>
      </c>
      <c r="E4992" t="s">
        <v>9</v>
      </c>
      <c r="F4992" s="3">
        <v>-500</v>
      </c>
      <c r="G4992" s="3">
        <v>-500</v>
      </c>
      <c r="H4992" t="s">
        <v>3</v>
      </c>
      <c r="I4992" t="s">
        <v>3</v>
      </c>
      <c r="J4992" t="s">
        <v>328</v>
      </c>
      <c r="K4992" t="s">
        <v>5</v>
      </c>
      <c r="L4992" t="s">
        <v>12</v>
      </c>
      <c r="M4992" t="s">
        <v>114</v>
      </c>
      <c r="N4992" s="2">
        <v>45992</v>
      </c>
    </row>
    <row r="4993" spans="1:14" x14ac:dyDescent="0.25">
      <c r="A4993" t="s">
        <v>639</v>
      </c>
      <c r="B4993" s="2">
        <v>46022</v>
      </c>
      <c r="C4993" t="s">
        <v>639</v>
      </c>
      <c r="D4993" t="s">
        <v>112</v>
      </c>
      <c r="E4993" t="s">
        <v>9</v>
      </c>
      <c r="F4993" s="3">
        <v>1300</v>
      </c>
      <c r="G4993" s="3">
        <v>1300</v>
      </c>
      <c r="H4993" t="s">
        <v>3</v>
      </c>
      <c r="I4993" t="s">
        <v>3</v>
      </c>
      <c r="J4993" t="s">
        <v>298</v>
      </c>
      <c r="K4993" t="s">
        <v>5</v>
      </c>
      <c r="L4993" t="s">
        <v>12</v>
      </c>
      <c r="M4993" t="s">
        <v>114</v>
      </c>
      <c r="N4993" s="2">
        <v>46022</v>
      </c>
    </row>
    <row r="4994" spans="1:14" x14ac:dyDescent="0.25">
      <c r="A4994" t="s">
        <v>639</v>
      </c>
      <c r="B4994" s="2">
        <v>46022</v>
      </c>
      <c r="C4994" t="s">
        <v>639</v>
      </c>
      <c r="D4994" t="s">
        <v>112</v>
      </c>
      <c r="E4994" t="s">
        <v>9</v>
      </c>
      <c r="F4994" s="3">
        <v>1300</v>
      </c>
      <c r="G4994" s="3">
        <v>1300</v>
      </c>
      <c r="H4994" t="s">
        <v>3</v>
      </c>
      <c r="I4994" t="s">
        <v>3</v>
      </c>
      <c r="J4994" t="s">
        <v>298</v>
      </c>
      <c r="K4994" t="s">
        <v>5</v>
      </c>
      <c r="L4994" t="s">
        <v>12</v>
      </c>
      <c r="M4994" t="s">
        <v>114</v>
      </c>
      <c r="N4994" s="2">
        <v>46022</v>
      </c>
    </row>
    <row r="4995" spans="1:14" x14ac:dyDescent="0.25">
      <c r="A4995" t="s">
        <v>639</v>
      </c>
      <c r="B4995" s="2">
        <v>46022</v>
      </c>
      <c r="C4995" t="s">
        <v>639</v>
      </c>
      <c r="D4995" t="s">
        <v>112</v>
      </c>
      <c r="E4995" t="s">
        <v>9</v>
      </c>
      <c r="F4995" s="3">
        <v>-1300</v>
      </c>
      <c r="G4995" s="3">
        <v>-1300</v>
      </c>
      <c r="H4995" t="s">
        <v>3</v>
      </c>
      <c r="I4995" t="s">
        <v>3</v>
      </c>
      <c r="J4995" t="s">
        <v>298</v>
      </c>
      <c r="K4995" t="s">
        <v>5</v>
      </c>
      <c r="L4995" t="s">
        <v>12</v>
      </c>
      <c r="M4995" t="s">
        <v>114</v>
      </c>
      <c r="N4995" s="2">
        <v>46022</v>
      </c>
    </row>
    <row r="4996" spans="1:14" x14ac:dyDescent="0.25">
      <c r="A4996" s="4" t="s">
        <v>228</v>
      </c>
      <c r="B4996" s="5"/>
      <c r="C4996" s="4" t="s">
        <v>9</v>
      </c>
      <c r="D4996" s="4" t="s">
        <v>9</v>
      </c>
      <c r="E4996" s="4" t="s">
        <v>9</v>
      </c>
      <c r="F4996" s="6">
        <v>0</v>
      </c>
      <c r="G4996" s="6">
        <v>0</v>
      </c>
      <c r="H4996" s="4" t="s">
        <v>9</v>
      </c>
      <c r="I4996" s="4" t="s">
        <v>3</v>
      </c>
      <c r="J4996" s="4" t="s">
        <v>9</v>
      </c>
      <c r="K4996" s="4" t="s">
        <v>9</v>
      </c>
      <c r="L4996" s="4" t="s">
        <v>9</v>
      </c>
      <c r="M4996" s="4" t="s">
        <v>9</v>
      </c>
      <c r="N4996" s="5"/>
    </row>
    <row r="4997" spans="1:14" x14ac:dyDescent="0.25">
      <c r="A4997" s="4" t="s">
        <v>639</v>
      </c>
      <c r="B4997" s="5"/>
      <c r="C4997" s="4" t="s">
        <v>9</v>
      </c>
      <c r="D4997" s="4" t="s">
        <v>9</v>
      </c>
      <c r="E4997" s="4" t="s">
        <v>9</v>
      </c>
      <c r="F4997" s="6">
        <v>0</v>
      </c>
      <c r="G4997" s="6">
        <v>0</v>
      </c>
      <c r="H4997" s="4" t="s">
        <v>9</v>
      </c>
      <c r="I4997" s="4" t="s">
        <v>3</v>
      </c>
      <c r="J4997" s="4" t="s">
        <v>9</v>
      </c>
      <c r="K4997" s="4" t="s">
        <v>9</v>
      </c>
      <c r="L4997" s="4" t="s">
        <v>9</v>
      </c>
      <c r="M4997" s="4" t="s">
        <v>9</v>
      </c>
      <c r="N4997" s="5"/>
    </row>
    <row r="4998" spans="1:14" x14ac:dyDescent="0.25">
      <c r="A4998" t="s">
        <v>640</v>
      </c>
      <c r="B4998" s="2">
        <v>46028</v>
      </c>
      <c r="C4998" t="s">
        <v>640</v>
      </c>
      <c r="D4998" t="s">
        <v>33</v>
      </c>
      <c r="E4998" t="s">
        <v>9</v>
      </c>
      <c r="F4998" s="3">
        <v>12000</v>
      </c>
      <c r="G4998" s="3">
        <v>12000</v>
      </c>
      <c r="H4998" t="s">
        <v>3</v>
      </c>
      <c r="I4998" t="s">
        <v>3</v>
      </c>
      <c r="J4998" t="s">
        <v>9</v>
      </c>
      <c r="K4998" t="s">
        <v>9</v>
      </c>
      <c r="L4998" t="s">
        <v>12</v>
      </c>
      <c r="M4998" t="s">
        <v>35</v>
      </c>
      <c r="N4998" s="2">
        <v>46022</v>
      </c>
    </row>
    <row r="4999" spans="1:14" x14ac:dyDescent="0.25">
      <c r="A4999" t="s">
        <v>640</v>
      </c>
      <c r="B4999" s="2">
        <v>46007</v>
      </c>
      <c r="C4999" t="s">
        <v>640</v>
      </c>
      <c r="D4999" t="s">
        <v>33</v>
      </c>
      <c r="E4999" t="s">
        <v>9</v>
      </c>
      <c r="F4999" s="3">
        <v>-12000</v>
      </c>
      <c r="G4999" s="3">
        <v>-12000</v>
      </c>
      <c r="H4999" t="s">
        <v>3</v>
      </c>
      <c r="I4999" t="s">
        <v>3</v>
      </c>
      <c r="J4999" t="s">
        <v>9</v>
      </c>
      <c r="K4999" t="s">
        <v>5</v>
      </c>
      <c r="L4999" t="s">
        <v>12</v>
      </c>
      <c r="M4999" t="s">
        <v>35</v>
      </c>
      <c r="N4999" s="2">
        <v>46007</v>
      </c>
    </row>
    <row r="5000" spans="1:14" x14ac:dyDescent="0.25">
      <c r="A5000" s="4" t="s">
        <v>228</v>
      </c>
      <c r="B5000" s="5"/>
      <c r="C5000" s="4" t="s">
        <v>9</v>
      </c>
      <c r="D5000" s="4" t="s">
        <v>9</v>
      </c>
      <c r="E5000" s="4" t="s">
        <v>9</v>
      </c>
      <c r="F5000" s="6">
        <v>0</v>
      </c>
      <c r="G5000" s="6">
        <v>0</v>
      </c>
      <c r="H5000" s="4" t="s">
        <v>9</v>
      </c>
      <c r="I5000" s="4" t="s">
        <v>3</v>
      </c>
      <c r="J5000" s="4" t="s">
        <v>9</v>
      </c>
      <c r="K5000" s="4" t="s">
        <v>9</v>
      </c>
      <c r="L5000" s="4" t="s">
        <v>9</v>
      </c>
      <c r="M5000" s="4" t="s">
        <v>9</v>
      </c>
      <c r="N5000" s="5"/>
    </row>
    <row r="5001" spans="1:14" x14ac:dyDescent="0.25">
      <c r="A5001" s="4" t="s">
        <v>640</v>
      </c>
      <c r="B5001" s="5"/>
      <c r="C5001" s="4" t="s">
        <v>9</v>
      </c>
      <c r="D5001" s="4" t="s">
        <v>9</v>
      </c>
      <c r="E5001" s="4" t="s">
        <v>9</v>
      </c>
      <c r="F5001" s="6">
        <v>0</v>
      </c>
      <c r="G5001" s="6">
        <v>0</v>
      </c>
      <c r="H5001" s="4" t="s">
        <v>9</v>
      </c>
      <c r="I5001" s="4" t="s">
        <v>3</v>
      </c>
      <c r="J5001" s="4" t="s">
        <v>9</v>
      </c>
      <c r="K5001" s="4" t="s">
        <v>9</v>
      </c>
      <c r="L5001" s="4" t="s">
        <v>9</v>
      </c>
      <c r="M5001" s="4" t="s">
        <v>9</v>
      </c>
      <c r="N5001" s="5"/>
    </row>
    <row r="5002" spans="1:14" x14ac:dyDescent="0.25">
      <c r="A5002" t="s">
        <v>641</v>
      </c>
      <c r="B5002" s="2">
        <v>46056</v>
      </c>
      <c r="C5002" t="s">
        <v>641</v>
      </c>
      <c r="D5002" t="s">
        <v>112</v>
      </c>
      <c r="E5002" t="s">
        <v>9</v>
      </c>
      <c r="F5002" s="3">
        <v>-300</v>
      </c>
      <c r="G5002" s="3">
        <v>-300</v>
      </c>
      <c r="H5002" t="s">
        <v>3</v>
      </c>
      <c r="I5002" t="s">
        <v>3</v>
      </c>
      <c r="J5002" t="s">
        <v>9</v>
      </c>
      <c r="K5002" t="s">
        <v>9</v>
      </c>
      <c r="L5002" t="s">
        <v>14</v>
      </c>
      <c r="M5002" t="s">
        <v>114</v>
      </c>
      <c r="N5002" s="2">
        <v>46053</v>
      </c>
    </row>
    <row r="5003" spans="1:14" x14ac:dyDescent="0.25">
      <c r="A5003" t="s">
        <v>641</v>
      </c>
      <c r="B5003" s="2">
        <v>46022</v>
      </c>
      <c r="C5003" t="s">
        <v>641</v>
      </c>
      <c r="D5003" t="s">
        <v>112</v>
      </c>
      <c r="E5003" t="s">
        <v>9</v>
      </c>
      <c r="F5003" s="3">
        <v>-1000</v>
      </c>
      <c r="G5003" s="3">
        <v>-1000</v>
      </c>
      <c r="H5003" t="s">
        <v>3</v>
      </c>
      <c r="I5003" t="s">
        <v>3</v>
      </c>
      <c r="J5003" t="s">
        <v>299</v>
      </c>
      <c r="K5003" t="s">
        <v>13</v>
      </c>
      <c r="L5003" t="s">
        <v>14</v>
      </c>
      <c r="M5003" t="s">
        <v>114</v>
      </c>
      <c r="N5003" s="2">
        <v>46023</v>
      </c>
    </row>
    <row r="5004" spans="1:14" x14ac:dyDescent="0.25">
      <c r="A5004" t="s">
        <v>641</v>
      </c>
      <c r="B5004" s="2">
        <v>46023</v>
      </c>
      <c r="C5004" t="s">
        <v>641</v>
      </c>
      <c r="D5004" t="s">
        <v>112</v>
      </c>
      <c r="E5004" t="s">
        <v>9</v>
      </c>
      <c r="F5004" s="3">
        <v>1000</v>
      </c>
      <c r="G5004" s="3">
        <v>1000</v>
      </c>
      <c r="H5004" t="s">
        <v>3</v>
      </c>
      <c r="I5004" t="s">
        <v>3</v>
      </c>
      <c r="J5004" t="s">
        <v>299</v>
      </c>
      <c r="K5004" t="s">
        <v>13</v>
      </c>
      <c r="L5004" t="s">
        <v>14</v>
      </c>
      <c r="M5004" t="s">
        <v>114</v>
      </c>
      <c r="N5004" s="2">
        <v>46023</v>
      </c>
    </row>
    <row r="5005" spans="1:14" x14ac:dyDescent="0.25">
      <c r="A5005" t="s">
        <v>641</v>
      </c>
      <c r="B5005" s="2">
        <v>46053</v>
      </c>
      <c r="C5005" t="s">
        <v>641</v>
      </c>
      <c r="D5005" t="s">
        <v>112</v>
      </c>
      <c r="E5005" t="s">
        <v>9</v>
      </c>
      <c r="F5005" s="3">
        <v>300</v>
      </c>
      <c r="G5005" s="3">
        <v>300</v>
      </c>
      <c r="H5005" t="s">
        <v>3</v>
      </c>
      <c r="I5005" t="s">
        <v>3</v>
      </c>
      <c r="J5005" t="s">
        <v>367</v>
      </c>
      <c r="K5005" t="s">
        <v>13</v>
      </c>
      <c r="L5005" t="s">
        <v>14</v>
      </c>
      <c r="M5005" t="s">
        <v>114</v>
      </c>
      <c r="N5005" s="2">
        <v>46053</v>
      </c>
    </row>
    <row r="5006" spans="1:14" x14ac:dyDescent="0.25">
      <c r="A5006" s="4" t="s">
        <v>234</v>
      </c>
      <c r="B5006" s="5"/>
      <c r="C5006" s="4" t="s">
        <v>9</v>
      </c>
      <c r="D5006" s="4" t="s">
        <v>9</v>
      </c>
      <c r="E5006" s="4" t="s">
        <v>9</v>
      </c>
      <c r="F5006" s="6">
        <v>0</v>
      </c>
      <c r="G5006" s="6">
        <v>0</v>
      </c>
      <c r="H5006" s="4" t="s">
        <v>9</v>
      </c>
      <c r="I5006" s="4" t="s">
        <v>3</v>
      </c>
      <c r="J5006" s="4" t="s">
        <v>9</v>
      </c>
      <c r="K5006" s="4" t="s">
        <v>9</v>
      </c>
      <c r="L5006" s="4" t="s">
        <v>9</v>
      </c>
      <c r="M5006" s="4" t="s">
        <v>9</v>
      </c>
      <c r="N5006" s="5"/>
    </row>
    <row r="5007" spans="1:14" x14ac:dyDescent="0.25">
      <c r="A5007" t="s">
        <v>641</v>
      </c>
      <c r="B5007" s="2">
        <v>46084</v>
      </c>
      <c r="C5007" t="s">
        <v>641</v>
      </c>
      <c r="D5007" t="s">
        <v>112</v>
      </c>
      <c r="E5007" t="s">
        <v>9</v>
      </c>
      <c r="F5007" s="3">
        <v>-3350</v>
      </c>
      <c r="G5007" s="3">
        <v>-3350</v>
      </c>
      <c r="H5007" t="s">
        <v>3</v>
      </c>
      <c r="I5007" t="s">
        <v>3</v>
      </c>
      <c r="J5007" t="s">
        <v>9</v>
      </c>
      <c r="K5007" t="s">
        <v>9</v>
      </c>
      <c r="L5007" t="s">
        <v>15</v>
      </c>
      <c r="M5007" t="s">
        <v>114</v>
      </c>
      <c r="N5007" s="2">
        <v>46081</v>
      </c>
    </row>
    <row r="5008" spans="1:14" x14ac:dyDescent="0.25">
      <c r="A5008" t="s">
        <v>641</v>
      </c>
      <c r="B5008" s="2">
        <v>46054</v>
      </c>
      <c r="C5008" t="s">
        <v>641</v>
      </c>
      <c r="D5008" t="s">
        <v>112</v>
      </c>
      <c r="E5008" t="s">
        <v>9</v>
      </c>
      <c r="F5008" s="3">
        <v>-300</v>
      </c>
      <c r="G5008" s="3">
        <v>-300</v>
      </c>
      <c r="H5008" t="s">
        <v>3</v>
      </c>
      <c r="I5008" t="s">
        <v>3</v>
      </c>
      <c r="J5008" t="s">
        <v>367</v>
      </c>
      <c r="K5008" t="s">
        <v>13</v>
      </c>
      <c r="L5008" t="s">
        <v>15</v>
      </c>
      <c r="M5008" t="s">
        <v>114</v>
      </c>
      <c r="N5008" s="2">
        <v>46054</v>
      </c>
    </row>
    <row r="5009" spans="1:14" x14ac:dyDescent="0.25">
      <c r="A5009" t="s">
        <v>641</v>
      </c>
      <c r="B5009" s="2">
        <v>46054</v>
      </c>
      <c r="C5009" t="s">
        <v>641</v>
      </c>
      <c r="D5009" t="s">
        <v>112</v>
      </c>
      <c r="E5009" t="s">
        <v>9</v>
      </c>
      <c r="F5009" s="3">
        <v>300</v>
      </c>
      <c r="G5009" s="3">
        <v>300</v>
      </c>
      <c r="H5009" t="s">
        <v>3</v>
      </c>
      <c r="I5009" t="s">
        <v>3</v>
      </c>
      <c r="J5009" t="s">
        <v>367</v>
      </c>
      <c r="K5009" t="s">
        <v>13</v>
      </c>
      <c r="L5009" t="s">
        <v>15</v>
      </c>
      <c r="M5009" t="s">
        <v>114</v>
      </c>
      <c r="N5009" s="2">
        <v>46055</v>
      </c>
    </row>
    <row r="5010" spans="1:14" x14ac:dyDescent="0.25">
      <c r="A5010" t="s">
        <v>641</v>
      </c>
      <c r="B5010" s="2">
        <v>46054</v>
      </c>
      <c r="C5010" t="s">
        <v>641</v>
      </c>
      <c r="D5010" t="s">
        <v>112</v>
      </c>
      <c r="E5010" t="s">
        <v>9</v>
      </c>
      <c r="F5010" s="3">
        <v>-300</v>
      </c>
      <c r="G5010" s="3">
        <v>-300</v>
      </c>
      <c r="H5010" t="s">
        <v>3</v>
      </c>
      <c r="I5010" t="s">
        <v>3</v>
      </c>
      <c r="J5010" t="s">
        <v>367</v>
      </c>
      <c r="K5010" t="s">
        <v>13</v>
      </c>
      <c r="L5010" t="s">
        <v>15</v>
      </c>
      <c r="M5010" t="s">
        <v>114</v>
      </c>
      <c r="N5010" s="2">
        <v>46054</v>
      </c>
    </row>
    <row r="5011" spans="1:14" x14ac:dyDescent="0.25">
      <c r="A5011" t="s">
        <v>641</v>
      </c>
      <c r="B5011" s="2">
        <v>46081</v>
      </c>
      <c r="C5011" t="s">
        <v>641</v>
      </c>
      <c r="D5011" t="s">
        <v>112</v>
      </c>
      <c r="E5011" t="s">
        <v>9</v>
      </c>
      <c r="F5011" s="3">
        <v>3650</v>
      </c>
      <c r="G5011" s="3">
        <v>3650</v>
      </c>
      <c r="H5011" t="s">
        <v>3</v>
      </c>
      <c r="I5011" t="s">
        <v>3</v>
      </c>
      <c r="J5011" t="s">
        <v>368</v>
      </c>
      <c r="K5011" t="s">
        <v>13</v>
      </c>
      <c r="L5011" t="s">
        <v>15</v>
      </c>
      <c r="M5011" t="s">
        <v>114</v>
      </c>
      <c r="N5011" s="2">
        <v>46081</v>
      </c>
    </row>
    <row r="5012" spans="1:14" x14ac:dyDescent="0.25">
      <c r="A5012" s="4" t="s">
        <v>239</v>
      </c>
      <c r="B5012" s="5"/>
      <c r="C5012" s="4" t="s">
        <v>9</v>
      </c>
      <c r="D5012" s="4" t="s">
        <v>9</v>
      </c>
      <c r="E5012" s="4" t="s">
        <v>9</v>
      </c>
      <c r="F5012" s="6">
        <v>0</v>
      </c>
      <c r="G5012" s="6">
        <v>0</v>
      </c>
      <c r="H5012" s="4" t="s">
        <v>9</v>
      </c>
      <c r="I5012" s="4" t="s">
        <v>3</v>
      </c>
      <c r="J5012" s="4" t="s">
        <v>9</v>
      </c>
      <c r="K5012" s="4" t="s">
        <v>9</v>
      </c>
      <c r="L5012" s="4" t="s">
        <v>9</v>
      </c>
      <c r="M5012" s="4" t="s">
        <v>9</v>
      </c>
      <c r="N5012" s="5"/>
    </row>
    <row r="5013" spans="1:14" x14ac:dyDescent="0.25">
      <c r="A5013" t="s">
        <v>641</v>
      </c>
      <c r="B5013" s="2">
        <v>46115</v>
      </c>
      <c r="C5013" t="s">
        <v>641</v>
      </c>
      <c r="D5013" t="s">
        <v>112</v>
      </c>
      <c r="E5013" t="s">
        <v>9</v>
      </c>
      <c r="F5013" s="3">
        <v>-500</v>
      </c>
      <c r="G5013" s="3">
        <v>-500</v>
      </c>
      <c r="H5013" t="s">
        <v>3</v>
      </c>
      <c r="I5013" t="s">
        <v>3</v>
      </c>
      <c r="J5013" t="s">
        <v>9</v>
      </c>
      <c r="K5013" t="s">
        <v>9</v>
      </c>
      <c r="L5013" t="s">
        <v>16</v>
      </c>
      <c r="M5013" t="s">
        <v>114</v>
      </c>
      <c r="N5013" s="2">
        <v>46112</v>
      </c>
    </row>
    <row r="5014" spans="1:14" x14ac:dyDescent="0.25">
      <c r="A5014" t="s">
        <v>641</v>
      </c>
      <c r="B5014" s="2">
        <v>46081</v>
      </c>
      <c r="C5014" t="s">
        <v>641</v>
      </c>
      <c r="D5014" t="s">
        <v>112</v>
      </c>
      <c r="E5014" t="s">
        <v>9</v>
      </c>
      <c r="F5014" s="3">
        <v>-3650</v>
      </c>
      <c r="G5014" s="3">
        <v>-3650</v>
      </c>
      <c r="H5014" t="s">
        <v>3</v>
      </c>
      <c r="I5014" t="s">
        <v>3</v>
      </c>
      <c r="J5014" t="s">
        <v>368</v>
      </c>
      <c r="K5014" t="s">
        <v>13</v>
      </c>
      <c r="L5014" t="s">
        <v>16</v>
      </c>
      <c r="M5014" t="s">
        <v>114</v>
      </c>
      <c r="N5014" s="2">
        <v>46082</v>
      </c>
    </row>
    <row r="5015" spans="1:14" x14ac:dyDescent="0.25">
      <c r="A5015" t="s">
        <v>641</v>
      </c>
      <c r="B5015" s="2">
        <v>46112</v>
      </c>
      <c r="C5015" t="s">
        <v>641</v>
      </c>
      <c r="D5015" t="s">
        <v>112</v>
      </c>
      <c r="E5015" t="s">
        <v>9</v>
      </c>
      <c r="F5015" s="3">
        <v>4150</v>
      </c>
      <c r="G5015" s="3">
        <v>4150</v>
      </c>
      <c r="H5015" t="s">
        <v>3</v>
      </c>
      <c r="I5015" t="s">
        <v>3</v>
      </c>
      <c r="J5015" t="s">
        <v>369</v>
      </c>
      <c r="K5015" t="s">
        <v>13</v>
      </c>
      <c r="L5015" t="s">
        <v>16</v>
      </c>
      <c r="M5015" t="s">
        <v>114</v>
      </c>
      <c r="N5015" s="2">
        <v>46112</v>
      </c>
    </row>
    <row r="5016" spans="1:14" x14ac:dyDescent="0.25">
      <c r="A5016" s="4" t="s">
        <v>244</v>
      </c>
      <c r="B5016" s="5"/>
      <c r="C5016" s="4" t="s">
        <v>9</v>
      </c>
      <c r="D5016" s="4" t="s">
        <v>9</v>
      </c>
      <c r="E5016" s="4" t="s">
        <v>9</v>
      </c>
      <c r="F5016" s="6">
        <v>0</v>
      </c>
      <c r="G5016" s="6">
        <v>0</v>
      </c>
      <c r="H5016" s="4" t="s">
        <v>9</v>
      </c>
      <c r="I5016" s="4" t="s">
        <v>3</v>
      </c>
      <c r="J5016" s="4" t="s">
        <v>9</v>
      </c>
      <c r="K5016" s="4" t="s">
        <v>9</v>
      </c>
      <c r="L5016" s="4" t="s">
        <v>9</v>
      </c>
      <c r="M5016" s="4" t="s">
        <v>9</v>
      </c>
      <c r="N5016" s="5"/>
    </row>
    <row r="5017" spans="1:14" x14ac:dyDescent="0.25">
      <c r="A5017" t="s">
        <v>641</v>
      </c>
      <c r="B5017" s="2">
        <v>46147</v>
      </c>
      <c r="C5017" t="s">
        <v>641</v>
      </c>
      <c r="D5017" t="s">
        <v>112</v>
      </c>
      <c r="E5017" t="s">
        <v>9</v>
      </c>
      <c r="F5017" s="3">
        <v>-230</v>
      </c>
      <c r="G5017" s="3">
        <v>-230</v>
      </c>
      <c r="H5017" t="s">
        <v>3</v>
      </c>
      <c r="I5017" t="s">
        <v>3</v>
      </c>
      <c r="J5017" t="s">
        <v>9</v>
      </c>
      <c r="K5017" t="s">
        <v>9</v>
      </c>
      <c r="L5017" t="s">
        <v>17</v>
      </c>
      <c r="M5017" t="s">
        <v>114</v>
      </c>
      <c r="N5017" s="2">
        <v>46142</v>
      </c>
    </row>
    <row r="5018" spans="1:14" x14ac:dyDescent="0.25">
      <c r="A5018" t="s">
        <v>641</v>
      </c>
      <c r="B5018" s="2">
        <v>46112</v>
      </c>
      <c r="C5018" t="s">
        <v>641</v>
      </c>
      <c r="D5018" t="s">
        <v>112</v>
      </c>
      <c r="E5018" t="s">
        <v>9</v>
      </c>
      <c r="F5018" s="3">
        <v>-4150</v>
      </c>
      <c r="G5018" s="3">
        <v>-4150</v>
      </c>
      <c r="H5018" t="s">
        <v>3</v>
      </c>
      <c r="I5018" t="s">
        <v>3</v>
      </c>
      <c r="J5018" t="s">
        <v>369</v>
      </c>
      <c r="K5018" t="s">
        <v>13</v>
      </c>
      <c r="L5018" t="s">
        <v>17</v>
      </c>
      <c r="M5018" t="s">
        <v>114</v>
      </c>
      <c r="N5018" s="2">
        <v>46113</v>
      </c>
    </row>
    <row r="5019" spans="1:14" x14ac:dyDescent="0.25">
      <c r="A5019" t="s">
        <v>641</v>
      </c>
      <c r="B5019" s="2">
        <v>46142</v>
      </c>
      <c r="C5019" t="s">
        <v>641</v>
      </c>
      <c r="D5019" t="s">
        <v>112</v>
      </c>
      <c r="E5019" t="s">
        <v>9</v>
      </c>
      <c r="F5019" s="3">
        <v>4380</v>
      </c>
      <c r="G5019" s="3">
        <v>4380</v>
      </c>
      <c r="H5019" t="s">
        <v>3</v>
      </c>
      <c r="I5019" t="s">
        <v>3</v>
      </c>
      <c r="J5019" t="s">
        <v>370</v>
      </c>
      <c r="K5019" t="s">
        <v>13</v>
      </c>
      <c r="L5019" t="s">
        <v>17</v>
      </c>
      <c r="M5019" t="s">
        <v>114</v>
      </c>
      <c r="N5019" s="2">
        <v>46142</v>
      </c>
    </row>
    <row r="5020" spans="1:14" x14ac:dyDescent="0.25">
      <c r="A5020" s="4" t="s">
        <v>249</v>
      </c>
      <c r="B5020" s="5"/>
      <c r="C5020" s="4" t="s">
        <v>9</v>
      </c>
      <c r="D5020" s="4" t="s">
        <v>9</v>
      </c>
      <c r="E5020" s="4" t="s">
        <v>9</v>
      </c>
      <c r="F5020" s="6">
        <v>0</v>
      </c>
      <c r="G5020" s="6">
        <v>0</v>
      </c>
      <c r="H5020" s="4" t="s">
        <v>9</v>
      </c>
      <c r="I5020" s="4" t="s">
        <v>3</v>
      </c>
      <c r="J5020" s="4" t="s">
        <v>9</v>
      </c>
      <c r="K5020" s="4" t="s">
        <v>9</v>
      </c>
      <c r="L5020" s="4" t="s">
        <v>9</v>
      </c>
      <c r="M5020" s="4" t="s">
        <v>9</v>
      </c>
      <c r="N5020" s="5"/>
    </row>
    <row r="5021" spans="1:14" x14ac:dyDescent="0.25">
      <c r="A5021" t="s">
        <v>641</v>
      </c>
      <c r="B5021" s="2">
        <v>46142</v>
      </c>
      <c r="C5021" t="s">
        <v>641</v>
      </c>
      <c r="D5021" t="s">
        <v>112</v>
      </c>
      <c r="E5021" t="s">
        <v>9</v>
      </c>
      <c r="F5021" s="3">
        <v>-4380</v>
      </c>
      <c r="G5021" s="3">
        <v>-4380</v>
      </c>
      <c r="H5021" t="s">
        <v>3</v>
      </c>
      <c r="I5021" t="s">
        <v>3</v>
      </c>
      <c r="J5021" t="s">
        <v>370</v>
      </c>
      <c r="K5021" t="s">
        <v>13</v>
      </c>
      <c r="L5021" t="s">
        <v>18</v>
      </c>
      <c r="M5021" t="s">
        <v>114</v>
      </c>
      <c r="N5021" s="2">
        <v>46143</v>
      </c>
    </row>
    <row r="5022" spans="1:14" x14ac:dyDescent="0.25">
      <c r="A5022" t="s">
        <v>641</v>
      </c>
      <c r="B5022" s="2">
        <v>46173</v>
      </c>
      <c r="C5022" t="s">
        <v>641</v>
      </c>
      <c r="D5022" t="s">
        <v>112</v>
      </c>
      <c r="E5022" t="s">
        <v>9</v>
      </c>
      <c r="F5022" s="3">
        <v>4380</v>
      </c>
      <c r="G5022" s="3">
        <v>4380</v>
      </c>
      <c r="H5022" t="s">
        <v>3</v>
      </c>
      <c r="I5022" t="s">
        <v>3</v>
      </c>
      <c r="J5022" t="s">
        <v>371</v>
      </c>
      <c r="K5022" t="s">
        <v>13</v>
      </c>
      <c r="L5022" t="s">
        <v>18</v>
      </c>
      <c r="M5022" t="s">
        <v>114</v>
      </c>
      <c r="N5022" s="2">
        <v>46173</v>
      </c>
    </row>
    <row r="5023" spans="1:14" x14ac:dyDescent="0.25">
      <c r="A5023" s="4" t="s">
        <v>223</v>
      </c>
      <c r="B5023" s="5"/>
      <c r="C5023" s="4" t="s">
        <v>9</v>
      </c>
      <c r="D5023" s="4" t="s">
        <v>9</v>
      </c>
      <c r="E5023" s="4" t="s">
        <v>9</v>
      </c>
      <c r="F5023" s="6">
        <v>0</v>
      </c>
      <c r="G5023" s="6">
        <v>0</v>
      </c>
      <c r="H5023" s="4" t="s">
        <v>9</v>
      </c>
      <c r="I5023" s="4" t="s">
        <v>3</v>
      </c>
      <c r="J5023" s="4" t="s">
        <v>9</v>
      </c>
      <c r="K5023" s="4" t="s">
        <v>9</v>
      </c>
      <c r="L5023" s="4" t="s">
        <v>9</v>
      </c>
      <c r="M5023" s="4" t="s">
        <v>9</v>
      </c>
      <c r="N5023" s="5"/>
    </row>
    <row r="5024" spans="1:14" x14ac:dyDescent="0.25">
      <c r="A5024" t="s">
        <v>641</v>
      </c>
      <c r="B5024" s="2">
        <v>46173</v>
      </c>
      <c r="C5024" t="s">
        <v>641</v>
      </c>
      <c r="D5024" t="s">
        <v>112</v>
      </c>
      <c r="E5024" t="s">
        <v>9</v>
      </c>
      <c r="F5024" s="3">
        <v>-4380</v>
      </c>
      <c r="G5024" s="3">
        <v>-4380</v>
      </c>
      <c r="H5024" t="s">
        <v>3</v>
      </c>
      <c r="I5024" t="s">
        <v>3</v>
      </c>
      <c r="J5024" t="s">
        <v>371</v>
      </c>
      <c r="K5024" t="s">
        <v>13</v>
      </c>
      <c r="L5024" t="s">
        <v>19</v>
      </c>
      <c r="M5024" t="s">
        <v>114</v>
      </c>
      <c r="N5024" s="2">
        <v>46174</v>
      </c>
    </row>
    <row r="5025" spans="1:14" x14ac:dyDescent="0.25">
      <c r="A5025" t="s">
        <v>641</v>
      </c>
      <c r="B5025" s="2">
        <v>46203</v>
      </c>
      <c r="C5025" t="s">
        <v>641</v>
      </c>
      <c r="D5025" t="s">
        <v>112</v>
      </c>
      <c r="E5025" t="s">
        <v>9</v>
      </c>
      <c r="F5025" s="3">
        <v>4380</v>
      </c>
      <c r="G5025" s="3">
        <v>4380</v>
      </c>
      <c r="H5025" t="s">
        <v>3</v>
      </c>
      <c r="I5025" t="s">
        <v>3</v>
      </c>
      <c r="J5025" t="s">
        <v>372</v>
      </c>
      <c r="K5025" t="s">
        <v>13</v>
      </c>
      <c r="L5025" t="s">
        <v>19</v>
      </c>
      <c r="M5025" t="s">
        <v>114</v>
      </c>
      <c r="N5025" s="2">
        <v>46203</v>
      </c>
    </row>
    <row r="5026" spans="1:14" x14ac:dyDescent="0.25">
      <c r="A5026" s="4" t="s">
        <v>224</v>
      </c>
      <c r="B5026" s="5"/>
      <c r="C5026" s="4" t="s">
        <v>9</v>
      </c>
      <c r="D5026" s="4" t="s">
        <v>9</v>
      </c>
      <c r="E5026" s="4" t="s">
        <v>9</v>
      </c>
      <c r="F5026" s="6">
        <v>0</v>
      </c>
      <c r="G5026" s="6">
        <v>0</v>
      </c>
      <c r="H5026" s="4" t="s">
        <v>9</v>
      </c>
      <c r="I5026" s="4" t="s">
        <v>3</v>
      </c>
      <c r="J5026" s="4" t="s">
        <v>9</v>
      </c>
      <c r="K5026" s="4" t="s">
        <v>9</v>
      </c>
      <c r="L5026" s="4" t="s">
        <v>9</v>
      </c>
      <c r="M5026" s="4" t="s">
        <v>9</v>
      </c>
      <c r="N5026" s="5"/>
    </row>
    <row r="5027" spans="1:14" x14ac:dyDescent="0.25">
      <c r="A5027" t="s">
        <v>641</v>
      </c>
      <c r="B5027" s="2">
        <v>46203</v>
      </c>
      <c r="C5027" t="s">
        <v>641</v>
      </c>
      <c r="D5027" t="s">
        <v>112</v>
      </c>
      <c r="E5027" t="s">
        <v>9</v>
      </c>
      <c r="F5027" s="3">
        <v>-4380</v>
      </c>
      <c r="G5027" s="3">
        <v>-4380</v>
      </c>
      <c r="H5027" t="s">
        <v>3</v>
      </c>
      <c r="I5027" t="s">
        <v>3</v>
      </c>
      <c r="J5027" t="s">
        <v>372</v>
      </c>
      <c r="K5027" t="s">
        <v>13</v>
      </c>
      <c r="L5027" t="s">
        <v>21</v>
      </c>
      <c r="M5027" t="s">
        <v>114</v>
      </c>
      <c r="N5027" s="2">
        <v>46204</v>
      </c>
    </row>
    <row r="5028" spans="1:14" x14ac:dyDescent="0.25">
      <c r="A5028" t="s">
        <v>641</v>
      </c>
      <c r="B5028" s="2">
        <v>46234</v>
      </c>
      <c r="C5028" t="s">
        <v>641</v>
      </c>
      <c r="D5028" t="s">
        <v>112</v>
      </c>
      <c r="E5028" t="s">
        <v>9</v>
      </c>
      <c r="F5028" s="3">
        <v>4380</v>
      </c>
      <c r="G5028" s="3">
        <v>4380</v>
      </c>
      <c r="H5028" t="s">
        <v>3</v>
      </c>
      <c r="I5028" t="s">
        <v>3</v>
      </c>
      <c r="J5028" t="s">
        <v>628</v>
      </c>
      <c r="K5028" t="s">
        <v>13</v>
      </c>
      <c r="L5028" t="s">
        <v>21</v>
      </c>
      <c r="M5028" t="s">
        <v>114</v>
      </c>
      <c r="N5028" s="2">
        <v>46234</v>
      </c>
    </row>
    <row r="5029" spans="1:14" x14ac:dyDescent="0.25">
      <c r="A5029" s="4" t="s">
        <v>262</v>
      </c>
      <c r="B5029" s="5"/>
      <c r="C5029" s="4" t="s">
        <v>9</v>
      </c>
      <c r="D5029" s="4" t="s">
        <v>9</v>
      </c>
      <c r="E5029" s="4" t="s">
        <v>9</v>
      </c>
      <c r="F5029" s="6">
        <v>0</v>
      </c>
      <c r="G5029" s="6">
        <v>0</v>
      </c>
      <c r="H5029" s="4" t="s">
        <v>9</v>
      </c>
      <c r="I5029" s="4" t="s">
        <v>3</v>
      </c>
      <c r="J5029" s="4" t="s">
        <v>9</v>
      </c>
      <c r="K5029" s="4" t="s">
        <v>9</v>
      </c>
      <c r="L5029" s="4" t="s">
        <v>9</v>
      </c>
      <c r="M5029" s="4" t="s">
        <v>9</v>
      </c>
      <c r="N5029" s="5"/>
    </row>
    <row r="5030" spans="1:14" x14ac:dyDescent="0.25">
      <c r="A5030" t="s">
        <v>641</v>
      </c>
      <c r="B5030" s="2">
        <v>46028</v>
      </c>
      <c r="C5030" t="s">
        <v>641</v>
      </c>
      <c r="D5030" t="s">
        <v>112</v>
      </c>
      <c r="E5030" t="s">
        <v>9</v>
      </c>
      <c r="F5030" s="3">
        <v>-1000</v>
      </c>
      <c r="G5030" s="3">
        <v>-1000</v>
      </c>
      <c r="H5030" t="s">
        <v>3</v>
      </c>
      <c r="I5030" t="s">
        <v>3</v>
      </c>
      <c r="J5030" t="s">
        <v>9</v>
      </c>
      <c r="K5030" t="s">
        <v>9</v>
      </c>
      <c r="L5030" t="s">
        <v>12</v>
      </c>
      <c r="M5030" t="s">
        <v>114</v>
      </c>
      <c r="N5030" s="2">
        <v>46022</v>
      </c>
    </row>
    <row r="5031" spans="1:14" x14ac:dyDescent="0.25">
      <c r="A5031" t="s">
        <v>641</v>
      </c>
      <c r="B5031" s="2">
        <v>46028</v>
      </c>
      <c r="C5031" t="s">
        <v>641</v>
      </c>
      <c r="D5031" t="s">
        <v>99</v>
      </c>
      <c r="E5031" t="s">
        <v>9</v>
      </c>
      <c r="F5031" s="3">
        <v>-2177</v>
      </c>
      <c r="G5031" s="3">
        <v>-2177</v>
      </c>
      <c r="H5031" t="s">
        <v>3</v>
      </c>
      <c r="I5031" t="s">
        <v>3</v>
      </c>
      <c r="J5031" t="s">
        <v>9</v>
      </c>
      <c r="K5031" t="s">
        <v>9</v>
      </c>
      <c r="L5031" t="s">
        <v>12</v>
      </c>
      <c r="M5031" t="s">
        <v>102</v>
      </c>
      <c r="N5031" s="2">
        <v>46022</v>
      </c>
    </row>
    <row r="5032" spans="1:14" x14ac:dyDescent="0.25">
      <c r="A5032" t="s">
        <v>641</v>
      </c>
      <c r="B5032" s="2">
        <v>45992</v>
      </c>
      <c r="C5032" t="s">
        <v>641</v>
      </c>
      <c r="D5032" t="s">
        <v>99</v>
      </c>
      <c r="E5032" t="s">
        <v>9</v>
      </c>
      <c r="F5032" s="3">
        <v>2177</v>
      </c>
      <c r="G5032" s="3">
        <v>2177</v>
      </c>
      <c r="H5032" t="s">
        <v>3</v>
      </c>
      <c r="I5032" t="s">
        <v>3</v>
      </c>
      <c r="J5032" t="s">
        <v>630</v>
      </c>
      <c r="K5032" t="s">
        <v>5</v>
      </c>
      <c r="L5032" t="s">
        <v>12</v>
      </c>
      <c r="M5032" t="s">
        <v>102</v>
      </c>
      <c r="N5032" s="2">
        <v>45992</v>
      </c>
    </row>
    <row r="5033" spans="1:14" x14ac:dyDescent="0.25">
      <c r="A5033" t="s">
        <v>641</v>
      </c>
      <c r="B5033" s="2">
        <v>46022</v>
      </c>
      <c r="C5033" t="s">
        <v>641</v>
      </c>
      <c r="D5033" t="s">
        <v>112</v>
      </c>
      <c r="E5033" t="s">
        <v>9</v>
      </c>
      <c r="F5033" s="3">
        <v>1000</v>
      </c>
      <c r="G5033" s="3">
        <v>1000</v>
      </c>
      <c r="H5033" t="s">
        <v>3</v>
      </c>
      <c r="I5033" t="s">
        <v>3</v>
      </c>
      <c r="J5033" t="s">
        <v>299</v>
      </c>
      <c r="K5033" t="s">
        <v>5</v>
      </c>
      <c r="L5033" t="s">
        <v>12</v>
      </c>
      <c r="M5033" t="s">
        <v>114</v>
      </c>
      <c r="N5033" s="2">
        <v>46022</v>
      </c>
    </row>
    <row r="5034" spans="1:14" x14ac:dyDescent="0.25">
      <c r="A5034" t="s">
        <v>641</v>
      </c>
      <c r="B5034" s="2">
        <v>46022</v>
      </c>
      <c r="C5034" t="s">
        <v>641</v>
      </c>
      <c r="D5034" t="s">
        <v>112</v>
      </c>
      <c r="E5034" t="s">
        <v>9</v>
      </c>
      <c r="F5034" s="3">
        <v>1000</v>
      </c>
      <c r="G5034" s="3">
        <v>1000</v>
      </c>
      <c r="H5034" t="s">
        <v>3</v>
      </c>
      <c r="I5034" t="s">
        <v>3</v>
      </c>
      <c r="J5034" t="s">
        <v>299</v>
      </c>
      <c r="K5034" t="s">
        <v>5</v>
      </c>
      <c r="L5034" t="s">
        <v>12</v>
      </c>
      <c r="M5034" t="s">
        <v>114</v>
      </c>
      <c r="N5034" s="2">
        <v>46022</v>
      </c>
    </row>
    <row r="5035" spans="1:14" x14ac:dyDescent="0.25">
      <c r="A5035" t="s">
        <v>641</v>
      </c>
      <c r="B5035" s="2">
        <v>46022</v>
      </c>
      <c r="C5035" t="s">
        <v>641</v>
      </c>
      <c r="D5035" t="s">
        <v>112</v>
      </c>
      <c r="E5035" t="s">
        <v>9</v>
      </c>
      <c r="F5035" s="3">
        <v>-1000</v>
      </c>
      <c r="G5035" s="3">
        <v>-1000</v>
      </c>
      <c r="H5035" t="s">
        <v>3</v>
      </c>
      <c r="I5035" t="s">
        <v>3</v>
      </c>
      <c r="J5035" t="s">
        <v>299</v>
      </c>
      <c r="K5035" t="s">
        <v>5</v>
      </c>
      <c r="L5035" t="s">
        <v>12</v>
      </c>
      <c r="M5035" t="s">
        <v>114</v>
      </c>
      <c r="N5035" s="2">
        <v>46022</v>
      </c>
    </row>
    <row r="5036" spans="1:14" x14ac:dyDescent="0.25">
      <c r="A5036" s="4" t="s">
        <v>228</v>
      </c>
      <c r="B5036" s="5"/>
      <c r="C5036" s="4" t="s">
        <v>9</v>
      </c>
      <c r="D5036" s="4" t="s">
        <v>9</v>
      </c>
      <c r="E5036" s="4" t="s">
        <v>9</v>
      </c>
      <c r="F5036" s="6">
        <v>0</v>
      </c>
      <c r="G5036" s="6">
        <v>0</v>
      </c>
      <c r="H5036" s="4" t="s">
        <v>9</v>
      </c>
      <c r="I5036" s="4" t="s">
        <v>3</v>
      </c>
      <c r="J5036" s="4" t="s">
        <v>9</v>
      </c>
      <c r="K5036" s="4" t="s">
        <v>9</v>
      </c>
      <c r="L5036" s="4" t="s">
        <v>9</v>
      </c>
      <c r="M5036" s="4" t="s">
        <v>9</v>
      </c>
      <c r="N5036" s="5"/>
    </row>
    <row r="5037" spans="1:14" x14ac:dyDescent="0.25">
      <c r="A5037" s="4" t="s">
        <v>641</v>
      </c>
      <c r="B5037" s="5"/>
      <c r="C5037" s="4" t="s">
        <v>9</v>
      </c>
      <c r="D5037" s="4" t="s">
        <v>9</v>
      </c>
      <c r="E5037" s="4" t="s">
        <v>9</v>
      </c>
      <c r="F5037" s="6">
        <v>0</v>
      </c>
      <c r="G5037" s="6">
        <v>0</v>
      </c>
      <c r="H5037" s="4" t="s">
        <v>9</v>
      </c>
      <c r="I5037" s="4" t="s">
        <v>3</v>
      </c>
      <c r="J5037" s="4" t="s">
        <v>9</v>
      </c>
      <c r="K5037" s="4" t="s">
        <v>9</v>
      </c>
      <c r="L5037" s="4" t="s">
        <v>9</v>
      </c>
      <c r="M5037" s="4" t="s">
        <v>9</v>
      </c>
      <c r="N5037" s="5"/>
    </row>
    <row r="5038" spans="1:14" x14ac:dyDescent="0.25">
      <c r="A5038" t="s">
        <v>642</v>
      </c>
      <c r="B5038" s="2">
        <v>46267</v>
      </c>
      <c r="C5038" t="s">
        <v>642</v>
      </c>
      <c r="D5038" t="s">
        <v>33</v>
      </c>
      <c r="E5038" t="s">
        <v>9</v>
      </c>
      <c r="F5038" s="3">
        <v>86589</v>
      </c>
      <c r="G5038" s="3">
        <v>86589</v>
      </c>
      <c r="H5038" t="s">
        <v>3</v>
      </c>
      <c r="I5038" t="s">
        <v>3</v>
      </c>
      <c r="J5038" t="s">
        <v>9</v>
      </c>
      <c r="K5038" t="s">
        <v>9</v>
      </c>
      <c r="L5038" t="s">
        <v>22</v>
      </c>
      <c r="M5038" t="s">
        <v>35</v>
      </c>
      <c r="N5038" s="2">
        <v>46265</v>
      </c>
    </row>
    <row r="5039" spans="1:14" x14ac:dyDescent="0.25">
      <c r="A5039" t="s">
        <v>642</v>
      </c>
      <c r="B5039" s="2">
        <v>46254</v>
      </c>
      <c r="C5039" t="s">
        <v>642</v>
      </c>
      <c r="D5039" t="s">
        <v>33</v>
      </c>
      <c r="E5039" t="s">
        <v>9</v>
      </c>
      <c r="F5039" s="3">
        <v>-86589</v>
      </c>
      <c r="G5039" s="3">
        <v>-86589</v>
      </c>
      <c r="H5039" t="s">
        <v>3</v>
      </c>
      <c r="I5039" t="s">
        <v>3</v>
      </c>
      <c r="J5039" t="s">
        <v>9</v>
      </c>
      <c r="K5039" t="s">
        <v>13</v>
      </c>
      <c r="L5039" t="s">
        <v>22</v>
      </c>
      <c r="M5039" t="s">
        <v>35</v>
      </c>
      <c r="N5039" s="2">
        <v>46254</v>
      </c>
    </row>
    <row r="5040" spans="1:14" x14ac:dyDescent="0.25">
      <c r="A5040" s="4" t="s">
        <v>267</v>
      </c>
      <c r="B5040" s="5"/>
      <c r="C5040" s="4" t="s">
        <v>9</v>
      </c>
      <c r="D5040" s="4" t="s">
        <v>9</v>
      </c>
      <c r="E5040" s="4" t="s">
        <v>9</v>
      </c>
      <c r="F5040" s="6">
        <v>0</v>
      </c>
      <c r="G5040" s="6">
        <v>0</v>
      </c>
      <c r="H5040" s="4" t="s">
        <v>9</v>
      </c>
      <c r="I5040" s="4" t="s">
        <v>3</v>
      </c>
      <c r="J5040" s="4" t="s">
        <v>9</v>
      </c>
      <c r="K5040" s="4" t="s">
        <v>9</v>
      </c>
      <c r="L5040" s="4" t="s">
        <v>9</v>
      </c>
      <c r="M5040" s="4" t="s">
        <v>9</v>
      </c>
      <c r="N5040" s="5"/>
    </row>
    <row r="5041" spans="1:14" x14ac:dyDescent="0.25">
      <c r="A5041" s="4" t="s">
        <v>642</v>
      </c>
      <c r="B5041" s="5"/>
      <c r="C5041" s="4" t="s">
        <v>9</v>
      </c>
      <c r="D5041" s="4" t="s">
        <v>9</v>
      </c>
      <c r="E5041" s="4" t="s">
        <v>9</v>
      </c>
      <c r="F5041" s="6">
        <v>0</v>
      </c>
      <c r="G5041" s="6">
        <v>0</v>
      </c>
      <c r="H5041" s="4" t="s">
        <v>9</v>
      </c>
      <c r="I5041" s="4" t="s">
        <v>3</v>
      </c>
      <c r="J5041" s="4" t="s">
        <v>9</v>
      </c>
      <c r="K5041" s="4" t="s">
        <v>9</v>
      </c>
      <c r="L5041" s="4" t="s">
        <v>9</v>
      </c>
      <c r="M5041" s="4" t="s">
        <v>9</v>
      </c>
      <c r="N5041" s="5"/>
    </row>
    <row r="5042" spans="1:14" x14ac:dyDescent="0.25">
      <c r="A5042" t="s">
        <v>643</v>
      </c>
      <c r="B5042" s="2">
        <v>46239</v>
      </c>
      <c r="C5042" t="s">
        <v>643</v>
      </c>
      <c r="D5042" t="s">
        <v>112</v>
      </c>
      <c r="E5042" t="s">
        <v>9</v>
      </c>
      <c r="F5042" s="3">
        <v>-62886.5</v>
      </c>
      <c r="G5042" s="3">
        <v>-62886.5</v>
      </c>
      <c r="H5042" t="s">
        <v>3</v>
      </c>
      <c r="I5042" t="s">
        <v>3</v>
      </c>
      <c r="J5042" t="s">
        <v>9</v>
      </c>
      <c r="K5042" t="s">
        <v>9</v>
      </c>
      <c r="L5042" t="s">
        <v>21</v>
      </c>
      <c r="M5042" t="s">
        <v>114</v>
      </c>
      <c r="N5042" s="2">
        <v>46234</v>
      </c>
    </row>
    <row r="5043" spans="1:14" x14ac:dyDescent="0.25">
      <c r="A5043" t="s">
        <v>643</v>
      </c>
      <c r="B5043" s="2">
        <v>46234</v>
      </c>
      <c r="C5043" t="s">
        <v>643</v>
      </c>
      <c r="D5043" t="s">
        <v>112</v>
      </c>
      <c r="E5043" t="s">
        <v>9</v>
      </c>
      <c r="F5043" s="3">
        <v>62886.5</v>
      </c>
      <c r="G5043" s="3">
        <v>62886.5</v>
      </c>
      <c r="H5043" t="s">
        <v>3</v>
      </c>
      <c r="I5043" t="s">
        <v>3</v>
      </c>
      <c r="J5043" t="s">
        <v>319</v>
      </c>
      <c r="K5043" t="s">
        <v>13</v>
      </c>
      <c r="L5043" t="s">
        <v>21</v>
      </c>
      <c r="M5043" t="s">
        <v>114</v>
      </c>
      <c r="N5043" s="2">
        <v>46234</v>
      </c>
    </row>
    <row r="5044" spans="1:14" x14ac:dyDescent="0.25">
      <c r="A5044" s="4" t="s">
        <v>262</v>
      </c>
      <c r="B5044" s="5"/>
      <c r="C5044" s="4" t="s">
        <v>9</v>
      </c>
      <c r="D5044" s="4" t="s">
        <v>9</v>
      </c>
      <c r="E5044" s="4" t="s">
        <v>9</v>
      </c>
      <c r="F5044" s="6">
        <v>0</v>
      </c>
      <c r="G5044" s="6">
        <v>0</v>
      </c>
      <c r="H5044" s="4" t="s">
        <v>9</v>
      </c>
      <c r="I5044" s="4" t="s">
        <v>3</v>
      </c>
      <c r="J5044" s="4" t="s">
        <v>9</v>
      </c>
      <c r="K5044" s="4" t="s">
        <v>9</v>
      </c>
      <c r="L5044" s="4" t="s">
        <v>9</v>
      </c>
      <c r="M5044" s="4" t="s">
        <v>9</v>
      </c>
      <c r="N5044" s="5"/>
    </row>
    <row r="5045" spans="1:14" x14ac:dyDescent="0.25">
      <c r="A5045" t="s">
        <v>643</v>
      </c>
      <c r="B5045" s="2">
        <v>46267</v>
      </c>
      <c r="C5045" t="s">
        <v>643</v>
      </c>
      <c r="D5045" t="s">
        <v>112</v>
      </c>
      <c r="E5045" t="s">
        <v>9</v>
      </c>
      <c r="F5045" s="3">
        <v>-45579.5</v>
      </c>
      <c r="G5045" s="3">
        <v>-45579.5</v>
      </c>
      <c r="H5045" t="s">
        <v>3</v>
      </c>
      <c r="I5045" t="s">
        <v>3</v>
      </c>
      <c r="J5045" t="s">
        <v>9</v>
      </c>
      <c r="K5045" t="s">
        <v>9</v>
      </c>
      <c r="L5045" t="s">
        <v>22</v>
      </c>
      <c r="M5045" t="s">
        <v>114</v>
      </c>
      <c r="N5045" s="2">
        <v>46265</v>
      </c>
    </row>
    <row r="5046" spans="1:14" x14ac:dyDescent="0.25">
      <c r="A5046" t="s">
        <v>643</v>
      </c>
      <c r="B5046" s="2">
        <v>46234</v>
      </c>
      <c r="C5046" t="s">
        <v>643</v>
      </c>
      <c r="D5046" t="s">
        <v>112</v>
      </c>
      <c r="E5046" t="s">
        <v>9</v>
      </c>
      <c r="F5046" s="3">
        <v>-62886.5</v>
      </c>
      <c r="G5046" s="3">
        <v>-62886.5</v>
      </c>
      <c r="H5046" t="s">
        <v>3</v>
      </c>
      <c r="I5046" t="s">
        <v>3</v>
      </c>
      <c r="J5046" t="s">
        <v>319</v>
      </c>
      <c r="K5046" t="s">
        <v>13</v>
      </c>
      <c r="L5046" t="s">
        <v>22</v>
      </c>
      <c r="M5046" t="s">
        <v>114</v>
      </c>
      <c r="N5046" s="2">
        <v>46235</v>
      </c>
    </row>
    <row r="5047" spans="1:14" x14ac:dyDescent="0.25">
      <c r="A5047" t="s">
        <v>643</v>
      </c>
      <c r="B5047" s="2">
        <v>46265</v>
      </c>
      <c r="C5047" t="s">
        <v>643</v>
      </c>
      <c r="D5047" t="s">
        <v>112</v>
      </c>
      <c r="E5047" t="s">
        <v>9</v>
      </c>
      <c r="F5047" s="3">
        <v>108466</v>
      </c>
      <c r="G5047" s="3">
        <v>108466</v>
      </c>
      <c r="H5047" t="s">
        <v>3</v>
      </c>
      <c r="I5047" t="s">
        <v>3</v>
      </c>
      <c r="J5047" t="s">
        <v>322</v>
      </c>
      <c r="K5047" t="s">
        <v>13</v>
      </c>
      <c r="L5047" t="s">
        <v>22</v>
      </c>
      <c r="M5047" t="s">
        <v>114</v>
      </c>
      <c r="N5047" s="2">
        <v>46265</v>
      </c>
    </row>
    <row r="5048" spans="1:14" x14ac:dyDescent="0.25">
      <c r="A5048" s="4" t="s">
        <v>267</v>
      </c>
      <c r="B5048" s="5"/>
      <c r="C5048" s="4" t="s">
        <v>9</v>
      </c>
      <c r="D5048" s="4" t="s">
        <v>9</v>
      </c>
      <c r="E5048" s="4" t="s">
        <v>9</v>
      </c>
      <c r="F5048" s="6">
        <v>0</v>
      </c>
      <c r="G5048" s="6">
        <v>0</v>
      </c>
      <c r="H5048" s="4" t="s">
        <v>9</v>
      </c>
      <c r="I5048" s="4" t="s">
        <v>3</v>
      </c>
      <c r="J5048" s="4" t="s">
        <v>9</v>
      </c>
      <c r="K5048" s="4" t="s">
        <v>9</v>
      </c>
      <c r="L5048" s="4" t="s">
        <v>9</v>
      </c>
      <c r="M5048" s="4" t="s">
        <v>9</v>
      </c>
      <c r="N5048" s="5"/>
    </row>
    <row r="5049" spans="1:14" x14ac:dyDescent="0.25">
      <c r="A5049" s="4" t="s">
        <v>643</v>
      </c>
      <c r="B5049" s="5"/>
      <c r="C5049" s="4" t="s">
        <v>9</v>
      </c>
      <c r="D5049" s="4" t="s">
        <v>9</v>
      </c>
      <c r="E5049" s="4" t="s">
        <v>9</v>
      </c>
      <c r="F5049" s="6">
        <v>0</v>
      </c>
      <c r="G5049" s="6">
        <v>0</v>
      </c>
      <c r="H5049" s="4" t="s">
        <v>9</v>
      </c>
      <c r="I5049" s="4" t="s">
        <v>3</v>
      </c>
      <c r="J5049" s="4" t="s">
        <v>9</v>
      </c>
      <c r="K5049" s="4" t="s">
        <v>9</v>
      </c>
      <c r="L5049" s="4" t="s">
        <v>9</v>
      </c>
      <c r="M5049" s="4" t="s">
        <v>9</v>
      </c>
      <c r="N5049" s="5"/>
    </row>
    <row r="5050" spans="1:14" x14ac:dyDescent="0.25">
      <c r="A5050" t="s">
        <v>644</v>
      </c>
      <c r="B5050" s="2">
        <v>46084</v>
      </c>
      <c r="C5050" t="s">
        <v>644</v>
      </c>
      <c r="D5050" t="s">
        <v>99</v>
      </c>
      <c r="E5050" t="s">
        <v>9</v>
      </c>
      <c r="F5050" s="3">
        <v>-3175.9</v>
      </c>
      <c r="G5050" s="3">
        <v>-3175.9</v>
      </c>
      <c r="H5050" t="s">
        <v>3</v>
      </c>
      <c r="I5050" t="s">
        <v>3</v>
      </c>
      <c r="J5050" t="s">
        <v>9</v>
      </c>
      <c r="K5050" t="s">
        <v>9</v>
      </c>
      <c r="L5050" t="s">
        <v>15</v>
      </c>
      <c r="M5050" t="s">
        <v>102</v>
      </c>
      <c r="N5050" s="2">
        <v>46081</v>
      </c>
    </row>
    <row r="5051" spans="1:14" x14ac:dyDescent="0.25">
      <c r="A5051" t="s">
        <v>644</v>
      </c>
      <c r="B5051" s="2">
        <v>46065</v>
      </c>
      <c r="C5051" t="s">
        <v>644</v>
      </c>
      <c r="D5051" t="s">
        <v>99</v>
      </c>
      <c r="E5051" t="s">
        <v>490</v>
      </c>
      <c r="F5051" s="3">
        <v>3175.9</v>
      </c>
      <c r="G5051" s="3">
        <v>3175.9</v>
      </c>
      <c r="H5051" t="s">
        <v>3</v>
      </c>
      <c r="I5051" t="s">
        <v>3</v>
      </c>
      <c r="J5051" t="s">
        <v>491</v>
      </c>
      <c r="K5051" t="s">
        <v>13</v>
      </c>
      <c r="L5051" t="s">
        <v>15</v>
      </c>
      <c r="M5051" t="s">
        <v>102</v>
      </c>
      <c r="N5051" s="2">
        <v>46065</v>
      </c>
    </row>
    <row r="5052" spans="1:14" x14ac:dyDescent="0.25">
      <c r="A5052" s="4" t="s">
        <v>239</v>
      </c>
      <c r="B5052" s="5"/>
      <c r="C5052" s="4" t="s">
        <v>9</v>
      </c>
      <c r="D5052" s="4" t="s">
        <v>9</v>
      </c>
      <c r="E5052" s="4" t="s">
        <v>9</v>
      </c>
      <c r="F5052" s="6">
        <v>0</v>
      </c>
      <c r="G5052" s="6">
        <v>0</v>
      </c>
      <c r="H5052" s="4" t="s">
        <v>9</v>
      </c>
      <c r="I5052" s="4" t="s">
        <v>3</v>
      </c>
      <c r="J5052" s="4" t="s">
        <v>9</v>
      </c>
      <c r="K5052" s="4" t="s">
        <v>9</v>
      </c>
      <c r="L5052" s="4" t="s">
        <v>9</v>
      </c>
      <c r="M5052" s="4" t="s">
        <v>9</v>
      </c>
      <c r="N5052" s="5"/>
    </row>
    <row r="5053" spans="1:14" x14ac:dyDescent="0.25">
      <c r="A5053" t="s">
        <v>644</v>
      </c>
      <c r="B5053" s="2">
        <v>46115</v>
      </c>
      <c r="C5053" t="s">
        <v>644</v>
      </c>
      <c r="D5053" t="s">
        <v>99</v>
      </c>
      <c r="E5053" t="s">
        <v>9</v>
      </c>
      <c r="F5053" s="3">
        <v>-4275.25</v>
      </c>
      <c r="G5053" s="3">
        <v>-4275.25</v>
      </c>
      <c r="H5053" t="s">
        <v>3</v>
      </c>
      <c r="I5053" t="s">
        <v>3</v>
      </c>
      <c r="J5053" t="s">
        <v>9</v>
      </c>
      <c r="K5053" t="s">
        <v>9</v>
      </c>
      <c r="L5053" t="s">
        <v>16</v>
      </c>
      <c r="M5053" t="s">
        <v>102</v>
      </c>
      <c r="N5053" s="2">
        <v>46112</v>
      </c>
    </row>
    <row r="5054" spans="1:14" x14ac:dyDescent="0.25">
      <c r="A5054" t="s">
        <v>644</v>
      </c>
      <c r="B5054" s="2">
        <v>46093</v>
      </c>
      <c r="C5054" t="s">
        <v>644</v>
      </c>
      <c r="D5054" t="s">
        <v>99</v>
      </c>
      <c r="E5054" t="s">
        <v>490</v>
      </c>
      <c r="F5054" s="3">
        <v>4275.25</v>
      </c>
      <c r="G5054" s="3">
        <v>4275.25</v>
      </c>
      <c r="H5054" t="s">
        <v>3</v>
      </c>
      <c r="I5054" t="s">
        <v>3</v>
      </c>
      <c r="J5054" t="s">
        <v>645</v>
      </c>
      <c r="K5054" t="s">
        <v>13</v>
      </c>
      <c r="L5054" t="s">
        <v>16</v>
      </c>
      <c r="M5054" t="s">
        <v>102</v>
      </c>
      <c r="N5054" s="2">
        <v>46093</v>
      </c>
    </row>
    <row r="5055" spans="1:14" x14ac:dyDescent="0.25">
      <c r="A5055" s="4" t="s">
        <v>244</v>
      </c>
      <c r="B5055" s="5"/>
      <c r="C5055" s="4" t="s">
        <v>9</v>
      </c>
      <c r="D5055" s="4" t="s">
        <v>9</v>
      </c>
      <c r="E5055" s="4" t="s">
        <v>9</v>
      </c>
      <c r="F5055" s="6">
        <v>0</v>
      </c>
      <c r="G5055" s="6">
        <v>0</v>
      </c>
      <c r="H5055" s="4" t="s">
        <v>9</v>
      </c>
      <c r="I5055" s="4" t="s">
        <v>3</v>
      </c>
      <c r="J5055" s="4" t="s">
        <v>9</v>
      </c>
      <c r="K5055" s="4" t="s">
        <v>9</v>
      </c>
      <c r="L5055" s="4" t="s">
        <v>9</v>
      </c>
      <c r="M5055" s="4" t="s">
        <v>9</v>
      </c>
      <c r="N5055" s="5"/>
    </row>
    <row r="5056" spans="1:14" x14ac:dyDescent="0.25">
      <c r="A5056" t="s">
        <v>644</v>
      </c>
      <c r="B5056" s="2">
        <v>46147</v>
      </c>
      <c r="C5056" t="s">
        <v>644</v>
      </c>
      <c r="D5056" t="s">
        <v>99</v>
      </c>
      <c r="E5056" t="s">
        <v>9</v>
      </c>
      <c r="F5056" s="3">
        <v>-4641.7</v>
      </c>
      <c r="G5056" s="3">
        <v>-4641.7</v>
      </c>
      <c r="H5056" t="s">
        <v>3</v>
      </c>
      <c r="I5056" t="s">
        <v>3</v>
      </c>
      <c r="J5056" t="s">
        <v>9</v>
      </c>
      <c r="K5056" t="s">
        <v>9</v>
      </c>
      <c r="L5056" t="s">
        <v>17</v>
      </c>
      <c r="M5056" t="s">
        <v>102</v>
      </c>
      <c r="N5056" s="2">
        <v>46142</v>
      </c>
    </row>
    <row r="5057" spans="1:14" x14ac:dyDescent="0.25">
      <c r="A5057" t="s">
        <v>644</v>
      </c>
      <c r="B5057" s="2">
        <v>46133</v>
      </c>
      <c r="C5057" t="s">
        <v>644</v>
      </c>
      <c r="D5057" t="s">
        <v>99</v>
      </c>
      <c r="E5057" t="s">
        <v>490</v>
      </c>
      <c r="F5057" s="3">
        <v>4641.7</v>
      </c>
      <c r="G5057" s="3">
        <v>4641.7</v>
      </c>
      <c r="H5057" t="s">
        <v>3</v>
      </c>
      <c r="I5057" t="s">
        <v>3</v>
      </c>
      <c r="J5057" t="s">
        <v>645</v>
      </c>
      <c r="K5057" t="s">
        <v>13</v>
      </c>
      <c r="L5057" t="s">
        <v>17</v>
      </c>
      <c r="M5057" t="s">
        <v>102</v>
      </c>
      <c r="N5057" s="2">
        <v>46133</v>
      </c>
    </row>
    <row r="5058" spans="1:14" x14ac:dyDescent="0.25">
      <c r="A5058" s="4" t="s">
        <v>249</v>
      </c>
      <c r="B5058" s="5"/>
      <c r="C5058" s="4" t="s">
        <v>9</v>
      </c>
      <c r="D5058" s="4" t="s">
        <v>9</v>
      </c>
      <c r="E5058" s="4" t="s">
        <v>9</v>
      </c>
      <c r="F5058" s="6">
        <v>0</v>
      </c>
      <c r="G5058" s="6">
        <v>0</v>
      </c>
      <c r="H5058" s="4" t="s">
        <v>9</v>
      </c>
      <c r="I5058" s="4" t="s">
        <v>3</v>
      </c>
      <c r="J5058" s="4" t="s">
        <v>9</v>
      </c>
      <c r="K5058" s="4" t="s">
        <v>9</v>
      </c>
      <c r="L5058" s="4" t="s">
        <v>9</v>
      </c>
      <c r="M5058" s="4" t="s">
        <v>9</v>
      </c>
      <c r="N5058" s="5"/>
    </row>
    <row r="5059" spans="1:14" x14ac:dyDescent="0.25">
      <c r="A5059" t="s">
        <v>644</v>
      </c>
      <c r="B5059" s="2">
        <v>46175</v>
      </c>
      <c r="C5059" t="s">
        <v>644</v>
      </c>
      <c r="D5059" t="s">
        <v>99</v>
      </c>
      <c r="E5059" t="s">
        <v>9</v>
      </c>
      <c r="F5059" s="3">
        <v>-4397.3999999999996</v>
      </c>
      <c r="G5059" s="3">
        <v>-4397.3999999999996</v>
      </c>
      <c r="H5059" t="s">
        <v>3</v>
      </c>
      <c r="I5059" t="s">
        <v>3</v>
      </c>
      <c r="J5059" t="s">
        <v>9</v>
      </c>
      <c r="K5059" t="s">
        <v>9</v>
      </c>
      <c r="L5059" t="s">
        <v>18</v>
      </c>
      <c r="M5059" t="s">
        <v>102</v>
      </c>
      <c r="N5059" s="2">
        <v>46173</v>
      </c>
    </row>
    <row r="5060" spans="1:14" x14ac:dyDescent="0.25">
      <c r="A5060" t="s">
        <v>644</v>
      </c>
      <c r="B5060" s="2">
        <v>46161</v>
      </c>
      <c r="C5060" t="s">
        <v>644</v>
      </c>
      <c r="D5060" t="s">
        <v>99</v>
      </c>
      <c r="E5060" t="s">
        <v>490</v>
      </c>
      <c r="F5060" s="3">
        <v>4397.3999999999996</v>
      </c>
      <c r="G5060" s="3">
        <v>4397.3999999999996</v>
      </c>
      <c r="H5060" t="s">
        <v>3</v>
      </c>
      <c r="I5060" t="s">
        <v>3</v>
      </c>
      <c r="J5060" t="s">
        <v>645</v>
      </c>
      <c r="K5060" t="s">
        <v>13</v>
      </c>
      <c r="L5060" t="s">
        <v>18</v>
      </c>
      <c r="M5060" t="s">
        <v>102</v>
      </c>
      <c r="N5060" s="2">
        <v>46161</v>
      </c>
    </row>
    <row r="5061" spans="1:14" x14ac:dyDescent="0.25">
      <c r="A5061" s="4" t="s">
        <v>223</v>
      </c>
      <c r="B5061" s="5"/>
      <c r="C5061" s="4" t="s">
        <v>9</v>
      </c>
      <c r="D5061" s="4" t="s">
        <v>9</v>
      </c>
      <c r="E5061" s="4" t="s">
        <v>9</v>
      </c>
      <c r="F5061" s="6">
        <v>0</v>
      </c>
      <c r="G5061" s="6">
        <v>0</v>
      </c>
      <c r="H5061" s="4" t="s">
        <v>9</v>
      </c>
      <c r="I5061" s="4" t="s">
        <v>3</v>
      </c>
      <c r="J5061" s="4" t="s">
        <v>9</v>
      </c>
      <c r="K5061" s="4" t="s">
        <v>9</v>
      </c>
      <c r="L5061" s="4" t="s">
        <v>9</v>
      </c>
      <c r="M5061" s="4" t="s">
        <v>9</v>
      </c>
      <c r="N5061" s="5"/>
    </row>
    <row r="5062" spans="1:14" x14ac:dyDescent="0.25">
      <c r="A5062" t="s">
        <v>644</v>
      </c>
      <c r="B5062" s="2">
        <v>46205</v>
      </c>
      <c r="C5062" t="s">
        <v>644</v>
      </c>
      <c r="D5062" t="s">
        <v>99</v>
      </c>
      <c r="E5062" t="s">
        <v>9</v>
      </c>
      <c r="F5062" s="3">
        <v>-3664.5</v>
      </c>
      <c r="G5062" s="3">
        <v>-3664.5</v>
      </c>
      <c r="H5062" t="s">
        <v>3</v>
      </c>
      <c r="I5062" t="s">
        <v>3</v>
      </c>
      <c r="J5062" t="s">
        <v>9</v>
      </c>
      <c r="K5062" t="s">
        <v>9</v>
      </c>
      <c r="L5062" t="s">
        <v>19</v>
      </c>
      <c r="M5062" t="s">
        <v>102</v>
      </c>
      <c r="N5062" s="2">
        <v>46203</v>
      </c>
    </row>
    <row r="5063" spans="1:14" x14ac:dyDescent="0.25">
      <c r="A5063" t="s">
        <v>644</v>
      </c>
      <c r="B5063" s="2">
        <v>46198</v>
      </c>
      <c r="C5063" t="s">
        <v>644</v>
      </c>
      <c r="D5063" t="s">
        <v>99</v>
      </c>
      <c r="E5063" t="s">
        <v>490</v>
      </c>
      <c r="F5063" s="3">
        <v>3664.5</v>
      </c>
      <c r="G5063" s="3">
        <v>3664.5</v>
      </c>
      <c r="H5063" t="s">
        <v>3</v>
      </c>
      <c r="I5063" t="s">
        <v>3</v>
      </c>
      <c r="J5063" t="s">
        <v>646</v>
      </c>
      <c r="K5063" t="s">
        <v>13</v>
      </c>
      <c r="L5063" t="s">
        <v>19</v>
      </c>
      <c r="M5063" t="s">
        <v>102</v>
      </c>
      <c r="N5063" s="2">
        <v>46198</v>
      </c>
    </row>
    <row r="5064" spans="1:14" x14ac:dyDescent="0.25">
      <c r="A5064" s="4" t="s">
        <v>224</v>
      </c>
      <c r="B5064" s="5"/>
      <c r="C5064" s="4" t="s">
        <v>9</v>
      </c>
      <c r="D5064" s="4" t="s">
        <v>9</v>
      </c>
      <c r="E5064" s="4" t="s">
        <v>9</v>
      </c>
      <c r="F5064" s="6">
        <v>0</v>
      </c>
      <c r="G5064" s="6">
        <v>0</v>
      </c>
      <c r="H5064" s="4" t="s">
        <v>9</v>
      </c>
      <c r="I5064" s="4" t="s">
        <v>3</v>
      </c>
      <c r="J5064" s="4" t="s">
        <v>9</v>
      </c>
      <c r="K5064" s="4" t="s">
        <v>9</v>
      </c>
      <c r="L5064" s="4" t="s">
        <v>9</v>
      </c>
      <c r="M5064" s="4" t="s">
        <v>9</v>
      </c>
      <c r="N5064" s="5"/>
    </row>
    <row r="5065" spans="1:14" x14ac:dyDescent="0.25">
      <c r="A5065" t="s">
        <v>644</v>
      </c>
      <c r="B5065" s="2">
        <v>46267</v>
      </c>
      <c r="C5065" t="s">
        <v>644</v>
      </c>
      <c r="D5065" t="s">
        <v>99</v>
      </c>
      <c r="E5065" t="s">
        <v>9</v>
      </c>
      <c r="F5065" s="3">
        <v>-4397.3999999999996</v>
      </c>
      <c r="G5065" s="3">
        <v>-4397.3999999999996</v>
      </c>
      <c r="H5065" t="s">
        <v>3</v>
      </c>
      <c r="I5065" t="s">
        <v>3</v>
      </c>
      <c r="J5065" t="s">
        <v>9</v>
      </c>
      <c r="K5065" t="s">
        <v>9</v>
      </c>
      <c r="L5065" t="s">
        <v>22</v>
      </c>
      <c r="M5065" t="s">
        <v>102</v>
      </c>
      <c r="N5065" s="2">
        <v>46265</v>
      </c>
    </row>
    <row r="5066" spans="1:14" x14ac:dyDescent="0.25">
      <c r="A5066" t="s">
        <v>644</v>
      </c>
      <c r="B5066" s="2">
        <v>46252</v>
      </c>
      <c r="C5066" t="s">
        <v>644</v>
      </c>
      <c r="D5066" t="s">
        <v>99</v>
      </c>
      <c r="E5066" t="s">
        <v>490</v>
      </c>
      <c r="F5066" s="3">
        <v>4397.3999999999996</v>
      </c>
      <c r="G5066" s="3">
        <v>4397.3999999999996</v>
      </c>
      <c r="H5066" t="s">
        <v>3</v>
      </c>
      <c r="I5066" t="s">
        <v>3</v>
      </c>
      <c r="J5066" t="s">
        <v>646</v>
      </c>
      <c r="K5066" t="s">
        <v>13</v>
      </c>
      <c r="L5066" t="s">
        <v>22</v>
      </c>
      <c r="M5066" t="s">
        <v>102</v>
      </c>
      <c r="N5066" s="2">
        <v>46252</v>
      </c>
    </row>
    <row r="5067" spans="1:14" x14ac:dyDescent="0.25">
      <c r="A5067" s="4" t="s">
        <v>267</v>
      </c>
      <c r="B5067" s="5"/>
      <c r="C5067" s="4" t="s">
        <v>9</v>
      </c>
      <c r="D5067" s="4" t="s">
        <v>9</v>
      </c>
      <c r="E5067" s="4" t="s">
        <v>9</v>
      </c>
      <c r="F5067" s="6">
        <v>0</v>
      </c>
      <c r="G5067" s="6">
        <v>0</v>
      </c>
      <c r="H5067" s="4" t="s">
        <v>9</v>
      </c>
      <c r="I5067" s="4" t="s">
        <v>3</v>
      </c>
      <c r="J5067" s="4" t="s">
        <v>9</v>
      </c>
      <c r="K5067" s="4" t="s">
        <v>9</v>
      </c>
      <c r="L5067" s="4" t="s">
        <v>9</v>
      </c>
      <c r="M5067" s="4" t="s">
        <v>9</v>
      </c>
      <c r="N5067" s="5"/>
    </row>
    <row r="5068" spans="1:14" x14ac:dyDescent="0.25">
      <c r="A5068" t="s">
        <v>644</v>
      </c>
      <c r="B5068" s="2">
        <v>46269</v>
      </c>
      <c r="C5068" t="s">
        <v>644</v>
      </c>
      <c r="D5068" t="s">
        <v>99</v>
      </c>
      <c r="E5068" t="s">
        <v>490</v>
      </c>
      <c r="F5068" s="3">
        <v>5374.6</v>
      </c>
      <c r="G5068" s="3">
        <v>5374.6</v>
      </c>
      <c r="H5068" t="s">
        <v>3</v>
      </c>
      <c r="I5068" t="s">
        <v>3</v>
      </c>
      <c r="J5068" t="s">
        <v>646</v>
      </c>
      <c r="K5068" t="s">
        <v>13</v>
      </c>
      <c r="L5068" t="s">
        <v>6</v>
      </c>
      <c r="M5068" t="s">
        <v>102</v>
      </c>
      <c r="N5068" s="2">
        <v>46269</v>
      </c>
    </row>
    <row r="5069" spans="1:14" x14ac:dyDescent="0.25">
      <c r="A5069" s="4" t="s">
        <v>272</v>
      </c>
      <c r="B5069" s="5"/>
      <c r="C5069" s="4" t="s">
        <v>9</v>
      </c>
      <c r="D5069" s="4" t="s">
        <v>9</v>
      </c>
      <c r="E5069" s="4" t="s">
        <v>9</v>
      </c>
      <c r="F5069" s="6">
        <v>5374.6</v>
      </c>
      <c r="G5069" s="6">
        <v>5374.6</v>
      </c>
      <c r="H5069" s="4" t="s">
        <v>9</v>
      </c>
      <c r="I5069" s="4" t="s">
        <v>3</v>
      </c>
      <c r="J5069" s="4" t="s">
        <v>9</v>
      </c>
      <c r="K5069" s="4" t="s">
        <v>9</v>
      </c>
      <c r="L5069" s="4" t="s">
        <v>9</v>
      </c>
      <c r="M5069" s="4" t="s">
        <v>9</v>
      </c>
      <c r="N5069" s="5"/>
    </row>
    <row r="5070" spans="1:14" x14ac:dyDescent="0.25">
      <c r="A5070" s="4" t="s">
        <v>644</v>
      </c>
      <c r="B5070" s="5"/>
      <c r="C5070" s="4" t="s">
        <v>9</v>
      </c>
      <c r="D5070" s="4" t="s">
        <v>9</v>
      </c>
      <c r="E5070" s="4" t="s">
        <v>9</v>
      </c>
      <c r="F5070" s="6">
        <v>5374.6</v>
      </c>
      <c r="G5070" s="6">
        <v>5374.6</v>
      </c>
      <c r="H5070" s="4" t="s">
        <v>9</v>
      </c>
      <c r="I5070" s="4" t="s">
        <v>3</v>
      </c>
      <c r="J5070" s="4" t="s">
        <v>9</v>
      </c>
      <c r="K5070" s="4" t="s">
        <v>9</v>
      </c>
      <c r="L5070" s="4" t="s">
        <v>9</v>
      </c>
      <c r="M5070" s="4" t="s">
        <v>9</v>
      </c>
      <c r="N5070" s="5"/>
    </row>
    <row r="5071" spans="1:14" x14ac:dyDescent="0.25">
      <c r="A5071" t="s">
        <v>647</v>
      </c>
      <c r="B5071" s="2">
        <v>46267</v>
      </c>
      <c r="C5071" t="s">
        <v>647</v>
      </c>
      <c r="D5071" t="s">
        <v>33</v>
      </c>
      <c r="E5071" t="s">
        <v>9</v>
      </c>
      <c r="F5071" s="3">
        <v>8690</v>
      </c>
      <c r="G5071" s="3">
        <v>8690</v>
      </c>
      <c r="H5071" t="s">
        <v>3</v>
      </c>
      <c r="I5071" t="s">
        <v>3</v>
      </c>
      <c r="J5071" t="s">
        <v>9</v>
      </c>
      <c r="K5071" t="s">
        <v>9</v>
      </c>
      <c r="L5071" t="s">
        <v>22</v>
      </c>
      <c r="M5071" t="s">
        <v>35</v>
      </c>
      <c r="N5071" s="2">
        <v>46265</v>
      </c>
    </row>
    <row r="5072" spans="1:14" x14ac:dyDescent="0.25">
      <c r="A5072" t="s">
        <v>647</v>
      </c>
      <c r="B5072" s="2">
        <v>46254</v>
      </c>
      <c r="C5072" t="s">
        <v>647</v>
      </c>
      <c r="D5072" t="s">
        <v>33</v>
      </c>
      <c r="E5072" t="s">
        <v>9</v>
      </c>
      <c r="F5072" s="3">
        <v>-8690</v>
      </c>
      <c r="G5072" s="3">
        <v>-8690</v>
      </c>
      <c r="H5072" t="s">
        <v>3</v>
      </c>
      <c r="I5072" t="s">
        <v>3</v>
      </c>
      <c r="J5072" t="s">
        <v>9</v>
      </c>
      <c r="K5072" t="s">
        <v>13</v>
      </c>
      <c r="L5072" t="s">
        <v>22</v>
      </c>
      <c r="M5072" t="s">
        <v>35</v>
      </c>
      <c r="N5072" s="2">
        <v>46254</v>
      </c>
    </row>
    <row r="5073" spans="1:14" x14ac:dyDescent="0.25">
      <c r="A5073" s="4" t="s">
        <v>267</v>
      </c>
      <c r="B5073" s="5"/>
      <c r="C5073" s="4" t="s">
        <v>9</v>
      </c>
      <c r="D5073" s="4" t="s">
        <v>9</v>
      </c>
      <c r="E5073" s="4" t="s">
        <v>9</v>
      </c>
      <c r="F5073" s="6">
        <v>0</v>
      </c>
      <c r="G5073" s="6">
        <v>0</v>
      </c>
      <c r="H5073" s="4" t="s">
        <v>9</v>
      </c>
      <c r="I5073" s="4" t="s">
        <v>3</v>
      </c>
      <c r="J5073" s="4" t="s">
        <v>9</v>
      </c>
      <c r="K5073" s="4" t="s">
        <v>9</v>
      </c>
      <c r="L5073" s="4" t="s">
        <v>9</v>
      </c>
      <c r="M5073" s="4" t="s">
        <v>9</v>
      </c>
      <c r="N5073" s="5"/>
    </row>
    <row r="5074" spans="1:14" x14ac:dyDescent="0.25">
      <c r="A5074" s="4" t="s">
        <v>647</v>
      </c>
      <c r="B5074" s="5"/>
      <c r="C5074" s="4" t="s">
        <v>9</v>
      </c>
      <c r="D5074" s="4" t="s">
        <v>9</v>
      </c>
      <c r="E5074" s="4" t="s">
        <v>9</v>
      </c>
      <c r="F5074" s="6">
        <v>0</v>
      </c>
      <c r="G5074" s="6">
        <v>0</v>
      </c>
      <c r="H5074" s="4" t="s">
        <v>9</v>
      </c>
      <c r="I5074" s="4" t="s">
        <v>3</v>
      </c>
      <c r="J5074" s="4" t="s">
        <v>9</v>
      </c>
      <c r="K5074" s="4" t="s">
        <v>9</v>
      </c>
      <c r="L5074" s="4" t="s">
        <v>9</v>
      </c>
      <c r="M5074" s="4" t="s">
        <v>9</v>
      </c>
      <c r="N5074" s="5"/>
    </row>
    <row r="5075" spans="1:14" x14ac:dyDescent="0.25">
      <c r="A5075" t="s">
        <v>648</v>
      </c>
      <c r="B5075" s="2">
        <v>46239</v>
      </c>
      <c r="C5075" t="s">
        <v>648</v>
      </c>
      <c r="D5075" t="s">
        <v>112</v>
      </c>
      <c r="E5075" t="s">
        <v>9</v>
      </c>
      <c r="F5075" s="3">
        <v>-9312.5</v>
      </c>
      <c r="G5075" s="3">
        <v>-9312.5</v>
      </c>
      <c r="H5075" t="s">
        <v>3</v>
      </c>
      <c r="I5075" t="s">
        <v>3</v>
      </c>
      <c r="J5075" t="s">
        <v>9</v>
      </c>
      <c r="K5075" t="s">
        <v>9</v>
      </c>
      <c r="L5075" t="s">
        <v>21</v>
      </c>
      <c r="M5075" t="s">
        <v>114</v>
      </c>
      <c r="N5075" s="2">
        <v>46234</v>
      </c>
    </row>
    <row r="5076" spans="1:14" x14ac:dyDescent="0.25">
      <c r="A5076" t="s">
        <v>648</v>
      </c>
      <c r="B5076" s="2">
        <v>46234</v>
      </c>
      <c r="C5076" t="s">
        <v>648</v>
      </c>
      <c r="D5076" t="s">
        <v>112</v>
      </c>
      <c r="E5076" t="s">
        <v>9</v>
      </c>
      <c r="F5076" s="3">
        <v>1200</v>
      </c>
      <c r="G5076" s="3">
        <v>1200</v>
      </c>
      <c r="H5076" t="s">
        <v>3</v>
      </c>
      <c r="I5076" t="s">
        <v>3</v>
      </c>
      <c r="J5076" t="s">
        <v>319</v>
      </c>
      <c r="K5076" t="s">
        <v>13</v>
      </c>
      <c r="L5076" t="s">
        <v>21</v>
      </c>
      <c r="M5076" t="s">
        <v>114</v>
      </c>
      <c r="N5076" s="2">
        <v>46234</v>
      </c>
    </row>
    <row r="5077" spans="1:14" x14ac:dyDescent="0.25">
      <c r="A5077" t="s">
        <v>648</v>
      </c>
      <c r="B5077" s="2">
        <v>46234</v>
      </c>
      <c r="C5077" t="s">
        <v>648</v>
      </c>
      <c r="D5077" t="s">
        <v>112</v>
      </c>
      <c r="E5077" t="s">
        <v>9</v>
      </c>
      <c r="F5077" s="3">
        <v>8112.5</v>
      </c>
      <c r="G5077" s="3">
        <v>8112.5</v>
      </c>
      <c r="H5077" t="s">
        <v>3</v>
      </c>
      <c r="I5077" t="s">
        <v>3</v>
      </c>
      <c r="J5077" t="s">
        <v>373</v>
      </c>
      <c r="K5077" t="s">
        <v>13</v>
      </c>
      <c r="L5077" t="s">
        <v>21</v>
      </c>
      <c r="M5077" t="s">
        <v>114</v>
      </c>
      <c r="N5077" s="2">
        <v>46234</v>
      </c>
    </row>
    <row r="5078" spans="1:14" x14ac:dyDescent="0.25">
      <c r="A5078" s="4" t="s">
        <v>262</v>
      </c>
      <c r="B5078" s="5"/>
      <c r="C5078" s="4" t="s">
        <v>9</v>
      </c>
      <c r="D5078" s="4" t="s">
        <v>9</v>
      </c>
      <c r="E5078" s="4" t="s">
        <v>9</v>
      </c>
      <c r="F5078" s="6">
        <v>0</v>
      </c>
      <c r="G5078" s="6">
        <v>0</v>
      </c>
      <c r="H5078" s="4" t="s">
        <v>9</v>
      </c>
      <c r="I5078" s="4" t="s">
        <v>3</v>
      </c>
      <c r="J5078" s="4" t="s">
        <v>9</v>
      </c>
      <c r="K5078" s="4" t="s">
        <v>9</v>
      </c>
      <c r="L5078" s="4" t="s">
        <v>9</v>
      </c>
      <c r="M5078" s="4" t="s">
        <v>9</v>
      </c>
      <c r="N5078" s="5"/>
    </row>
    <row r="5079" spans="1:14" x14ac:dyDescent="0.25">
      <c r="A5079" t="s">
        <v>648</v>
      </c>
      <c r="B5079" s="2">
        <v>46267</v>
      </c>
      <c r="C5079" t="s">
        <v>648</v>
      </c>
      <c r="D5079" t="s">
        <v>112</v>
      </c>
      <c r="E5079" t="s">
        <v>9</v>
      </c>
      <c r="F5079" s="3">
        <v>-1680</v>
      </c>
      <c r="G5079" s="3">
        <v>-1680</v>
      </c>
      <c r="H5079" t="s">
        <v>3</v>
      </c>
      <c r="I5079" t="s">
        <v>3</v>
      </c>
      <c r="J5079" t="s">
        <v>9</v>
      </c>
      <c r="K5079" t="s">
        <v>9</v>
      </c>
      <c r="L5079" t="s">
        <v>22</v>
      </c>
      <c r="M5079" t="s">
        <v>114</v>
      </c>
      <c r="N5079" s="2">
        <v>46265</v>
      </c>
    </row>
    <row r="5080" spans="1:14" x14ac:dyDescent="0.25">
      <c r="A5080" t="s">
        <v>648</v>
      </c>
      <c r="B5080" s="2">
        <v>46234</v>
      </c>
      <c r="C5080" t="s">
        <v>648</v>
      </c>
      <c r="D5080" t="s">
        <v>112</v>
      </c>
      <c r="E5080" t="s">
        <v>9</v>
      </c>
      <c r="F5080" s="3">
        <v>-1200</v>
      </c>
      <c r="G5080" s="3">
        <v>-1200</v>
      </c>
      <c r="H5080" t="s">
        <v>3</v>
      </c>
      <c r="I5080" t="s">
        <v>3</v>
      </c>
      <c r="J5080" t="s">
        <v>319</v>
      </c>
      <c r="K5080" t="s">
        <v>13</v>
      </c>
      <c r="L5080" t="s">
        <v>22</v>
      </c>
      <c r="M5080" t="s">
        <v>114</v>
      </c>
      <c r="N5080" s="2">
        <v>46235</v>
      </c>
    </row>
    <row r="5081" spans="1:14" x14ac:dyDescent="0.25">
      <c r="A5081" t="s">
        <v>648</v>
      </c>
      <c r="B5081" s="2">
        <v>46234</v>
      </c>
      <c r="C5081" t="s">
        <v>648</v>
      </c>
      <c r="D5081" t="s">
        <v>112</v>
      </c>
      <c r="E5081" t="s">
        <v>9</v>
      </c>
      <c r="F5081" s="3">
        <v>-8112.5</v>
      </c>
      <c r="G5081" s="3">
        <v>-8112.5</v>
      </c>
      <c r="H5081" t="s">
        <v>3</v>
      </c>
      <c r="I5081" t="s">
        <v>3</v>
      </c>
      <c r="J5081" t="s">
        <v>373</v>
      </c>
      <c r="K5081" t="s">
        <v>13</v>
      </c>
      <c r="L5081" t="s">
        <v>22</v>
      </c>
      <c r="M5081" t="s">
        <v>114</v>
      </c>
      <c r="N5081" s="2">
        <v>46235</v>
      </c>
    </row>
    <row r="5082" spans="1:14" x14ac:dyDescent="0.25">
      <c r="A5082" t="s">
        <v>648</v>
      </c>
      <c r="B5082" s="2">
        <v>46265</v>
      </c>
      <c r="C5082" t="s">
        <v>648</v>
      </c>
      <c r="D5082" t="s">
        <v>112</v>
      </c>
      <c r="E5082" t="s">
        <v>9</v>
      </c>
      <c r="F5082" s="3">
        <v>1200</v>
      </c>
      <c r="G5082" s="3">
        <v>1200</v>
      </c>
      <c r="H5082" t="s">
        <v>3</v>
      </c>
      <c r="I5082" t="s">
        <v>3</v>
      </c>
      <c r="J5082" t="s">
        <v>322</v>
      </c>
      <c r="K5082" t="s">
        <v>13</v>
      </c>
      <c r="L5082" t="s">
        <v>22</v>
      </c>
      <c r="M5082" t="s">
        <v>114</v>
      </c>
      <c r="N5082" s="2">
        <v>46265</v>
      </c>
    </row>
    <row r="5083" spans="1:14" x14ac:dyDescent="0.25">
      <c r="A5083" t="s">
        <v>648</v>
      </c>
      <c r="B5083" s="2">
        <v>46265</v>
      </c>
      <c r="C5083" t="s">
        <v>648</v>
      </c>
      <c r="D5083" t="s">
        <v>112</v>
      </c>
      <c r="E5083" t="s">
        <v>9</v>
      </c>
      <c r="F5083" s="3">
        <v>9162.5</v>
      </c>
      <c r="G5083" s="3">
        <v>9162.5</v>
      </c>
      <c r="H5083" t="s">
        <v>3</v>
      </c>
      <c r="I5083" t="s">
        <v>3</v>
      </c>
      <c r="J5083" t="s">
        <v>430</v>
      </c>
      <c r="K5083" t="s">
        <v>13</v>
      </c>
      <c r="L5083" t="s">
        <v>22</v>
      </c>
      <c r="M5083" t="s">
        <v>114</v>
      </c>
      <c r="N5083" s="2">
        <v>46265</v>
      </c>
    </row>
    <row r="5084" spans="1:14" x14ac:dyDescent="0.25">
      <c r="A5084" t="s">
        <v>648</v>
      </c>
      <c r="B5084" s="2">
        <v>46265</v>
      </c>
      <c r="C5084" t="s">
        <v>648</v>
      </c>
      <c r="D5084" t="s">
        <v>112</v>
      </c>
      <c r="E5084" t="s">
        <v>9</v>
      </c>
      <c r="F5084" s="3">
        <v>630</v>
      </c>
      <c r="G5084" s="3">
        <v>630</v>
      </c>
      <c r="H5084" t="s">
        <v>3</v>
      </c>
      <c r="I5084" t="s">
        <v>3</v>
      </c>
      <c r="J5084" t="s">
        <v>511</v>
      </c>
      <c r="K5084" t="s">
        <v>13</v>
      </c>
      <c r="L5084" t="s">
        <v>22</v>
      </c>
      <c r="M5084" t="s">
        <v>114</v>
      </c>
      <c r="N5084" s="2">
        <v>46265</v>
      </c>
    </row>
    <row r="5085" spans="1:14" x14ac:dyDescent="0.25">
      <c r="A5085" s="4" t="s">
        <v>267</v>
      </c>
      <c r="B5085" s="5"/>
      <c r="C5085" s="4" t="s">
        <v>9</v>
      </c>
      <c r="D5085" s="4" t="s">
        <v>9</v>
      </c>
      <c r="E5085" s="4" t="s">
        <v>9</v>
      </c>
      <c r="F5085" s="6">
        <v>0</v>
      </c>
      <c r="G5085" s="6">
        <v>0</v>
      </c>
      <c r="H5085" s="4" t="s">
        <v>9</v>
      </c>
      <c r="I5085" s="4" t="s">
        <v>3</v>
      </c>
      <c r="J5085" s="4" t="s">
        <v>9</v>
      </c>
      <c r="K5085" s="4" t="s">
        <v>9</v>
      </c>
      <c r="L5085" s="4" t="s">
        <v>9</v>
      </c>
      <c r="M5085" s="4" t="s">
        <v>9</v>
      </c>
      <c r="N5085" s="5"/>
    </row>
    <row r="5086" spans="1:14" x14ac:dyDescent="0.25">
      <c r="A5086" s="4" t="s">
        <v>648</v>
      </c>
      <c r="B5086" s="5"/>
      <c r="C5086" s="4" t="s">
        <v>9</v>
      </c>
      <c r="D5086" s="4" t="s">
        <v>9</v>
      </c>
      <c r="E5086" s="4" t="s">
        <v>9</v>
      </c>
      <c r="F5086" s="6">
        <v>0</v>
      </c>
      <c r="G5086" s="6">
        <v>0</v>
      </c>
      <c r="H5086" s="4" t="s">
        <v>9</v>
      </c>
      <c r="I5086" s="4" t="s">
        <v>3</v>
      </c>
      <c r="J5086" s="4" t="s">
        <v>9</v>
      </c>
      <c r="K5086" s="4" t="s">
        <v>9</v>
      </c>
      <c r="L5086" s="4" t="s">
        <v>9</v>
      </c>
      <c r="M5086" s="4" t="s">
        <v>9</v>
      </c>
      <c r="N5086" s="5"/>
    </row>
    <row r="5087" spans="1:14" x14ac:dyDescent="0.25">
      <c r="A5087" t="s">
        <v>649</v>
      </c>
      <c r="B5087" s="2">
        <v>46028</v>
      </c>
      <c r="C5087" t="s">
        <v>649</v>
      </c>
      <c r="D5087" t="s">
        <v>33</v>
      </c>
      <c r="E5087" t="s">
        <v>9</v>
      </c>
      <c r="F5087" s="3">
        <v>12000</v>
      </c>
      <c r="G5087" s="3">
        <v>12000</v>
      </c>
      <c r="H5087" t="s">
        <v>3</v>
      </c>
      <c r="I5087" t="s">
        <v>3</v>
      </c>
      <c r="J5087" t="s">
        <v>9</v>
      </c>
      <c r="K5087" t="s">
        <v>9</v>
      </c>
      <c r="L5087" t="s">
        <v>12</v>
      </c>
      <c r="M5087" t="s">
        <v>35</v>
      </c>
      <c r="N5087" s="2">
        <v>46022</v>
      </c>
    </row>
    <row r="5088" spans="1:14" x14ac:dyDescent="0.25">
      <c r="A5088" t="s">
        <v>649</v>
      </c>
      <c r="B5088" s="2">
        <v>46007</v>
      </c>
      <c r="C5088" t="s">
        <v>649</v>
      </c>
      <c r="D5088" t="s">
        <v>33</v>
      </c>
      <c r="E5088" t="s">
        <v>9</v>
      </c>
      <c r="F5088" s="3">
        <v>-12000</v>
      </c>
      <c r="G5088" s="3">
        <v>-12000</v>
      </c>
      <c r="H5088" t="s">
        <v>3</v>
      </c>
      <c r="I5088" t="s">
        <v>3</v>
      </c>
      <c r="J5088" t="s">
        <v>9</v>
      </c>
      <c r="K5088" t="s">
        <v>5</v>
      </c>
      <c r="L5088" t="s">
        <v>12</v>
      </c>
      <c r="M5088" t="s">
        <v>35</v>
      </c>
      <c r="N5088" s="2">
        <v>46007</v>
      </c>
    </row>
    <row r="5089" spans="1:14" x14ac:dyDescent="0.25">
      <c r="A5089" s="4" t="s">
        <v>228</v>
      </c>
      <c r="B5089" s="5"/>
      <c r="C5089" s="4" t="s">
        <v>9</v>
      </c>
      <c r="D5089" s="4" t="s">
        <v>9</v>
      </c>
      <c r="E5089" s="4" t="s">
        <v>9</v>
      </c>
      <c r="F5089" s="6">
        <v>0</v>
      </c>
      <c r="G5089" s="6">
        <v>0</v>
      </c>
      <c r="H5089" s="4" t="s">
        <v>9</v>
      </c>
      <c r="I5089" s="4" t="s">
        <v>3</v>
      </c>
      <c r="J5089" s="4" t="s">
        <v>9</v>
      </c>
      <c r="K5089" s="4" t="s">
        <v>9</v>
      </c>
      <c r="L5089" s="4" t="s">
        <v>9</v>
      </c>
      <c r="M5089" s="4" t="s">
        <v>9</v>
      </c>
      <c r="N5089" s="5"/>
    </row>
    <row r="5090" spans="1:14" x14ac:dyDescent="0.25">
      <c r="A5090" s="4" t="s">
        <v>649</v>
      </c>
      <c r="B5090" s="5"/>
      <c r="C5090" s="4" t="s">
        <v>9</v>
      </c>
      <c r="D5090" s="4" t="s">
        <v>9</v>
      </c>
      <c r="E5090" s="4" t="s">
        <v>9</v>
      </c>
      <c r="F5090" s="6">
        <v>0</v>
      </c>
      <c r="G5090" s="6">
        <v>0</v>
      </c>
      <c r="H5090" s="4" t="s">
        <v>9</v>
      </c>
      <c r="I5090" s="4" t="s">
        <v>3</v>
      </c>
      <c r="J5090" s="4" t="s">
        <v>9</v>
      </c>
      <c r="K5090" s="4" t="s">
        <v>9</v>
      </c>
      <c r="L5090" s="4" t="s">
        <v>9</v>
      </c>
      <c r="M5090" s="4" t="s">
        <v>9</v>
      </c>
      <c r="N5090" s="5"/>
    </row>
    <row r="5091" spans="1:14" x14ac:dyDescent="0.25">
      <c r="A5091" t="s">
        <v>650</v>
      </c>
      <c r="B5091" s="2">
        <v>46056</v>
      </c>
      <c r="C5091" t="s">
        <v>650</v>
      </c>
      <c r="D5091" t="s">
        <v>112</v>
      </c>
      <c r="E5091" t="s">
        <v>9</v>
      </c>
      <c r="F5091" s="3">
        <v>-2300</v>
      </c>
      <c r="G5091" s="3">
        <v>-2300</v>
      </c>
      <c r="H5091" t="s">
        <v>3</v>
      </c>
      <c r="I5091" t="s">
        <v>3</v>
      </c>
      <c r="J5091" t="s">
        <v>9</v>
      </c>
      <c r="K5091" t="s">
        <v>9</v>
      </c>
      <c r="L5091" t="s">
        <v>14</v>
      </c>
      <c r="M5091" t="s">
        <v>114</v>
      </c>
      <c r="N5091" s="2">
        <v>46053</v>
      </c>
    </row>
    <row r="5092" spans="1:14" x14ac:dyDescent="0.25">
      <c r="A5092" t="s">
        <v>650</v>
      </c>
      <c r="B5092" s="2">
        <v>46053</v>
      </c>
      <c r="C5092" t="s">
        <v>650</v>
      </c>
      <c r="D5092" t="s">
        <v>112</v>
      </c>
      <c r="E5092" t="s">
        <v>9</v>
      </c>
      <c r="F5092" s="3">
        <v>2300</v>
      </c>
      <c r="G5092" s="3">
        <v>2300</v>
      </c>
      <c r="H5092" t="s">
        <v>3</v>
      </c>
      <c r="I5092" t="s">
        <v>3</v>
      </c>
      <c r="J5092" t="s">
        <v>367</v>
      </c>
      <c r="K5092" t="s">
        <v>13</v>
      </c>
      <c r="L5092" t="s">
        <v>14</v>
      </c>
      <c r="M5092" t="s">
        <v>114</v>
      </c>
      <c r="N5092" s="2">
        <v>46053</v>
      </c>
    </row>
    <row r="5093" spans="1:14" x14ac:dyDescent="0.25">
      <c r="A5093" s="4" t="s">
        <v>234</v>
      </c>
      <c r="B5093" s="5"/>
      <c r="C5093" s="4" t="s">
        <v>9</v>
      </c>
      <c r="D5093" s="4" t="s">
        <v>9</v>
      </c>
      <c r="E5093" s="4" t="s">
        <v>9</v>
      </c>
      <c r="F5093" s="6">
        <v>0</v>
      </c>
      <c r="G5093" s="6">
        <v>0</v>
      </c>
      <c r="H5093" s="4" t="s">
        <v>9</v>
      </c>
      <c r="I5093" s="4" t="s">
        <v>3</v>
      </c>
      <c r="J5093" s="4" t="s">
        <v>9</v>
      </c>
      <c r="K5093" s="4" t="s">
        <v>9</v>
      </c>
      <c r="L5093" s="4" t="s">
        <v>9</v>
      </c>
      <c r="M5093" s="4" t="s">
        <v>9</v>
      </c>
      <c r="N5093" s="5"/>
    </row>
    <row r="5094" spans="1:14" x14ac:dyDescent="0.25">
      <c r="A5094" t="s">
        <v>650</v>
      </c>
      <c r="B5094" s="2">
        <v>46084</v>
      </c>
      <c r="C5094" t="s">
        <v>650</v>
      </c>
      <c r="D5094" t="s">
        <v>112</v>
      </c>
      <c r="E5094" t="s">
        <v>9</v>
      </c>
      <c r="F5094" s="3">
        <v>-4240</v>
      </c>
      <c r="G5094" s="3">
        <v>-4240</v>
      </c>
      <c r="H5094" t="s">
        <v>3</v>
      </c>
      <c r="I5094" t="s">
        <v>3</v>
      </c>
      <c r="J5094" t="s">
        <v>9</v>
      </c>
      <c r="K5094" t="s">
        <v>9</v>
      </c>
      <c r="L5094" t="s">
        <v>15</v>
      </c>
      <c r="M5094" t="s">
        <v>114</v>
      </c>
      <c r="N5094" s="2">
        <v>46081</v>
      </c>
    </row>
    <row r="5095" spans="1:14" x14ac:dyDescent="0.25">
      <c r="A5095" t="s">
        <v>650</v>
      </c>
      <c r="B5095" s="2">
        <v>46054</v>
      </c>
      <c r="C5095" t="s">
        <v>650</v>
      </c>
      <c r="D5095" t="s">
        <v>112</v>
      </c>
      <c r="E5095" t="s">
        <v>9</v>
      </c>
      <c r="F5095" s="3">
        <v>-2300</v>
      </c>
      <c r="G5095" s="3">
        <v>-2300</v>
      </c>
      <c r="H5095" t="s">
        <v>3</v>
      </c>
      <c r="I5095" t="s">
        <v>3</v>
      </c>
      <c r="J5095" t="s">
        <v>367</v>
      </c>
      <c r="K5095" t="s">
        <v>13</v>
      </c>
      <c r="L5095" t="s">
        <v>15</v>
      </c>
      <c r="M5095" t="s">
        <v>114</v>
      </c>
      <c r="N5095" s="2">
        <v>46054</v>
      </c>
    </row>
    <row r="5096" spans="1:14" x14ac:dyDescent="0.25">
      <c r="A5096" t="s">
        <v>650</v>
      </c>
      <c r="B5096" s="2">
        <v>46054</v>
      </c>
      <c r="C5096" t="s">
        <v>650</v>
      </c>
      <c r="D5096" t="s">
        <v>112</v>
      </c>
      <c r="E5096" t="s">
        <v>9</v>
      </c>
      <c r="F5096" s="3">
        <v>2300</v>
      </c>
      <c r="G5096" s="3">
        <v>2300</v>
      </c>
      <c r="H5096" t="s">
        <v>3</v>
      </c>
      <c r="I5096" t="s">
        <v>3</v>
      </c>
      <c r="J5096" t="s">
        <v>367</v>
      </c>
      <c r="K5096" t="s">
        <v>13</v>
      </c>
      <c r="L5096" t="s">
        <v>15</v>
      </c>
      <c r="M5096" t="s">
        <v>114</v>
      </c>
      <c r="N5096" s="2">
        <v>46055</v>
      </c>
    </row>
    <row r="5097" spans="1:14" x14ac:dyDescent="0.25">
      <c r="A5097" t="s">
        <v>650</v>
      </c>
      <c r="B5097" s="2">
        <v>46054</v>
      </c>
      <c r="C5097" t="s">
        <v>650</v>
      </c>
      <c r="D5097" t="s">
        <v>112</v>
      </c>
      <c r="E5097" t="s">
        <v>9</v>
      </c>
      <c r="F5097" s="3">
        <v>-2300</v>
      </c>
      <c r="G5097" s="3">
        <v>-2300</v>
      </c>
      <c r="H5097" t="s">
        <v>3</v>
      </c>
      <c r="I5097" t="s">
        <v>3</v>
      </c>
      <c r="J5097" t="s">
        <v>367</v>
      </c>
      <c r="K5097" t="s">
        <v>13</v>
      </c>
      <c r="L5097" t="s">
        <v>15</v>
      </c>
      <c r="M5097" t="s">
        <v>114</v>
      </c>
      <c r="N5097" s="2">
        <v>46054</v>
      </c>
    </row>
    <row r="5098" spans="1:14" x14ac:dyDescent="0.25">
      <c r="A5098" t="s">
        <v>650</v>
      </c>
      <c r="B5098" s="2">
        <v>46081</v>
      </c>
      <c r="C5098" t="s">
        <v>650</v>
      </c>
      <c r="D5098" t="s">
        <v>112</v>
      </c>
      <c r="E5098" t="s">
        <v>9</v>
      </c>
      <c r="F5098" s="3">
        <v>6540</v>
      </c>
      <c r="G5098" s="3">
        <v>6540</v>
      </c>
      <c r="H5098" t="s">
        <v>3</v>
      </c>
      <c r="I5098" t="s">
        <v>3</v>
      </c>
      <c r="J5098" t="s">
        <v>368</v>
      </c>
      <c r="K5098" t="s">
        <v>13</v>
      </c>
      <c r="L5098" t="s">
        <v>15</v>
      </c>
      <c r="M5098" t="s">
        <v>114</v>
      </c>
      <c r="N5098" s="2">
        <v>46081</v>
      </c>
    </row>
    <row r="5099" spans="1:14" x14ac:dyDescent="0.25">
      <c r="A5099" s="4" t="s">
        <v>239</v>
      </c>
      <c r="B5099" s="5"/>
      <c r="C5099" s="4" t="s">
        <v>9</v>
      </c>
      <c r="D5099" s="4" t="s">
        <v>9</v>
      </c>
      <c r="E5099" s="4" t="s">
        <v>9</v>
      </c>
      <c r="F5099" s="6">
        <v>0</v>
      </c>
      <c r="G5099" s="6">
        <v>0</v>
      </c>
      <c r="H5099" s="4" t="s">
        <v>9</v>
      </c>
      <c r="I5099" s="4" t="s">
        <v>3</v>
      </c>
      <c r="J5099" s="4" t="s">
        <v>9</v>
      </c>
      <c r="K5099" s="4" t="s">
        <v>9</v>
      </c>
      <c r="L5099" s="4" t="s">
        <v>9</v>
      </c>
      <c r="M5099" s="4" t="s">
        <v>9</v>
      </c>
      <c r="N5099" s="5"/>
    </row>
    <row r="5100" spans="1:14" x14ac:dyDescent="0.25">
      <c r="A5100" t="s">
        <v>650</v>
      </c>
      <c r="B5100" s="2">
        <v>46115</v>
      </c>
      <c r="C5100" t="s">
        <v>650</v>
      </c>
      <c r="D5100" t="s">
        <v>112</v>
      </c>
      <c r="E5100" t="s">
        <v>9</v>
      </c>
      <c r="F5100" s="3">
        <v>-2800</v>
      </c>
      <c r="G5100" s="3">
        <v>-2800</v>
      </c>
      <c r="H5100" t="s">
        <v>3</v>
      </c>
      <c r="I5100" t="s">
        <v>3</v>
      </c>
      <c r="J5100" t="s">
        <v>9</v>
      </c>
      <c r="K5100" t="s">
        <v>9</v>
      </c>
      <c r="L5100" t="s">
        <v>16</v>
      </c>
      <c r="M5100" t="s">
        <v>114</v>
      </c>
      <c r="N5100" s="2">
        <v>46112</v>
      </c>
    </row>
    <row r="5101" spans="1:14" x14ac:dyDescent="0.25">
      <c r="A5101" t="s">
        <v>650</v>
      </c>
      <c r="B5101" s="2">
        <v>46081</v>
      </c>
      <c r="C5101" t="s">
        <v>650</v>
      </c>
      <c r="D5101" t="s">
        <v>112</v>
      </c>
      <c r="E5101" t="s">
        <v>9</v>
      </c>
      <c r="F5101" s="3">
        <v>-6540</v>
      </c>
      <c r="G5101" s="3">
        <v>-6540</v>
      </c>
      <c r="H5101" t="s">
        <v>3</v>
      </c>
      <c r="I5101" t="s">
        <v>3</v>
      </c>
      <c r="J5101" t="s">
        <v>368</v>
      </c>
      <c r="K5101" t="s">
        <v>13</v>
      </c>
      <c r="L5101" t="s">
        <v>16</v>
      </c>
      <c r="M5101" t="s">
        <v>114</v>
      </c>
      <c r="N5101" s="2">
        <v>46082</v>
      </c>
    </row>
    <row r="5102" spans="1:14" x14ac:dyDescent="0.25">
      <c r="A5102" t="s">
        <v>650</v>
      </c>
      <c r="B5102" s="2">
        <v>46112</v>
      </c>
      <c r="C5102" t="s">
        <v>650</v>
      </c>
      <c r="D5102" t="s">
        <v>112</v>
      </c>
      <c r="E5102" t="s">
        <v>9</v>
      </c>
      <c r="F5102" s="3">
        <v>9340</v>
      </c>
      <c r="G5102" s="3">
        <v>9340</v>
      </c>
      <c r="H5102" t="s">
        <v>3</v>
      </c>
      <c r="I5102" t="s">
        <v>3</v>
      </c>
      <c r="J5102" t="s">
        <v>369</v>
      </c>
      <c r="K5102" t="s">
        <v>13</v>
      </c>
      <c r="L5102" t="s">
        <v>16</v>
      </c>
      <c r="M5102" t="s">
        <v>114</v>
      </c>
      <c r="N5102" s="2">
        <v>46112</v>
      </c>
    </row>
    <row r="5103" spans="1:14" x14ac:dyDescent="0.25">
      <c r="A5103" s="4" t="s">
        <v>244</v>
      </c>
      <c r="B5103" s="5"/>
      <c r="C5103" s="4" t="s">
        <v>9</v>
      </c>
      <c r="D5103" s="4" t="s">
        <v>9</v>
      </c>
      <c r="E5103" s="4" t="s">
        <v>9</v>
      </c>
      <c r="F5103" s="6">
        <v>0</v>
      </c>
      <c r="G5103" s="6">
        <v>0</v>
      </c>
      <c r="H5103" s="4" t="s">
        <v>9</v>
      </c>
      <c r="I5103" s="4" t="s">
        <v>3</v>
      </c>
      <c r="J5103" s="4" t="s">
        <v>9</v>
      </c>
      <c r="K5103" s="4" t="s">
        <v>9</v>
      </c>
      <c r="L5103" s="4" t="s">
        <v>9</v>
      </c>
      <c r="M5103" s="4" t="s">
        <v>9</v>
      </c>
      <c r="N5103" s="5"/>
    </row>
    <row r="5104" spans="1:14" x14ac:dyDescent="0.25">
      <c r="A5104" t="s">
        <v>650</v>
      </c>
      <c r="B5104" s="2">
        <v>46147</v>
      </c>
      <c r="C5104" t="s">
        <v>650</v>
      </c>
      <c r="D5104" t="s">
        <v>112</v>
      </c>
      <c r="E5104" t="s">
        <v>9</v>
      </c>
      <c r="F5104" s="3">
        <v>-2720</v>
      </c>
      <c r="G5104" s="3">
        <v>-2720</v>
      </c>
      <c r="H5104" t="s">
        <v>3</v>
      </c>
      <c r="I5104" t="s">
        <v>3</v>
      </c>
      <c r="J5104" t="s">
        <v>9</v>
      </c>
      <c r="K5104" t="s">
        <v>9</v>
      </c>
      <c r="L5104" t="s">
        <v>17</v>
      </c>
      <c r="M5104" t="s">
        <v>114</v>
      </c>
      <c r="N5104" s="2">
        <v>46142</v>
      </c>
    </row>
    <row r="5105" spans="1:14" x14ac:dyDescent="0.25">
      <c r="A5105" t="s">
        <v>650</v>
      </c>
      <c r="B5105" s="2">
        <v>46112</v>
      </c>
      <c r="C5105" t="s">
        <v>650</v>
      </c>
      <c r="D5105" t="s">
        <v>112</v>
      </c>
      <c r="E5105" t="s">
        <v>9</v>
      </c>
      <c r="F5105" s="3">
        <v>-9340</v>
      </c>
      <c r="G5105" s="3">
        <v>-9340</v>
      </c>
      <c r="H5105" t="s">
        <v>3</v>
      </c>
      <c r="I5105" t="s">
        <v>3</v>
      </c>
      <c r="J5105" t="s">
        <v>369</v>
      </c>
      <c r="K5105" t="s">
        <v>13</v>
      </c>
      <c r="L5105" t="s">
        <v>17</v>
      </c>
      <c r="M5105" t="s">
        <v>114</v>
      </c>
      <c r="N5105" s="2">
        <v>46113</v>
      </c>
    </row>
    <row r="5106" spans="1:14" x14ac:dyDescent="0.25">
      <c r="A5106" t="s">
        <v>650</v>
      </c>
      <c r="B5106" s="2">
        <v>46142</v>
      </c>
      <c r="C5106" t="s">
        <v>650</v>
      </c>
      <c r="D5106" t="s">
        <v>112</v>
      </c>
      <c r="E5106" t="s">
        <v>9</v>
      </c>
      <c r="F5106" s="3">
        <v>12060</v>
      </c>
      <c r="G5106" s="3">
        <v>12060</v>
      </c>
      <c r="H5106" t="s">
        <v>3</v>
      </c>
      <c r="I5106" t="s">
        <v>3</v>
      </c>
      <c r="J5106" t="s">
        <v>370</v>
      </c>
      <c r="K5106" t="s">
        <v>13</v>
      </c>
      <c r="L5106" t="s">
        <v>17</v>
      </c>
      <c r="M5106" t="s">
        <v>114</v>
      </c>
      <c r="N5106" s="2">
        <v>46142</v>
      </c>
    </row>
    <row r="5107" spans="1:14" x14ac:dyDescent="0.25">
      <c r="A5107" s="4" t="s">
        <v>249</v>
      </c>
      <c r="B5107" s="5"/>
      <c r="C5107" s="4" t="s">
        <v>9</v>
      </c>
      <c r="D5107" s="4" t="s">
        <v>9</v>
      </c>
      <c r="E5107" s="4" t="s">
        <v>9</v>
      </c>
      <c r="F5107" s="6">
        <v>0</v>
      </c>
      <c r="G5107" s="6">
        <v>0</v>
      </c>
      <c r="H5107" s="4" t="s">
        <v>9</v>
      </c>
      <c r="I5107" s="4" t="s">
        <v>3</v>
      </c>
      <c r="J5107" s="4" t="s">
        <v>9</v>
      </c>
      <c r="K5107" s="4" t="s">
        <v>9</v>
      </c>
      <c r="L5107" s="4" t="s">
        <v>9</v>
      </c>
      <c r="M5107" s="4" t="s">
        <v>9</v>
      </c>
      <c r="N5107" s="5"/>
    </row>
    <row r="5108" spans="1:14" x14ac:dyDescent="0.25">
      <c r="A5108" t="s">
        <v>650</v>
      </c>
      <c r="B5108" s="2">
        <v>46175</v>
      </c>
      <c r="C5108" t="s">
        <v>650</v>
      </c>
      <c r="D5108" t="s">
        <v>112</v>
      </c>
      <c r="E5108" t="s">
        <v>9</v>
      </c>
      <c r="F5108" s="3">
        <v>-600</v>
      </c>
      <c r="G5108" s="3">
        <v>-600</v>
      </c>
      <c r="H5108" t="s">
        <v>3</v>
      </c>
      <c r="I5108" t="s">
        <v>3</v>
      </c>
      <c r="J5108" t="s">
        <v>9</v>
      </c>
      <c r="K5108" t="s">
        <v>9</v>
      </c>
      <c r="L5108" t="s">
        <v>18</v>
      </c>
      <c r="M5108" t="s">
        <v>114</v>
      </c>
      <c r="N5108" s="2">
        <v>46173</v>
      </c>
    </row>
    <row r="5109" spans="1:14" x14ac:dyDescent="0.25">
      <c r="A5109" t="s">
        <v>650</v>
      </c>
      <c r="B5109" s="2">
        <v>46142</v>
      </c>
      <c r="C5109" t="s">
        <v>650</v>
      </c>
      <c r="D5109" t="s">
        <v>112</v>
      </c>
      <c r="E5109" t="s">
        <v>9</v>
      </c>
      <c r="F5109" s="3">
        <v>-12060</v>
      </c>
      <c r="G5109" s="3">
        <v>-12060</v>
      </c>
      <c r="H5109" t="s">
        <v>3</v>
      </c>
      <c r="I5109" t="s">
        <v>3</v>
      </c>
      <c r="J5109" t="s">
        <v>370</v>
      </c>
      <c r="K5109" t="s">
        <v>13</v>
      </c>
      <c r="L5109" t="s">
        <v>18</v>
      </c>
      <c r="M5109" t="s">
        <v>114</v>
      </c>
      <c r="N5109" s="2">
        <v>46143</v>
      </c>
    </row>
    <row r="5110" spans="1:14" x14ac:dyDescent="0.25">
      <c r="A5110" t="s">
        <v>650</v>
      </c>
      <c r="B5110" s="2">
        <v>46173</v>
      </c>
      <c r="C5110" t="s">
        <v>650</v>
      </c>
      <c r="D5110" t="s">
        <v>112</v>
      </c>
      <c r="E5110" t="s">
        <v>9</v>
      </c>
      <c r="F5110" s="3">
        <v>12660</v>
      </c>
      <c r="G5110" s="3">
        <v>12660</v>
      </c>
      <c r="H5110" t="s">
        <v>3</v>
      </c>
      <c r="I5110" t="s">
        <v>3</v>
      </c>
      <c r="J5110" t="s">
        <v>371</v>
      </c>
      <c r="K5110" t="s">
        <v>13</v>
      </c>
      <c r="L5110" t="s">
        <v>18</v>
      </c>
      <c r="M5110" t="s">
        <v>114</v>
      </c>
      <c r="N5110" s="2">
        <v>46173</v>
      </c>
    </row>
    <row r="5111" spans="1:14" x14ac:dyDescent="0.25">
      <c r="A5111" s="4" t="s">
        <v>223</v>
      </c>
      <c r="B5111" s="5"/>
      <c r="C5111" s="4" t="s">
        <v>9</v>
      </c>
      <c r="D5111" s="4" t="s">
        <v>9</v>
      </c>
      <c r="E5111" s="4" t="s">
        <v>9</v>
      </c>
      <c r="F5111" s="6">
        <v>0</v>
      </c>
      <c r="G5111" s="6">
        <v>0</v>
      </c>
      <c r="H5111" s="4" t="s">
        <v>9</v>
      </c>
      <c r="I5111" s="4" t="s">
        <v>3</v>
      </c>
      <c r="J5111" s="4" t="s">
        <v>9</v>
      </c>
      <c r="K5111" s="4" t="s">
        <v>9</v>
      </c>
      <c r="L5111" s="4" t="s">
        <v>9</v>
      </c>
      <c r="M5111" s="4" t="s">
        <v>9</v>
      </c>
      <c r="N5111" s="5"/>
    </row>
    <row r="5112" spans="1:14" x14ac:dyDescent="0.25">
      <c r="A5112" t="s">
        <v>650</v>
      </c>
      <c r="B5112" s="2">
        <v>46205</v>
      </c>
      <c r="C5112" t="s">
        <v>650</v>
      </c>
      <c r="D5112" t="s">
        <v>112</v>
      </c>
      <c r="E5112" t="s">
        <v>9</v>
      </c>
      <c r="F5112" s="3">
        <v>-1000</v>
      </c>
      <c r="G5112" s="3">
        <v>-1000</v>
      </c>
      <c r="H5112" t="s">
        <v>3</v>
      </c>
      <c r="I5112" t="s">
        <v>3</v>
      </c>
      <c r="J5112" t="s">
        <v>9</v>
      </c>
      <c r="K5112" t="s">
        <v>9</v>
      </c>
      <c r="L5112" t="s">
        <v>19</v>
      </c>
      <c r="M5112" t="s">
        <v>114</v>
      </c>
      <c r="N5112" s="2">
        <v>46203</v>
      </c>
    </row>
    <row r="5113" spans="1:14" x14ac:dyDescent="0.25">
      <c r="A5113" t="s">
        <v>650</v>
      </c>
      <c r="B5113" s="2">
        <v>46173</v>
      </c>
      <c r="C5113" t="s">
        <v>650</v>
      </c>
      <c r="D5113" t="s">
        <v>112</v>
      </c>
      <c r="E5113" t="s">
        <v>9</v>
      </c>
      <c r="F5113" s="3">
        <v>-12660</v>
      </c>
      <c r="G5113" s="3">
        <v>-12660</v>
      </c>
      <c r="H5113" t="s">
        <v>3</v>
      </c>
      <c r="I5113" t="s">
        <v>3</v>
      </c>
      <c r="J5113" t="s">
        <v>371</v>
      </c>
      <c r="K5113" t="s">
        <v>13</v>
      </c>
      <c r="L5113" t="s">
        <v>19</v>
      </c>
      <c r="M5113" t="s">
        <v>114</v>
      </c>
      <c r="N5113" s="2">
        <v>46174</v>
      </c>
    </row>
    <row r="5114" spans="1:14" x14ac:dyDescent="0.25">
      <c r="A5114" t="s">
        <v>650</v>
      </c>
      <c r="B5114" s="2">
        <v>46203</v>
      </c>
      <c r="C5114" t="s">
        <v>650</v>
      </c>
      <c r="D5114" t="s">
        <v>112</v>
      </c>
      <c r="E5114" t="s">
        <v>9</v>
      </c>
      <c r="F5114" s="3">
        <v>13660</v>
      </c>
      <c r="G5114" s="3">
        <v>13660</v>
      </c>
      <c r="H5114" t="s">
        <v>3</v>
      </c>
      <c r="I5114" t="s">
        <v>3</v>
      </c>
      <c r="J5114" t="s">
        <v>372</v>
      </c>
      <c r="K5114" t="s">
        <v>13</v>
      </c>
      <c r="L5114" t="s">
        <v>19</v>
      </c>
      <c r="M5114" t="s">
        <v>114</v>
      </c>
      <c r="N5114" s="2">
        <v>46203</v>
      </c>
    </row>
    <row r="5115" spans="1:14" x14ac:dyDescent="0.25">
      <c r="A5115" s="4" t="s">
        <v>224</v>
      </c>
      <c r="B5115" s="5"/>
      <c r="C5115" s="4" t="s">
        <v>9</v>
      </c>
      <c r="D5115" s="4" t="s">
        <v>9</v>
      </c>
      <c r="E5115" s="4" t="s">
        <v>9</v>
      </c>
      <c r="F5115" s="6">
        <v>0</v>
      </c>
      <c r="G5115" s="6">
        <v>0</v>
      </c>
      <c r="H5115" s="4" t="s">
        <v>9</v>
      </c>
      <c r="I5115" s="4" t="s">
        <v>3</v>
      </c>
      <c r="J5115" s="4" t="s">
        <v>9</v>
      </c>
      <c r="K5115" s="4" t="s">
        <v>9</v>
      </c>
      <c r="L5115" s="4" t="s">
        <v>9</v>
      </c>
      <c r="M5115" s="4" t="s">
        <v>9</v>
      </c>
      <c r="N5115" s="5"/>
    </row>
    <row r="5116" spans="1:14" x14ac:dyDescent="0.25">
      <c r="A5116" t="s">
        <v>650</v>
      </c>
      <c r="B5116" s="2">
        <v>46239</v>
      </c>
      <c r="C5116" t="s">
        <v>650</v>
      </c>
      <c r="D5116" t="s">
        <v>112</v>
      </c>
      <c r="E5116" t="s">
        <v>9</v>
      </c>
      <c r="F5116" s="3">
        <v>-300</v>
      </c>
      <c r="G5116" s="3">
        <v>-300</v>
      </c>
      <c r="H5116" t="s">
        <v>3</v>
      </c>
      <c r="I5116" t="s">
        <v>3</v>
      </c>
      <c r="J5116" t="s">
        <v>9</v>
      </c>
      <c r="K5116" t="s">
        <v>9</v>
      </c>
      <c r="L5116" t="s">
        <v>21</v>
      </c>
      <c r="M5116" t="s">
        <v>114</v>
      </c>
      <c r="N5116" s="2">
        <v>46234</v>
      </c>
    </row>
    <row r="5117" spans="1:14" x14ac:dyDescent="0.25">
      <c r="A5117" t="s">
        <v>650</v>
      </c>
      <c r="B5117" s="2">
        <v>46203</v>
      </c>
      <c r="C5117" t="s">
        <v>650</v>
      </c>
      <c r="D5117" t="s">
        <v>112</v>
      </c>
      <c r="E5117" t="s">
        <v>9</v>
      </c>
      <c r="F5117" s="3">
        <v>-13660</v>
      </c>
      <c r="G5117" s="3">
        <v>-13660</v>
      </c>
      <c r="H5117" t="s">
        <v>3</v>
      </c>
      <c r="I5117" t="s">
        <v>3</v>
      </c>
      <c r="J5117" t="s">
        <v>372</v>
      </c>
      <c r="K5117" t="s">
        <v>13</v>
      </c>
      <c r="L5117" t="s">
        <v>21</v>
      </c>
      <c r="M5117" t="s">
        <v>114</v>
      </c>
      <c r="N5117" s="2">
        <v>46204</v>
      </c>
    </row>
    <row r="5118" spans="1:14" x14ac:dyDescent="0.25">
      <c r="A5118" t="s">
        <v>650</v>
      </c>
      <c r="B5118" s="2">
        <v>46234</v>
      </c>
      <c r="C5118" t="s">
        <v>650</v>
      </c>
      <c r="D5118" t="s">
        <v>112</v>
      </c>
      <c r="E5118" t="s">
        <v>9</v>
      </c>
      <c r="F5118" s="3">
        <v>13960</v>
      </c>
      <c r="G5118" s="3">
        <v>13960</v>
      </c>
      <c r="H5118" t="s">
        <v>3</v>
      </c>
      <c r="I5118" t="s">
        <v>3</v>
      </c>
      <c r="J5118" t="s">
        <v>373</v>
      </c>
      <c r="K5118" t="s">
        <v>13</v>
      </c>
      <c r="L5118" t="s">
        <v>21</v>
      </c>
      <c r="M5118" t="s">
        <v>114</v>
      </c>
      <c r="N5118" s="2">
        <v>46234</v>
      </c>
    </row>
    <row r="5119" spans="1:14" x14ac:dyDescent="0.25">
      <c r="A5119" s="4" t="s">
        <v>262</v>
      </c>
      <c r="B5119" s="5"/>
      <c r="C5119" s="4" t="s">
        <v>9</v>
      </c>
      <c r="D5119" s="4" t="s">
        <v>9</v>
      </c>
      <c r="E5119" s="4" t="s">
        <v>9</v>
      </c>
      <c r="F5119" s="6">
        <v>0</v>
      </c>
      <c r="G5119" s="6">
        <v>0</v>
      </c>
      <c r="H5119" s="4" t="s">
        <v>9</v>
      </c>
      <c r="I5119" s="4" t="s">
        <v>3</v>
      </c>
      <c r="J5119" s="4" t="s">
        <v>9</v>
      </c>
      <c r="K5119" s="4" t="s">
        <v>9</v>
      </c>
      <c r="L5119" s="4" t="s">
        <v>9</v>
      </c>
      <c r="M5119" s="4" t="s">
        <v>9</v>
      </c>
      <c r="N5119" s="5"/>
    </row>
    <row r="5120" spans="1:14" x14ac:dyDescent="0.25">
      <c r="A5120" t="s">
        <v>650</v>
      </c>
      <c r="B5120" s="2">
        <v>46234</v>
      </c>
      <c r="C5120" t="s">
        <v>650</v>
      </c>
      <c r="D5120" t="s">
        <v>112</v>
      </c>
      <c r="E5120" t="s">
        <v>9</v>
      </c>
      <c r="F5120" s="3">
        <v>-13960</v>
      </c>
      <c r="G5120" s="3">
        <v>-13960</v>
      </c>
      <c r="H5120" t="s">
        <v>3</v>
      </c>
      <c r="I5120" t="s">
        <v>3</v>
      </c>
      <c r="J5120" t="s">
        <v>373</v>
      </c>
      <c r="K5120" t="s">
        <v>13</v>
      </c>
      <c r="L5120" t="s">
        <v>22</v>
      </c>
      <c r="M5120" t="s">
        <v>114</v>
      </c>
      <c r="N5120" s="2">
        <v>46235</v>
      </c>
    </row>
    <row r="5121" spans="1:14" x14ac:dyDescent="0.25">
      <c r="A5121" t="s">
        <v>650</v>
      </c>
      <c r="B5121" s="2">
        <v>46265</v>
      </c>
      <c r="C5121" t="s">
        <v>650</v>
      </c>
      <c r="D5121" t="s">
        <v>112</v>
      </c>
      <c r="E5121" t="s">
        <v>9</v>
      </c>
      <c r="F5121" s="3">
        <v>13960</v>
      </c>
      <c r="G5121" s="3">
        <v>13960</v>
      </c>
      <c r="H5121" t="s">
        <v>3</v>
      </c>
      <c r="I5121" t="s">
        <v>3</v>
      </c>
      <c r="J5121" t="s">
        <v>430</v>
      </c>
      <c r="K5121" t="s">
        <v>13</v>
      </c>
      <c r="L5121" t="s">
        <v>22</v>
      </c>
      <c r="M5121" t="s">
        <v>114</v>
      </c>
      <c r="N5121" s="2">
        <v>46265</v>
      </c>
    </row>
    <row r="5122" spans="1:14" x14ac:dyDescent="0.25">
      <c r="A5122" s="4" t="s">
        <v>267</v>
      </c>
      <c r="B5122" s="5"/>
      <c r="C5122" s="4" t="s">
        <v>9</v>
      </c>
      <c r="D5122" s="4" t="s">
        <v>9</v>
      </c>
      <c r="E5122" s="4" t="s">
        <v>9</v>
      </c>
      <c r="F5122" s="6">
        <v>0</v>
      </c>
      <c r="G5122" s="6">
        <v>0</v>
      </c>
      <c r="H5122" s="4" t="s">
        <v>9</v>
      </c>
      <c r="I5122" s="4" t="s">
        <v>3</v>
      </c>
      <c r="J5122" s="4" t="s">
        <v>9</v>
      </c>
      <c r="K5122" s="4" t="s">
        <v>9</v>
      </c>
      <c r="L5122" s="4" t="s">
        <v>9</v>
      </c>
      <c r="M5122" s="4" t="s">
        <v>9</v>
      </c>
      <c r="N5122" s="5"/>
    </row>
    <row r="5123" spans="1:14" x14ac:dyDescent="0.25">
      <c r="A5123" t="s">
        <v>650</v>
      </c>
      <c r="B5123" s="2">
        <v>46028</v>
      </c>
      <c r="C5123" t="s">
        <v>650</v>
      </c>
      <c r="D5123" t="s">
        <v>99</v>
      </c>
      <c r="E5123" t="s">
        <v>9</v>
      </c>
      <c r="F5123" s="3">
        <v>-802</v>
      </c>
      <c r="G5123" s="3">
        <v>-802</v>
      </c>
      <c r="H5123" t="s">
        <v>3</v>
      </c>
      <c r="I5123" t="s">
        <v>3</v>
      </c>
      <c r="J5123" t="s">
        <v>9</v>
      </c>
      <c r="K5123" t="s">
        <v>9</v>
      </c>
      <c r="L5123" t="s">
        <v>12</v>
      </c>
      <c r="M5123" t="s">
        <v>102</v>
      </c>
      <c r="N5123" s="2">
        <v>46022</v>
      </c>
    </row>
    <row r="5124" spans="1:14" x14ac:dyDescent="0.25">
      <c r="A5124" t="s">
        <v>650</v>
      </c>
      <c r="B5124" s="2">
        <v>45992</v>
      </c>
      <c r="C5124" t="s">
        <v>650</v>
      </c>
      <c r="D5124" t="s">
        <v>99</v>
      </c>
      <c r="E5124" t="s">
        <v>9</v>
      </c>
      <c r="F5124" s="3">
        <v>802</v>
      </c>
      <c r="G5124" s="3">
        <v>802</v>
      </c>
      <c r="H5124" t="s">
        <v>3</v>
      </c>
      <c r="I5124" t="s">
        <v>3</v>
      </c>
      <c r="J5124" t="s">
        <v>630</v>
      </c>
      <c r="K5124" t="s">
        <v>5</v>
      </c>
      <c r="L5124" t="s">
        <v>12</v>
      </c>
      <c r="M5124" t="s">
        <v>102</v>
      </c>
      <c r="N5124" s="2">
        <v>45992</v>
      </c>
    </row>
    <row r="5125" spans="1:14" x14ac:dyDescent="0.25">
      <c r="A5125" s="4" t="s">
        <v>228</v>
      </c>
      <c r="B5125" s="5"/>
      <c r="C5125" s="4" t="s">
        <v>9</v>
      </c>
      <c r="D5125" s="4" t="s">
        <v>9</v>
      </c>
      <c r="E5125" s="4" t="s">
        <v>9</v>
      </c>
      <c r="F5125" s="6">
        <v>0</v>
      </c>
      <c r="G5125" s="6">
        <v>0</v>
      </c>
      <c r="H5125" s="4" t="s">
        <v>9</v>
      </c>
      <c r="I5125" s="4" t="s">
        <v>3</v>
      </c>
      <c r="J5125" s="4" t="s">
        <v>9</v>
      </c>
      <c r="K5125" s="4" t="s">
        <v>9</v>
      </c>
      <c r="L5125" s="4" t="s">
        <v>9</v>
      </c>
      <c r="M5125" s="4" t="s">
        <v>9</v>
      </c>
      <c r="N5125" s="5"/>
    </row>
    <row r="5126" spans="1:14" x14ac:dyDescent="0.25">
      <c r="A5126" s="4" t="s">
        <v>650</v>
      </c>
      <c r="B5126" s="5"/>
      <c r="C5126" s="4" t="s">
        <v>9</v>
      </c>
      <c r="D5126" s="4" t="s">
        <v>9</v>
      </c>
      <c r="E5126" s="4" t="s">
        <v>9</v>
      </c>
      <c r="F5126" s="6">
        <v>0</v>
      </c>
      <c r="G5126" s="6">
        <v>0</v>
      </c>
      <c r="H5126" s="4" t="s">
        <v>9</v>
      </c>
      <c r="I5126" s="4" t="s">
        <v>3</v>
      </c>
      <c r="J5126" s="4" t="s">
        <v>9</v>
      </c>
      <c r="K5126" s="4" t="s">
        <v>9</v>
      </c>
      <c r="L5126" s="4" t="s">
        <v>9</v>
      </c>
      <c r="M5126" s="4" t="s">
        <v>9</v>
      </c>
      <c r="N5126" s="5"/>
    </row>
    <row r="5127" spans="1:14" x14ac:dyDescent="0.25">
      <c r="A5127" t="s">
        <v>651</v>
      </c>
      <c r="B5127" s="2">
        <v>46056</v>
      </c>
      <c r="C5127" t="s">
        <v>651</v>
      </c>
      <c r="D5127" t="s">
        <v>33</v>
      </c>
      <c r="E5127" t="s">
        <v>9</v>
      </c>
      <c r="F5127" s="3">
        <v>-13280</v>
      </c>
      <c r="G5127" s="3">
        <v>-13280</v>
      </c>
      <c r="H5127" t="s">
        <v>3</v>
      </c>
      <c r="I5127" t="s">
        <v>3</v>
      </c>
      <c r="J5127" t="s">
        <v>9</v>
      </c>
      <c r="K5127" t="s">
        <v>9</v>
      </c>
      <c r="L5127" t="s">
        <v>14</v>
      </c>
      <c r="M5127" t="s">
        <v>35</v>
      </c>
      <c r="N5127" s="2">
        <v>46053</v>
      </c>
    </row>
    <row r="5128" spans="1:14" x14ac:dyDescent="0.25">
      <c r="A5128" t="s">
        <v>651</v>
      </c>
      <c r="B5128" s="2">
        <v>46007</v>
      </c>
      <c r="C5128" t="s">
        <v>651</v>
      </c>
      <c r="D5128" t="s">
        <v>33</v>
      </c>
      <c r="E5128" t="s">
        <v>9</v>
      </c>
      <c r="F5128" s="3">
        <v>13280</v>
      </c>
      <c r="G5128" s="3">
        <v>13280</v>
      </c>
      <c r="H5128" t="s">
        <v>3</v>
      </c>
      <c r="I5128" t="s">
        <v>3</v>
      </c>
      <c r="J5128" t="s">
        <v>9</v>
      </c>
      <c r="K5128" t="s">
        <v>13</v>
      </c>
      <c r="L5128" t="s">
        <v>14</v>
      </c>
      <c r="M5128" t="s">
        <v>35</v>
      </c>
      <c r="N5128" s="2">
        <v>46031</v>
      </c>
    </row>
    <row r="5129" spans="1:14" x14ac:dyDescent="0.25">
      <c r="A5129" s="4" t="s">
        <v>234</v>
      </c>
      <c r="B5129" s="5"/>
      <c r="C5129" s="4" t="s">
        <v>9</v>
      </c>
      <c r="D5129" s="4" t="s">
        <v>9</v>
      </c>
      <c r="E5129" s="4" t="s">
        <v>9</v>
      </c>
      <c r="F5129" s="6">
        <v>0</v>
      </c>
      <c r="G5129" s="6">
        <v>0</v>
      </c>
      <c r="H5129" s="4" t="s">
        <v>9</v>
      </c>
      <c r="I5129" s="4" t="s">
        <v>3</v>
      </c>
      <c r="J5129" s="4" t="s">
        <v>9</v>
      </c>
      <c r="K5129" s="4" t="s">
        <v>9</v>
      </c>
      <c r="L5129" s="4" t="s">
        <v>9</v>
      </c>
      <c r="M5129" s="4" t="s">
        <v>9</v>
      </c>
      <c r="N5129" s="5"/>
    </row>
    <row r="5130" spans="1:14" x14ac:dyDescent="0.25">
      <c r="A5130" t="s">
        <v>651</v>
      </c>
      <c r="B5130" s="2">
        <v>46028</v>
      </c>
      <c r="C5130" t="s">
        <v>651</v>
      </c>
      <c r="D5130" t="s">
        <v>33</v>
      </c>
      <c r="E5130" t="s">
        <v>9</v>
      </c>
      <c r="F5130" s="3">
        <v>13280</v>
      </c>
      <c r="G5130" s="3">
        <v>13280</v>
      </c>
      <c r="H5130" t="s">
        <v>3</v>
      </c>
      <c r="I5130" t="s">
        <v>3</v>
      </c>
      <c r="J5130" t="s">
        <v>9</v>
      </c>
      <c r="K5130" t="s">
        <v>9</v>
      </c>
      <c r="L5130" t="s">
        <v>12</v>
      </c>
      <c r="M5130" t="s">
        <v>35</v>
      </c>
      <c r="N5130" s="2">
        <v>46022</v>
      </c>
    </row>
    <row r="5131" spans="1:14" x14ac:dyDescent="0.25">
      <c r="A5131" t="s">
        <v>651</v>
      </c>
      <c r="B5131" s="2">
        <v>46007</v>
      </c>
      <c r="C5131" t="s">
        <v>651</v>
      </c>
      <c r="D5131" t="s">
        <v>33</v>
      </c>
      <c r="E5131" t="s">
        <v>9</v>
      </c>
      <c r="F5131" s="3">
        <v>-13280</v>
      </c>
      <c r="G5131" s="3">
        <v>-13280</v>
      </c>
      <c r="H5131" t="s">
        <v>3</v>
      </c>
      <c r="I5131" t="s">
        <v>3</v>
      </c>
      <c r="J5131" t="s">
        <v>9</v>
      </c>
      <c r="K5131" t="s">
        <v>5</v>
      </c>
      <c r="L5131" t="s">
        <v>12</v>
      </c>
      <c r="M5131" t="s">
        <v>35</v>
      </c>
      <c r="N5131" s="2">
        <v>46007</v>
      </c>
    </row>
    <row r="5132" spans="1:14" x14ac:dyDescent="0.25">
      <c r="A5132" s="4" t="s">
        <v>228</v>
      </c>
      <c r="B5132" s="5"/>
      <c r="C5132" s="4" t="s">
        <v>9</v>
      </c>
      <c r="D5132" s="4" t="s">
        <v>9</v>
      </c>
      <c r="E5132" s="4" t="s">
        <v>9</v>
      </c>
      <c r="F5132" s="6">
        <v>0</v>
      </c>
      <c r="G5132" s="6">
        <v>0</v>
      </c>
      <c r="H5132" s="4" t="s">
        <v>9</v>
      </c>
      <c r="I5132" s="4" t="s">
        <v>3</v>
      </c>
      <c r="J5132" s="4" t="s">
        <v>9</v>
      </c>
      <c r="K5132" s="4" t="s">
        <v>9</v>
      </c>
      <c r="L5132" s="4" t="s">
        <v>9</v>
      </c>
      <c r="M5132" s="4" t="s">
        <v>9</v>
      </c>
      <c r="N5132" s="5"/>
    </row>
    <row r="5133" spans="1:14" x14ac:dyDescent="0.25">
      <c r="A5133" s="4" t="s">
        <v>651</v>
      </c>
      <c r="B5133" s="5"/>
      <c r="C5133" s="4" t="s">
        <v>9</v>
      </c>
      <c r="D5133" s="4" t="s">
        <v>9</v>
      </c>
      <c r="E5133" s="4" t="s">
        <v>9</v>
      </c>
      <c r="F5133" s="6">
        <v>0</v>
      </c>
      <c r="G5133" s="6">
        <v>0</v>
      </c>
      <c r="H5133" s="4" t="s">
        <v>9</v>
      </c>
      <c r="I5133" s="4" t="s">
        <v>3</v>
      </c>
      <c r="J5133" s="4" t="s">
        <v>9</v>
      </c>
      <c r="K5133" s="4" t="s">
        <v>9</v>
      </c>
      <c r="L5133" s="4" t="s">
        <v>9</v>
      </c>
      <c r="M5133" s="4" t="s">
        <v>9</v>
      </c>
      <c r="N5133" s="5"/>
    </row>
    <row r="5134" spans="1:14" x14ac:dyDescent="0.25">
      <c r="A5134" t="s">
        <v>652</v>
      </c>
      <c r="B5134" s="2">
        <v>45993</v>
      </c>
      <c r="C5134" t="s">
        <v>652</v>
      </c>
      <c r="D5134" t="s">
        <v>99</v>
      </c>
      <c r="E5134" t="s">
        <v>9</v>
      </c>
      <c r="F5134" s="3">
        <v>-13020</v>
      </c>
      <c r="G5134" s="3">
        <v>-13020</v>
      </c>
      <c r="H5134" t="s">
        <v>3</v>
      </c>
      <c r="I5134" t="s">
        <v>3</v>
      </c>
      <c r="J5134" t="s">
        <v>9</v>
      </c>
      <c r="K5134" t="s">
        <v>9</v>
      </c>
      <c r="L5134" t="s">
        <v>11</v>
      </c>
      <c r="M5134" t="s">
        <v>102</v>
      </c>
      <c r="N5134" s="2">
        <v>45991</v>
      </c>
    </row>
    <row r="5135" spans="1:14" x14ac:dyDescent="0.25">
      <c r="A5135" t="s">
        <v>652</v>
      </c>
      <c r="B5135" s="2">
        <v>45991</v>
      </c>
      <c r="C5135" t="s">
        <v>652</v>
      </c>
      <c r="D5135" t="s">
        <v>99</v>
      </c>
      <c r="E5135" t="s">
        <v>9</v>
      </c>
      <c r="F5135" s="3">
        <v>13020</v>
      </c>
      <c r="G5135" s="3">
        <v>13020</v>
      </c>
      <c r="H5135" t="s">
        <v>3</v>
      </c>
      <c r="I5135" t="s">
        <v>3</v>
      </c>
      <c r="J5135" t="s">
        <v>653</v>
      </c>
      <c r="K5135" t="s">
        <v>5</v>
      </c>
      <c r="L5135" t="s">
        <v>11</v>
      </c>
      <c r="M5135" t="s">
        <v>102</v>
      </c>
      <c r="N5135" s="2">
        <v>45991</v>
      </c>
    </row>
    <row r="5136" spans="1:14" x14ac:dyDescent="0.25">
      <c r="A5136" s="4" t="s">
        <v>226</v>
      </c>
      <c r="B5136" s="5"/>
      <c r="C5136" s="4" t="s">
        <v>9</v>
      </c>
      <c r="D5136" s="4" t="s">
        <v>9</v>
      </c>
      <c r="E5136" s="4" t="s">
        <v>9</v>
      </c>
      <c r="F5136" s="6">
        <v>0</v>
      </c>
      <c r="G5136" s="6">
        <v>0</v>
      </c>
      <c r="H5136" s="4" t="s">
        <v>9</v>
      </c>
      <c r="I5136" s="4" t="s">
        <v>3</v>
      </c>
      <c r="J5136" s="4" t="s">
        <v>9</v>
      </c>
      <c r="K5136" s="4" t="s">
        <v>9</v>
      </c>
      <c r="L5136" s="4" t="s">
        <v>9</v>
      </c>
      <c r="M5136" s="4" t="s">
        <v>9</v>
      </c>
      <c r="N5136" s="5"/>
    </row>
    <row r="5137" spans="1:14" x14ac:dyDescent="0.25">
      <c r="A5137" s="4" t="s">
        <v>652</v>
      </c>
      <c r="B5137" s="5"/>
      <c r="C5137" s="4" t="s">
        <v>9</v>
      </c>
      <c r="D5137" s="4" t="s">
        <v>9</v>
      </c>
      <c r="E5137" s="4" t="s">
        <v>9</v>
      </c>
      <c r="F5137" s="6">
        <v>0</v>
      </c>
      <c r="G5137" s="6">
        <v>0</v>
      </c>
      <c r="H5137" s="4" t="s">
        <v>9</v>
      </c>
      <c r="I5137" s="4" t="s">
        <v>3</v>
      </c>
      <c r="J5137" s="4" t="s">
        <v>9</v>
      </c>
      <c r="K5137" s="4" t="s">
        <v>9</v>
      </c>
      <c r="L5137" s="4" t="s">
        <v>9</v>
      </c>
      <c r="M5137" s="4" t="s">
        <v>9</v>
      </c>
      <c r="N5137" s="5"/>
    </row>
    <row r="5138" spans="1:14" x14ac:dyDescent="0.25">
      <c r="A5138" t="s">
        <v>654</v>
      </c>
      <c r="B5138" s="2">
        <v>46028</v>
      </c>
      <c r="C5138" t="s">
        <v>654</v>
      </c>
      <c r="D5138" t="s">
        <v>33</v>
      </c>
      <c r="E5138" t="s">
        <v>9</v>
      </c>
      <c r="F5138" s="3">
        <v>12000</v>
      </c>
      <c r="G5138" s="3">
        <v>12000</v>
      </c>
      <c r="H5138" t="s">
        <v>3</v>
      </c>
      <c r="I5138" t="s">
        <v>3</v>
      </c>
      <c r="J5138" t="s">
        <v>9</v>
      </c>
      <c r="K5138" t="s">
        <v>9</v>
      </c>
      <c r="L5138" t="s">
        <v>12</v>
      </c>
      <c r="M5138" t="s">
        <v>35</v>
      </c>
      <c r="N5138" s="2">
        <v>46022</v>
      </c>
    </row>
    <row r="5139" spans="1:14" x14ac:dyDescent="0.25">
      <c r="A5139" t="s">
        <v>654</v>
      </c>
      <c r="B5139" s="2">
        <v>46007</v>
      </c>
      <c r="C5139" t="s">
        <v>654</v>
      </c>
      <c r="D5139" t="s">
        <v>33</v>
      </c>
      <c r="E5139" t="s">
        <v>9</v>
      </c>
      <c r="F5139" s="3">
        <v>-12000</v>
      </c>
      <c r="G5139" s="3">
        <v>-12000</v>
      </c>
      <c r="H5139" t="s">
        <v>3</v>
      </c>
      <c r="I5139" t="s">
        <v>3</v>
      </c>
      <c r="J5139" t="s">
        <v>9</v>
      </c>
      <c r="K5139" t="s">
        <v>5</v>
      </c>
      <c r="L5139" t="s">
        <v>12</v>
      </c>
      <c r="M5139" t="s">
        <v>35</v>
      </c>
      <c r="N5139" s="2">
        <v>46007</v>
      </c>
    </row>
    <row r="5140" spans="1:14" x14ac:dyDescent="0.25">
      <c r="A5140" s="4" t="s">
        <v>228</v>
      </c>
      <c r="B5140" s="5"/>
      <c r="C5140" s="4" t="s">
        <v>9</v>
      </c>
      <c r="D5140" s="4" t="s">
        <v>9</v>
      </c>
      <c r="E5140" s="4" t="s">
        <v>9</v>
      </c>
      <c r="F5140" s="6">
        <v>0</v>
      </c>
      <c r="G5140" s="6">
        <v>0</v>
      </c>
      <c r="H5140" s="4" t="s">
        <v>9</v>
      </c>
      <c r="I5140" s="4" t="s">
        <v>3</v>
      </c>
      <c r="J5140" s="4" t="s">
        <v>9</v>
      </c>
      <c r="K5140" s="4" t="s">
        <v>9</v>
      </c>
      <c r="L5140" s="4" t="s">
        <v>9</v>
      </c>
      <c r="M5140" s="4" t="s">
        <v>9</v>
      </c>
      <c r="N5140" s="5"/>
    </row>
    <row r="5141" spans="1:14" x14ac:dyDescent="0.25">
      <c r="A5141" s="4" t="s">
        <v>654</v>
      </c>
      <c r="B5141" s="5"/>
      <c r="C5141" s="4" t="s">
        <v>9</v>
      </c>
      <c r="D5141" s="4" t="s">
        <v>9</v>
      </c>
      <c r="E5141" s="4" t="s">
        <v>9</v>
      </c>
      <c r="F5141" s="6">
        <v>0</v>
      </c>
      <c r="G5141" s="6">
        <v>0</v>
      </c>
      <c r="H5141" s="4" t="s">
        <v>9</v>
      </c>
      <c r="I5141" s="4" t="s">
        <v>3</v>
      </c>
      <c r="J5141" s="4" t="s">
        <v>9</v>
      </c>
      <c r="K5141" s="4" t="s">
        <v>9</v>
      </c>
      <c r="L5141" s="4" t="s">
        <v>9</v>
      </c>
      <c r="M5141" s="4" t="s">
        <v>9</v>
      </c>
      <c r="N5141" s="5"/>
    </row>
    <row r="5142" spans="1:14" x14ac:dyDescent="0.25">
      <c r="A5142" t="s">
        <v>655</v>
      </c>
      <c r="B5142" s="2">
        <v>46056</v>
      </c>
      <c r="C5142" t="s">
        <v>655</v>
      </c>
      <c r="D5142" t="s">
        <v>112</v>
      </c>
      <c r="E5142" t="s">
        <v>9</v>
      </c>
      <c r="F5142" s="3">
        <v>-200</v>
      </c>
      <c r="G5142" s="3">
        <v>-200</v>
      </c>
      <c r="H5142" t="s">
        <v>3</v>
      </c>
      <c r="I5142" t="s">
        <v>3</v>
      </c>
      <c r="J5142" t="s">
        <v>9</v>
      </c>
      <c r="K5142" t="s">
        <v>9</v>
      </c>
      <c r="L5142" t="s">
        <v>14</v>
      </c>
      <c r="M5142" t="s">
        <v>114</v>
      </c>
      <c r="N5142" s="2">
        <v>46053</v>
      </c>
    </row>
    <row r="5143" spans="1:14" x14ac:dyDescent="0.25">
      <c r="A5143" t="s">
        <v>655</v>
      </c>
      <c r="B5143" s="2">
        <v>46022</v>
      </c>
      <c r="C5143" t="s">
        <v>655</v>
      </c>
      <c r="D5143" t="s">
        <v>112</v>
      </c>
      <c r="E5143" t="s">
        <v>9</v>
      </c>
      <c r="F5143" s="3">
        <v>-2800</v>
      </c>
      <c r="G5143" s="3">
        <v>-2800</v>
      </c>
      <c r="H5143" t="s">
        <v>3</v>
      </c>
      <c r="I5143" t="s">
        <v>3</v>
      </c>
      <c r="J5143" t="s">
        <v>299</v>
      </c>
      <c r="K5143" t="s">
        <v>13</v>
      </c>
      <c r="L5143" t="s">
        <v>14</v>
      </c>
      <c r="M5143" t="s">
        <v>114</v>
      </c>
      <c r="N5143" s="2">
        <v>46023</v>
      </c>
    </row>
    <row r="5144" spans="1:14" x14ac:dyDescent="0.25">
      <c r="A5144" t="s">
        <v>655</v>
      </c>
      <c r="B5144" s="2">
        <v>46023</v>
      </c>
      <c r="C5144" t="s">
        <v>655</v>
      </c>
      <c r="D5144" t="s">
        <v>112</v>
      </c>
      <c r="E5144" t="s">
        <v>9</v>
      </c>
      <c r="F5144" s="3">
        <v>2800</v>
      </c>
      <c r="G5144" s="3">
        <v>2800</v>
      </c>
      <c r="H5144" t="s">
        <v>3</v>
      </c>
      <c r="I5144" t="s">
        <v>3</v>
      </c>
      <c r="J5144" t="s">
        <v>299</v>
      </c>
      <c r="K5144" t="s">
        <v>13</v>
      </c>
      <c r="L5144" t="s">
        <v>14</v>
      </c>
      <c r="M5144" t="s">
        <v>114</v>
      </c>
      <c r="N5144" s="2">
        <v>46023</v>
      </c>
    </row>
    <row r="5145" spans="1:14" x14ac:dyDescent="0.25">
      <c r="A5145" t="s">
        <v>655</v>
      </c>
      <c r="B5145" s="2">
        <v>46053</v>
      </c>
      <c r="C5145" t="s">
        <v>655</v>
      </c>
      <c r="D5145" t="s">
        <v>112</v>
      </c>
      <c r="E5145" t="s">
        <v>9</v>
      </c>
      <c r="F5145" s="3">
        <v>200</v>
      </c>
      <c r="G5145" s="3">
        <v>200</v>
      </c>
      <c r="H5145" t="s">
        <v>3</v>
      </c>
      <c r="I5145" t="s">
        <v>3</v>
      </c>
      <c r="J5145" t="s">
        <v>367</v>
      </c>
      <c r="K5145" t="s">
        <v>13</v>
      </c>
      <c r="L5145" t="s">
        <v>14</v>
      </c>
      <c r="M5145" t="s">
        <v>114</v>
      </c>
      <c r="N5145" s="2">
        <v>46053</v>
      </c>
    </row>
    <row r="5146" spans="1:14" x14ac:dyDescent="0.25">
      <c r="A5146" s="4" t="s">
        <v>234</v>
      </c>
      <c r="B5146" s="5"/>
      <c r="C5146" s="4" t="s">
        <v>9</v>
      </c>
      <c r="D5146" s="4" t="s">
        <v>9</v>
      </c>
      <c r="E5146" s="4" t="s">
        <v>9</v>
      </c>
      <c r="F5146" s="6">
        <v>0</v>
      </c>
      <c r="G5146" s="6">
        <v>0</v>
      </c>
      <c r="H5146" s="4" t="s">
        <v>9</v>
      </c>
      <c r="I5146" s="4" t="s">
        <v>3</v>
      </c>
      <c r="J5146" s="4" t="s">
        <v>9</v>
      </c>
      <c r="K5146" s="4" t="s">
        <v>9</v>
      </c>
      <c r="L5146" s="4" t="s">
        <v>9</v>
      </c>
      <c r="M5146" s="4" t="s">
        <v>9</v>
      </c>
      <c r="N5146" s="5"/>
    </row>
    <row r="5147" spans="1:14" x14ac:dyDescent="0.25">
      <c r="A5147" t="s">
        <v>655</v>
      </c>
      <c r="B5147" s="2">
        <v>46054</v>
      </c>
      <c r="C5147" t="s">
        <v>655</v>
      </c>
      <c r="D5147" t="s">
        <v>112</v>
      </c>
      <c r="E5147" t="s">
        <v>9</v>
      </c>
      <c r="F5147" s="3">
        <v>-200</v>
      </c>
      <c r="G5147" s="3">
        <v>-200</v>
      </c>
      <c r="H5147" t="s">
        <v>3</v>
      </c>
      <c r="I5147" t="s">
        <v>3</v>
      </c>
      <c r="J5147" t="s">
        <v>367</v>
      </c>
      <c r="K5147" t="s">
        <v>13</v>
      </c>
      <c r="L5147" t="s">
        <v>15</v>
      </c>
      <c r="M5147" t="s">
        <v>114</v>
      </c>
      <c r="N5147" s="2">
        <v>46054</v>
      </c>
    </row>
    <row r="5148" spans="1:14" x14ac:dyDescent="0.25">
      <c r="A5148" t="s">
        <v>655</v>
      </c>
      <c r="B5148" s="2">
        <v>46054</v>
      </c>
      <c r="C5148" t="s">
        <v>655</v>
      </c>
      <c r="D5148" t="s">
        <v>112</v>
      </c>
      <c r="E5148" t="s">
        <v>9</v>
      </c>
      <c r="F5148" s="3">
        <v>200</v>
      </c>
      <c r="G5148" s="3">
        <v>200</v>
      </c>
      <c r="H5148" t="s">
        <v>3</v>
      </c>
      <c r="I5148" t="s">
        <v>3</v>
      </c>
      <c r="J5148" t="s">
        <v>367</v>
      </c>
      <c r="K5148" t="s">
        <v>13</v>
      </c>
      <c r="L5148" t="s">
        <v>15</v>
      </c>
      <c r="M5148" t="s">
        <v>114</v>
      </c>
      <c r="N5148" s="2">
        <v>46055</v>
      </c>
    </row>
    <row r="5149" spans="1:14" x14ac:dyDescent="0.25">
      <c r="A5149" t="s">
        <v>655</v>
      </c>
      <c r="B5149" s="2">
        <v>46054</v>
      </c>
      <c r="C5149" t="s">
        <v>655</v>
      </c>
      <c r="D5149" t="s">
        <v>112</v>
      </c>
      <c r="E5149" t="s">
        <v>9</v>
      </c>
      <c r="F5149" s="3">
        <v>-200</v>
      </c>
      <c r="G5149" s="3">
        <v>-200</v>
      </c>
      <c r="H5149" t="s">
        <v>3</v>
      </c>
      <c r="I5149" t="s">
        <v>3</v>
      </c>
      <c r="J5149" t="s">
        <v>367</v>
      </c>
      <c r="K5149" t="s">
        <v>13</v>
      </c>
      <c r="L5149" t="s">
        <v>15</v>
      </c>
      <c r="M5149" t="s">
        <v>114</v>
      </c>
      <c r="N5149" s="2">
        <v>46054</v>
      </c>
    </row>
    <row r="5150" spans="1:14" x14ac:dyDescent="0.25">
      <c r="A5150" t="s">
        <v>655</v>
      </c>
      <c r="B5150" s="2">
        <v>46081</v>
      </c>
      <c r="C5150" t="s">
        <v>655</v>
      </c>
      <c r="D5150" t="s">
        <v>112</v>
      </c>
      <c r="E5150" t="s">
        <v>9</v>
      </c>
      <c r="F5150" s="3">
        <v>200</v>
      </c>
      <c r="G5150" s="3">
        <v>200</v>
      </c>
      <c r="H5150" t="s">
        <v>3</v>
      </c>
      <c r="I5150" t="s">
        <v>3</v>
      </c>
      <c r="J5150" t="s">
        <v>368</v>
      </c>
      <c r="K5150" t="s">
        <v>13</v>
      </c>
      <c r="L5150" t="s">
        <v>15</v>
      </c>
      <c r="M5150" t="s">
        <v>114</v>
      </c>
      <c r="N5150" s="2">
        <v>46081</v>
      </c>
    </row>
    <row r="5151" spans="1:14" x14ac:dyDescent="0.25">
      <c r="A5151" s="4" t="s">
        <v>239</v>
      </c>
      <c r="B5151" s="5"/>
      <c r="C5151" s="4" t="s">
        <v>9</v>
      </c>
      <c r="D5151" s="4" t="s">
        <v>9</v>
      </c>
      <c r="E5151" s="4" t="s">
        <v>9</v>
      </c>
      <c r="F5151" s="6">
        <v>0</v>
      </c>
      <c r="G5151" s="6">
        <v>0</v>
      </c>
      <c r="H5151" s="4" t="s">
        <v>9</v>
      </c>
      <c r="I5151" s="4" t="s">
        <v>3</v>
      </c>
      <c r="J5151" s="4" t="s">
        <v>9</v>
      </c>
      <c r="K5151" s="4" t="s">
        <v>9</v>
      </c>
      <c r="L5151" s="4" t="s">
        <v>9</v>
      </c>
      <c r="M5151" s="4" t="s">
        <v>9</v>
      </c>
      <c r="N5151" s="5"/>
    </row>
    <row r="5152" spans="1:14" x14ac:dyDescent="0.25">
      <c r="A5152" t="s">
        <v>655</v>
      </c>
      <c r="B5152" s="2">
        <v>46081</v>
      </c>
      <c r="C5152" t="s">
        <v>655</v>
      </c>
      <c r="D5152" t="s">
        <v>112</v>
      </c>
      <c r="E5152" t="s">
        <v>9</v>
      </c>
      <c r="F5152" s="3">
        <v>-200</v>
      </c>
      <c r="G5152" s="3">
        <v>-200</v>
      </c>
      <c r="H5152" t="s">
        <v>3</v>
      </c>
      <c r="I5152" t="s">
        <v>3</v>
      </c>
      <c r="J5152" t="s">
        <v>368</v>
      </c>
      <c r="K5152" t="s">
        <v>13</v>
      </c>
      <c r="L5152" t="s">
        <v>16</v>
      </c>
      <c r="M5152" t="s">
        <v>114</v>
      </c>
      <c r="N5152" s="2">
        <v>46082</v>
      </c>
    </row>
    <row r="5153" spans="1:14" x14ac:dyDescent="0.25">
      <c r="A5153" t="s">
        <v>655</v>
      </c>
      <c r="B5153" s="2">
        <v>46112</v>
      </c>
      <c r="C5153" t="s">
        <v>655</v>
      </c>
      <c r="D5153" t="s">
        <v>112</v>
      </c>
      <c r="E5153" t="s">
        <v>9</v>
      </c>
      <c r="F5153" s="3">
        <v>200</v>
      </c>
      <c r="G5153" s="3">
        <v>200</v>
      </c>
      <c r="H5153" t="s">
        <v>3</v>
      </c>
      <c r="I5153" t="s">
        <v>3</v>
      </c>
      <c r="J5153" t="s">
        <v>369</v>
      </c>
      <c r="K5153" t="s">
        <v>13</v>
      </c>
      <c r="L5153" t="s">
        <v>16</v>
      </c>
      <c r="M5153" t="s">
        <v>114</v>
      </c>
      <c r="N5153" s="2">
        <v>46112</v>
      </c>
    </row>
    <row r="5154" spans="1:14" x14ac:dyDescent="0.25">
      <c r="A5154" s="4" t="s">
        <v>244</v>
      </c>
      <c r="B5154" s="5"/>
      <c r="C5154" s="4" t="s">
        <v>9</v>
      </c>
      <c r="D5154" s="4" t="s">
        <v>9</v>
      </c>
      <c r="E5154" s="4" t="s">
        <v>9</v>
      </c>
      <c r="F5154" s="6">
        <v>0</v>
      </c>
      <c r="G5154" s="6">
        <v>0</v>
      </c>
      <c r="H5154" s="4" t="s">
        <v>9</v>
      </c>
      <c r="I5154" s="4" t="s">
        <v>3</v>
      </c>
      <c r="J5154" s="4" t="s">
        <v>9</v>
      </c>
      <c r="K5154" s="4" t="s">
        <v>9</v>
      </c>
      <c r="L5154" s="4" t="s">
        <v>9</v>
      </c>
      <c r="M5154" s="4" t="s">
        <v>9</v>
      </c>
      <c r="N5154" s="5"/>
    </row>
    <row r="5155" spans="1:14" x14ac:dyDescent="0.25">
      <c r="A5155" t="s">
        <v>655</v>
      </c>
      <c r="B5155" s="2">
        <v>46112</v>
      </c>
      <c r="C5155" t="s">
        <v>655</v>
      </c>
      <c r="D5155" t="s">
        <v>112</v>
      </c>
      <c r="E5155" t="s">
        <v>9</v>
      </c>
      <c r="F5155" s="3">
        <v>-200</v>
      </c>
      <c r="G5155" s="3">
        <v>-200</v>
      </c>
      <c r="H5155" t="s">
        <v>3</v>
      </c>
      <c r="I5155" t="s">
        <v>3</v>
      </c>
      <c r="J5155" t="s">
        <v>369</v>
      </c>
      <c r="K5155" t="s">
        <v>13</v>
      </c>
      <c r="L5155" t="s">
        <v>17</v>
      </c>
      <c r="M5155" t="s">
        <v>114</v>
      </c>
      <c r="N5155" s="2">
        <v>46113</v>
      </c>
    </row>
    <row r="5156" spans="1:14" x14ac:dyDescent="0.25">
      <c r="A5156" t="s">
        <v>655</v>
      </c>
      <c r="B5156" s="2">
        <v>46142</v>
      </c>
      <c r="C5156" t="s">
        <v>655</v>
      </c>
      <c r="D5156" t="s">
        <v>112</v>
      </c>
      <c r="E5156" t="s">
        <v>9</v>
      </c>
      <c r="F5156" s="3">
        <v>200</v>
      </c>
      <c r="G5156" s="3">
        <v>200</v>
      </c>
      <c r="H5156" t="s">
        <v>3</v>
      </c>
      <c r="I5156" t="s">
        <v>3</v>
      </c>
      <c r="J5156" t="s">
        <v>370</v>
      </c>
      <c r="K5156" t="s">
        <v>13</v>
      </c>
      <c r="L5156" t="s">
        <v>17</v>
      </c>
      <c r="M5156" t="s">
        <v>114</v>
      </c>
      <c r="N5156" s="2">
        <v>46142</v>
      </c>
    </row>
    <row r="5157" spans="1:14" x14ac:dyDescent="0.25">
      <c r="A5157" s="4" t="s">
        <v>249</v>
      </c>
      <c r="B5157" s="5"/>
      <c r="C5157" s="4" t="s">
        <v>9</v>
      </c>
      <c r="D5157" s="4" t="s">
        <v>9</v>
      </c>
      <c r="E5157" s="4" t="s">
        <v>9</v>
      </c>
      <c r="F5157" s="6">
        <v>0</v>
      </c>
      <c r="G5157" s="6">
        <v>0</v>
      </c>
      <c r="H5157" s="4" t="s">
        <v>9</v>
      </c>
      <c r="I5157" s="4" t="s">
        <v>3</v>
      </c>
      <c r="J5157" s="4" t="s">
        <v>9</v>
      </c>
      <c r="K5157" s="4" t="s">
        <v>9</v>
      </c>
      <c r="L5157" s="4" t="s">
        <v>9</v>
      </c>
      <c r="M5157" s="4" t="s">
        <v>9</v>
      </c>
      <c r="N5157" s="5"/>
    </row>
    <row r="5158" spans="1:14" x14ac:dyDescent="0.25">
      <c r="A5158" t="s">
        <v>655</v>
      </c>
      <c r="B5158" s="2">
        <v>46142</v>
      </c>
      <c r="C5158" t="s">
        <v>655</v>
      </c>
      <c r="D5158" t="s">
        <v>112</v>
      </c>
      <c r="E5158" t="s">
        <v>9</v>
      </c>
      <c r="F5158" s="3">
        <v>-200</v>
      </c>
      <c r="G5158" s="3">
        <v>-200</v>
      </c>
      <c r="H5158" t="s">
        <v>3</v>
      </c>
      <c r="I5158" t="s">
        <v>3</v>
      </c>
      <c r="J5158" t="s">
        <v>370</v>
      </c>
      <c r="K5158" t="s">
        <v>13</v>
      </c>
      <c r="L5158" t="s">
        <v>18</v>
      </c>
      <c r="M5158" t="s">
        <v>114</v>
      </c>
      <c r="N5158" s="2">
        <v>46143</v>
      </c>
    </row>
    <row r="5159" spans="1:14" x14ac:dyDescent="0.25">
      <c r="A5159" t="s">
        <v>655</v>
      </c>
      <c r="B5159" s="2">
        <v>46173</v>
      </c>
      <c r="C5159" t="s">
        <v>655</v>
      </c>
      <c r="D5159" t="s">
        <v>112</v>
      </c>
      <c r="E5159" t="s">
        <v>9</v>
      </c>
      <c r="F5159" s="3">
        <v>200</v>
      </c>
      <c r="G5159" s="3">
        <v>200</v>
      </c>
      <c r="H5159" t="s">
        <v>3</v>
      </c>
      <c r="I5159" t="s">
        <v>3</v>
      </c>
      <c r="J5159" t="s">
        <v>371</v>
      </c>
      <c r="K5159" t="s">
        <v>13</v>
      </c>
      <c r="L5159" t="s">
        <v>18</v>
      </c>
      <c r="M5159" t="s">
        <v>114</v>
      </c>
      <c r="N5159" s="2">
        <v>46173</v>
      </c>
    </row>
    <row r="5160" spans="1:14" x14ac:dyDescent="0.25">
      <c r="A5160" s="4" t="s">
        <v>223</v>
      </c>
      <c r="B5160" s="5"/>
      <c r="C5160" s="4" t="s">
        <v>9</v>
      </c>
      <c r="D5160" s="4" t="s">
        <v>9</v>
      </c>
      <c r="E5160" s="4" t="s">
        <v>9</v>
      </c>
      <c r="F5160" s="6">
        <v>0</v>
      </c>
      <c r="G5160" s="6">
        <v>0</v>
      </c>
      <c r="H5160" s="4" t="s">
        <v>9</v>
      </c>
      <c r="I5160" s="4" t="s">
        <v>3</v>
      </c>
      <c r="J5160" s="4" t="s">
        <v>9</v>
      </c>
      <c r="K5160" s="4" t="s">
        <v>9</v>
      </c>
      <c r="L5160" s="4" t="s">
        <v>9</v>
      </c>
      <c r="M5160" s="4" t="s">
        <v>9</v>
      </c>
      <c r="N5160" s="5"/>
    </row>
    <row r="5161" spans="1:14" x14ac:dyDescent="0.25">
      <c r="A5161" t="s">
        <v>655</v>
      </c>
      <c r="B5161" s="2">
        <v>46173</v>
      </c>
      <c r="C5161" t="s">
        <v>655</v>
      </c>
      <c r="D5161" t="s">
        <v>112</v>
      </c>
      <c r="E5161" t="s">
        <v>9</v>
      </c>
      <c r="F5161" s="3">
        <v>-200</v>
      </c>
      <c r="G5161" s="3">
        <v>-200</v>
      </c>
      <c r="H5161" t="s">
        <v>3</v>
      </c>
      <c r="I5161" t="s">
        <v>3</v>
      </c>
      <c r="J5161" t="s">
        <v>371</v>
      </c>
      <c r="K5161" t="s">
        <v>13</v>
      </c>
      <c r="L5161" t="s">
        <v>19</v>
      </c>
      <c r="M5161" t="s">
        <v>114</v>
      </c>
      <c r="N5161" s="2">
        <v>46174</v>
      </c>
    </row>
    <row r="5162" spans="1:14" x14ac:dyDescent="0.25">
      <c r="A5162" t="s">
        <v>655</v>
      </c>
      <c r="B5162" s="2">
        <v>46203</v>
      </c>
      <c r="C5162" t="s">
        <v>655</v>
      </c>
      <c r="D5162" t="s">
        <v>112</v>
      </c>
      <c r="E5162" t="s">
        <v>9</v>
      </c>
      <c r="F5162" s="3">
        <v>200</v>
      </c>
      <c r="G5162" s="3">
        <v>200</v>
      </c>
      <c r="H5162" t="s">
        <v>3</v>
      </c>
      <c r="I5162" t="s">
        <v>3</v>
      </c>
      <c r="J5162" t="s">
        <v>372</v>
      </c>
      <c r="K5162" t="s">
        <v>13</v>
      </c>
      <c r="L5162" t="s">
        <v>19</v>
      </c>
      <c r="M5162" t="s">
        <v>114</v>
      </c>
      <c r="N5162" s="2">
        <v>46203</v>
      </c>
    </row>
    <row r="5163" spans="1:14" x14ac:dyDescent="0.25">
      <c r="A5163" s="4" t="s">
        <v>224</v>
      </c>
      <c r="B5163" s="5"/>
      <c r="C5163" s="4" t="s">
        <v>9</v>
      </c>
      <c r="D5163" s="4" t="s">
        <v>9</v>
      </c>
      <c r="E5163" s="4" t="s">
        <v>9</v>
      </c>
      <c r="F5163" s="6">
        <v>0</v>
      </c>
      <c r="G5163" s="6">
        <v>0</v>
      </c>
      <c r="H5163" s="4" t="s">
        <v>9</v>
      </c>
      <c r="I5163" s="4" t="s">
        <v>3</v>
      </c>
      <c r="J5163" s="4" t="s">
        <v>9</v>
      </c>
      <c r="K5163" s="4" t="s">
        <v>9</v>
      </c>
      <c r="L5163" s="4" t="s">
        <v>9</v>
      </c>
      <c r="M5163" s="4" t="s">
        <v>9</v>
      </c>
      <c r="N5163" s="5"/>
    </row>
    <row r="5164" spans="1:14" x14ac:dyDescent="0.25">
      <c r="A5164" t="s">
        <v>655</v>
      </c>
      <c r="B5164" s="2">
        <v>46203</v>
      </c>
      <c r="C5164" t="s">
        <v>655</v>
      </c>
      <c r="D5164" t="s">
        <v>112</v>
      </c>
      <c r="E5164" t="s">
        <v>9</v>
      </c>
      <c r="F5164" s="3">
        <v>-200</v>
      </c>
      <c r="G5164" s="3">
        <v>-200</v>
      </c>
      <c r="H5164" t="s">
        <v>3</v>
      </c>
      <c r="I5164" t="s">
        <v>3</v>
      </c>
      <c r="J5164" t="s">
        <v>372</v>
      </c>
      <c r="K5164" t="s">
        <v>13</v>
      </c>
      <c r="L5164" t="s">
        <v>21</v>
      </c>
      <c r="M5164" t="s">
        <v>114</v>
      </c>
      <c r="N5164" s="2">
        <v>46204</v>
      </c>
    </row>
    <row r="5165" spans="1:14" x14ac:dyDescent="0.25">
      <c r="A5165" t="s">
        <v>655</v>
      </c>
      <c r="B5165" s="2">
        <v>46234</v>
      </c>
      <c r="C5165" t="s">
        <v>655</v>
      </c>
      <c r="D5165" t="s">
        <v>112</v>
      </c>
      <c r="E5165" t="s">
        <v>9</v>
      </c>
      <c r="F5165" s="3">
        <v>200</v>
      </c>
      <c r="G5165" s="3">
        <v>200</v>
      </c>
      <c r="H5165" t="s">
        <v>3</v>
      </c>
      <c r="I5165" t="s">
        <v>3</v>
      </c>
      <c r="J5165" t="s">
        <v>628</v>
      </c>
      <c r="K5165" t="s">
        <v>13</v>
      </c>
      <c r="L5165" t="s">
        <v>21</v>
      </c>
      <c r="M5165" t="s">
        <v>114</v>
      </c>
      <c r="N5165" s="2">
        <v>46234</v>
      </c>
    </row>
    <row r="5166" spans="1:14" x14ac:dyDescent="0.25">
      <c r="A5166" s="4" t="s">
        <v>262</v>
      </c>
      <c r="B5166" s="5"/>
      <c r="C5166" s="4" t="s">
        <v>9</v>
      </c>
      <c r="D5166" s="4" t="s">
        <v>9</v>
      </c>
      <c r="E5166" s="4" t="s">
        <v>9</v>
      </c>
      <c r="F5166" s="6">
        <v>0</v>
      </c>
      <c r="G5166" s="6">
        <v>0</v>
      </c>
      <c r="H5166" s="4" t="s">
        <v>9</v>
      </c>
      <c r="I5166" s="4" t="s">
        <v>3</v>
      </c>
      <c r="J5166" s="4" t="s">
        <v>9</v>
      </c>
      <c r="K5166" s="4" t="s">
        <v>9</v>
      </c>
      <c r="L5166" s="4" t="s">
        <v>9</v>
      </c>
      <c r="M5166" s="4" t="s">
        <v>9</v>
      </c>
      <c r="N5166" s="5"/>
    </row>
    <row r="5167" spans="1:14" x14ac:dyDescent="0.25">
      <c r="A5167" t="s">
        <v>655</v>
      </c>
      <c r="B5167" s="2">
        <v>46028</v>
      </c>
      <c r="C5167" t="s">
        <v>655</v>
      </c>
      <c r="D5167" t="s">
        <v>112</v>
      </c>
      <c r="E5167" t="s">
        <v>9</v>
      </c>
      <c r="F5167" s="3">
        <v>-2800</v>
      </c>
      <c r="G5167" s="3">
        <v>-2800</v>
      </c>
      <c r="H5167" t="s">
        <v>3</v>
      </c>
      <c r="I5167" t="s">
        <v>3</v>
      </c>
      <c r="J5167" t="s">
        <v>9</v>
      </c>
      <c r="K5167" t="s">
        <v>9</v>
      </c>
      <c r="L5167" t="s">
        <v>12</v>
      </c>
      <c r="M5167" t="s">
        <v>114</v>
      </c>
      <c r="N5167" s="2">
        <v>46022</v>
      </c>
    </row>
    <row r="5168" spans="1:14" x14ac:dyDescent="0.25">
      <c r="A5168" t="s">
        <v>655</v>
      </c>
      <c r="B5168" s="2">
        <v>46028</v>
      </c>
      <c r="C5168" t="s">
        <v>655</v>
      </c>
      <c r="D5168" t="s">
        <v>99</v>
      </c>
      <c r="E5168" t="s">
        <v>9</v>
      </c>
      <c r="F5168" s="3">
        <v>-458</v>
      </c>
      <c r="G5168" s="3">
        <v>-458</v>
      </c>
      <c r="H5168" t="s">
        <v>3</v>
      </c>
      <c r="I5168" t="s">
        <v>3</v>
      </c>
      <c r="J5168" t="s">
        <v>9</v>
      </c>
      <c r="K5168" t="s">
        <v>9</v>
      </c>
      <c r="L5168" t="s">
        <v>12</v>
      </c>
      <c r="M5168" t="s">
        <v>102</v>
      </c>
      <c r="N5168" s="2">
        <v>46022</v>
      </c>
    </row>
    <row r="5169" spans="1:14" x14ac:dyDescent="0.25">
      <c r="A5169" t="s">
        <v>655</v>
      </c>
      <c r="B5169" s="2">
        <v>45992</v>
      </c>
      <c r="C5169" t="s">
        <v>655</v>
      </c>
      <c r="D5169" t="s">
        <v>99</v>
      </c>
      <c r="E5169" t="s">
        <v>9</v>
      </c>
      <c r="F5169" s="3">
        <v>458</v>
      </c>
      <c r="G5169" s="3">
        <v>458</v>
      </c>
      <c r="H5169" t="s">
        <v>3</v>
      </c>
      <c r="I5169" t="s">
        <v>3</v>
      </c>
      <c r="J5169" t="s">
        <v>630</v>
      </c>
      <c r="K5169" t="s">
        <v>5</v>
      </c>
      <c r="L5169" t="s">
        <v>12</v>
      </c>
      <c r="M5169" t="s">
        <v>102</v>
      </c>
      <c r="N5169" s="2">
        <v>45992</v>
      </c>
    </row>
    <row r="5170" spans="1:14" x14ac:dyDescent="0.25">
      <c r="A5170" t="s">
        <v>655</v>
      </c>
      <c r="B5170" s="2">
        <v>46022</v>
      </c>
      <c r="C5170" t="s">
        <v>655</v>
      </c>
      <c r="D5170" t="s">
        <v>112</v>
      </c>
      <c r="E5170" t="s">
        <v>9</v>
      </c>
      <c r="F5170" s="3">
        <v>2800</v>
      </c>
      <c r="G5170" s="3">
        <v>2800</v>
      </c>
      <c r="H5170" t="s">
        <v>3</v>
      </c>
      <c r="I5170" t="s">
        <v>3</v>
      </c>
      <c r="J5170" t="s">
        <v>299</v>
      </c>
      <c r="K5170" t="s">
        <v>5</v>
      </c>
      <c r="L5170" t="s">
        <v>12</v>
      </c>
      <c r="M5170" t="s">
        <v>114</v>
      </c>
      <c r="N5170" s="2">
        <v>46022</v>
      </c>
    </row>
    <row r="5171" spans="1:14" x14ac:dyDescent="0.25">
      <c r="A5171" t="s">
        <v>655</v>
      </c>
      <c r="B5171" s="2">
        <v>46022</v>
      </c>
      <c r="C5171" t="s">
        <v>655</v>
      </c>
      <c r="D5171" t="s">
        <v>112</v>
      </c>
      <c r="E5171" t="s">
        <v>9</v>
      </c>
      <c r="F5171" s="3">
        <v>2800</v>
      </c>
      <c r="G5171" s="3">
        <v>2800</v>
      </c>
      <c r="H5171" t="s">
        <v>3</v>
      </c>
      <c r="I5171" t="s">
        <v>3</v>
      </c>
      <c r="J5171" t="s">
        <v>299</v>
      </c>
      <c r="K5171" t="s">
        <v>5</v>
      </c>
      <c r="L5171" t="s">
        <v>12</v>
      </c>
      <c r="M5171" t="s">
        <v>114</v>
      </c>
      <c r="N5171" s="2">
        <v>46022</v>
      </c>
    </row>
    <row r="5172" spans="1:14" x14ac:dyDescent="0.25">
      <c r="A5172" t="s">
        <v>655</v>
      </c>
      <c r="B5172" s="2">
        <v>46022</v>
      </c>
      <c r="C5172" t="s">
        <v>655</v>
      </c>
      <c r="D5172" t="s">
        <v>112</v>
      </c>
      <c r="E5172" t="s">
        <v>9</v>
      </c>
      <c r="F5172" s="3">
        <v>-2800</v>
      </c>
      <c r="G5172" s="3">
        <v>-2800</v>
      </c>
      <c r="H5172" t="s">
        <v>3</v>
      </c>
      <c r="I5172" t="s">
        <v>3</v>
      </c>
      <c r="J5172" t="s">
        <v>299</v>
      </c>
      <c r="K5172" t="s">
        <v>5</v>
      </c>
      <c r="L5172" t="s">
        <v>12</v>
      </c>
      <c r="M5172" t="s">
        <v>114</v>
      </c>
      <c r="N5172" s="2">
        <v>46022</v>
      </c>
    </row>
    <row r="5173" spans="1:14" x14ac:dyDescent="0.25">
      <c r="A5173" s="4" t="s">
        <v>228</v>
      </c>
      <c r="B5173" s="5"/>
      <c r="C5173" s="4" t="s">
        <v>9</v>
      </c>
      <c r="D5173" s="4" t="s">
        <v>9</v>
      </c>
      <c r="E5173" s="4" t="s">
        <v>9</v>
      </c>
      <c r="F5173" s="6">
        <v>0</v>
      </c>
      <c r="G5173" s="6">
        <v>0</v>
      </c>
      <c r="H5173" s="4" t="s">
        <v>9</v>
      </c>
      <c r="I5173" s="4" t="s">
        <v>3</v>
      </c>
      <c r="J5173" s="4" t="s">
        <v>9</v>
      </c>
      <c r="K5173" s="4" t="s">
        <v>9</v>
      </c>
      <c r="L5173" s="4" t="s">
        <v>9</v>
      </c>
      <c r="M5173" s="4" t="s">
        <v>9</v>
      </c>
      <c r="N5173" s="5"/>
    </row>
    <row r="5174" spans="1:14" x14ac:dyDescent="0.25">
      <c r="A5174" s="4" t="s">
        <v>655</v>
      </c>
      <c r="B5174" s="5"/>
      <c r="C5174" s="4" t="s">
        <v>9</v>
      </c>
      <c r="D5174" s="4" t="s">
        <v>9</v>
      </c>
      <c r="E5174" s="4" t="s">
        <v>9</v>
      </c>
      <c r="F5174" s="6">
        <v>0</v>
      </c>
      <c r="G5174" s="6">
        <v>0</v>
      </c>
      <c r="H5174" s="4" t="s">
        <v>9</v>
      </c>
      <c r="I5174" s="4" t="s">
        <v>3</v>
      </c>
      <c r="J5174" s="4" t="s">
        <v>9</v>
      </c>
      <c r="K5174" s="4" t="s">
        <v>9</v>
      </c>
      <c r="L5174" s="4" t="s">
        <v>9</v>
      </c>
      <c r="M5174" s="4" t="s">
        <v>9</v>
      </c>
      <c r="N5174" s="5"/>
    </row>
    <row r="5175" spans="1:14" x14ac:dyDescent="0.25">
      <c r="A5175" t="s">
        <v>656</v>
      </c>
      <c r="B5175" s="2">
        <v>46115</v>
      </c>
      <c r="C5175" t="s">
        <v>656</v>
      </c>
      <c r="D5175" t="s">
        <v>112</v>
      </c>
      <c r="E5175" t="s">
        <v>9</v>
      </c>
      <c r="F5175" s="3">
        <v>-300</v>
      </c>
      <c r="G5175" s="3">
        <v>-300</v>
      </c>
      <c r="H5175" t="s">
        <v>3</v>
      </c>
      <c r="I5175" t="s">
        <v>3</v>
      </c>
      <c r="J5175" t="s">
        <v>9</v>
      </c>
      <c r="K5175" t="s">
        <v>9</v>
      </c>
      <c r="L5175" t="s">
        <v>16</v>
      </c>
      <c r="M5175" t="s">
        <v>114</v>
      </c>
      <c r="N5175" s="2">
        <v>46112</v>
      </c>
    </row>
    <row r="5176" spans="1:14" x14ac:dyDescent="0.25">
      <c r="A5176" t="s">
        <v>656</v>
      </c>
      <c r="B5176" s="2">
        <v>46112</v>
      </c>
      <c r="C5176" t="s">
        <v>656</v>
      </c>
      <c r="D5176" t="s">
        <v>112</v>
      </c>
      <c r="E5176" t="s">
        <v>9</v>
      </c>
      <c r="F5176" s="3">
        <v>300</v>
      </c>
      <c r="G5176" s="3">
        <v>300</v>
      </c>
      <c r="H5176" t="s">
        <v>3</v>
      </c>
      <c r="I5176" t="s">
        <v>3</v>
      </c>
      <c r="J5176" t="s">
        <v>369</v>
      </c>
      <c r="K5176" t="s">
        <v>13</v>
      </c>
      <c r="L5176" t="s">
        <v>16</v>
      </c>
      <c r="M5176" t="s">
        <v>114</v>
      </c>
      <c r="N5176" s="2">
        <v>46112</v>
      </c>
    </row>
    <row r="5177" spans="1:14" x14ac:dyDescent="0.25">
      <c r="A5177" s="4" t="s">
        <v>244</v>
      </c>
      <c r="B5177" s="5"/>
      <c r="C5177" s="4" t="s">
        <v>9</v>
      </c>
      <c r="D5177" s="4" t="s">
        <v>9</v>
      </c>
      <c r="E5177" s="4" t="s">
        <v>9</v>
      </c>
      <c r="F5177" s="6">
        <v>0</v>
      </c>
      <c r="G5177" s="6">
        <v>0</v>
      </c>
      <c r="H5177" s="4" t="s">
        <v>9</v>
      </c>
      <c r="I5177" s="4" t="s">
        <v>3</v>
      </c>
      <c r="J5177" s="4" t="s">
        <v>9</v>
      </c>
      <c r="K5177" s="4" t="s">
        <v>9</v>
      </c>
      <c r="L5177" s="4" t="s">
        <v>9</v>
      </c>
      <c r="M5177" s="4" t="s">
        <v>9</v>
      </c>
      <c r="N5177" s="5"/>
    </row>
    <row r="5178" spans="1:14" x14ac:dyDescent="0.25">
      <c r="A5178" t="s">
        <v>656</v>
      </c>
      <c r="B5178" s="2">
        <v>46147</v>
      </c>
      <c r="C5178" t="s">
        <v>656</v>
      </c>
      <c r="D5178" t="s">
        <v>112</v>
      </c>
      <c r="E5178" t="s">
        <v>9</v>
      </c>
      <c r="F5178" s="3">
        <v>-300</v>
      </c>
      <c r="G5178" s="3">
        <v>-300</v>
      </c>
      <c r="H5178" t="s">
        <v>3</v>
      </c>
      <c r="I5178" t="s">
        <v>3</v>
      </c>
      <c r="J5178" t="s">
        <v>9</v>
      </c>
      <c r="K5178" t="s">
        <v>9</v>
      </c>
      <c r="L5178" t="s">
        <v>17</v>
      </c>
      <c r="M5178" t="s">
        <v>114</v>
      </c>
      <c r="N5178" s="2">
        <v>46142</v>
      </c>
    </row>
    <row r="5179" spans="1:14" x14ac:dyDescent="0.25">
      <c r="A5179" t="s">
        <v>656</v>
      </c>
      <c r="B5179" s="2">
        <v>46112</v>
      </c>
      <c r="C5179" t="s">
        <v>656</v>
      </c>
      <c r="D5179" t="s">
        <v>112</v>
      </c>
      <c r="E5179" t="s">
        <v>9</v>
      </c>
      <c r="F5179" s="3">
        <v>-300</v>
      </c>
      <c r="G5179" s="3">
        <v>-300</v>
      </c>
      <c r="H5179" t="s">
        <v>3</v>
      </c>
      <c r="I5179" t="s">
        <v>3</v>
      </c>
      <c r="J5179" t="s">
        <v>369</v>
      </c>
      <c r="K5179" t="s">
        <v>13</v>
      </c>
      <c r="L5179" t="s">
        <v>17</v>
      </c>
      <c r="M5179" t="s">
        <v>114</v>
      </c>
      <c r="N5179" s="2">
        <v>46113</v>
      </c>
    </row>
    <row r="5180" spans="1:14" x14ac:dyDescent="0.25">
      <c r="A5180" t="s">
        <v>656</v>
      </c>
      <c r="B5180" s="2">
        <v>46142</v>
      </c>
      <c r="C5180" t="s">
        <v>656</v>
      </c>
      <c r="D5180" t="s">
        <v>112</v>
      </c>
      <c r="E5180" t="s">
        <v>9</v>
      </c>
      <c r="F5180" s="3">
        <v>600</v>
      </c>
      <c r="G5180" s="3">
        <v>600</v>
      </c>
      <c r="H5180" t="s">
        <v>3</v>
      </c>
      <c r="I5180" t="s">
        <v>3</v>
      </c>
      <c r="J5180" t="s">
        <v>370</v>
      </c>
      <c r="K5180" t="s">
        <v>13</v>
      </c>
      <c r="L5180" t="s">
        <v>17</v>
      </c>
      <c r="M5180" t="s">
        <v>114</v>
      </c>
      <c r="N5180" s="2">
        <v>46142</v>
      </c>
    </row>
    <row r="5181" spans="1:14" x14ac:dyDescent="0.25">
      <c r="A5181" s="4" t="s">
        <v>249</v>
      </c>
      <c r="B5181" s="5"/>
      <c r="C5181" s="4" t="s">
        <v>9</v>
      </c>
      <c r="D5181" s="4" t="s">
        <v>9</v>
      </c>
      <c r="E5181" s="4" t="s">
        <v>9</v>
      </c>
      <c r="F5181" s="6">
        <v>0</v>
      </c>
      <c r="G5181" s="6">
        <v>0</v>
      </c>
      <c r="H5181" s="4" t="s">
        <v>9</v>
      </c>
      <c r="I5181" s="4" t="s">
        <v>3</v>
      </c>
      <c r="J5181" s="4" t="s">
        <v>9</v>
      </c>
      <c r="K5181" s="4" t="s">
        <v>9</v>
      </c>
      <c r="L5181" s="4" t="s">
        <v>9</v>
      </c>
      <c r="M5181" s="4" t="s">
        <v>9</v>
      </c>
      <c r="N5181" s="5"/>
    </row>
    <row r="5182" spans="1:14" x14ac:dyDescent="0.25">
      <c r="A5182" t="s">
        <v>656</v>
      </c>
      <c r="B5182" s="2">
        <v>46175</v>
      </c>
      <c r="C5182" t="s">
        <v>656</v>
      </c>
      <c r="D5182" t="s">
        <v>112</v>
      </c>
      <c r="E5182" t="s">
        <v>9</v>
      </c>
      <c r="F5182" s="3">
        <v>-1100</v>
      </c>
      <c r="G5182" s="3">
        <v>-1100</v>
      </c>
      <c r="H5182" t="s">
        <v>3</v>
      </c>
      <c r="I5182" t="s">
        <v>3</v>
      </c>
      <c r="J5182" t="s">
        <v>9</v>
      </c>
      <c r="K5182" t="s">
        <v>9</v>
      </c>
      <c r="L5182" t="s">
        <v>18</v>
      </c>
      <c r="M5182" t="s">
        <v>114</v>
      </c>
      <c r="N5182" s="2">
        <v>46173</v>
      </c>
    </row>
    <row r="5183" spans="1:14" x14ac:dyDescent="0.25">
      <c r="A5183" t="s">
        <v>656</v>
      </c>
      <c r="B5183" s="2">
        <v>46142</v>
      </c>
      <c r="C5183" t="s">
        <v>656</v>
      </c>
      <c r="D5183" t="s">
        <v>112</v>
      </c>
      <c r="E5183" t="s">
        <v>9</v>
      </c>
      <c r="F5183" s="3">
        <v>-600</v>
      </c>
      <c r="G5183" s="3">
        <v>-600</v>
      </c>
      <c r="H5183" t="s">
        <v>3</v>
      </c>
      <c r="I5183" t="s">
        <v>3</v>
      </c>
      <c r="J5183" t="s">
        <v>370</v>
      </c>
      <c r="K5183" t="s">
        <v>13</v>
      </c>
      <c r="L5183" t="s">
        <v>18</v>
      </c>
      <c r="M5183" t="s">
        <v>114</v>
      </c>
      <c r="N5183" s="2">
        <v>46143</v>
      </c>
    </row>
    <row r="5184" spans="1:14" x14ac:dyDescent="0.25">
      <c r="A5184" t="s">
        <v>656</v>
      </c>
      <c r="B5184" s="2">
        <v>46173</v>
      </c>
      <c r="C5184" t="s">
        <v>656</v>
      </c>
      <c r="D5184" t="s">
        <v>112</v>
      </c>
      <c r="E5184" t="s">
        <v>9</v>
      </c>
      <c r="F5184" s="3">
        <v>1700</v>
      </c>
      <c r="G5184" s="3">
        <v>1700</v>
      </c>
      <c r="H5184" t="s">
        <v>3</v>
      </c>
      <c r="I5184" t="s">
        <v>3</v>
      </c>
      <c r="J5184" t="s">
        <v>371</v>
      </c>
      <c r="K5184" t="s">
        <v>13</v>
      </c>
      <c r="L5184" t="s">
        <v>18</v>
      </c>
      <c r="M5184" t="s">
        <v>114</v>
      </c>
      <c r="N5184" s="2">
        <v>46173</v>
      </c>
    </row>
    <row r="5185" spans="1:14" x14ac:dyDescent="0.25">
      <c r="A5185" s="4" t="s">
        <v>223</v>
      </c>
      <c r="B5185" s="5"/>
      <c r="C5185" s="4" t="s">
        <v>9</v>
      </c>
      <c r="D5185" s="4" t="s">
        <v>9</v>
      </c>
      <c r="E5185" s="4" t="s">
        <v>9</v>
      </c>
      <c r="F5185" s="6">
        <v>0</v>
      </c>
      <c r="G5185" s="6">
        <v>0</v>
      </c>
      <c r="H5185" s="4" t="s">
        <v>9</v>
      </c>
      <c r="I5185" s="4" t="s">
        <v>3</v>
      </c>
      <c r="J5185" s="4" t="s">
        <v>9</v>
      </c>
      <c r="K5185" s="4" t="s">
        <v>9</v>
      </c>
      <c r="L5185" s="4" t="s">
        <v>9</v>
      </c>
      <c r="M5185" s="4" t="s">
        <v>9</v>
      </c>
      <c r="N5185" s="5"/>
    </row>
    <row r="5186" spans="1:14" x14ac:dyDescent="0.25">
      <c r="A5186" t="s">
        <v>656</v>
      </c>
      <c r="B5186" s="2">
        <v>46205</v>
      </c>
      <c r="C5186" t="s">
        <v>656</v>
      </c>
      <c r="D5186" t="s">
        <v>112</v>
      </c>
      <c r="E5186" t="s">
        <v>9</v>
      </c>
      <c r="F5186" s="3">
        <v>-2850</v>
      </c>
      <c r="G5186" s="3">
        <v>-2850</v>
      </c>
      <c r="H5186" t="s">
        <v>3</v>
      </c>
      <c r="I5186" t="s">
        <v>3</v>
      </c>
      <c r="J5186" t="s">
        <v>9</v>
      </c>
      <c r="K5186" t="s">
        <v>9</v>
      </c>
      <c r="L5186" t="s">
        <v>19</v>
      </c>
      <c r="M5186" t="s">
        <v>114</v>
      </c>
      <c r="N5186" s="2">
        <v>46203</v>
      </c>
    </row>
    <row r="5187" spans="1:14" x14ac:dyDescent="0.25">
      <c r="A5187" t="s">
        <v>656</v>
      </c>
      <c r="B5187" s="2">
        <v>46173</v>
      </c>
      <c r="C5187" t="s">
        <v>656</v>
      </c>
      <c r="D5187" t="s">
        <v>112</v>
      </c>
      <c r="E5187" t="s">
        <v>9</v>
      </c>
      <c r="F5187" s="3">
        <v>-1700</v>
      </c>
      <c r="G5187" s="3">
        <v>-1700</v>
      </c>
      <c r="H5187" t="s">
        <v>3</v>
      </c>
      <c r="I5187" t="s">
        <v>3</v>
      </c>
      <c r="J5187" t="s">
        <v>371</v>
      </c>
      <c r="K5187" t="s">
        <v>13</v>
      </c>
      <c r="L5187" t="s">
        <v>19</v>
      </c>
      <c r="M5187" t="s">
        <v>114</v>
      </c>
      <c r="N5187" s="2">
        <v>46174</v>
      </c>
    </row>
    <row r="5188" spans="1:14" x14ac:dyDescent="0.25">
      <c r="A5188" t="s">
        <v>656</v>
      </c>
      <c r="B5188" s="2">
        <v>46203</v>
      </c>
      <c r="C5188" t="s">
        <v>656</v>
      </c>
      <c r="D5188" t="s">
        <v>112</v>
      </c>
      <c r="E5188" t="s">
        <v>9</v>
      </c>
      <c r="F5188" s="3">
        <v>4550</v>
      </c>
      <c r="G5188" s="3">
        <v>4550</v>
      </c>
      <c r="H5188" t="s">
        <v>3</v>
      </c>
      <c r="I5188" t="s">
        <v>3</v>
      </c>
      <c r="J5188" t="s">
        <v>372</v>
      </c>
      <c r="K5188" t="s">
        <v>13</v>
      </c>
      <c r="L5188" t="s">
        <v>19</v>
      </c>
      <c r="M5188" t="s">
        <v>114</v>
      </c>
      <c r="N5188" s="2">
        <v>46203</v>
      </c>
    </row>
    <row r="5189" spans="1:14" x14ac:dyDescent="0.25">
      <c r="A5189" s="4" t="s">
        <v>224</v>
      </c>
      <c r="B5189" s="5"/>
      <c r="C5189" s="4" t="s">
        <v>9</v>
      </c>
      <c r="D5189" s="4" t="s">
        <v>9</v>
      </c>
      <c r="E5189" s="4" t="s">
        <v>9</v>
      </c>
      <c r="F5189" s="6">
        <v>0</v>
      </c>
      <c r="G5189" s="6">
        <v>0</v>
      </c>
      <c r="H5189" s="4" t="s">
        <v>9</v>
      </c>
      <c r="I5189" s="4" t="s">
        <v>3</v>
      </c>
      <c r="J5189" s="4" t="s">
        <v>9</v>
      </c>
      <c r="K5189" s="4" t="s">
        <v>9</v>
      </c>
      <c r="L5189" s="4" t="s">
        <v>9</v>
      </c>
      <c r="M5189" s="4" t="s">
        <v>9</v>
      </c>
      <c r="N5189" s="5"/>
    </row>
    <row r="5190" spans="1:14" x14ac:dyDescent="0.25">
      <c r="A5190" t="s">
        <v>656</v>
      </c>
      <c r="B5190" s="2">
        <v>46239</v>
      </c>
      <c r="C5190" t="s">
        <v>656</v>
      </c>
      <c r="D5190" t="s">
        <v>112</v>
      </c>
      <c r="E5190" t="s">
        <v>9</v>
      </c>
      <c r="F5190" s="3">
        <v>-2250</v>
      </c>
      <c r="G5190" s="3">
        <v>-2250</v>
      </c>
      <c r="H5190" t="s">
        <v>3</v>
      </c>
      <c r="I5190" t="s">
        <v>3</v>
      </c>
      <c r="J5190" t="s">
        <v>9</v>
      </c>
      <c r="K5190" t="s">
        <v>9</v>
      </c>
      <c r="L5190" t="s">
        <v>21</v>
      </c>
      <c r="M5190" t="s">
        <v>114</v>
      </c>
      <c r="N5190" s="2">
        <v>46234</v>
      </c>
    </row>
    <row r="5191" spans="1:14" x14ac:dyDescent="0.25">
      <c r="A5191" t="s">
        <v>656</v>
      </c>
      <c r="B5191" s="2">
        <v>46203</v>
      </c>
      <c r="C5191" t="s">
        <v>656</v>
      </c>
      <c r="D5191" t="s">
        <v>112</v>
      </c>
      <c r="E5191" t="s">
        <v>9</v>
      </c>
      <c r="F5191" s="3">
        <v>-4550</v>
      </c>
      <c r="G5191" s="3">
        <v>-4550</v>
      </c>
      <c r="H5191" t="s">
        <v>3</v>
      </c>
      <c r="I5191" t="s">
        <v>3</v>
      </c>
      <c r="J5191" t="s">
        <v>372</v>
      </c>
      <c r="K5191" t="s">
        <v>13</v>
      </c>
      <c r="L5191" t="s">
        <v>21</v>
      </c>
      <c r="M5191" t="s">
        <v>114</v>
      </c>
      <c r="N5191" s="2">
        <v>46204</v>
      </c>
    </row>
    <row r="5192" spans="1:14" x14ac:dyDescent="0.25">
      <c r="A5192" t="s">
        <v>656</v>
      </c>
      <c r="B5192" s="2">
        <v>46234</v>
      </c>
      <c r="C5192" t="s">
        <v>656</v>
      </c>
      <c r="D5192" t="s">
        <v>112</v>
      </c>
      <c r="E5192" t="s">
        <v>9</v>
      </c>
      <c r="F5192" s="3">
        <v>6800</v>
      </c>
      <c r="G5192" s="3">
        <v>6800</v>
      </c>
      <c r="H5192" t="s">
        <v>3</v>
      </c>
      <c r="I5192" t="s">
        <v>3</v>
      </c>
      <c r="J5192" t="s">
        <v>373</v>
      </c>
      <c r="K5192" t="s">
        <v>13</v>
      </c>
      <c r="L5192" t="s">
        <v>21</v>
      </c>
      <c r="M5192" t="s">
        <v>114</v>
      </c>
      <c r="N5192" s="2">
        <v>46234</v>
      </c>
    </row>
    <row r="5193" spans="1:14" x14ac:dyDescent="0.25">
      <c r="A5193" s="4" t="s">
        <v>262</v>
      </c>
      <c r="B5193" s="5"/>
      <c r="C5193" s="4" t="s">
        <v>9</v>
      </c>
      <c r="D5193" s="4" t="s">
        <v>9</v>
      </c>
      <c r="E5193" s="4" t="s">
        <v>9</v>
      </c>
      <c r="F5193" s="6">
        <v>0</v>
      </c>
      <c r="G5193" s="6">
        <v>0</v>
      </c>
      <c r="H5193" s="4" t="s">
        <v>9</v>
      </c>
      <c r="I5193" s="4" t="s">
        <v>3</v>
      </c>
      <c r="J5193" s="4" t="s">
        <v>9</v>
      </c>
      <c r="K5193" s="4" t="s">
        <v>9</v>
      </c>
      <c r="L5193" s="4" t="s">
        <v>9</v>
      </c>
      <c r="M5193" s="4" t="s">
        <v>9</v>
      </c>
      <c r="N5193" s="5"/>
    </row>
    <row r="5194" spans="1:14" x14ac:dyDescent="0.25">
      <c r="A5194" t="s">
        <v>656</v>
      </c>
      <c r="B5194" s="2">
        <v>46267</v>
      </c>
      <c r="C5194" t="s">
        <v>656</v>
      </c>
      <c r="D5194" t="s">
        <v>112</v>
      </c>
      <c r="E5194" t="s">
        <v>9</v>
      </c>
      <c r="F5194" s="3">
        <v>-700</v>
      </c>
      <c r="G5194" s="3">
        <v>-700</v>
      </c>
      <c r="H5194" t="s">
        <v>3</v>
      </c>
      <c r="I5194" t="s">
        <v>3</v>
      </c>
      <c r="J5194" t="s">
        <v>9</v>
      </c>
      <c r="K5194" t="s">
        <v>9</v>
      </c>
      <c r="L5194" t="s">
        <v>22</v>
      </c>
      <c r="M5194" t="s">
        <v>114</v>
      </c>
      <c r="N5194" s="2">
        <v>46265</v>
      </c>
    </row>
    <row r="5195" spans="1:14" x14ac:dyDescent="0.25">
      <c r="A5195" t="s">
        <v>656</v>
      </c>
      <c r="B5195" s="2">
        <v>46234</v>
      </c>
      <c r="C5195" t="s">
        <v>656</v>
      </c>
      <c r="D5195" t="s">
        <v>112</v>
      </c>
      <c r="E5195" t="s">
        <v>9</v>
      </c>
      <c r="F5195" s="3">
        <v>-6800</v>
      </c>
      <c r="G5195" s="3">
        <v>-6800</v>
      </c>
      <c r="H5195" t="s">
        <v>3</v>
      </c>
      <c r="I5195" t="s">
        <v>3</v>
      </c>
      <c r="J5195" t="s">
        <v>373</v>
      </c>
      <c r="K5195" t="s">
        <v>13</v>
      </c>
      <c r="L5195" t="s">
        <v>22</v>
      </c>
      <c r="M5195" t="s">
        <v>114</v>
      </c>
      <c r="N5195" s="2">
        <v>46235</v>
      </c>
    </row>
    <row r="5196" spans="1:14" x14ac:dyDescent="0.25">
      <c r="A5196" t="s">
        <v>656</v>
      </c>
      <c r="B5196" s="2">
        <v>46265</v>
      </c>
      <c r="C5196" t="s">
        <v>656</v>
      </c>
      <c r="D5196" t="s">
        <v>112</v>
      </c>
      <c r="E5196" t="s">
        <v>9</v>
      </c>
      <c r="F5196" s="3">
        <v>7500</v>
      </c>
      <c r="G5196" s="3">
        <v>7500</v>
      </c>
      <c r="H5196" t="s">
        <v>3</v>
      </c>
      <c r="I5196" t="s">
        <v>3</v>
      </c>
      <c r="J5196" t="s">
        <v>430</v>
      </c>
      <c r="K5196" t="s">
        <v>13</v>
      </c>
      <c r="L5196" t="s">
        <v>22</v>
      </c>
      <c r="M5196" t="s">
        <v>114</v>
      </c>
      <c r="N5196" s="2">
        <v>46265</v>
      </c>
    </row>
    <row r="5197" spans="1:14" x14ac:dyDescent="0.25">
      <c r="A5197" s="4" t="s">
        <v>267</v>
      </c>
      <c r="B5197" s="5"/>
      <c r="C5197" s="4" t="s">
        <v>9</v>
      </c>
      <c r="D5197" s="4" t="s">
        <v>9</v>
      </c>
      <c r="E5197" s="4" t="s">
        <v>9</v>
      </c>
      <c r="F5197" s="6">
        <v>0</v>
      </c>
      <c r="G5197" s="6">
        <v>0</v>
      </c>
      <c r="H5197" s="4" t="s">
        <v>9</v>
      </c>
      <c r="I5197" s="4" t="s">
        <v>3</v>
      </c>
      <c r="J5197" s="4" t="s">
        <v>9</v>
      </c>
      <c r="K5197" s="4" t="s">
        <v>9</v>
      </c>
      <c r="L5197" s="4" t="s">
        <v>9</v>
      </c>
      <c r="M5197" s="4" t="s">
        <v>9</v>
      </c>
      <c r="N5197" s="5"/>
    </row>
    <row r="5198" spans="1:14" x14ac:dyDescent="0.25">
      <c r="A5198" s="4" t="s">
        <v>656</v>
      </c>
      <c r="B5198" s="5"/>
      <c r="C5198" s="4" t="s">
        <v>9</v>
      </c>
      <c r="D5198" s="4" t="s">
        <v>9</v>
      </c>
      <c r="E5198" s="4" t="s">
        <v>9</v>
      </c>
      <c r="F5198" s="6">
        <v>0</v>
      </c>
      <c r="G5198" s="6">
        <v>0</v>
      </c>
      <c r="H5198" s="4" t="s">
        <v>9</v>
      </c>
      <c r="I5198" s="4" t="s">
        <v>3</v>
      </c>
      <c r="J5198" s="4" t="s">
        <v>9</v>
      </c>
      <c r="K5198" s="4" t="s">
        <v>9</v>
      </c>
      <c r="L5198" s="4" t="s">
        <v>9</v>
      </c>
      <c r="M5198" s="4" t="s">
        <v>9</v>
      </c>
      <c r="N5198" s="5"/>
    </row>
    <row r="5199" spans="1:14" x14ac:dyDescent="0.25">
      <c r="A5199" t="s">
        <v>657</v>
      </c>
      <c r="B5199" s="2">
        <v>46056</v>
      </c>
      <c r="C5199" t="s">
        <v>657</v>
      </c>
      <c r="D5199" t="s">
        <v>112</v>
      </c>
      <c r="E5199" t="s">
        <v>9</v>
      </c>
      <c r="F5199" s="3">
        <v>-3850</v>
      </c>
      <c r="G5199" s="3">
        <v>-3850</v>
      </c>
      <c r="H5199" t="s">
        <v>3</v>
      </c>
      <c r="I5199" t="s">
        <v>3</v>
      </c>
      <c r="J5199" t="s">
        <v>9</v>
      </c>
      <c r="K5199" t="s">
        <v>9</v>
      </c>
      <c r="L5199" t="s">
        <v>14</v>
      </c>
      <c r="M5199" t="s">
        <v>114</v>
      </c>
      <c r="N5199" s="2">
        <v>46053</v>
      </c>
    </row>
    <row r="5200" spans="1:14" x14ac:dyDescent="0.25">
      <c r="A5200" t="s">
        <v>657</v>
      </c>
      <c r="B5200" s="2">
        <v>46056</v>
      </c>
      <c r="C5200" t="s">
        <v>657</v>
      </c>
      <c r="D5200" t="s">
        <v>301</v>
      </c>
      <c r="E5200" t="s">
        <v>9</v>
      </c>
      <c r="F5200" s="3">
        <v>3850</v>
      </c>
      <c r="G5200" s="3">
        <v>3850</v>
      </c>
      <c r="H5200" t="s">
        <v>3</v>
      </c>
      <c r="I5200" t="s">
        <v>3</v>
      </c>
      <c r="J5200" t="s">
        <v>9</v>
      </c>
      <c r="K5200" t="s">
        <v>9</v>
      </c>
      <c r="L5200" t="s">
        <v>14</v>
      </c>
      <c r="M5200" t="s">
        <v>302</v>
      </c>
      <c r="N5200" s="2">
        <v>46053</v>
      </c>
    </row>
    <row r="5201" spans="1:14" x14ac:dyDescent="0.25">
      <c r="A5201" t="s">
        <v>657</v>
      </c>
      <c r="B5201" s="2">
        <v>46053</v>
      </c>
      <c r="C5201" t="s">
        <v>657</v>
      </c>
      <c r="D5201" t="s">
        <v>112</v>
      </c>
      <c r="E5201" t="s">
        <v>9</v>
      </c>
      <c r="F5201" s="3">
        <v>3850</v>
      </c>
      <c r="G5201" s="3">
        <v>3850</v>
      </c>
      <c r="H5201" t="s">
        <v>3</v>
      </c>
      <c r="I5201" t="s">
        <v>3</v>
      </c>
      <c r="J5201" t="s">
        <v>367</v>
      </c>
      <c r="K5201" t="s">
        <v>13</v>
      </c>
      <c r="L5201" t="s">
        <v>14</v>
      </c>
      <c r="M5201" t="s">
        <v>114</v>
      </c>
      <c r="N5201" s="2">
        <v>46053</v>
      </c>
    </row>
    <row r="5202" spans="1:14" x14ac:dyDescent="0.25">
      <c r="A5202" t="s">
        <v>657</v>
      </c>
      <c r="B5202" s="2">
        <v>46053</v>
      </c>
      <c r="C5202" t="s">
        <v>657</v>
      </c>
      <c r="D5202" t="s">
        <v>301</v>
      </c>
      <c r="E5202" t="s">
        <v>9</v>
      </c>
      <c r="F5202" s="3">
        <v>-3850</v>
      </c>
      <c r="G5202" s="3">
        <v>-3850</v>
      </c>
      <c r="H5202" t="s">
        <v>3</v>
      </c>
      <c r="I5202" t="s">
        <v>3</v>
      </c>
      <c r="J5202" t="s">
        <v>10</v>
      </c>
      <c r="K5202" t="s">
        <v>13</v>
      </c>
      <c r="L5202" t="s">
        <v>14</v>
      </c>
      <c r="M5202" t="s">
        <v>302</v>
      </c>
      <c r="N5202" s="2">
        <v>46053</v>
      </c>
    </row>
    <row r="5203" spans="1:14" x14ac:dyDescent="0.25">
      <c r="A5203" s="4" t="s">
        <v>234</v>
      </c>
      <c r="B5203" s="5"/>
      <c r="C5203" s="4" t="s">
        <v>9</v>
      </c>
      <c r="D5203" s="4" t="s">
        <v>9</v>
      </c>
      <c r="E5203" s="4" t="s">
        <v>9</v>
      </c>
      <c r="F5203" s="6">
        <v>0</v>
      </c>
      <c r="G5203" s="6">
        <v>0</v>
      </c>
      <c r="H5203" s="4" t="s">
        <v>9</v>
      </c>
      <c r="I5203" s="4" t="s">
        <v>3</v>
      </c>
      <c r="J5203" s="4" t="s">
        <v>9</v>
      </c>
      <c r="K5203" s="4" t="s">
        <v>9</v>
      </c>
      <c r="L5203" s="4" t="s">
        <v>9</v>
      </c>
      <c r="M5203" s="4" t="s">
        <v>9</v>
      </c>
      <c r="N5203" s="5"/>
    </row>
    <row r="5204" spans="1:14" x14ac:dyDescent="0.25">
      <c r="A5204" t="s">
        <v>657</v>
      </c>
      <c r="B5204" s="2">
        <v>46084</v>
      </c>
      <c r="C5204" t="s">
        <v>657</v>
      </c>
      <c r="D5204" t="s">
        <v>112</v>
      </c>
      <c r="E5204" t="s">
        <v>9</v>
      </c>
      <c r="F5204" s="3">
        <v>-5550</v>
      </c>
      <c r="G5204" s="3">
        <v>-5550</v>
      </c>
      <c r="H5204" t="s">
        <v>3</v>
      </c>
      <c r="I5204" t="s">
        <v>3</v>
      </c>
      <c r="J5204" t="s">
        <v>9</v>
      </c>
      <c r="K5204" t="s">
        <v>9</v>
      </c>
      <c r="L5204" t="s">
        <v>15</v>
      </c>
      <c r="M5204" t="s">
        <v>114</v>
      </c>
      <c r="N5204" s="2">
        <v>46081</v>
      </c>
    </row>
    <row r="5205" spans="1:14" x14ac:dyDescent="0.25">
      <c r="A5205" t="s">
        <v>657</v>
      </c>
      <c r="B5205" s="2">
        <v>46084</v>
      </c>
      <c r="C5205" t="s">
        <v>657</v>
      </c>
      <c r="D5205" t="s">
        <v>301</v>
      </c>
      <c r="E5205" t="s">
        <v>9</v>
      </c>
      <c r="F5205" s="3">
        <v>5550</v>
      </c>
      <c r="G5205" s="3">
        <v>5550</v>
      </c>
      <c r="H5205" t="s">
        <v>3</v>
      </c>
      <c r="I5205" t="s">
        <v>3</v>
      </c>
      <c r="J5205" t="s">
        <v>9</v>
      </c>
      <c r="K5205" t="s">
        <v>9</v>
      </c>
      <c r="L5205" t="s">
        <v>15</v>
      </c>
      <c r="M5205" t="s">
        <v>302</v>
      </c>
      <c r="N5205" s="2">
        <v>46081</v>
      </c>
    </row>
    <row r="5206" spans="1:14" x14ac:dyDescent="0.25">
      <c r="A5206" t="s">
        <v>657</v>
      </c>
      <c r="B5206" s="2">
        <v>46054</v>
      </c>
      <c r="C5206" t="s">
        <v>657</v>
      </c>
      <c r="D5206" t="s">
        <v>112</v>
      </c>
      <c r="E5206" t="s">
        <v>9</v>
      </c>
      <c r="F5206" s="3">
        <v>-3850</v>
      </c>
      <c r="G5206" s="3">
        <v>-3850</v>
      </c>
      <c r="H5206" t="s">
        <v>3</v>
      </c>
      <c r="I5206" t="s">
        <v>3</v>
      </c>
      <c r="J5206" t="s">
        <v>367</v>
      </c>
      <c r="K5206" t="s">
        <v>13</v>
      </c>
      <c r="L5206" t="s">
        <v>15</v>
      </c>
      <c r="M5206" t="s">
        <v>114</v>
      </c>
      <c r="N5206" s="2">
        <v>46054</v>
      </c>
    </row>
    <row r="5207" spans="1:14" x14ac:dyDescent="0.25">
      <c r="A5207" t="s">
        <v>657</v>
      </c>
      <c r="B5207" s="2">
        <v>46054</v>
      </c>
      <c r="C5207" t="s">
        <v>657</v>
      </c>
      <c r="D5207" t="s">
        <v>112</v>
      </c>
      <c r="E5207" t="s">
        <v>9</v>
      </c>
      <c r="F5207" s="3">
        <v>3850</v>
      </c>
      <c r="G5207" s="3">
        <v>3850</v>
      </c>
      <c r="H5207" t="s">
        <v>3</v>
      </c>
      <c r="I5207" t="s">
        <v>3</v>
      </c>
      <c r="J5207" t="s">
        <v>367</v>
      </c>
      <c r="K5207" t="s">
        <v>13</v>
      </c>
      <c r="L5207" t="s">
        <v>15</v>
      </c>
      <c r="M5207" t="s">
        <v>114</v>
      </c>
      <c r="N5207" s="2">
        <v>46055</v>
      </c>
    </row>
    <row r="5208" spans="1:14" x14ac:dyDescent="0.25">
      <c r="A5208" t="s">
        <v>657</v>
      </c>
      <c r="B5208" s="2">
        <v>46054</v>
      </c>
      <c r="C5208" t="s">
        <v>657</v>
      </c>
      <c r="D5208" t="s">
        <v>112</v>
      </c>
      <c r="E5208" t="s">
        <v>9</v>
      </c>
      <c r="F5208" s="3">
        <v>-3850</v>
      </c>
      <c r="G5208" s="3">
        <v>-3850</v>
      </c>
      <c r="H5208" t="s">
        <v>3</v>
      </c>
      <c r="I5208" t="s">
        <v>3</v>
      </c>
      <c r="J5208" t="s">
        <v>367</v>
      </c>
      <c r="K5208" t="s">
        <v>13</v>
      </c>
      <c r="L5208" t="s">
        <v>15</v>
      </c>
      <c r="M5208" t="s">
        <v>114</v>
      </c>
      <c r="N5208" s="2">
        <v>46054</v>
      </c>
    </row>
    <row r="5209" spans="1:14" x14ac:dyDescent="0.25">
      <c r="A5209" t="s">
        <v>657</v>
      </c>
      <c r="B5209" s="2">
        <v>46081</v>
      </c>
      <c r="C5209" t="s">
        <v>657</v>
      </c>
      <c r="D5209" t="s">
        <v>301</v>
      </c>
      <c r="E5209" t="s">
        <v>9</v>
      </c>
      <c r="F5209" s="3">
        <v>-5550</v>
      </c>
      <c r="G5209" s="3">
        <v>-5550</v>
      </c>
      <c r="H5209" t="s">
        <v>3</v>
      </c>
      <c r="I5209" t="s">
        <v>3</v>
      </c>
      <c r="J5209" t="s">
        <v>10</v>
      </c>
      <c r="K5209" t="s">
        <v>13</v>
      </c>
      <c r="L5209" t="s">
        <v>15</v>
      </c>
      <c r="M5209" t="s">
        <v>302</v>
      </c>
      <c r="N5209" s="2">
        <v>46081</v>
      </c>
    </row>
    <row r="5210" spans="1:14" x14ac:dyDescent="0.25">
      <c r="A5210" t="s">
        <v>657</v>
      </c>
      <c r="B5210" s="2">
        <v>46081</v>
      </c>
      <c r="C5210" t="s">
        <v>657</v>
      </c>
      <c r="D5210" t="s">
        <v>112</v>
      </c>
      <c r="E5210" t="s">
        <v>9</v>
      </c>
      <c r="F5210" s="3">
        <v>9400</v>
      </c>
      <c r="G5210" s="3">
        <v>9400</v>
      </c>
      <c r="H5210" t="s">
        <v>3</v>
      </c>
      <c r="I5210" t="s">
        <v>3</v>
      </c>
      <c r="J5210" t="s">
        <v>368</v>
      </c>
      <c r="K5210" t="s">
        <v>13</v>
      </c>
      <c r="L5210" t="s">
        <v>15</v>
      </c>
      <c r="M5210" t="s">
        <v>114</v>
      </c>
      <c r="N5210" s="2">
        <v>46081</v>
      </c>
    </row>
    <row r="5211" spans="1:14" x14ac:dyDescent="0.25">
      <c r="A5211" s="4" t="s">
        <v>239</v>
      </c>
      <c r="B5211" s="5"/>
      <c r="C5211" s="4" t="s">
        <v>9</v>
      </c>
      <c r="D5211" s="4" t="s">
        <v>9</v>
      </c>
      <c r="E5211" s="4" t="s">
        <v>9</v>
      </c>
      <c r="F5211" s="6">
        <v>0</v>
      </c>
      <c r="G5211" s="6">
        <v>0</v>
      </c>
      <c r="H5211" s="4" t="s">
        <v>9</v>
      </c>
      <c r="I5211" s="4" t="s">
        <v>3</v>
      </c>
      <c r="J5211" s="4" t="s">
        <v>9</v>
      </c>
      <c r="K5211" s="4" t="s">
        <v>9</v>
      </c>
      <c r="L5211" s="4" t="s">
        <v>9</v>
      </c>
      <c r="M5211" s="4" t="s">
        <v>9</v>
      </c>
      <c r="N5211" s="5"/>
    </row>
    <row r="5212" spans="1:14" x14ac:dyDescent="0.25">
      <c r="A5212" t="s">
        <v>657</v>
      </c>
      <c r="B5212" s="2">
        <v>46115</v>
      </c>
      <c r="C5212" t="s">
        <v>657</v>
      </c>
      <c r="D5212" t="s">
        <v>112</v>
      </c>
      <c r="E5212" t="s">
        <v>9</v>
      </c>
      <c r="F5212" s="3">
        <v>-10050</v>
      </c>
      <c r="G5212" s="3">
        <v>-10050</v>
      </c>
      <c r="H5212" t="s">
        <v>3</v>
      </c>
      <c r="I5212" t="s">
        <v>3</v>
      </c>
      <c r="J5212" t="s">
        <v>9</v>
      </c>
      <c r="K5212" t="s">
        <v>9</v>
      </c>
      <c r="L5212" t="s">
        <v>16</v>
      </c>
      <c r="M5212" t="s">
        <v>114</v>
      </c>
      <c r="N5212" s="2">
        <v>46112</v>
      </c>
    </row>
    <row r="5213" spans="1:14" x14ac:dyDescent="0.25">
      <c r="A5213" t="s">
        <v>657</v>
      </c>
      <c r="B5213" s="2">
        <v>46115</v>
      </c>
      <c r="C5213" t="s">
        <v>657</v>
      </c>
      <c r="D5213" t="s">
        <v>301</v>
      </c>
      <c r="E5213" t="s">
        <v>9</v>
      </c>
      <c r="F5213" s="3">
        <v>10050</v>
      </c>
      <c r="G5213" s="3">
        <v>10050</v>
      </c>
      <c r="H5213" t="s">
        <v>3</v>
      </c>
      <c r="I5213" t="s">
        <v>3</v>
      </c>
      <c r="J5213" t="s">
        <v>9</v>
      </c>
      <c r="K5213" t="s">
        <v>9</v>
      </c>
      <c r="L5213" t="s">
        <v>16</v>
      </c>
      <c r="M5213" t="s">
        <v>302</v>
      </c>
      <c r="N5213" s="2">
        <v>46112</v>
      </c>
    </row>
    <row r="5214" spans="1:14" x14ac:dyDescent="0.25">
      <c r="A5214" t="s">
        <v>657</v>
      </c>
      <c r="B5214" s="2">
        <v>46081</v>
      </c>
      <c r="C5214" t="s">
        <v>657</v>
      </c>
      <c r="D5214" t="s">
        <v>112</v>
      </c>
      <c r="E5214" t="s">
        <v>9</v>
      </c>
      <c r="F5214" s="3">
        <v>-9400</v>
      </c>
      <c r="G5214" s="3">
        <v>-9400</v>
      </c>
      <c r="H5214" t="s">
        <v>3</v>
      </c>
      <c r="I5214" t="s">
        <v>3</v>
      </c>
      <c r="J5214" t="s">
        <v>368</v>
      </c>
      <c r="K5214" t="s">
        <v>13</v>
      </c>
      <c r="L5214" t="s">
        <v>16</v>
      </c>
      <c r="M5214" t="s">
        <v>114</v>
      </c>
      <c r="N5214" s="2">
        <v>46082</v>
      </c>
    </row>
    <row r="5215" spans="1:14" x14ac:dyDescent="0.25">
      <c r="A5215" t="s">
        <v>657</v>
      </c>
      <c r="B5215" s="2">
        <v>46112</v>
      </c>
      <c r="C5215" t="s">
        <v>657</v>
      </c>
      <c r="D5215" t="s">
        <v>112</v>
      </c>
      <c r="E5215" t="s">
        <v>9</v>
      </c>
      <c r="F5215" s="3">
        <v>19450</v>
      </c>
      <c r="G5215" s="3">
        <v>19450</v>
      </c>
      <c r="H5215" t="s">
        <v>3</v>
      </c>
      <c r="I5215" t="s">
        <v>3</v>
      </c>
      <c r="J5215" t="s">
        <v>369</v>
      </c>
      <c r="K5215" t="s">
        <v>13</v>
      </c>
      <c r="L5215" t="s">
        <v>16</v>
      </c>
      <c r="M5215" t="s">
        <v>114</v>
      </c>
      <c r="N5215" s="2">
        <v>46112</v>
      </c>
    </row>
    <row r="5216" spans="1:14" x14ac:dyDescent="0.25">
      <c r="A5216" t="s">
        <v>657</v>
      </c>
      <c r="B5216" s="2">
        <v>46112</v>
      </c>
      <c r="C5216" t="s">
        <v>657</v>
      </c>
      <c r="D5216" t="s">
        <v>301</v>
      </c>
      <c r="E5216" t="s">
        <v>9</v>
      </c>
      <c r="F5216" s="3">
        <v>-10050</v>
      </c>
      <c r="G5216" s="3">
        <v>-10050</v>
      </c>
      <c r="H5216" t="s">
        <v>3</v>
      </c>
      <c r="I5216" t="s">
        <v>3</v>
      </c>
      <c r="J5216" t="s">
        <v>10</v>
      </c>
      <c r="K5216" t="s">
        <v>13</v>
      </c>
      <c r="L5216" t="s">
        <v>16</v>
      </c>
      <c r="M5216" t="s">
        <v>302</v>
      </c>
      <c r="N5216" s="2">
        <v>46112</v>
      </c>
    </row>
    <row r="5217" spans="1:14" x14ac:dyDescent="0.25">
      <c r="A5217" s="4" t="s">
        <v>244</v>
      </c>
      <c r="B5217" s="5"/>
      <c r="C5217" s="4" t="s">
        <v>9</v>
      </c>
      <c r="D5217" s="4" t="s">
        <v>9</v>
      </c>
      <c r="E5217" s="4" t="s">
        <v>9</v>
      </c>
      <c r="F5217" s="6">
        <v>0</v>
      </c>
      <c r="G5217" s="6">
        <v>0</v>
      </c>
      <c r="H5217" s="4" t="s">
        <v>9</v>
      </c>
      <c r="I5217" s="4" t="s">
        <v>3</v>
      </c>
      <c r="J5217" s="4" t="s">
        <v>9</v>
      </c>
      <c r="K5217" s="4" t="s">
        <v>9</v>
      </c>
      <c r="L5217" s="4" t="s">
        <v>9</v>
      </c>
      <c r="M5217" s="4" t="s">
        <v>9</v>
      </c>
      <c r="N5217" s="5"/>
    </row>
    <row r="5218" spans="1:14" x14ac:dyDescent="0.25">
      <c r="A5218" t="s">
        <v>657</v>
      </c>
      <c r="B5218" s="2">
        <v>46147</v>
      </c>
      <c r="C5218" t="s">
        <v>657</v>
      </c>
      <c r="D5218" t="s">
        <v>112</v>
      </c>
      <c r="E5218" t="s">
        <v>9</v>
      </c>
      <c r="F5218" s="3">
        <v>-11900</v>
      </c>
      <c r="G5218" s="3">
        <v>-11900</v>
      </c>
      <c r="H5218" t="s">
        <v>3</v>
      </c>
      <c r="I5218" t="s">
        <v>3</v>
      </c>
      <c r="J5218" t="s">
        <v>9</v>
      </c>
      <c r="K5218" t="s">
        <v>9</v>
      </c>
      <c r="L5218" t="s">
        <v>17</v>
      </c>
      <c r="M5218" t="s">
        <v>114</v>
      </c>
      <c r="N5218" s="2">
        <v>46142</v>
      </c>
    </row>
    <row r="5219" spans="1:14" x14ac:dyDescent="0.25">
      <c r="A5219" t="s">
        <v>657</v>
      </c>
      <c r="B5219" s="2">
        <v>46147</v>
      </c>
      <c r="C5219" t="s">
        <v>657</v>
      </c>
      <c r="D5219" t="s">
        <v>301</v>
      </c>
      <c r="E5219" t="s">
        <v>9</v>
      </c>
      <c r="F5219" s="3">
        <v>6559</v>
      </c>
      <c r="G5219" s="3">
        <v>6559</v>
      </c>
      <c r="H5219" t="s">
        <v>3</v>
      </c>
      <c r="I5219" t="s">
        <v>3</v>
      </c>
      <c r="J5219" t="s">
        <v>9</v>
      </c>
      <c r="K5219" t="s">
        <v>9</v>
      </c>
      <c r="L5219" t="s">
        <v>17</v>
      </c>
      <c r="M5219" t="s">
        <v>302</v>
      </c>
      <c r="N5219" s="2">
        <v>46142</v>
      </c>
    </row>
    <row r="5220" spans="1:14" x14ac:dyDescent="0.25">
      <c r="A5220" t="s">
        <v>657</v>
      </c>
      <c r="B5220" s="2">
        <v>46112</v>
      </c>
      <c r="C5220" t="s">
        <v>657</v>
      </c>
      <c r="D5220" t="s">
        <v>112</v>
      </c>
      <c r="E5220" t="s">
        <v>9</v>
      </c>
      <c r="F5220" s="3">
        <v>-19450</v>
      </c>
      <c r="G5220" s="3">
        <v>-19450</v>
      </c>
      <c r="H5220" t="s">
        <v>3</v>
      </c>
      <c r="I5220" t="s">
        <v>3</v>
      </c>
      <c r="J5220" t="s">
        <v>369</v>
      </c>
      <c r="K5220" t="s">
        <v>13</v>
      </c>
      <c r="L5220" t="s">
        <v>17</v>
      </c>
      <c r="M5220" t="s">
        <v>114</v>
      </c>
      <c r="N5220" s="2">
        <v>46113</v>
      </c>
    </row>
    <row r="5221" spans="1:14" x14ac:dyDescent="0.25">
      <c r="A5221" t="s">
        <v>657</v>
      </c>
      <c r="B5221" s="2">
        <v>46142</v>
      </c>
      <c r="C5221" t="s">
        <v>657</v>
      </c>
      <c r="D5221" t="s">
        <v>112</v>
      </c>
      <c r="E5221" t="s">
        <v>9</v>
      </c>
      <c r="F5221" s="3">
        <v>31350</v>
      </c>
      <c r="G5221" s="3">
        <v>31350</v>
      </c>
      <c r="H5221" t="s">
        <v>3</v>
      </c>
      <c r="I5221" t="s">
        <v>3</v>
      </c>
      <c r="J5221" t="s">
        <v>370</v>
      </c>
      <c r="K5221" t="s">
        <v>13</v>
      </c>
      <c r="L5221" t="s">
        <v>17</v>
      </c>
      <c r="M5221" t="s">
        <v>114</v>
      </c>
      <c r="N5221" s="2">
        <v>46142</v>
      </c>
    </row>
    <row r="5222" spans="1:14" x14ac:dyDescent="0.25">
      <c r="A5222" t="s">
        <v>657</v>
      </c>
      <c r="B5222" s="2">
        <v>46142</v>
      </c>
      <c r="C5222" t="s">
        <v>657</v>
      </c>
      <c r="D5222" t="s">
        <v>301</v>
      </c>
      <c r="E5222" t="s">
        <v>9</v>
      </c>
      <c r="F5222" s="3">
        <v>-6559</v>
      </c>
      <c r="G5222" s="3">
        <v>-6559</v>
      </c>
      <c r="H5222" t="s">
        <v>3</v>
      </c>
      <c r="I5222" t="s">
        <v>3</v>
      </c>
      <c r="J5222" t="s">
        <v>10</v>
      </c>
      <c r="K5222" t="s">
        <v>13</v>
      </c>
      <c r="L5222" t="s">
        <v>17</v>
      </c>
      <c r="M5222" t="s">
        <v>302</v>
      </c>
      <c r="N5222" s="2">
        <v>46142</v>
      </c>
    </row>
    <row r="5223" spans="1:14" x14ac:dyDescent="0.25">
      <c r="A5223" s="4" t="s">
        <v>249</v>
      </c>
      <c r="B5223" s="5"/>
      <c r="C5223" s="4" t="s">
        <v>9</v>
      </c>
      <c r="D5223" s="4" t="s">
        <v>9</v>
      </c>
      <c r="E5223" s="4" t="s">
        <v>9</v>
      </c>
      <c r="F5223" s="6">
        <v>0</v>
      </c>
      <c r="G5223" s="6">
        <v>0</v>
      </c>
      <c r="H5223" s="4" t="s">
        <v>9</v>
      </c>
      <c r="I5223" s="4" t="s">
        <v>3</v>
      </c>
      <c r="J5223" s="4" t="s">
        <v>9</v>
      </c>
      <c r="K5223" s="4" t="s">
        <v>9</v>
      </c>
      <c r="L5223" s="4" t="s">
        <v>9</v>
      </c>
      <c r="M5223" s="4" t="s">
        <v>9</v>
      </c>
      <c r="N5223" s="5"/>
    </row>
    <row r="5224" spans="1:14" x14ac:dyDescent="0.25">
      <c r="A5224" t="s">
        <v>657</v>
      </c>
      <c r="B5224" s="2">
        <v>46175</v>
      </c>
      <c r="C5224" t="s">
        <v>657</v>
      </c>
      <c r="D5224" t="s">
        <v>112</v>
      </c>
      <c r="E5224" t="s">
        <v>9</v>
      </c>
      <c r="F5224" s="3">
        <v>-1350</v>
      </c>
      <c r="G5224" s="3">
        <v>-1350</v>
      </c>
      <c r="H5224" t="s">
        <v>3</v>
      </c>
      <c r="I5224" t="s">
        <v>3</v>
      </c>
      <c r="J5224" t="s">
        <v>9</v>
      </c>
      <c r="K5224" t="s">
        <v>9</v>
      </c>
      <c r="L5224" t="s">
        <v>18</v>
      </c>
      <c r="M5224" t="s">
        <v>114</v>
      </c>
      <c r="N5224" s="2">
        <v>46173</v>
      </c>
    </row>
    <row r="5225" spans="1:14" x14ac:dyDescent="0.25">
      <c r="A5225" t="s">
        <v>657</v>
      </c>
      <c r="B5225" s="2">
        <v>46142</v>
      </c>
      <c r="C5225" t="s">
        <v>657</v>
      </c>
      <c r="D5225" t="s">
        <v>112</v>
      </c>
      <c r="E5225" t="s">
        <v>9</v>
      </c>
      <c r="F5225" s="3">
        <v>-31350</v>
      </c>
      <c r="G5225" s="3">
        <v>-31350</v>
      </c>
      <c r="H5225" t="s">
        <v>3</v>
      </c>
      <c r="I5225" t="s">
        <v>3</v>
      </c>
      <c r="J5225" t="s">
        <v>370</v>
      </c>
      <c r="K5225" t="s">
        <v>13</v>
      </c>
      <c r="L5225" t="s">
        <v>18</v>
      </c>
      <c r="M5225" t="s">
        <v>114</v>
      </c>
      <c r="N5225" s="2">
        <v>46143</v>
      </c>
    </row>
    <row r="5226" spans="1:14" x14ac:dyDescent="0.25">
      <c r="A5226" t="s">
        <v>657</v>
      </c>
      <c r="B5226" s="2">
        <v>46173</v>
      </c>
      <c r="C5226" t="s">
        <v>657</v>
      </c>
      <c r="D5226" t="s">
        <v>112</v>
      </c>
      <c r="E5226" t="s">
        <v>9</v>
      </c>
      <c r="F5226" s="3">
        <v>32700</v>
      </c>
      <c r="G5226" s="3">
        <v>32700</v>
      </c>
      <c r="H5226" t="s">
        <v>3</v>
      </c>
      <c r="I5226" t="s">
        <v>3</v>
      </c>
      <c r="J5226" t="s">
        <v>371</v>
      </c>
      <c r="K5226" t="s">
        <v>13</v>
      </c>
      <c r="L5226" t="s">
        <v>18</v>
      </c>
      <c r="M5226" t="s">
        <v>114</v>
      </c>
      <c r="N5226" s="2">
        <v>46173</v>
      </c>
    </row>
    <row r="5227" spans="1:14" x14ac:dyDescent="0.25">
      <c r="A5227" s="4" t="s">
        <v>223</v>
      </c>
      <c r="B5227" s="5"/>
      <c r="C5227" s="4" t="s">
        <v>9</v>
      </c>
      <c r="D5227" s="4" t="s">
        <v>9</v>
      </c>
      <c r="E5227" s="4" t="s">
        <v>9</v>
      </c>
      <c r="F5227" s="6">
        <v>0</v>
      </c>
      <c r="G5227" s="6">
        <v>0</v>
      </c>
      <c r="H5227" s="4" t="s">
        <v>9</v>
      </c>
      <c r="I5227" s="4" t="s">
        <v>3</v>
      </c>
      <c r="J5227" s="4" t="s">
        <v>9</v>
      </c>
      <c r="K5227" s="4" t="s">
        <v>9</v>
      </c>
      <c r="L5227" s="4" t="s">
        <v>9</v>
      </c>
      <c r="M5227" s="4" t="s">
        <v>9</v>
      </c>
      <c r="N5227" s="5"/>
    </row>
    <row r="5228" spans="1:14" x14ac:dyDescent="0.25">
      <c r="A5228" t="s">
        <v>657</v>
      </c>
      <c r="B5228" s="2">
        <v>46205</v>
      </c>
      <c r="C5228" t="s">
        <v>657</v>
      </c>
      <c r="D5228" t="s">
        <v>112</v>
      </c>
      <c r="E5228" t="s">
        <v>9</v>
      </c>
      <c r="F5228" s="3">
        <v>-2540.73</v>
      </c>
      <c r="G5228" s="3">
        <v>-2540.73</v>
      </c>
      <c r="H5228" t="s">
        <v>3</v>
      </c>
      <c r="I5228" t="s">
        <v>3</v>
      </c>
      <c r="J5228" t="s">
        <v>9</v>
      </c>
      <c r="K5228" t="s">
        <v>9</v>
      </c>
      <c r="L5228" t="s">
        <v>19</v>
      </c>
      <c r="M5228" t="s">
        <v>114</v>
      </c>
      <c r="N5228" s="2">
        <v>46203</v>
      </c>
    </row>
    <row r="5229" spans="1:14" x14ac:dyDescent="0.25">
      <c r="A5229" t="s">
        <v>657</v>
      </c>
      <c r="B5229" s="2">
        <v>46173</v>
      </c>
      <c r="C5229" t="s">
        <v>657</v>
      </c>
      <c r="D5229" t="s">
        <v>112</v>
      </c>
      <c r="E5229" t="s">
        <v>9</v>
      </c>
      <c r="F5229" s="3">
        <v>-32700</v>
      </c>
      <c r="G5229" s="3">
        <v>-32700</v>
      </c>
      <c r="H5229" t="s">
        <v>3</v>
      </c>
      <c r="I5229" t="s">
        <v>3</v>
      </c>
      <c r="J5229" t="s">
        <v>371</v>
      </c>
      <c r="K5229" t="s">
        <v>13</v>
      </c>
      <c r="L5229" t="s">
        <v>19</v>
      </c>
      <c r="M5229" t="s">
        <v>114</v>
      </c>
      <c r="N5229" s="2">
        <v>46174</v>
      </c>
    </row>
    <row r="5230" spans="1:14" x14ac:dyDescent="0.25">
      <c r="A5230" t="s">
        <v>657</v>
      </c>
      <c r="B5230" s="2">
        <v>46203</v>
      </c>
      <c r="C5230" t="s">
        <v>657</v>
      </c>
      <c r="D5230" t="s">
        <v>112</v>
      </c>
      <c r="E5230" t="s">
        <v>9</v>
      </c>
      <c r="F5230" s="3">
        <v>35240.730000000003</v>
      </c>
      <c r="G5230" s="3">
        <v>35240.730000000003</v>
      </c>
      <c r="H5230" t="s">
        <v>3</v>
      </c>
      <c r="I5230" t="s">
        <v>3</v>
      </c>
      <c r="J5230" t="s">
        <v>372</v>
      </c>
      <c r="K5230" t="s">
        <v>13</v>
      </c>
      <c r="L5230" t="s">
        <v>19</v>
      </c>
      <c r="M5230" t="s">
        <v>114</v>
      </c>
      <c r="N5230" s="2">
        <v>46203</v>
      </c>
    </row>
    <row r="5231" spans="1:14" x14ac:dyDescent="0.25">
      <c r="A5231" s="4" t="s">
        <v>224</v>
      </c>
      <c r="B5231" s="5"/>
      <c r="C5231" s="4" t="s">
        <v>9</v>
      </c>
      <c r="D5231" s="4" t="s">
        <v>9</v>
      </c>
      <c r="E5231" s="4" t="s">
        <v>9</v>
      </c>
      <c r="F5231" s="6">
        <v>0</v>
      </c>
      <c r="G5231" s="6">
        <v>0</v>
      </c>
      <c r="H5231" s="4" t="s">
        <v>9</v>
      </c>
      <c r="I5231" s="4" t="s">
        <v>3</v>
      </c>
      <c r="J5231" s="4" t="s">
        <v>9</v>
      </c>
      <c r="K5231" s="4" t="s">
        <v>9</v>
      </c>
      <c r="L5231" s="4" t="s">
        <v>9</v>
      </c>
      <c r="M5231" s="4" t="s">
        <v>9</v>
      </c>
      <c r="N5231" s="5"/>
    </row>
    <row r="5232" spans="1:14" x14ac:dyDescent="0.25">
      <c r="A5232" t="s">
        <v>657</v>
      </c>
      <c r="B5232" s="2">
        <v>46239</v>
      </c>
      <c r="C5232" t="s">
        <v>657</v>
      </c>
      <c r="D5232" t="s">
        <v>112</v>
      </c>
      <c r="E5232" t="s">
        <v>9</v>
      </c>
      <c r="F5232" s="3">
        <v>-7509.27</v>
      </c>
      <c r="G5232" s="3">
        <v>-7509.27</v>
      </c>
      <c r="H5232" t="s">
        <v>3</v>
      </c>
      <c r="I5232" t="s">
        <v>3</v>
      </c>
      <c r="J5232" t="s">
        <v>9</v>
      </c>
      <c r="K5232" t="s">
        <v>9</v>
      </c>
      <c r="L5232" t="s">
        <v>21</v>
      </c>
      <c r="M5232" t="s">
        <v>114</v>
      </c>
      <c r="N5232" s="2">
        <v>46234</v>
      </c>
    </row>
    <row r="5233" spans="1:14" x14ac:dyDescent="0.25">
      <c r="A5233" t="s">
        <v>657</v>
      </c>
      <c r="B5233" s="2">
        <v>46203</v>
      </c>
      <c r="C5233" t="s">
        <v>657</v>
      </c>
      <c r="D5233" t="s">
        <v>112</v>
      </c>
      <c r="E5233" t="s">
        <v>9</v>
      </c>
      <c r="F5233" s="3">
        <v>-35240.730000000003</v>
      </c>
      <c r="G5233" s="3">
        <v>-35240.730000000003</v>
      </c>
      <c r="H5233" t="s">
        <v>3</v>
      </c>
      <c r="I5233" t="s">
        <v>3</v>
      </c>
      <c r="J5233" t="s">
        <v>372</v>
      </c>
      <c r="K5233" t="s">
        <v>13</v>
      </c>
      <c r="L5233" t="s">
        <v>21</v>
      </c>
      <c r="M5233" t="s">
        <v>114</v>
      </c>
      <c r="N5233" s="2">
        <v>46204</v>
      </c>
    </row>
    <row r="5234" spans="1:14" x14ac:dyDescent="0.25">
      <c r="A5234" t="s">
        <v>657</v>
      </c>
      <c r="B5234" s="2">
        <v>46234</v>
      </c>
      <c r="C5234" t="s">
        <v>657</v>
      </c>
      <c r="D5234" t="s">
        <v>112</v>
      </c>
      <c r="E5234" t="s">
        <v>9</v>
      </c>
      <c r="F5234" s="3">
        <v>42750</v>
      </c>
      <c r="G5234" s="3">
        <v>42750</v>
      </c>
      <c r="H5234" t="s">
        <v>3</v>
      </c>
      <c r="I5234" t="s">
        <v>3</v>
      </c>
      <c r="J5234" t="s">
        <v>373</v>
      </c>
      <c r="K5234" t="s">
        <v>13</v>
      </c>
      <c r="L5234" t="s">
        <v>21</v>
      </c>
      <c r="M5234" t="s">
        <v>114</v>
      </c>
      <c r="N5234" s="2">
        <v>46234</v>
      </c>
    </row>
    <row r="5235" spans="1:14" x14ac:dyDescent="0.25">
      <c r="A5235" s="4" t="s">
        <v>262</v>
      </c>
      <c r="B5235" s="5"/>
      <c r="C5235" s="4" t="s">
        <v>9</v>
      </c>
      <c r="D5235" s="4" t="s">
        <v>9</v>
      </c>
      <c r="E5235" s="4" t="s">
        <v>9</v>
      </c>
      <c r="F5235" s="6">
        <v>0</v>
      </c>
      <c r="G5235" s="6">
        <v>0</v>
      </c>
      <c r="H5235" s="4" t="s">
        <v>9</v>
      </c>
      <c r="I5235" s="4" t="s">
        <v>3</v>
      </c>
      <c r="J5235" s="4" t="s">
        <v>9</v>
      </c>
      <c r="K5235" s="4" t="s">
        <v>9</v>
      </c>
      <c r="L5235" s="4" t="s">
        <v>9</v>
      </c>
      <c r="M5235" s="4" t="s">
        <v>9</v>
      </c>
      <c r="N5235" s="5"/>
    </row>
    <row r="5236" spans="1:14" x14ac:dyDescent="0.25">
      <c r="A5236" t="s">
        <v>657</v>
      </c>
      <c r="B5236" s="2">
        <v>46267</v>
      </c>
      <c r="C5236" t="s">
        <v>657</v>
      </c>
      <c r="D5236" t="s">
        <v>112</v>
      </c>
      <c r="E5236" t="s">
        <v>9</v>
      </c>
      <c r="F5236" s="3">
        <v>-6825</v>
      </c>
      <c r="G5236" s="3">
        <v>-6825</v>
      </c>
      <c r="H5236" t="s">
        <v>3</v>
      </c>
      <c r="I5236" t="s">
        <v>3</v>
      </c>
      <c r="J5236" t="s">
        <v>9</v>
      </c>
      <c r="K5236" t="s">
        <v>9</v>
      </c>
      <c r="L5236" t="s">
        <v>22</v>
      </c>
      <c r="M5236" t="s">
        <v>114</v>
      </c>
      <c r="N5236" s="2">
        <v>46265</v>
      </c>
    </row>
    <row r="5237" spans="1:14" x14ac:dyDescent="0.25">
      <c r="A5237" t="s">
        <v>657</v>
      </c>
      <c r="B5237" s="2">
        <v>46234</v>
      </c>
      <c r="C5237" t="s">
        <v>657</v>
      </c>
      <c r="D5237" t="s">
        <v>112</v>
      </c>
      <c r="E5237" t="s">
        <v>9</v>
      </c>
      <c r="F5237" s="3">
        <v>-42750</v>
      </c>
      <c r="G5237" s="3">
        <v>-42750</v>
      </c>
      <c r="H5237" t="s">
        <v>3</v>
      </c>
      <c r="I5237" t="s">
        <v>3</v>
      </c>
      <c r="J5237" t="s">
        <v>373</v>
      </c>
      <c r="K5237" t="s">
        <v>13</v>
      </c>
      <c r="L5237" t="s">
        <v>22</v>
      </c>
      <c r="M5237" t="s">
        <v>114</v>
      </c>
      <c r="N5237" s="2">
        <v>46235</v>
      </c>
    </row>
    <row r="5238" spans="1:14" x14ac:dyDescent="0.25">
      <c r="A5238" t="s">
        <v>657</v>
      </c>
      <c r="B5238" s="2">
        <v>46265</v>
      </c>
      <c r="C5238" t="s">
        <v>657</v>
      </c>
      <c r="D5238" t="s">
        <v>112</v>
      </c>
      <c r="E5238" t="s">
        <v>9</v>
      </c>
      <c r="F5238" s="3">
        <v>49575</v>
      </c>
      <c r="G5238" s="3">
        <v>49575</v>
      </c>
      <c r="H5238" t="s">
        <v>3</v>
      </c>
      <c r="I5238" t="s">
        <v>3</v>
      </c>
      <c r="J5238" t="s">
        <v>430</v>
      </c>
      <c r="K5238" t="s">
        <v>13</v>
      </c>
      <c r="L5238" t="s">
        <v>22</v>
      </c>
      <c r="M5238" t="s">
        <v>114</v>
      </c>
      <c r="N5238" s="2">
        <v>46265</v>
      </c>
    </row>
    <row r="5239" spans="1:14" x14ac:dyDescent="0.25">
      <c r="A5239" s="4" t="s">
        <v>267</v>
      </c>
      <c r="B5239" s="5"/>
      <c r="C5239" s="4" t="s">
        <v>9</v>
      </c>
      <c r="D5239" s="4" t="s">
        <v>9</v>
      </c>
      <c r="E5239" s="4" t="s">
        <v>9</v>
      </c>
      <c r="F5239" s="6">
        <v>0</v>
      </c>
      <c r="G5239" s="6">
        <v>0</v>
      </c>
      <c r="H5239" s="4" t="s">
        <v>9</v>
      </c>
      <c r="I5239" s="4" t="s">
        <v>3</v>
      </c>
      <c r="J5239" s="4" t="s">
        <v>9</v>
      </c>
      <c r="K5239" s="4" t="s">
        <v>9</v>
      </c>
      <c r="L5239" s="4" t="s">
        <v>9</v>
      </c>
      <c r="M5239" s="4" t="s">
        <v>9</v>
      </c>
      <c r="N5239" s="5"/>
    </row>
    <row r="5240" spans="1:14" x14ac:dyDescent="0.25">
      <c r="A5240" s="4" t="s">
        <v>657</v>
      </c>
      <c r="B5240" s="5"/>
      <c r="C5240" s="4" t="s">
        <v>9</v>
      </c>
      <c r="D5240" s="4" t="s">
        <v>9</v>
      </c>
      <c r="E5240" s="4" t="s">
        <v>9</v>
      </c>
      <c r="F5240" s="6">
        <v>0</v>
      </c>
      <c r="G5240" s="6">
        <v>0</v>
      </c>
      <c r="H5240" s="4" t="s">
        <v>9</v>
      </c>
      <c r="I5240" s="4" t="s">
        <v>3</v>
      </c>
      <c r="J5240" s="4" t="s">
        <v>9</v>
      </c>
      <c r="K5240" s="4" t="s">
        <v>9</v>
      </c>
      <c r="L5240" s="4" t="s">
        <v>9</v>
      </c>
      <c r="M5240" s="4" t="s">
        <v>9</v>
      </c>
      <c r="N5240" s="5"/>
    </row>
    <row r="5241" spans="1:14" x14ac:dyDescent="0.25">
      <c r="A5241" t="s">
        <v>658</v>
      </c>
      <c r="B5241" s="2">
        <v>46028</v>
      </c>
      <c r="C5241" t="s">
        <v>658</v>
      </c>
      <c r="D5241" t="s">
        <v>33</v>
      </c>
      <c r="E5241" t="s">
        <v>9</v>
      </c>
      <c r="F5241" s="3">
        <v>6170</v>
      </c>
      <c r="G5241" s="3">
        <v>6170</v>
      </c>
      <c r="H5241" t="s">
        <v>3</v>
      </c>
      <c r="I5241" t="s">
        <v>3</v>
      </c>
      <c r="J5241" t="s">
        <v>9</v>
      </c>
      <c r="K5241" t="s">
        <v>9</v>
      </c>
      <c r="L5241" t="s">
        <v>12</v>
      </c>
      <c r="M5241" t="s">
        <v>35</v>
      </c>
      <c r="N5241" s="2">
        <v>46022</v>
      </c>
    </row>
    <row r="5242" spans="1:14" x14ac:dyDescent="0.25">
      <c r="A5242" t="s">
        <v>658</v>
      </c>
      <c r="B5242" s="2">
        <v>46007</v>
      </c>
      <c r="C5242" t="s">
        <v>658</v>
      </c>
      <c r="D5242" t="s">
        <v>33</v>
      </c>
      <c r="E5242" t="s">
        <v>9</v>
      </c>
      <c r="F5242" s="3">
        <v>-1870</v>
      </c>
      <c r="G5242" s="3">
        <v>-1870</v>
      </c>
      <c r="H5242" t="s">
        <v>3</v>
      </c>
      <c r="I5242" t="s">
        <v>3</v>
      </c>
      <c r="J5242" t="s">
        <v>9</v>
      </c>
      <c r="K5242" t="s">
        <v>5</v>
      </c>
      <c r="L5242" t="s">
        <v>12</v>
      </c>
      <c r="M5242" t="s">
        <v>35</v>
      </c>
      <c r="N5242" s="2">
        <v>46007</v>
      </c>
    </row>
    <row r="5243" spans="1:14" x14ac:dyDescent="0.25">
      <c r="A5243" t="s">
        <v>658</v>
      </c>
      <c r="B5243" s="2">
        <v>46007</v>
      </c>
      <c r="C5243" t="s">
        <v>658</v>
      </c>
      <c r="D5243" t="s">
        <v>33</v>
      </c>
      <c r="E5243" t="s">
        <v>9</v>
      </c>
      <c r="F5243" s="3">
        <v>-4300</v>
      </c>
      <c r="G5243" s="3">
        <v>-4300</v>
      </c>
      <c r="H5243" t="s">
        <v>3</v>
      </c>
      <c r="I5243" t="s">
        <v>3</v>
      </c>
      <c r="J5243" t="s">
        <v>9</v>
      </c>
      <c r="K5243" t="s">
        <v>5</v>
      </c>
      <c r="L5243" t="s">
        <v>12</v>
      </c>
      <c r="M5243" t="s">
        <v>35</v>
      </c>
      <c r="N5243" s="2">
        <v>46007</v>
      </c>
    </row>
    <row r="5244" spans="1:14" x14ac:dyDescent="0.25">
      <c r="A5244" s="4" t="s">
        <v>228</v>
      </c>
      <c r="B5244" s="5"/>
      <c r="C5244" s="4" t="s">
        <v>9</v>
      </c>
      <c r="D5244" s="4" t="s">
        <v>9</v>
      </c>
      <c r="E5244" s="4" t="s">
        <v>9</v>
      </c>
      <c r="F5244" s="6">
        <v>0</v>
      </c>
      <c r="G5244" s="6">
        <v>0</v>
      </c>
      <c r="H5244" s="4" t="s">
        <v>9</v>
      </c>
      <c r="I5244" s="4" t="s">
        <v>3</v>
      </c>
      <c r="J5244" s="4" t="s">
        <v>9</v>
      </c>
      <c r="K5244" s="4" t="s">
        <v>9</v>
      </c>
      <c r="L5244" s="4" t="s">
        <v>9</v>
      </c>
      <c r="M5244" s="4" t="s">
        <v>9</v>
      </c>
      <c r="N5244" s="5"/>
    </row>
    <row r="5245" spans="1:14" x14ac:dyDescent="0.25">
      <c r="A5245" s="4" t="s">
        <v>658</v>
      </c>
      <c r="B5245" s="5"/>
      <c r="C5245" s="4" t="s">
        <v>9</v>
      </c>
      <c r="D5245" s="4" t="s">
        <v>9</v>
      </c>
      <c r="E5245" s="4" t="s">
        <v>9</v>
      </c>
      <c r="F5245" s="6">
        <v>0</v>
      </c>
      <c r="G5245" s="6">
        <v>0</v>
      </c>
      <c r="H5245" s="4" t="s">
        <v>9</v>
      </c>
      <c r="I5245" s="4" t="s">
        <v>3</v>
      </c>
      <c r="J5245" s="4" t="s">
        <v>9</v>
      </c>
      <c r="K5245" s="4" t="s">
        <v>9</v>
      </c>
      <c r="L5245" s="4" t="s">
        <v>9</v>
      </c>
      <c r="M5245" s="4" t="s">
        <v>9</v>
      </c>
      <c r="N5245" s="5"/>
    </row>
    <row r="5246" spans="1:14" x14ac:dyDescent="0.25">
      <c r="A5246" t="s">
        <v>659</v>
      </c>
      <c r="B5246" s="2">
        <v>46115</v>
      </c>
      <c r="C5246" t="s">
        <v>659</v>
      </c>
      <c r="D5246" t="s">
        <v>112</v>
      </c>
      <c r="E5246" t="s">
        <v>9</v>
      </c>
      <c r="F5246" s="3">
        <v>-500</v>
      </c>
      <c r="G5246" s="3">
        <v>-500</v>
      </c>
      <c r="H5246" t="s">
        <v>3</v>
      </c>
      <c r="I5246" t="s">
        <v>3</v>
      </c>
      <c r="J5246" t="s">
        <v>9</v>
      </c>
      <c r="K5246" t="s">
        <v>9</v>
      </c>
      <c r="L5246" t="s">
        <v>16</v>
      </c>
      <c r="M5246" t="s">
        <v>114</v>
      </c>
      <c r="N5246" s="2">
        <v>46112</v>
      </c>
    </row>
    <row r="5247" spans="1:14" x14ac:dyDescent="0.25">
      <c r="A5247" t="s">
        <v>659</v>
      </c>
      <c r="B5247" s="2">
        <v>46112</v>
      </c>
      <c r="C5247" t="s">
        <v>659</v>
      </c>
      <c r="D5247" t="s">
        <v>112</v>
      </c>
      <c r="E5247" t="s">
        <v>9</v>
      </c>
      <c r="F5247" s="3">
        <v>500</v>
      </c>
      <c r="G5247" s="3">
        <v>500</v>
      </c>
      <c r="H5247" t="s">
        <v>3</v>
      </c>
      <c r="I5247" t="s">
        <v>3</v>
      </c>
      <c r="J5247" t="s">
        <v>369</v>
      </c>
      <c r="K5247" t="s">
        <v>13</v>
      </c>
      <c r="L5247" t="s">
        <v>16</v>
      </c>
      <c r="M5247" t="s">
        <v>114</v>
      </c>
      <c r="N5247" s="2">
        <v>46112</v>
      </c>
    </row>
    <row r="5248" spans="1:14" x14ac:dyDescent="0.25">
      <c r="A5248" s="4" t="s">
        <v>244</v>
      </c>
      <c r="B5248" s="5"/>
      <c r="C5248" s="4" t="s">
        <v>9</v>
      </c>
      <c r="D5248" s="4" t="s">
        <v>9</v>
      </c>
      <c r="E5248" s="4" t="s">
        <v>9</v>
      </c>
      <c r="F5248" s="6">
        <v>0</v>
      </c>
      <c r="G5248" s="6">
        <v>0</v>
      </c>
      <c r="H5248" s="4" t="s">
        <v>9</v>
      </c>
      <c r="I5248" s="4" t="s">
        <v>3</v>
      </c>
      <c r="J5248" s="4" t="s">
        <v>9</v>
      </c>
      <c r="K5248" s="4" t="s">
        <v>9</v>
      </c>
      <c r="L5248" s="4" t="s">
        <v>9</v>
      </c>
      <c r="M5248" s="4" t="s">
        <v>9</v>
      </c>
      <c r="N5248" s="5"/>
    </row>
    <row r="5249" spans="1:14" x14ac:dyDescent="0.25">
      <c r="A5249" t="s">
        <v>659</v>
      </c>
      <c r="B5249" s="2">
        <v>46147</v>
      </c>
      <c r="C5249" t="s">
        <v>659</v>
      </c>
      <c r="D5249" t="s">
        <v>112</v>
      </c>
      <c r="E5249" t="s">
        <v>9</v>
      </c>
      <c r="F5249" s="3">
        <v>-1550</v>
      </c>
      <c r="G5249" s="3">
        <v>-1550</v>
      </c>
      <c r="H5249" t="s">
        <v>3</v>
      </c>
      <c r="I5249" t="s">
        <v>3</v>
      </c>
      <c r="J5249" t="s">
        <v>9</v>
      </c>
      <c r="K5249" t="s">
        <v>9</v>
      </c>
      <c r="L5249" t="s">
        <v>17</v>
      </c>
      <c r="M5249" t="s">
        <v>114</v>
      </c>
      <c r="N5249" s="2">
        <v>46142</v>
      </c>
    </row>
    <row r="5250" spans="1:14" x14ac:dyDescent="0.25">
      <c r="A5250" t="s">
        <v>659</v>
      </c>
      <c r="B5250" s="2">
        <v>46112</v>
      </c>
      <c r="C5250" t="s">
        <v>659</v>
      </c>
      <c r="D5250" t="s">
        <v>112</v>
      </c>
      <c r="E5250" t="s">
        <v>9</v>
      </c>
      <c r="F5250" s="3">
        <v>-500</v>
      </c>
      <c r="G5250" s="3">
        <v>-500</v>
      </c>
      <c r="H5250" t="s">
        <v>3</v>
      </c>
      <c r="I5250" t="s">
        <v>3</v>
      </c>
      <c r="J5250" t="s">
        <v>369</v>
      </c>
      <c r="K5250" t="s">
        <v>13</v>
      </c>
      <c r="L5250" t="s">
        <v>17</v>
      </c>
      <c r="M5250" t="s">
        <v>114</v>
      </c>
      <c r="N5250" s="2">
        <v>46113</v>
      </c>
    </row>
    <row r="5251" spans="1:14" x14ac:dyDescent="0.25">
      <c r="A5251" t="s">
        <v>659</v>
      </c>
      <c r="B5251" s="2">
        <v>46142</v>
      </c>
      <c r="C5251" t="s">
        <v>659</v>
      </c>
      <c r="D5251" t="s">
        <v>112</v>
      </c>
      <c r="E5251" t="s">
        <v>9</v>
      </c>
      <c r="F5251" s="3">
        <v>2050</v>
      </c>
      <c r="G5251" s="3">
        <v>2050</v>
      </c>
      <c r="H5251" t="s">
        <v>3</v>
      </c>
      <c r="I5251" t="s">
        <v>3</v>
      </c>
      <c r="J5251" t="s">
        <v>370</v>
      </c>
      <c r="K5251" t="s">
        <v>13</v>
      </c>
      <c r="L5251" t="s">
        <v>17</v>
      </c>
      <c r="M5251" t="s">
        <v>114</v>
      </c>
      <c r="N5251" s="2">
        <v>46142</v>
      </c>
    </row>
    <row r="5252" spans="1:14" x14ac:dyDescent="0.25">
      <c r="A5252" s="4" t="s">
        <v>249</v>
      </c>
      <c r="B5252" s="5"/>
      <c r="C5252" s="4" t="s">
        <v>9</v>
      </c>
      <c r="D5252" s="4" t="s">
        <v>9</v>
      </c>
      <c r="E5252" s="4" t="s">
        <v>9</v>
      </c>
      <c r="F5252" s="6">
        <v>0</v>
      </c>
      <c r="G5252" s="6">
        <v>0</v>
      </c>
      <c r="H5252" s="4" t="s">
        <v>9</v>
      </c>
      <c r="I5252" s="4" t="s">
        <v>3</v>
      </c>
      <c r="J5252" s="4" t="s">
        <v>9</v>
      </c>
      <c r="K5252" s="4" t="s">
        <v>9</v>
      </c>
      <c r="L5252" s="4" t="s">
        <v>9</v>
      </c>
      <c r="M5252" s="4" t="s">
        <v>9</v>
      </c>
      <c r="N5252" s="5"/>
    </row>
    <row r="5253" spans="1:14" x14ac:dyDescent="0.25">
      <c r="A5253" t="s">
        <v>659</v>
      </c>
      <c r="B5253" s="2">
        <v>46175</v>
      </c>
      <c r="C5253" t="s">
        <v>659</v>
      </c>
      <c r="D5253" t="s">
        <v>112</v>
      </c>
      <c r="E5253" t="s">
        <v>9</v>
      </c>
      <c r="F5253" s="3">
        <v>-1850</v>
      </c>
      <c r="G5253" s="3">
        <v>-1850</v>
      </c>
      <c r="H5253" t="s">
        <v>3</v>
      </c>
      <c r="I5253" t="s">
        <v>3</v>
      </c>
      <c r="J5253" t="s">
        <v>9</v>
      </c>
      <c r="K5253" t="s">
        <v>9</v>
      </c>
      <c r="L5253" t="s">
        <v>18</v>
      </c>
      <c r="M5253" t="s">
        <v>114</v>
      </c>
      <c r="N5253" s="2">
        <v>46173</v>
      </c>
    </row>
    <row r="5254" spans="1:14" x14ac:dyDescent="0.25">
      <c r="A5254" t="s">
        <v>659</v>
      </c>
      <c r="B5254" s="2">
        <v>46142</v>
      </c>
      <c r="C5254" t="s">
        <v>659</v>
      </c>
      <c r="D5254" t="s">
        <v>112</v>
      </c>
      <c r="E5254" t="s">
        <v>9</v>
      </c>
      <c r="F5254" s="3">
        <v>-2050</v>
      </c>
      <c r="G5254" s="3">
        <v>-2050</v>
      </c>
      <c r="H5254" t="s">
        <v>3</v>
      </c>
      <c r="I5254" t="s">
        <v>3</v>
      </c>
      <c r="J5254" t="s">
        <v>370</v>
      </c>
      <c r="K5254" t="s">
        <v>13</v>
      </c>
      <c r="L5254" t="s">
        <v>18</v>
      </c>
      <c r="M5254" t="s">
        <v>114</v>
      </c>
      <c r="N5254" s="2">
        <v>46143</v>
      </c>
    </row>
    <row r="5255" spans="1:14" x14ac:dyDescent="0.25">
      <c r="A5255" t="s">
        <v>659</v>
      </c>
      <c r="B5255" s="2">
        <v>46173</v>
      </c>
      <c r="C5255" t="s">
        <v>659</v>
      </c>
      <c r="D5255" t="s">
        <v>112</v>
      </c>
      <c r="E5255" t="s">
        <v>9</v>
      </c>
      <c r="F5255" s="3">
        <v>3900</v>
      </c>
      <c r="G5255" s="3">
        <v>3900</v>
      </c>
      <c r="H5255" t="s">
        <v>3</v>
      </c>
      <c r="I5255" t="s">
        <v>3</v>
      </c>
      <c r="J5255" t="s">
        <v>371</v>
      </c>
      <c r="K5255" t="s">
        <v>13</v>
      </c>
      <c r="L5255" t="s">
        <v>18</v>
      </c>
      <c r="M5255" t="s">
        <v>114</v>
      </c>
      <c r="N5255" s="2">
        <v>46173</v>
      </c>
    </row>
    <row r="5256" spans="1:14" x14ac:dyDescent="0.25">
      <c r="A5256" s="4" t="s">
        <v>223</v>
      </c>
      <c r="B5256" s="5"/>
      <c r="C5256" s="4" t="s">
        <v>9</v>
      </c>
      <c r="D5256" s="4" t="s">
        <v>9</v>
      </c>
      <c r="E5256" s="4" t="s">
        <v>9</v>
      </c>
      <c r="F5256" s="6">
        <v>0</v>
      </c>
      <c r="G5256" s="6">
        <v>0</v>
      </c>
      <c r="H5256" s="4" t="s">
        <v>9</v>
      </c>
      <c r="I5256" s="4" t="s">
        <v>3</v>
      </c>
      <c r="J5256" s="4" t="s">
        <v>9</v>
      </c>
      <c r="K5256" s="4" t="s">
        <v>9</v>
      </c>
      <c r="L5256" s="4" t="s">
        <v>9</v>
      </c>
      <c r="M5256" s="4" t="s">
        <v>9</v>
      </c>
      <c r="N5256" s="5"/>
    </row>
    <row r="5257" spans="1:14" x14ac:dyDescent="0.25">
      <c r="A5257" t="s">
        <v>659</v>
      </c>
      <c r="B5257" s="2">
        <v>46205</v>
      </c>
      <c r="C5257" t="s">
        <v>659</v>
      </c>
      <c r="D5257" t="s">
        <v>112</v>
      </c>
      <c r="E5257" t="s">
        <v>9</v>
      </c>
      <c r="F5257" s="3">
        <v>-2450</v>
      </c>
      <c r="G5257" s="3">
        <v>-2450</v>
      </c>
      <c r="H5257" t="s">
        <v>3</v>
      </c>
      <c r="I5257" t="s">
        <v>3</v>
      </c>
      <c r="J5257" t="s">
        <v>9</v>
      </c>
      <c r="K5257" t="s">
        <v>9</v>
      </c>
      <c r="L5257" t="s">
        <v>19</v>
      </c>
      <c r="M5257" t="s">
        <v>114</v>
      </c>
      <c r="N5257" s="2">
        <v>46203</v>
      </c>
    </row>
    <row r="5258" spans="1:14" x14ac:dyDescent="0.25">
      <c r="A5258" t="s">
        <v>659</v>
      </c>
      <c r="B5258" s="2">
        <v>46173</v>
      </c>
      <c r="C5258" t="s">
        <v>659</v>
      </c>
      <c r="D5258" t="s">
        <v>112</v>
      </c>
      <c r="E5258" t="s">
        <v>9</v>
      </c>
      <c r="F5258" s="3">
        <v>-3900</v>
      </c>
      <c r="G5258" s="3">
        <v>-3900</v>
      </c>
      <c r="H5258" t="s">
        <v>3</v>
      </c>
      <c r="I5258" t="s">
        <v>3</v>
      </c>
      <c r="J5258" t="s">
        <v>371</v>
      </c>
      <c r="K5258" t="s">
        <v>13</v>
      </c>
      <c r="L5258" t="s">
        <v>19</v>
      </c>
      <c r="M5258" t="s">
        <v>114</v>
      </c>
      <c r="N5258" s="2">
        <v>46174</v>
      </c>
    </row>
    <row r="5259" spans="1:14" x14ac:dyDescent="0.25">
      <c r="A5259" t="s">
        <v>659</v>
      </c>
      <c r="B5259" s="2">
        <v>46203</v>
      </c>
      <c r="C5259" t="s">
        <v>659</v>
      </c>
      <c r="D5259" t="s">
        <v>112</v>
      </c>
      <c r="E5259" t="s">
        <v>9</v>
      </c>
      <c r="F5259" s="3">
        <v>100</v>
      </c>
      <c r="G5259" s="3">
        <v>100</v>
      </c>
      <c r="H5259" t="s">
        <v>3</v>
      </c>
      <c r="I5259" t="s">
        <v>3</v>
      </c>
      <c r="J5259" t="s">
        <v>316</v>
      </c>
      <c r="K5259" t="s">
        <v>13</v>
      </c>
      <c r="L5259" t="s">
        <v>19</v>
      </c>
      <c r="M5259" t="s">
        <v>114</v>
      </c>
      <c r="N5259" s="2">
        <v>46203</v>
      </c>
    </row>
    <row r="5260" spans="1:14" x14ac:dyDescent="0.25">
      <c r="A5260" t="s">
        <v>659</v>
      </c>
      <c r="B5260" s="2">
        <v>46203</v>
      </c>
      <c r="C5260" t="s">
        <v>659</v>
      </c>
      <c r="D5260" t="s">
        <v>112</v>
      </c>
      <c r="E5260" t="s">
        <v>9</v>
      </c>
      <c r="F5260" s="3">
        <v>6250</v>
      </c>
      <c r="G5260" s="3">
        <v>6250</v>
      </c>
      <c r="H5260" t="s">
        <v>3</v>
      </c>
      <c r="I5260" t="s">
        <v>3</v>
      </c>
      <c r="J5260" t="s">
        <v>372</v>
      </c>
      <c r="K5260" t="s">
        <v>13</v>
      </c>
      <c r="L5260" t="s">
        <v>19</v>
      </c>
      <c r="M5260" t="s">
        <v>114</v>
      </c>
      <c r="N5260" s="2">
        <v>46203</v>
      </c>
    </row>
    <row r="5261" spans="1:14" x14ac:dyDescent="0.25">
      <c r="A5261" s="4" t="s">
        <v>224</v>
      </c>
      <c r="B5261" s="5"/>
      <c r="C5261" s="4" t="s">
        <v>9</v>
      </c>
      <c r="D5261" s="4" t="s">
        <v>9</v>
      </c>
      <c r="E5261" s="4" t="s">
        <v>9</v>
      </c>
      <c r="F5261" s="6">
        <v>0</v>
      </c>
      <c r="G5261" s="6">
        <v>0</v>
      </c>
      <c r="H5261" s="4" t="s">
        <v>9</v>
      </c>
      <c r="I5261" s="4" t="s">
        <v>3</v>
      </c>
      <c r="J5261" s="4" t="s">
        <v>9</v>
      </c>
      <c r="K5261" s="4" t="s">
        <v>9</v>
      </c>
      <c r="L5261" s="4" t="s">
        <v>9</v>
      </c>
      <c r="M5261" s="4" t="s">
        <v>9</v>
      </c>
      <c r="N5261" s="5"/>
    </row>
    <row r="5262" spans="1:14" x14ac:dyDescent="0.25">
      <c r="A5262" t="s">
        <v>659</v>
      </c>
      <c r="B5262" s="2">
        <v>46239</v>
      </c>
      <c r="C5262" t="s">
        <v>659</v>
      </c>
      <c r="D5262" t="s">
        <v>112</v>
      </c>
      <c r="E5262" t="s">
        <v>9</v>
      </c>
      <c r="F5262" s="3">
        <v>-1150</v>
      </c>
      <c r="G5262" s="3">
        <v>-1150</v>
      </c>
      <c r="H5262" t="s">
        <v>3</v>
      </c>
      <c r="I5262" t="s">
        <v>3</v>
      </c>
      <c r="J5262" t="s">
        <v>9</v>
      </c>
      <c r="K5262" t="s">
        <v>9</v>
      </c>
      <c r="L5262" t="s">
        <v>21</v>
      </c>
      <c r="M5262" t="s">
        <v>114</v>
      </c>
      <c r="N5262" s="2">
        <v>46234</v>
      </c>
    </row>
    <row r="5263" spans="1:14" x14ac:dyDescent="0.25">
      <c r="A5263" t="s">
        <v>659</v>
      </c>
      <c r="B5263" s="2">
        <v>46203</v>
      </c>
      <c r="C5263" t="s">
        <v>659</v>
      </c>
      <c r="D5263" t="s">
        <v>112</v>
      </c>
      <c r="E5263" t="s">
        <v>9</v>
      </c>
      <c r="F5263" s="3">
        <v>-100</v>
      </c>
      <c r="G5263" s="3">
        <v>-100</v>
      </c>
      <c r="H5263" t="s">
        <v>3</v>
      </c>
      <c r="I5263" t="s">
        <v>3</v>
      </c>
      <c r="J5263" t="s">
        <v>316</v>
      </c>
      <c r="K5263" t="s">
        <v>13</v>
      </c>
      <c r="L5263" t="s">
        <v>21</v>
      </c>
      <c r="M5263" t="s">
        <v>114</v>
      </c>
      <c r="N5263" s="2">
        <v>46204</v>
      </c>
    </row>
    <row r="5264" spans="1:14" x14ac:dyDescent="0.25">
      <c r="A5264" t="s">
        <v>659</v>
      </c>
      <c r="B5264" s="2">
        <v>46203</v>
      </c>
      <c r="C5264" t="s">
        <v>659</v>
      </c>
      <c r="D5264" t="s">
        <v>112</v>
      </c>
      <c r="E5264" t="s">
        <v>9</v>
      </c>
      <c r="F5264" s="3">
        <v>-6250</v>
      </c>
      <c r="G5264" s="3">
        <v>-6250</v>
      </c>
      <c r="H5264" t="s">
        <v>3</v>
      </c>
      <c r="I5264" t="s">
        <v>3</v>
      </c>
      <c r="J5264" t="s">
        <v>372</v>
      </c>
      <c r="K5264" t="s">
        <v>13</v>
      </c>
      <c r="L5264" t="s">
        <v>21</v>
      </c>
      <c r="M5264" t="s">
        <v>114</v>
      </c>
      <c r="N5264" s="2">
        <v>46204</v>
      </c>
    </row>
    <row r="5265" spans="1:14" x14ac:dyDescent="0.25">
      <c r="A5265" t="s">
        <v>659</v>
      </c>
      <c r="B5265" s="2">
        <v>46234</v>
      </c>
      <c r="C5265" t="s">
        <v>659</v>
      </c>
      <c r="D5265" t="s">
        <v>112</v>
      </c>
      <c r="E5265" t="s">
        <v>9</v>
      </c>
      <c r="F5265" s="3">
        <v>100</v>
      </c>
      <c r="G5265" s="3">
        <v>100</v>
      </c>
      <c r="H5265" t="s">
        <v>3</v>
      </c>
      <c r="I5265" t="s">
        <v>3</v>
      </c>
      <c r="J5265" t="s">
        <v>319</v>
      </c>
      <c r="K5265" t="s">
        <v>13</v>
      </c>
      <c r="L5265" t="s">
        <v>21</v>
      </c>
      <c r="M5265" t="s">
        <v>114</v>
      </c>
      <c r="N5265" s="2">
        <v>46234</v>
      </c>
    </row>
    <row r="5266" spans="1:14" x14ac:dyDescent="0.25">
      <c r="A5266" t="s">
        <v>659</v>
      </c>
      <c r="B5266" s="2">
        <v>46234</v>
      </c>
      <c r="C5266" t="s">
        <v>659</v>
      </c>
      <c r="D5266" t="s">
        <v>112</v>
      </c>
      <c r="E5266" t="s">
        <v>9</v>
      </c>
      <c r="F5266" s="3">
        <v>7400</v>
      </c>
      <c r="G5266" s="3">
        <v>7400</v>
      </c>
      <c r="H5266" t="s">
        <v>3</v>
      </c>
      <c r="I5266" t="s">
        <v>3</v>
      </c>
      <c r="J5266" t="s">
        <v>373</v>
      </c>
      <c r="K5266" t="s">
        <v>13</v>
      </c>
      <c r="L5266" t="s">
        <v>21</v>
      </c>
      <c r="M5266" t="s">
        <v>114</v>
      </c>
      <c r="N5266" s="2">
        <v>46234</v>
      </c>
    </row>
    <row r="5267" spans="1:14" x14ac:dyDescent="0.25">
      <c r="A5267" s="4" t="s">
        <v>262</v>
      </c>
      <c r="B5267" s="5"/>
      <c r="C5267" s="4" t="s">
        <v>9</v>
      </c>
      <c r="D5267" s="4" t="s">
        <v>9</v>
      </c>
      <c r="E5267" s="4" t="s">
        <v>9</v>
      </c>
      <c r="F5267" s="6">
        <v>0</v>
      </c>
      <c r="G5267" s="6">
        <v>0</v>
      </c>
      <c r="H5267" s="4" t="s">
        <v>9</v>
      </c>
      <c r="I5267" s="4" t="s">
        <v>3</v>
      </c>
      <c r="J5267" s="4" t="s">
        <v>9</v>
      </c>
      <c r="K5267" s="4" t="s">
        <v>9</v>
      </c>
      <c r="L5267" s="4" t="s">
        <v>9</v>
      </c>
      <c r="M5267" s="4" t="s">
        <v>9</v>
      </c>
      <c r="N5267" s="5"/>
    </row>
    <row r="5268" spans="1:14" x14ac:dyDescent="0.25">
      <c r="A5268" t="s">
        <v>659</v>
      </c>
      <c r="B5268" s="2">
        <v>46267</v>
      </c>
      <c r="C5268" t="s">
        <v>659</v>
      </c>
      <c r="D5268" t="s">
        <v>112</v>
      </c>
      <c r="E5268" t="s">
        <v>9</v>
      </c>
      <c r="F5268" s="3">
        <v>-150</v>
      </c>
      <c r="G5268" s="3">
        <v>-150</v>
      </c>
      <c r="H5268" t="s">
        <v>3</v>
      </c>
      <c r="I5268" t="s">
        <v>3</v>
      </c>
      <c r="J5268" t="s">
        <v>9</v>
      </c>
      <c r="K5268" t="s">
        <v>9</v>
      </c>
      <c r="L5268" t="s">
        <v>22</v>
      </c>
      <c r="M5268" t="s">
        <v>114</v>
      </c>
      <c r="N5268" s="2">
        <v>46265</v>
      </c>
    </row>
    <row r="5269" spans="1:14" x14ac:dyDescent="0.25">
      <c r="A5269" t="s">
        <v>659</v>
      </c>
      <c r="B5269" s="2">
        <v>46234</v>
      </c>
      <c r="C5269" t="s">
        <v>659</v>
      </c>
      <c r="D5269" t="s">
        <v>112</v>
      </c>
      <c r="E5269" t="s">
        <v>9</v>
      </c>
      <c r="F5269" s="3">
        <v>-100</v>
      </c>
      <c r="G5269" s="3">
        <v>-100</v>
      </c>
      <c r="H5269" t="s">
        <v>3</v>
      </c>
      <c r="I5269" t="s">
        <v>3</v>
      </c>
      <c r="J5269" t="s">
        <v>319</v>
      </c>
      <c r="K5269" t="s">
        <v>13</v>
      </c>
      <c r="L5269" t="s">
        <v>22</v>
      </c>
      <c r="M5269" t="s">
        <v>114</v>
      </c>
      <c r="N5269" s="2">
        <v>46235</v>
      </c>
    </row>
    <row r="5270" spans="1:14" x14ac:dyDescent="0.25">
      <c r="A5270" t="s">
        <v>659</v>
      </c>
      <c r="B5270" s="2">
        <v>46234</v>
      </c>
      <c r="C5270" t="s">
        <v>659</v>
      </c>
      <c r="D5270" t="s">
        <v>112</v>
      </c>
      <c r="E5270" t="s">
        <v>9</v>
      </c>
      <c r="F5270" s="3">
        <v>-7400</v>
      </c>
      <c r="G5270" s="3">
        <v>-7400</v>
      </c>
      <c r="H5270" t="s">
        <v>3</v>
      </c>
      <c r="I5270" t="s">
        <v>3</v>
      </c>
      <c r="J5270" t="s">
        <v>373</v>
      </c>
      <c r="K5270" t="s">
        <v>13</v>
      </c>
      <c r="L5270" t="s">
        <v>22</v>
      </c>
      <c r="M5270" t="s">
        <v>114</v>
      </c>
      <c r="N5270" s="2">
        <v>46235</v>
      </c>
    </row>
    <row r="5271" spans="1:14" x14ac:dyDescent="0.25">
      <c r="A5271" t="s">
        <v>659</v>
      </c>
      <c r="B5271" s="2">
        <v>46265</v>
      </c>
      <c r="C5271" t="s">
        <v>659</v>
      </c>
      <c r="D5271" t="s">
        <v>112</v>
      </c>
      <c r="E5271" t="s">
        <v>9</v>
      </c>
      <c r="F5271" s="3">
        <v>100</v>
      </c>
      <c r="G5271" s="3">
        <v>100</v>
      </c>
      <c r="H5271" t="s">
        <v>3</v>
      </c>
      <c r="I5271" t="s">
        <v>3</v>
      </c>
      <c r="J5271" t="s">
        <v>322</v>
      </c>
      <c r="K5271" t="s">
        <v>13</v>
      </c>
      <c r="L5271" t="s">
        <v>22</v>
      </c>
      <c r="M5271" t="s">
        <v>114</v>
      </c>
      <c r="N5271" s="2">
        <v>46265</v>
      </c>
    </row>
    <row r="5272" spans="1:14" x14ac:dyDescent="0.25">
      <c r="A5272" t="s">
        <v>659</v>
      </c>
      <c r="B5272" s="2">
        <v>46265</v>
      </c>
      <c r="C5272" t="s">
        <v>659</v>
      </c>
      <c r="D5272" t="s">
        <v>112</v>
      </c>
      <c r="E5272" t="s">
        <v>9</v>
      </c>
      <c r="F5272" s="3">
        <v>7550</v>
      </c>
      <c r="G5272" s="3">
        <v>7550</v>
      </c>
      <c r="H5272" t="s">
        <v>3</v>
      </c>
      <c r="I5272" t="s">
        <v>3</v>
      </c>
      <c r="J5272" t="s">
        <v>430</v>
      </c>
      <c r="K5272" t="s">
        <v>13</v>
      </c>
      <c r="L5272" t="s">
        <v>22</v>
      </c>
      <c r="M5272" t="s">
        <v>114</v>
      </c>
      <c r="N5272" s="2">
        <v>46265</v>
      </c>
    </row>
    <row r="5273" spans="1:14" x14ac:dyDescent="0.25">
      <c r="A5273" s="4" t="s">
        <v>267</v>
      </c>
      <c r="B5273" s="5"/>
      <c r="C5273" s="4" t="s">
        <v>9</v>
      </c>
      <c r="D5273" s="4" t="s">
        <v>9</v>
      </c>
      <c r="E5273" s="4" t="s">
        <v>9</v>
      </c>
      <c r="F5273" s="6">
        <v>0</v>
      </c>
      <c r="G5273" s="6">
        <v>0</v>
      </c>
      <c r="H5273" s="4" t="s">
        <v>9</v>
      </c>
      <c r="I5273" s="4" t="s">
        <v>3</v>
      </c>
      <c r="J5273" s="4" t="s">
        <v>9</v>
      </c>
      <c r="K5273" s="4" t="s">
        <v>9</v>
      </c>
      <c r="L5273" s="4" t="s">
        <v>9</v>
      </c>
      <c r="M5273" s="4" t="s">
        <v>9</v>
      </c>
      <c r="N5273" s="5"/>
    </row>
    <row r="5274" spans="1:14" x14ac:dyDescent="0.25">
      <c r="A5274" s="4" t="s">
        <v>659</v>
      </c>
      <c r="B5274" s="5"/>
      <c r="C5274" s="4" t="s">
        <v>9</v>
      </c>
      <c r="D5274" s="4" t="s">
        <v>9</v>
      </c>
      <c r="E5274" s="4" t="s">
        <v>9</v>
      </c>
      <c r="F5274" s="6">
        <v>0</v>
      </c>
      <c r="G5274" s="6">
        <v>0</v>
      </c>
      <c r="H5274" s="4" t="s">
        <v>9</v>
      </c>
      <c r="I5274" s="4" t="s">
        <v>3</v>
      </c>
      <c r="J5274" s="4" t="s">
        <v>9</v>
      </c>
      <c r="K5274" s="4" t="s">
        <v>9</v>
      </c>
      <c r="L5274" s="4" t="s">
        <v>9</v>
      </c>
      <c r="M5274" s="4" t="s">
        <v>9</v>
      </c>
      <c r="N5274" s="5"/>
    </row>
    <row r="5275" spans="1:14" x14ac:dyDescent="0.25">
      <c r="A5275" t="s">
        <v>660</v>
      </c>
      <c r="B5275" s="2">
        <v>46084</v>
      </c>
      <c r="C5275" t="s">
        <v>660</v>
      </c>
      <c r="D5275" t="s">
        <v>112</v>
      </c>
      <c r="E5275" t="s">
        <v>9</v>
      </c>
      <c r="F5275" s="3">
        <v>-2000</v>
      </c>
      <c r="G5275" s="3">
        <v>-2000</v>
      </c>
      <c r="H5275" t="s">
        <v>3</v>
      </c>
      <c r="I5275" t="s">
        <v>3</v>
      </c>
      <c r="J5275" t="s">
        <v>9</v>
      </c>
      <c r="K5275" t="s">
        <v>9</v>
      </c>
      <c r="L5275" t="s">
        <v>15</v>
      </c>
      <c r="M5275" t="s">
        <v>114</v>
      </c>
      <c r="N5275" s="2">
        <v>46081</v>
      </c>
    </row>
    <row r="5276" spans="1:14" x14ac:dyDescent="0.25">
      <c r="A5276" t="s">
        <v>660</v>
      </c>
      <c r="B5276" s="2">
        <v>46081</v>
      </c>
      <c r="C5276" t="s">
        <v>660</v>
      </c>
      <c r="D5276" t="s">
        <v>112</v>
      </c>
      <c r="E5276" t="s">
        <v>9</v>
      </c>
      <c r="F5276" s="3">
        <v>2000</v>
      </c>
      <c r="G5276" s="3">
        <v>2000</v>
      </c>
      <c r="H5276" t="s">
        <v>3</v>
      </c>
      <c r="I5276" t="s">
        <v>3</v>
      </c>
      <c r="J5276" t="s">
        <v>304</v>
      </c>
      <c r="K5276" t="s">
        <v>13</v>
      </c>
      <c r="L5276" t="s">
        <v>15</v>
      </c>
      <c r="M5276" t="s">
        <v>114</v>
      </c>
      <c r="N5276" s="2">
        <v>46081</v>
      </c>
    </row>
    <row r="5277" spans="1:14" x14ac:dyDescent="0.25">
      <c r="A5277" s="4" t="s">
        <v>239</v>
      </c>
      <c r="B5277" s="5"/>
      <c r="C5277" s="4" t="s">
        <v>9</v>
      </c>
      <c r="D5277" s="4" t="s">
        <v>9</v>
      </c>
      <c r="E5277" s="4" t="s">
        <v>9</v>
      </c>
      <c r="F5277" s="6">
        <v>0</v>
      </c>
      <c r="G5277" s="6">
        <v>0</v>
      </c>
      <c r="H5277" s="4" t="s">
        <v>9</v>
      </c>
      <c r="I5277" s="4" t="s">
        <v>3</v>
      </c>
      <c r="J5277" s="4" t="s">
        <v>9</v>
      </c>
      <c r="K5277" s="4" t="s">
        <v>9</v>
      </c>
      <c r="L5277" s="4" t="s">
        <v>9</v>
      </c>
      <c r="M5277" s="4" t="s">
        <v>9</v>
      </c>
      <c r="N5277" s="5"/>
    </row>
    <row r="5278" spans="1:14" x14ac:dyDescent="0.25">
      <c r="A5278" t="s">
        <v>660</v>
      </c>
      <c r="B5278" s="2">
        <v>46115</v>
      </c>
      <c r="C5278" t="s">
        <v>660</v>
      </c>
      <c r="D5278" t="s">
        <v>112</v>
      </c>
      <c r="E5278" t="s">
        <v>9</v>
      </c>
      <c r="F5278" s="3">
        <v>-10800</v>
      </c>
      <c r="G5278" s="3">
        <v>-10800</v>
      </c>
      <c r="H5278" t="s">
        <v>3</v>
      </c>
      <c r="I5278" t="s">
        <v>3</v>
      </c>
      <c r="J5278" t="s">
        <v>9</v>
      </c>
      <c r="K5278" t="s">
        <v>9</v>
      </c>
      <c r="L5278" t="s">
        <v>16</v>
      </c>
      <c r="M5278" t="s">
        <v>114</v>
      </c>
      <c r="N5278" s="2">
        <v>46112</v>
      </c>
    </row>
    <row r="5279" spans="1:14" x14ac:dyDescent="0.25">
      <c r="A5279" t="s">
        <v>660</v>
      </c>
      <c r="B5279" s="2">
        <v>46115</v>
      </c>
      <c r="C5279" t="s">
        <v>660</v>
      </c>
      <c r="D5279" t="s">
        <v>301</v>
      </c>
      <c r="E5279" t="s">
        <v>9</v>
      </c>
      <c r="F5279" s="3">
        <v>12800</v>
      </c>
      <c r="G5279" s="3">
        <v>12800</v>
      </c>
      <c r="H5279" t="s">
        <v>3</v>
      </c>
      <c r="I5279" t="s">
        <v>3</v>
      </c>
      <c r="J5279" t="s">
        <v>9</v>
      </c>
      <c r="K5279" t="s">
        <v>9</v>
      </c>
      <c r="L5279" t="s">
        <v>16</v>
      </c>
      <c r="M5279" t="s">
        <v>302</v>
      </c>
      <c r="N5279" s="2">
        <v>46112</v>
      </c>
    </row>
    <row r="5280" spans="1:14" x14ac:dyDescent="0.25">
      <c r="A5280" t="s">
        <v>660</v>
      </c>
      <c r="B5280" s="2">
        <v>46081</v>
      </c>
      <c r="C5280" t="s">
        <v>660</v>
      </c>
      <c r="D5280" t="s">
        <v>112</v>
      </c>
      <c r="E5280" t="s">
        <v>9</v>
      </c>
      <c r="F5280" s="3">
        <v>-2000</v>
      </c>
      <c r="G5280" s="3">
        <v>-2000</v>
      </c>
      <c r="H5280" t="s">
        <v>3</v>
      </c>
      <c r="I5280" t="s">
        <v>3</v>
      </c>
      <c r="J5280" t="s">
        <v>304</v>
      </c>
      <c r="K5280" t="s">
        <v>13</v>
      </c>
      <c r="L5280" t="s">
        <v>16</v>
      </c>
      <c r="M5280" t="s">
        <v>114</v>
      </c>
      <c r="N5280" s="2">
        <v>46082</v>
      </c>
    </row>
    <row r="5281" spans="1:14" x14ac:dyDescent="0.25">
      <c r="A5281" t="s">
        <v>660</v>
      </c>
      <c r="B5281" s="2">
        <v>46112</v>
      </c>
      <c r="C5281" t="s">
        <v>660</v>
      </c>
      <c r="D5281" t="s">
        <v>112</v>
      </c>
      <c r="E5281" t="s">
        <v>9</v>
      </c>
      <c r="F5281" s="3">
        <v>12800</v>
      </c>
      <c r="G5281" s="3">
        <v>12800</v>
      </c>
      <c r="H5281" t="s">
        <v>3</v>
      </c>
      <c r="I5281" t="s">
        <v>3</v>
      </c>
      <c r="J5281" t="s">
        <v>307</v>
      </c>
      <c r="K5281" t="s">
        <v>13</v>
      </c>
      <c r="L5281" t="s">
        <v>16</v>
      </c>
      <c r="M5281" t="s">
        <v>114</v>
      </c>
      <c r="N5281" s="2">
        <v>46112</v>
      </c>
    </row>
    <row r="5282" spans="1:14" x14ac:dyDescent="0.25">
      <c r="A5282" t="s">
        <v>660</v>
      </c>
      <c r="B5282" s="2">
        <v>46112</v>
      </c>
      <c r="C5282" t="s">
        <v>660</v>
      </c>
      <c r="D5282" t="s">
        <v>301</v>
      </c>
      <c r="E5282" t="s">
        <v>9</v>
      </c>
      <c r="F5282" s="3">
        <v>-12800</v>
      </c>
      <c r="G5282" s="3">
        <v>-12800</v>
      </c>
      <c r="H5282" t="s">
        <v>3</v>
      </c>
      <c r="I5282" t="s">
        <v>3</v>
      </c>
      <c r="J5282" t="s">
        <v>10</v>
      </c>
      <c r="K5282" t="s">
        <v>13</v>
      </c>
      <c r="L5282" t="s">
        <v>16</v>
      </c>
      <c r="M5282" t="s">
        <v>302</v>
      </c>
      <c r="N5282" s="2">
        <v>46112</v>
      </c>
    </row>
    <row r="5283" spans="1:14" x14ac:dyDescent="0.25">
      <c r="A5283" s="4" t="s">
        <v>244</v>
      </c>
      <c r="B5283" s="5"/>
      <c r="C5283" s="4" t="s">
        <v>9</v>
      </c>
      <c r="D5283" s="4" t="s">
        <v>9</v>
      </c>
      <c r="E5283" s="4" t="s">
        <v>9</v>
      </c>
      <c r="F5283" s="6">
        <v>0</v>
      </c>
      <c r="G5283" s="6">
        <v>0</v>
      </c>
      <c r="H5283" s="4" t="s">
        <v>9</v>
      </c>
      <c r="I5283" s="4" t="s">
        <v>3</v>
      </c>
      <c r="J5283" s="4" t="s">
        <v>9</v>
      </c>
      <c r="K5283" s="4" t="s">
        <v>9</v>
      </c>
      <c r="L5283" s="4" t="s">
        <v>9</v>
      </c>
      <c r="M5283" s="4" t="s">
        <v>9</v>
      </c>
      <c r="N5283" s="5"/>
    </row>
    <row r="5284" spans="1:14" x14ac:dyDescent="0.25">
      <c r="A5284" t="s">
        <v>660</v>
      </c>
      <c r="B5284" s="2">
        <v>46147</v>
      </c>
      <c r="C5284" t="s">
        <v>660</v>
      </c>
      <c r="D5284" t="s">
        <v>112</v>
      </c>
      <c r="E5284" t="s">
        <v>9</v>
      </c>
      <c r="F5284" s="3">
        <v>-9215</v>
      </c>
      <c r="G5284" s="3">
        <v>-9215</v>
      </c>
      <c r="H5284" t="s">
        <v>3</v>
      </c>
      <c r="I5284" t="s">
        <v>3</v>
      </c>
      <c r="J5284" t="s">
        <v>9</v>
      </c>
      <c r="K5284" t="s">
        <v>9</v>
      </c>
      <c r="L5284" t="s">
        <v>17</v>
      </c>
      <c r="M5284" t="s">
        <v>114</v>
      </c>
      <c r="N5284" s="2">
        <v>46142</v>
      </c>
    </row>
    <row r="5285" spans="1:14" x14ac:dyDescent="0.25">
      <c r="A5285" t="s">
        <v>660</v>
      </c>
      <c r="B5285" s="2">
        <v>46147</v>
      </c>
      <c r="C5285" t="s">
        <v>660</v>
      </c>
      <c r="D5285" t="s">
        <v>301</v>
      </c>
      <c r="E5285" t="s">
        <v>9</v>
      </c>
      <c r="F5285" s="3">
        <v>9215</v>
      </c>
      <c r="G5285" s="3">
        <v>9215</v>
      </c>
      <c r="H5285" t="s">
        <v>3</v>
      </c>
      <c r="I5285" t="s">
        <v>3</v>
      </c>
      <c r="J5285" t="s">
        <v>9</v>
      </c>
      <c r="K5285" t="s">
        <v>9</v>
      </c>
      <c r="L5285" t="s">
        <v>17</v>
      </c>
      <c r="M5285" t="s">
        <v>302</v>
      </c>
      <c r="N5285" s="2">
        <v>46142</v>
      </c>
    </row>
    <row r="5286" spans="1:14" x14ac:dyDescent="0.25">
      <c r="A5286" t="s">
        <v>660</v>
      </c>
      <c r="B5286" s="2">
        <v>46112</v>
      </c>
      <c r="C5286" t="s">
        <v>660</v>
      </c>
      <c r="D5286" t="s">
        <v>112</v>
      </c>
      <c r="E5286" t="s">
        <v>9</v>
      </c>
      <c r="F5286" s="3">
        <v>-12800</v>
      </c>
      <c r="G5286" s="3">
        <v>-12800</v>
      </c>
      <c r="H5286" t="s">
        <v>3</v>
      </c>
      <c r="I5286" t="s">
        <v>3</v>
      </c>
      <c r="J5286" t="s">
        <v>307</v>
      </c>
      <c r="K5286" t="s">
        <v>13</v>
      </c>
      <c r="L5286" t="s">
        <v>17</v>
      </c>
      <c r="M5286" t="s">
        <v>114</v>
      </c>
      <c r="N5286" s="2">
        <v>46113</v>
      </c>
    </row>
    <row r="5287" spans="1:14" x14ac:dyDescent="0.25">
      <c r="A5287" t="s">
        <v>660</v>
      </c>
      <c r="B5287" s="2">
        <v>46142</v>
      </c>
      <c r="C5287" t="s">
        <v>660</v>
      </c>
      <c r="D5287" t="s">
        <v>112</v>
      </c>
      <c r="E5287" t="s">
        <v>9</v>
      </c>
      <c r="F5287" s="3">
        <v>21365</v>
      </c>
      <c r="G5287" s="3">
        <v>21365</v>
      </c>
      <c r="H5287" t="s">
        <v>3</v>
      </c>
      <c r="I5287" t="s">
        <v>3</v>
      </c>
      <c r="J5287" t="s">
        <v>310</v>
      </c>
      <c r="K5287" t="s">
        <v>13</v>
      </c>
      <c r="L5287" t="s">
        <v>17</v>
      </c>
      <c r="M5287" t="s">
        <v>114</v>
      </c>
      <c r="N5287" s="2">
        <v>46142</v>
      </c>
    </row>
    <row r="5288" spans="1:14" x14ac:dyDescent="0.25">
      <c r="A5288" t="s">
        <v>660</v>
      </c>
      <c r="B5288" s="2">
        <v>46142</v>
      </c>
      <c r="C5288" t="s">
        <v>660</v>
      </c>
      <c r="D5288" t="s">
        <v>112</v>
      </c>
      <c r="E5288" t="s">
        <v>9</v>
      </c>
      <c r="F5288" s="3">
        <v>650</v>
      </c>
      <c r="G5288" s="3">
        <v>650</v>
      </c>
      <c r="H5288" t="s">
        <v>3</v>
      </c>
      <c r="I5288" t="s">
        <v>3</v>
      </c>
      <c r="J5288" t="s">
        <v>423</v>
      </c>
      <c r="K5288" t="s">
        <v>13</v>
      </c>
      <c r="L5288" t="s">
        <v>17</v>
      </c>
      <c r="M5288" t="s">
        <v>114</v>
      </c>
      <c r="N5288" s="2">
        <v>46142</v>
      </c>
    </row>
    <row r="5289" spans="1:14" x14ac:dyDescent="0.25">
      <c r="A5289" t="s">
        <v>660</v>
      </c>
      <c r="B5289" s="2">
        <v>46142</v>
      </c>
      <c r="C5289" t="s">
        <v>660</v>
      </c>
      <c r="D5289" t="s">
        <v>301</v>
      </c>
      <c r="E5289" t="s">
        <v>9</v>
      </c>
      <c r="F5289" s="3">
        <v>-9215</v>
      </c>
      <c r="G5289" s="3">
        <v>-9215</v>
      </c>
      <c r="H5289" t="s">
        <v>3</v>
      </c>
      <c r="I5289" t="s">
        <v>3</v>
      </c>
      <c r="J5289" t="s">
        <v>10</v>
      </c>
      <c r="K5289" t="s">
        <v>13</v>
      </c>
      <c r="L5289" t="s">
        <v>17</v>
      </c>
      <c r="M5289" t="s">
        <v>302</v>
      </c>
      <c r="N5289" s="2">
        <v>46142</v>
      </c>
    </row>
    <row r="5290" spans="1:14" x14ac:dyDescent="0.25">
      <c r="A5290" s="4" t="s">
        <v>249</v>
      </c>
      <c r="B5290" s="5"/>
      <c r="C5290" s="4" t="s">
        <v>9</v>
      </c>
      <c r="D5290" s="4" t="s">
        <v>9</v>
      </c>
      <c r="E5290" s="4" t="s">
        <v>9</v>
      </c>
      <c r="F5290" s="6">
        <v>0</v>
      </c>
      <c r="G5290" s="6">
        <v>0</v>
      </c>
      <c r="H5290" s="4" t="s">
        <v>9</v>
      </c>
      <c r="I5290" s="4" t="s">
        <v>3</v>
      </c>
      <c r="J5290" s="4" t="s">
        <v>9</v>
      </c>
      <c r="K5290" s="4" t="s">
        <v>9</v>
      </c>
      <c r="L5290" s="4" t="s">
        <v>9</v>
      </c>
      <c r="M5290" s="4" t="s">
        <v>9</v>
      </c>
      <c r="N5290" s="5"/>
    </row>
    <row r="5291" spans="1:14" x14ac:dyDescent="0.25">
      <c r="A5291" t="s">
        <v>660</v>
      </c>
      <c r="B5291" s="2">
        <v>46175</v>
      </c>
      <c r="C5291" t="s">
        <v>660</v>
      </c>
      <c r="D5291" t="s">
        <v>112</v>
      </c>
      <c r="E5291" t="s">
        <v>9</v>
      </c>
      <c r="F5291" s="3">
        <v>-9475</v>
      </c>
      <c r="G5291" s="3">
        <v>-9475</v>
      </c>
      <c r="H5291" t="s">
        <v>3</v>
      </c>
      <c r="I5291" t="s">
        <v>3</v>
      </c>
      <c r="J5291" t="s">
        <v>9</v>
      </c>
      <c r="K5291" t="s">
        <v>9</v>
      </c>
      <c r="L5291" t="s">
        <v>18</v>
      </c>
      <c r="M5291" t="s">
        <v>114</v>
      </c>
      <c r="N5291" s="2">
        <v>46173</v>
      </c>
    </row>
    <row r="5292" spans="1:14" x14ac:dyDescent="0.25">
      <c r="A5292" t="s">
        <v>660</v>
      </c>
      <c r="B5292" s="2">
        <v>46175</v>
      </c>
      <c r="C5292" t="s">
        <v>660</v>
      </c>
      <c r="D5292" t="s">
        <v>301</v>
      </c>
      <c r="E5292" t="s">
        <v>9</v>
      </c>
      <c r="F5292" s="3">
        <v>9475</v>
      </c>
      <c r="G5292" s="3">
        <v>9475</v>
      </c>
      <c r="H5292" t="s">
        <v>3</v>
      </c>
      <c r="I5292" t="s">
        <v>3</v>
      </c>
      <c r="J5292" t="s">
        <v>9</v>
      </c>
      <c r="K5292" t="s">
        <v>9</v>
      </c>
      <c r="L5292" t="s">
        <v>18</v>
      </c>
      <c r="M5292" t="s">
        <v>302</v>
      </c>
      <c r="N5292" s="2">
        <v>46173</v>
      </c>
    </row>
    <row r="5293" spans="1:14" x14ac:dyDescent="0.25">
      <c r="A5293" t="s">
        <v>660</v>
      </c>
      <c r="B5293" s="2">
        <v>46142</v>
      </c>
      <c r="C5293" t="s">
        <v>660</v>
      </c>
      <c r="D5293" t="s">
        <v>112</v>
      </c>
      <c r="E5293" t="s">
        <v>9</v>
      </c>
      <c r="F5293" s="3">
        <v>-21365</v>
      </c>
      <c r="G5293" s="3">
        <v>-21365</v>
      </c>
      <c r="H5293" t="s">
        <v>3</v>
      </c>
      <c r="I5293" t="s">
        <v>3</v>
      </c>
      <c r="J5293" t="s">
        <v>310</v>
      </c>
      <c r="K5293" t="s">
        <v>13</v>
      </c>
      <c r="L5293" t="s">
        <v>18</v>
      </c>
      <c r="M5293" t="s">
        <v>114</v>
      </c>
      <c r="N5293" s="2">
        <v>46143</v>
      </c>
    </row>
    <row r="5294" spans="1:14" x14ac:dyDescent="0.25">
      <c r="A5294" t="s">
        <v>660</v>
      </c>
      <c r="B5294" s="2">
        <v>46142</v>
      </c>
      <c r="C5294" t="s">
        <v>660</v>
      </c>
      <c r="D5294" t="s">
        <v>112</v>
      </c>
      <c r="E5294" t="s">
        <v>9</v>
      </c>
      <c r="F5294" s="3">
        <v>-650</v>
      </c>
      <c r="G5294" s="3">
        <v>-650</v>
      </c>
      <c r="H5294" t="s">
        <v>3</v>
      </c>
      <c r="I5294" t="s">
        <v>3</v>
      </c>
      <c r="J5294" t="s">
        <v>423</v>
      </c>
      <c r="K5294" t="s">
        <v>13</v>
      </c>
      <c r="L5294" t="s">
        <v>18</v>
      </c>
      <c r="M5294" t="s">
        <v>114</v>
      </c>
      <c r="N5294" s="2">
        <v>46143</v>
      </c>
    </row>
    <row r="5295" spans="1:14" x14ac:dyDescent="0.25">
      <c r="A5295" t="s">
        <v>660</v>
      </c>
      <c r="B5295" s="2">
        <v>46173</v>
      </c>
      <c r="C5295" t="s">
        <v>660</v>
      </c>
      <c r="D5295" t="s">
        <v>112</v>
      </c>
      <c r="E5295" t="s">
        <v>9</v>
      </c>
      <c r="F5295" s="3">
        <v>30140</v>
      </c>
      <c r="G5295" s="3">
        <v>30140</v>
      </c>
      <c r="H5295" t="s">
        <v>3</v>
      </c>
      <c r="I5295" t="s">
        <v>3</v>
      </c>
      <c r="J5295" t="s">
        <v>313</v>
      </c>
      <c r="K5295" t="s">
        <v>13</v>
      </c>
      <c r="L5295" t="s">
        <v>18</v>
      </c>
      <c r="M5295" t="s">
        <v>114</v>
      </c>
      <c r="N5295" s="2">
        <v>46173</v>
      </c>
    </row>
    <row r="5296" spans="1:14" x14ac:dyDescent="0.25">
      <c r="A5296" t="s">
        <v>660</v>
      </c>
      <c r="B5296" s="2">
        <v>46173</v>
      </c>
      <c r="C5296" t="s">
        <v>660</v>
      </c>
      <c r="D5296" t="s">
        <v>112</v>
      </c>
      <c r="E5296" t="s">
        <v>9</v>
      </c>
      <c r="F5296" s="3">
        <v>1350</v>
      </c>
      <c r="G5296" s="3">
        <v>1350</v>
      </c>
      <c r="H5296" t="s">
        <v>3</v>
      </c>
      <c r="I5296" t="s">
        <v>3</v>
      </c>
      <c r="J5296" t="s">
        <v>427</v>
      </c>
      <c r="K5296" t="s">
        <v>13</v>
      </c>
      <c r="L5296" t="s">
        <v>18</v>
      </c>
      <c r="M5296" t="s">
        <v>114</v>
      </c>
      <c r="N5296" s="2">
        <v>46173</v>
      </c>
    </row>
    <row r="5297" spans="1:14" x14ac:dyDescent="0.25">
      <c r="A5297" t="s">
        <v>660</v>
      </c>
      <c r="B5297" s="2">
        <v>46173</v>
      </c>
      <c r="C5297" t="s">
        <v>660</v>
      </c>
      <c r="D5297" t="s">
        <v>301</v>
      </c>
      <c r="E5297" t="s">
        <v>9</v>
      </c>
      <c r="F5297" s="3">
        <v>-9475</v>
      </c>
      <c r="G5297" s="3">
        <v>-9475</v>
      </c>
      <c r="H5297" t="s">
        <v>3</v>
      </c>
      <c r="I5297" t="s">
        <v>3</v>
      </c>
      <c r="J5297" t="s">
        <v>10</v>
      </c>
      <c r="K5297" t="s">
        <v>13</v>
      </c>
      <c r="L5297" t="s">
        <v>18</v>
      </c>
      <c r="M5297" t="s">
        <v>302</v>
      </c>
      <c r="N5297" s="2">
        <v>46173</v>
      </c>
    </row>
    <row r="5298" spans="1:14" x14ac:dyDescent="0.25">
      <c r="A5298" s="4" t="s">
        <v>223</v>
      </c>
      <c r="B5298" s="5"/>
      <c r="C5298" s="4" t="s">
        <v>9</v>
      </c>
      <c r="D5298" s="4" t="s">
        <v>9</v>
      </c>
      <c r="E5298" s="4" t="s">
        <v>9</v>
      </c>
      <c r="F5298" s="6">
        <v>0</v>
      </c>
      <c r="G5298" s="6">
        <v>0</v>
      </c>
      <c r="H5298" s="4" t="s">
        <v>9</v>
      </c>
      <c r="I5298" s="4" t="s">
        <v>3</v>
      </c>
      <c r="J5298" s="4" t="s">
        <v>9</v>
      </c>
      <c r="K5298" s="4" t="s">
        <v>9</v>
      </c>
      <c r="L5298" s="4" t="s">
        <v>9</v>
      </c>
      <c r="M5298" s="4" t="s">
        <v>9</v>
      </c>
      <c r="N5298" s="5"/>
    </row>
    <row r="5299" spans="1:14" x14ac:dyDescent="0.25">
      <c r="A5299" t="s">
        <v>660</v>
      </c>
      <c r="B5299" s="2">
        <v>46205</v>
      </c>
      <c r="C5299" t="s">
        <v>660</v>
      </c>
      <c r="D5299" t="s">
        <v>112</v>
      </c>
      <c r="E5299" t="s">
        <v>9</v>
      </c>
      <c r="F5299" s="3">
        <v>-4700</v>
      </c>
      <c r="G5299" s="3">
        <v>-4700</v>
      </c>
      <c r="H5299" t="s">
        <v>3</v>
      </c>
      <c r="I5299" t="s">
        <v>3</v>
      </c>
      <c r="J5299" t="s">
        <v>9</v>
      </c>
      <c r="K5299" t="s">
        <v>9</v>
      </c>
      <c r="L5299" t="s">
        <v>19</v>
      </c>
      <c r="M5299" t="s">
        <v>114</v>
      </c>
      <c r="N5299" s="2">
        <v>46203</v>
      </c>
    </row>
    <row r="5300" spans="1:14" x14ac:dyDescent="0.25">
      <c r="A5300" t="s">
        <v>660</v>
      </c>
      <c r="B5300" s="2">
        <v>46205</v>
      </c>
      <c r="C5300" t="s">
        <v>660</v>
      </c>
      <c r="D5300" t="s">
        <v>301</v>
      </c>
      <c r="E5300" t="s">
        <v>9</v>
      </c>
      <c r="F5300" s="3">
        <v>4700</v>
      </c>
      <c r="G5300" s="3">
        <v>4700</v>
      </c>
      <c r="H5300" t="s">
        <v>3</v>
      </c>
      <c r="I5300" t="s">
        <v>3</v>
      </c>
      <c r="J5300" t="s">
        <v>9</v>
      </c>
      <c r="K5300" t="s">
        <v>9</v>
      </c>
      <c r="L5300" t="s">
        <v>19</v>
      </c>
      <c r="M5300" t="s">
        <v>302</v>
      </c>
      <c r="N5300" s="2">
        <v>46203</v>
      </c>
    </row>
    <row r="5301" spans="1:14" x14ac:dyDescent="0.25">
      <c r="A5301" t="s">
        <v>660</v>
      </c>
      <c r="B5301" s="2">
        <v>46173</v>
      </c>
      <c r="C5301" t="s">
        <v>660</v>
      </c>
      <c r="D5301" t="s">
        <v>112</v>
      </c>
      <c r="E5301" t="s">
        <v>9</v>
      </c>
      <c r="F5301" s="3">
        <v>-30140</v>
      </c>
      <c r="G5301" s="3">
        <v>-30140</v>
      </c>
      <c r="H5301" t="s">
        <v>3</v>
      </c>
      <c r="I5301" t="s">
        <v>3</v>
      </c>
      <c r="J5301" t="s">
        <v>313</v>
      </c>
      <c r="K5301" t="s">
        <v>13</v>
      </c>
      <c r="L5301" t="s">
        <v>19</v>
      </c>
      <c r="M5301" t="s">
        <v>114</v>
      </c>
      <c r="N5301" s="2">
        <v>46174</v>
      </c>
    </row>
    <row r="5302" spans="1:14" x14ac:dyDescent="0.25">
      <c r="A5302" t="s">
        <v>660</v>
      </c>
      <c r="B5302" s="2">
        <v>46173</v>
      </c>
      <c r="C5302" t="s">
        <v>660</v>
      </c>
      <c r="D5302" t="s">
        <v>112</v>
      </c>
      <c r="E5302" t="s">
        <v>9</v>
      </c>
      <c r="F5302" s="3">
        <v>-1350</v>
      </c>
      <c r="G5302" s="3">
        <v>-1350</v>
      </c>
      <c r="H5302" t="s">
        <v>3</v>
      </c>
      <c r="I5302" t="s">
        <v>3</v>
      </c>
      <c r="J5302" t="s">
        <v>427</v>
      </c>
      <c r="K5302" t="s">
        <v>13</v>
      </c>
      <c r="L5302" t="s">
        <v>19</v>
      </c>
      <c r="M5302" t="s">
        <v>114</v>
      </c>
      <c r="N5302" s="2">
        <v>46174</v>
      </c>
    </row>
    <row r="5303" spans="1:14" x14ac:dyDescent="0.25">
      <c r="A5303" t="s">
        <v>660</v>
      </c>
      <c r="B5303" s="2">
        <v>46203</v>
      </c>
      <c r="C5303" t="s">
        <v>660</v>
      </c>
      <c r="D5303" t="s">
        <v>112</v>
      </c>
      <c r="E5303" t="s">
        <v>9</v>
      </c>
      <c r="F5303" s="3">
        <v>33840</v>
      </c>
      <c r="G5303" s="3">
        <v>33840</v>
      </c>
      <c r="H5303" t="s">
        <v>3</v>
      </c>
      <c r="I5303" t="s">
        <v>3</v>
      </c>
      <c r="J5303" t="s">
        <v>316</v>
      </c>
      <c r="K5303" t="s">
        <v>13</v>
      </c>
      <c r="L5303" t="s">
        <v>19</v>
      </c>
      <c r="M5303" t="s">
        <v>114</v>
      </c>
      <c r="N5303" s="2">
        <v>46203</v>
      </c>
    </row>
    <row r="5304" spans="1:14" x14ac:dyDescent="0.25">
      <c r="A5304" t="s">
        <v>660</v>
      </c>
      <c r="B5304" s="2">
        <v>46203</v>
      </c>
      <c r="C5304" t="s">
        <v>660</v>
      </c>
      <c r="D5304" t="s">
        <v>112</v>
      </c>
      <c r="E5304" t="s">
        <v>9</v>
      </c>
      <c r="F5304" s="3">
        <v>2350</v>
      </c>
      <c r="G5304" s="3">
        <v>2350</v>
      </c>
      <c r="H5304" t="s">
        <v>3</v>
      </c>
      <c r="I5304" t="s">
        <v>3</v>
      </c>
      <c r="J5304" t="s">
        <v>428</v>
      </c>
      <c r="K5304" t="s">
        <v>13</v>
      </c>
      <c r="L5304" t="s">
        <v>19</v>
      </c>
      <c r="M5304" t="s">
        <v>114</v>
      </c>
      <c r="N5304" s="2">
        <v>46203</v>
      </c>
    </row>
    <row r="5305" spans="1:14" x14ac:dyDescent="0.25">
      <c r="A5305" t="s">
        <v>660</v>
      </c>
      <c r="B5305" s="2">
        <v>46203</v>
      </c>
      <c r="C5305" t="s">
        <v>660</v>
      </c>
      <c r="D5305" t="s">
        <v>301</v>
      </c>
      <c r="E5305" t="s">
        <v>9</v>
      </c>
      <c r="F5305" s="3">
        <v>-4700</v>
      </c>
      <c r="G5305" s="3">
        <v>-4700</v>
      </c>
      <c r="H5305" t="s">
        <v>3</v>
      </c>
      <c r="I5305" t="s">
        <v>3</v>
      </c>
      <c r="J5305" t="s">
        <v>10</v>
      </c>
      <c r="K5305" t="s">
        <v>13</v>
      </c>
      <c r="L5305" t="s">
        <v>19</v>
      </c>
      <c r="M5305" t="s">
        <v>302</v>
      </c>
      <c r="N5305" s="2">
        <v>46203</v>
      </c>
    </row>
    <row r="5306" spans="1:14" x14ac:dyDescent="0.25">
      <c r="A5306" s="4" t="s">
        <v>224</v>
      </c>
      <c r="B5306" s="5"/>
      <c r="C5306" s="4" t="s">
        <v>9</v>
      </c>
      <c r="D5306" s="4" t="s">
        <v>9</v>
      </c>
      <c r="E5306" s="4" t="s">
        <v>9</v>
      </c>
      <c r="F5306" s="6">
        <v>0</v>
      </c>
      <c r="G5306" s="6">
        <v>0</v>
      </c>
      <c r="H5306" s="4" t="s">
        <v>9</v>
      </c>
      <c r="I5306" s="4" t="s">
        <v>3</v>
      </c>
      <c r="J5306" s="4" t="s">
        <v>9</v>
      </c>
      <c r="K5306" s="4" t="s">
        <v>9</v>
      </c>
      <c r="L5306" s="4" t="s">
        <v>9</v>
      </c>
      <c r="M5306" s="4" t="s">
        <v>9</v>
      </c>
      <c r="N5306" s="5"/>
    </row>
    <row r="5307" spans="1:14" x14ac:dyDescent="0.25">
      <c r="A5307" t="s">
        <v>660</v>
      </c>
      <c r="B5307" s="2">
        <v>46239</v>
      </c>
      <c r="C5307" t="s">
        <v>660</v>
      </c>
      <c r="D5307" t="s">
        <v>112</v>
      </c>
      <c r="E5307" t="s">
        <v>9</v>
      </c>
      <c r="F5307" s="3">
        <v>-5000</v>
      </c>
      <c r="G5307" s="3">
        <v>-5000</v>
      </c>
      <c r="H5307" t="s">
        <v>3</v>
      </c>
      <c r="I5307" t="s">
        <v>3</v>
      </c>
      <c r="J5307" t="s">
        <v>9</v>
      </c>
      <c r="K5307" t="s">
        <v>9</v>
      </c>
      <c r="L5307" t="s">
        <v>21</v>
      </c>
      <c r="M5307" t="s">
        <v>114</v>
      </c>
      <c r="N5307" s="2">
        <v>46234</v>
      </c>
    </row>
    <row r="5308" spans="1:14" x14ac:dyDescent="0.25">
      <c r="A5308" t="s">
        <v>660</v>
      </c>
      <c r="B5308" s="2">
        <v>46239</v>
      </c>
      <c r="C5308" t="s">
        <v>660</v>
      </c>
      <c r="D5308" t="s">
        <v>301</v>
      </c>
      <c r="E5308" t="s">
        <v>9</v>
      </c>
      <c r="F5308" s="3">
        <v>5000</v>
      </c>
      <c r="G5308" s="3">
        <v>5000</v>
      </c>
      <c r="H5308" t="s">
        <v>3</v>
      </c>
      <c r="I5308" t="s">
        <v>3</v>
      </c>
      <c r="J5308" t="s">
        <v>9</v>
      </c>
      <c r="K5308" t="s">
        <v>9</v>
      </c>
      <c r="L5308" t="s">
        <v>21</v>
      </c>
      <c r="M5308" t="s">
        <v>302</v>
      </c>
      <c r="N5308" s="2">
        <v>46234</v>
      </c>
    </row>
    <row r="5309" spans="1:14" x14ac:dyDescent="0.25">
      <c r="A5309" t="s">
        <v>660</v>
      </c>
      <c r="B5309" s="2">
        <v>46203</v>
      </c>
      <c r="C5309" t="s">
        <v>660</v>
      </c>
      <c r="D5309" t="s">
        <v>112</v>
      </c>
      <c r="E5309" t="s">
        <v>9</v>
      </c>
      <c r="F5309" s="3">
        <v>-33840</v>
      </c>
      <c r="G5309" s="3">
        <v>-33840</v>
      </c>
      <c r="H5309" t="s">
        <v>3</v>
      </c>
      <c r="I5309" t="s">
        <v>3</v>
      </c>
      <c r="J5309" t="s">
        <v>316</v>
      </c>
      <c r="K5309" t="s">
        <v>13</v>
      </c>
      <c r="L5309" t="s">
        <v>21</v>
      </c>
      <c r="M5309" t="s">
        <v>114</v>
      </c>
      <c r="N5309" s="2">
        <v>46204</v>
      </c>
    </row>
    <row r="5310" spans="1:14" x14ac:dyDescent="0.25">
      <c r="A5310" t="s">
        <v>660</v>
      </c>
      <c r="B5310" s="2">
        <v>46203</v>
      </c>
      <c r="C5310" t="s">
        <v>660</v>
      </c>
      <c r="D5310" t="s">
        <v>112</v>
      </c>
      <c r="E5310" t="s">
        <v>9</v>
      </c>
      <c r="F5310" s="3">
        <v>-2350</v>
      </c>
      <c r="G5310" s="3">
        <v>-2350</v>
      </c>
      <c r="H5310" t="s">
        <v>3</v>
      </c>
      <c r="I5310" t="s">
        <v>3</v>
      </c>
      <c r="J5310" t="s">
        <v>428</v>
      </c>
      <c r="K5310" t="s">
        <v>13</v>
      </c>
      <c r="L5310" t="s">
        <v>21</v>
      </c>
      <c r="M5310" t="s">
        <v>114</v>
      </c>
      <c r="N5310" s="2">
        <v>46204</v>
      </c>
    </row>
    <row r="5311" spans="1:14" x14ac:dyDescent="0.25">
      <c r="A5311" t="s">
        <v>660</v>
      </c>
      <c r="B5311" s="2">
        <v>46234</v>
      </c>
      <c r="C5311" t="s">
        <v>660</v>
      </c>
      <c r="D5311" t="s">
        <v>301</v>
      </c>
      <c r="E5311" t="s">
        <v>9</v>
      </c>
      <c r="F5311" s="3">
        <v>-5000</v>
      </c>
      <c r="G5311" s="3">
        <v>-5000</v>
      </c>
      <c r="H5311" t="s">
        <v>3</v>
      </c>
      <c r="I5311" t="s">
        <v>3</v>
      </c>
      <c r="J5311" t="s">
        <v>10</v>
      </c>
      <c r="K5311" t="s">
        <v>13</v>
      </c>
      <c r="L5311" t="s">
        <v>21</v>
      </c>
      <c r="M5311" t="s">
        <v>302</v>
      </c>
      <c r="N5311" s="2">
        <v>46234</v>
      </c>
    </row>
    <row r="5312" spans="1:14" x14ac:dyDescent="0.25">
      <c r="A5312" t="s">
        <v>660</v>
      </c>
      <c r="B5312" s="2">
        <v>46234</v>
      </c>
      <c r="C5312" t="s">
        <v>660</v>
      </c>
      <c r="D5312" t="s">
        <v>112</v>
      </c>
      <c r="E5312" t="s">
        <v>9</v>
      </c>
      <c r="F5312" s="3">
        <v>38140</v>
      </c>
      <c r="G5312" s="3">
        <v>38140</v>
      </c>
      <c r="H5312" t="s">
        <v>3</v>
      </c>
      <c r="I5312" t="s">
        <v>3</v>
      </c>
      <c r="J5312" t="s">
        <v>319</v>
      </c>
      <c r="K5312" t="s">
        <v>13</v>
      </c>
      <c r="L5312" t="s">
        <v>21</v>
      </c>
      <c r="M5312" t="s">
        <v>114</v>
      </c>
      <c r="N5312" s="2">
        <v>46234</v>
      </c>
    </row>
    <row r="5313" spans="1:14" x14ac:dyDescent="0.25">
      <c r="A5313" t="s">
        <v>660</v>
      </c>
      <c r="B5313" s="2">
        <v>46234</v>
      </c>
      <c r="C5313" t="s">
        <v>660</v>
      </c>
      <c r="D5313" t="s">
        <v>112</v>
      </c>
      <c r="E5313" t="s">
        <v>9</v>
      </c>
      <c r="F5313" s="3">
        <v>3050</v>
      </c>
      <c r="G5313" s="3">
        <v>3050</v>
      </c>
      <c r="H5313" t="s">
        <v>3</v>
      </c>
      <c r="I5313" t="s">
        <v>3</v>
      </c>
      <c r="J5313" t="s">
        <v>429</v>
      </c>
      <c r="K5313" t="s">
        <v>13</v>
      </c>
      <c r="L5313" t="s">
        <v>21</v>
      </c>
      <c r="M5313" t="s">
        <v>114</v>
      </c>
      <c r="N5313" s="2">
        <v>46234</v>
      </c>
    </row>
    <row r="5314" spans="1:14" x14ac:dyDescent="0.25">
      <c r="A5314" s="4" t="s">
        <v>262</v>
      </c>
      <c r="B5314" s="5"/>
      <c r="C5314" s="4" t="s">
        <v>9</v>
      </c>
      <c r="D5314" s="4" t="s">
        <v>9</v>
      </c>
      <c r="E5314" s="4" t="s">
        <v>9</v>
      </c>
      <c r="F5314" s="6">
        <v>0</v>
      </c>
      <c r="G5314" s="6">
        <v>0</v>
      </c>
      <c r="H5314" s="4" t="s">
        <v>9</v>
      </c>
      <c r="I5314" s="4" t="s">
        <v>3</v>
      </c>
      <c r="J5314" s="4" t="s">
        <v>9</v>
      </c>
      <c r="K5314" s="4" t="s">
        <v>9</v>
      </c>
      <c r="L5314" s="4" t="s">
        <v>9</v>
      </c>
      <c r="M5314" s="4" t="s">
        <v>9</v>
      </c>
      <c r="N5314" s="5"/>
    </row>
    <row r="5315" spans="1:14" x14ac:dyDescent="0.25">
      <c r="A5315" t="s">
        <v>660</v>
      </c>
      <c r="B5315" s="2">
        <v>46267</v>
      </c>
      <c r="C5315" t="s">
        <v>660</v>
      </c>
      <c r="D5315" t="s">
        <v>112</v>
      </c>
      <c r="E5315" t="s">
        <v>9</v>
      </c>
      <c r="F5315" s="3">
        <v>-1900</v>
      </c>
      <c r="G5315" s="3">
        <v>-1900</v>
      </c>
      <c r="H5315" t="s">
        <v>3</v>
      </c>
      <c r="I5315" t="s">
        <v>3</v>
      </c>
      <c r="J5315" t="s">
        <v>9</v>
      </c>
      <c r="K5315" t="s">
        <v>9</v>
      </c>
      <c r="L5315" t="s">
        <v>22</v>
      </c>
      <c r="M5315" t="s">
        <v>114</v>
      </c>
      <c r="N5315" s="2">
        <v>46265</v>
      </c>
    </row>
    <row r="5316" spans="1:14" x14ac:dyDescent="0.25">
      <c r="A5316" t="s">
        <v>660</v>
      </c>
      <c r="B5316" s="2">
        <v>46267</v>
      </c>
      <c r="C5316" t="s">
        <v>660</v>
      </c>
      <c r="D5316" t="s">
        <v>301</v>
      </c>
      <c r="E5316" t="s">
        <v>9</v>
      </c>
      <c r="F5316" s="3">
        <v>1900</v>
      </c>
      <c r="G5316" s="3">
        <v>1900</v>
      </c>
      <c r="H5316" t="s">
        <v>3</v>
      </c>
      <c r="I5316" t="s">
        <v>3</v>
      </c>
      <c r="J5316" t="s">
        <v>9</v>
      </c>
      <c r="K5316" t="s">
        <v>9</v>
      </c>
      <c r="L5316" t="s">
        <v>22</v>
      </c>
      <c r="M5316" t="s">
        <v>302</v>
      </c>
      <c r="N5316" s="2">
        <v>46265</v>
      </c>
    </row>
    <row r="5317" spans="1:14" x14ac:dyDescent="0.25">
      <c r="A5317" t="s">
        <v>660</v>
      </c>
      <c r="B5317" s="2">
        <v>46234</v>
      </c>
      <c r="C5317" t="s">
        <v>660</v>
      </c>
      <c r="D5317" t="s">
        <v>112</v>
      </c>
      <c r="E5317" t="s">
        <v>9</v>
      </c>
      <c r="F5317" s="3">
        <v>-38140</v>
      </c>
      <c r="G5317" s="3">
        <v>-38140</v>
      </c>
      <c r="H5317" t="s">
        <v>3</v>
      </c>
      <c r="I5317" t="s">
        <v>3</v>
      </c>
      <c r="J5317" t="s">
        <v>319</v>
      </c>
      <c r="K5317" t="s">
        <v>13</v>
      </c>
      <c r="L5317" t="s">
        <v>22</v>
      </c>
      <c r="M5317" t="s">
        <v>114</v>
      </c>
      <c r="N5317" s="2">
        <v>46235</v>
      </c>
    </row>
    <row r="5318" spans="1:14" x14ac:dyDescent="0.25">
      <c r="A5318" t="s">
        <v>660</v>
      </c>
      <c r="B5318" s="2">
        <v>46234</v>
      </c>
      <c r="C5318" t="s">
        <v>660</v>
      </c>
      <c r="D5318" t="s">
        <v>112</v>
      </c>
      <c r="E5318" t="s">
        <v>9</v>
      </c>
      <c r="F5318" s="3">
        <v>-3050</v>
      </c>
      <c r="G5318" s="3">
        <v>-3050</v>
      </c>
      <c r="H5318" t="s">
        <v>3</v>
      </c>
      <c r="I5318" t="s">
        <v>3</v>
      </c>
      <c r="J5318" t="s">
        <v>429</v>
      </c>
      <c r="K5318" t="s">
        <v>13</v>
      </c>
      <c r="L5318" t="s">
        <v>22</v>
      </c>
      <c r="M5318" t="s">
        <v>114</v>
      </c>
      <c r="N5318" s="2">
        <v>46235</v>
      </c>
    </row>
    <row r="5319" spans="1:14" x14ac:dyDescent="0.25">
      <c r="A5319" t="s">
        <v>660</v>
      </c>
      <c r="B5319" s="2">
        <v>46265</v>
      </c>
      <c r="C5319" t="s">
        <v>660</v>
      </c>
      <c r="D5319" t="s">
        <v>112</v>
      </c>
      <c r="E5319" t="s">
        <v>9</v>
      </c>
      <c r="F5319" s="3">
        <v>39740</v>
      </c>
      <c r="G5319" s="3">
        <v>39740</v>
      </c>
      <c r="H5319" t="s">
        <v>3</v>
      </c>
      <c r="I5319" t="s">
        <v>3</v>
      </c>
      <c r="J5319" t="s">
        <v>322</v>
      </c>
      <c r="K5319" t="s">
        <v>13</v>
      </c>
      <c r="L5319" t="s">
        <v>22</v>
      </c>
      <c r="M5319" t="s">
        <v>114</v>
      </c>
      <c r="N5319" s="2">
        <v>46265</v>
      </c>
    </row>
    <row r="5320" spans="1:14" x14ac:dyDescent="0.25">
      <c r="A5320" t="s">
        <v>660</v>
      </c>
      <c r="B5320" s="2">
        <v>46265</v>
      </c>
      <c r="C5320" t="s">
        <v>660</v>
      </c>
      <c r="D5320" t="s">
        <v>112</v>
      </c>
      <c r="E5320" t="s">
        <v>9</v>
      </c>
      <c r="F5320" s="3">
        <v>3350</v>
      </c>
      <c r="G5320" s="3">
        <v>3350</v>
      </c>
      <c r="H5320" t="s">
        <v>3</v>
      </c>
      <c r="I5320" t="s">
        <v>3</v>
      </c>
      <c r="J5320" t="s">
        <v>431</v>
      </c>
      <c r="K5320" t="s">
        <v>13</v>
      </c>
      <c r="L5320" t="s">
        <v>22</v>
      </c>
      <c r="M5320" t="s">
        <v>114</v>
      </c>
      <c r="N5320" s="2">
        <v>46265</v>
      </c>
    </row>
    <row r="5321" spans="1:14" x14ac:dyDescent="0.25">
      <c r="A5321" t="s">
        <v>660</v>
      </c>
      <c r="B5321" s="2">
        <v>46265</v>
      </c>
      <c r="C5321" t="s">
        <v>660</v>
      </c>
      <c r="D5321" t="s">
        <v>301</v>
      </c>
      <c r="E5321" t="s">
        <v>9</v>
      </c>
      <c r="F5321" s="3">
        <v>-1900</v>
      </c>
      <c r="G5321" s="3">
        <v>-1900</v>
      </c>
      <c r="H5321" t="s">
        <v>3</v>
      </c>
      <c r="I5321" t="s">
        <v>3</v>
      </c>
      <c r="J5321" t="s">
        <v>10</v>
      </c>
      <c r="K5321" t="s">
        <v>13</v>
      </c>
      <c r="L5321" t="s">
        <v>22</v>
      </c>
      <c r="M5321" t="s">
        <v>302</v>
      </c>
      <c r="N5321" s="2">
        <v>46265</v>
      </c>
    </row>
    <row r="5322" spans="1:14" x14ac:dyDescent="0.25">
      <c r="A5322" s="4" t="s">
        <v>267</v>
      </c>
      <c r="B5322" s="5"/>
      <c r="C5322" s="4" t="s">
        <v>9</v>
      </c>
      <c r="D5322" s="4" t="s">
        <v>9</v>
      </c>
      <c r="E5322" s="4" t="s">
        <v>9</v>
      </c>
      <c r="F5322" s="6">
        <v>0</v>
      </c>
      <c r="G5322" s="6">
        <v>0</v>
      </c>
      <c r="H5322" s="4" t="s">
        <v>9</v>
      </c>
      <c r="I5322" s="4" t="s">
        <v>3</v>
      </c>
      <c r="J5322" s="4" t="s">
        <v>9</v>
      </c>
      <c r="K5322" s="4" t="s">
        <v>9</v>
      </c>
      <c r="L5322" s="4" t="s">
        <v>9</v>
      </c>
      <c r="M5322" s="4" t="s">
        <v>9</v>
      </c>
      <c r="N5322" s="5"/>
    </row>
    <row r="5323" spans="1:14" x14ac:dyDescent="0.25">
      <c r="A5323" s="4" t="s">
        <v>660</v>
      </c>
      <c r="B5323" s="5"/>
      <c r="C5323" s="4" t="s">
        <v>9</v>
      </c>
      <c r="D5323" s="4" t="s">
        <v>9</v>
      </c>
      <c r="E5323" s="4" t="s">
        <v>9</v>
      </c>
      <c r="F5323" s="6">
        <v>0</v>
      </c>
      <c r="G5323" s="6">
        <v>0</v>
      </c>
      <c r="H5323" s="4" t="s">
        <v>9</v>
      </c>
      <c r="I5323" s="4" t="s">
        <v>3</v>
      </c>
      <c r="J5323" s="4" t="s">
        <v>9</v>
      </c>
      <c r="K5323" s="4" t="s">
        <v>9</v>
      </c>
      <c r="L5323" s="4" t="s">
        <v>9</v>
      </c>
      <c r="M5323" s="4" t="s">
        <v>9</v>
      </c>
      <c r="N5323" s="5"/>
    </row>
    <row r="5324" spans="1:14" x14ac:dyDescent="0.25">
      <c r="A5324" t="s">
        <v>661</v>
      </c>
      <c r="B5324" s="2">
        <v>46084</v>
      </c>
      <c r="C5324" t="s">
        <v>661</v>
      </c>
      <c r="D5324" t="s">
        <v>112</v>
      </c>
      <c r="E5324" t="s">
        <v>9</v>
      </c>
      <c r="F5324" s="3">
        <v>-700</v>
      </c>
      <c r="G5324" s="3">
        <v>-700</v>
      </c>
      <c r="H5324" t="s">
        <v>3</v>
      </c>
      <c r="I5324" t="s">
        <v>3</v>
      </c>
      <c r="J5324" t="s">
        <v>9</v>
      </c>
      <c r="K5324" t="s">
        <v>9</v>
      </c>
      <c r="L5324" t="s">
        <v>15</v>
      </c>
      <c r="M5324" t="s">
        <v>114</v>
      </c>
      <c r="N5324" s="2">
        <v>46081</v>
      </c>
    </row>
    <row r="5325" spans="1:14" x14ac:dyDescent="0.25">
      <c r="A5325" t="s">
        <v>661</v>
      </c>
      <c r="B5325" s="2">
        <v>46081</v>
      </c>
      <c r="C5325" t="s">
        <v>661</v>
      </c>
      <c r="D5325" t="s">
        <v>112</v>
      </c>
      <c r="E5325" t="s">
        <v>9</v>
      </c>
      <c r="F5325" s="3">
        <v>700</v>
      </c>
      <c r="G5325" s="3">
        <v>700</v>
      </c>
      <c r="H5325" t="s">
        <v>3</v>
      </c>
      <c r="I5325" t="s">
        <v>3</v>
      </c>
      <c r="J5325" t="s">
        <v>304</v>
      </c>
      <c r="K5325" t="s">
        <v>13</v>
      </c>
      <c r="L5325" t="s">
        <v>15</v>
      </c>
      <c r="M5325" t="s">
        <v>114</v>
      </c>
      <c r="N5325" s="2">
        <v>46081</v>
      </c>
    </row>
    <row r="5326" spans="1:14" x14ac:dyDescent="0.25">
      <c r="A5326" s="4" t="s">
        <v>239</v>
      </c>
      <c r="B5326" s="5"/>
      <c r="C5326" s="4" t="s">
        <v>9</v>
      </c>
      <c r="D5326" s="4" t="s">
        <v>9</v>
      </c>
      <c r="E5326" s="4" t="s">
        <v>9</v>
      </c>
      <c r="F5326" s="6">
        <v>0</v>
      </c>
      <c r="G5326" s="6">
        <v>0</v>
      </c>
      <c r="H5326" s="4" t="s">
        <v>9</v>
      </c>
      <c r="I5326" s="4" t="s">
        <v>3</v>
      </c>
      <c r="J5326" s="4" t="s">
        <v>9</v>
      </c>
      <c r="K5326" s="4" t="s">
        <v>9</v>
      </c>
      <c r="L5326" s="4" t="s">
        <v>9</v>
      </c>
      <c r="M5326" s="4" t="s">
        <v>9</v>
      </c>
      <c r="N5326" s="5"/>
    </row>
    <row r="5327" spans="1:14" x14ac:dyDescent="0.25">
      <c r="A5327" t="s">
        <v>661</v>
      </c>
      <c r="B5327" s="2">
        <v>46115</v>
      </c>
      <c r="C5327" t="s">
        <v>661</v>
      </c>
      <c r="D5327" t="s">
        <v>112</v>
      </c>
      <c r="E5327" t="s">
        <v>9</v>
      </c>
      <c r="F5327" s="3">
        <v>-900</v>
      </c>
      <c r="G5327" s="3">
        <v>-900</v>
      </c>
      <c r="H5327" t="s">
        <v>3</v>
      </c>
      <c r="I5327" t="s">
        <v>3</v>
      </c>
      <c r="J5327" t="s">
        <v>9</v>
      </c>
      <c r="K5327" t="s">
        <v>9</v>
      </c>
      <c r="L5327" t="s">
        <v>16</v>
      </c>
      <c r="M5327" t="s">
        <v>114</v>
      </c>
      <c r="N5327" s="2">
        <v>46112</v>
      </c>
    </row>
    <row r="5328" spans="1:14" x14ac:dyDescent="0.25">
      <c r="A5328" t="s">
        <v>661</v>
      </c>
      <c r="B5328" s="2">
        <v>46081</v>
      </c>
      <c r="C5328" t="s">
        <v>661</v>
      </c>
      <c r="D5328" t="s">
        <v>112</v>
      </c>
      <c r="E5328" t="s">
        <v>9</v>
      </c>
      <c r="F5328" s="3">
        <v>-700</v>
      </c>
      <c r="G5328" s="3">
        <v>-700</v>
      </c>
      <c r="H5328" t="s">
        <v>3</v>
      </c>
      <c r="I5328" t="s">
        <v>3</v>
      </c>
      <c r="J5328" t="s">
        <v>304</v>
      </c>
      <c r="K5328" t="s">
        <v>13</v>
      </c>
      <c r="L5328" t="s">
        <v>16</v>
      </c>
      <c r="M5328" t="s">
        <v>114</v>
      </c>
      <c r="N5328" s="2">
        <v>46082</v>
      </c>
    </row>
    <row r="5329" spans="1:14" x14ac:dyDescent="0.25">
      <c r="A5329" t="s">
        <v>661</v>
      </c>
      <c r="B5329" s="2">
        <v>46112</v>
      </c>
      <c r="C5329" t="s">
        <v>661</v>
      </c>
      <c r="D5329" t="s">
        <v>112</v>
      </c>
      <c r="E5329" t="s">
        <v>9</v>
      </c>
      <c r="F5329" s="3">
        <v>1600</v>
      </c>
      <c r="G5329" s="3">
        <v>1600</v>
      </c>
      <c r="H5329" t="s">
        <v>3</v>
      </c>
      <c r="I5329" t="s">
        <v>3</v>
      </c>
      <c r="J5329" t="s">
        <v>307</v>
      </c>
      <c r="K5329" t="s">
        <v>13</v>
      </c>
      <c r="L5329" t="s">
        <v>16</v>
      </c>
      <c r="M5329" t="s">
        <v>114</v>
      </c>
      <c r="N5329" s="2">
        <v>46112</v>
      </c>
    </row>
    <row r="5330" spans="1:14" x14ac:dyDescent="0.25">
      <c r="A5330" s="4" t="s">
        <v>244</v>
      </c>
      <c r="B5330" s="5"/>
      <c r="C5330" s="4" t="s">
        <v>9</v>
      </c>
      <c r="D5330" s="4" t="s">
        <v>9</v>
      </c>
      <c r="E5330" s="4" t="s">
        <v>9</v>
      </c>
      <c r="F5330" s="6">
        <v>0</v>
      </c>
      <c r="G5330" s="6">
        <v>0</v>
      </c>
      <c r="H5330" s="4" t="s">
        <v>9</v>
      </c>
      <c r="I5330" s="4" t="s">
        <v>3</v>
      </c>
      <c r="J5330" s="4" t="s">
        <v>9</v>
      </c>
      <c r="K5330" s="4" t="s">
        <v>9</v>
      </c>
      <c r="L5330" s="4" t="s">
        <v>9</v>
      </c>
      <c r="M5330" s="4" t="s">
        <v>9</v>
      </c>
      <c r="N5330" s="5"/>
    </row>
    <row r="5331" spans="1:14" x14ac:dyDescent="0.25">
      <c r="A5331" t="s">
        <v>661</v>
      </c>
      <c r="B5331" s="2">
        <v>46147</v>
      </c>
      <c r="C5331" t="s">
        <v>661</v>
      </c>
      <c r="D5331" t="s">
        <v>112</v>
      </c>
      <c r="E5331" t="s">
        <v>9</v>
      </c>
      <c r="F5331" s="3">
        <v>-950</v>
      </c>
      <c r="G5331" s="3">
        <v>-950</v>
      </c>
      <c r="H5331" t="s">
        <v>3</v>
      </c>
      <c r="I5331" t="s">
        <v>3</v>
      </c>
      <c r="J5331" t="s">
        <v>9</v>
      </c>
      <c r="K5331" t="s">
        <v>9</v>
      </c>
      <c r="L5331" t="s">
        <v>17</v>
      </c>
      <c r="M5331" t="s">
        <v>114</v>
      </c>
      <c r="N5331" s="2">
        <v>46142</v>
      </c>
    </row>
    <row r="5332" spans="1:14" x14ac:dyDescent="0.25">
      <c r="A5332" t="s">
        <v>661</v>
      </c>
      <c r="B5332" s="2">
        <v>46112</v>
      </c>
      <c r="C5332" t="s">
        <v>661</v>
      </c>
      <c r="D5332" t="s">
        <v>112</v>
      </c>
      <c r="E5332" t="s">
        <v>9</v>
      </c>
      <c r="F5332" s="3">
        <v>-1600</v>
      </c>
      <c r="G5332" s="3">
        <v>-1600</v>
      </c>
      <c r="H5332" t="s">
        <v>3</v>
      </c>
      <c r="I5332" t="s">
        <v>3</v>
      </c>
      <c r="J5332" t="s">
        <v>307</v>
      </c>
      <c r="K5332" t="s">
        <v>13</v>
      </c>
      <c r="L5332" t="s">
        <v>17</v>
      </c>
      <c r="M5332" t="s">
        <v>114</v>
      </c>
      <c r="N5332" s="2">
        <v>46113</v>
      </c>
    </row>
    <row r="5333" spans="1:14" x14ac:dyDescent="0.25">
      <c r="A5333" t="s">
        <v>661</v>
      </c>
      <c r="B5333" s="2">
        <v>46142</v>
      </c>
      <c r="C5333" t="s">
        <v>661</v>
      </c>
      <c r="D5333" t="s">
        <v>112</v>
      </c>
      <c r="E5333" t="s">
        <v>9</v>
      </c>
      <c r="F5333" s="3">
        <v>2550</v>
      </c>
      <c r="G5333" s="3">
        <v>2550</v>
      </c>
      <c r="H5333" t="s">
        <v>3</v>
      </c>
      <c r="I5333" t="s">
        <v>3</v>
      </c>
      <c r="J5333" t="s">
        <v>310</v>
      </c>
      <c r="K5333" t="s">
        <v>13</v>
      </c>
      <c r="L5333" t="s">
        <v>17</v>
      </c>
      <c r="M5333" t="s">
        <v>114</v>
      </c>
      <c r="N5333" s="2">
        <v>46142</v>
      </c>
    </row>
    <row r="5334" spans="1:14" x14ac:dyDescent="0.25">
      <c r="A5334" s="4" t="s">
        <v>249</v>
      </c>
      <c r="B5334" s="5"/>
      <c r="C5334" s="4" t="s">
        <v>9</v>
      </c>
      <c r="D5334" s="4" t="s">
        <v>9</v>
      </c>
      <c r="E5334" s="4" t="s">
        <v>9</v>
      </c>
      <c r="F5334" s="6">
        <v>0</v>
      </c>
      <c r="G5334" s="6">
        <v>0</v>
      </c>
      <c r="H5334" s="4" t="s">
        <v>9</v>
      </c>
      <c r="I5334" s="4" t="s">
        <v>3</v>
      </c>
      <c r="J5334" s="4" t="s">
        <v>9</v>
      </c>
      <c r="K5334" s="4" t="s">
        <v>9</v>
      </c>
      <c r="L5334" s="4" t="s">
        <v>9</v>
      </c>
      <c r="M5334" s="4" t="s">
        <v>9</v>
      </c>
      <c r="N5334" s="5"/>
    </row>
    <row r="5335" spans="1:14" x14ac:dyDescent="0.25">
      <c r="A5335" t="s">
        <v>661</v>
      </c>
      <c r="B5335" s="2">
        <v>46175</v>
      </c>
      <c r="C5335" t="s">
        <v>661</v>
      </c>
      <c r="D5335" t="s">
        <v>112</v>
      </c>
      <c r="E5335" t="s">
        <v>9</v>
      </c>
      <c r="F5335" s="3">
        <v>-1450</v>
      </c>
      <c r="G5335" s="3">
        <v>-1450</v>
      </c>
      <c r="H5335" t="s">
        <v>3</v>
      </c>
      <c r="I5335" t="s">
        <v>3</v>
      </c>
      <c r="J5335" t="s">
        <v>9</v>
      </c>
      <c r="K5335" t="s">
        <v>9</v>
      </c>
      <c r="L5335" t="s">
        <v>18</v>
      </c>
      <c r="M5335" t="s">
        <v>114</v>
      </c>
      <c r="N5335" s="2">
        <v>46173</v>
      </c>
    </row>
    <row r="5336" spans="1:14" x14ac:dyDescent="0.25">
      <c r="A5336" t="s">
        <v>661</v>
      </c>
      <c r="B5336" s="2">
        <v>46142</v>
      </c>
      <c r="C5336" t="s">
        <v>661</v>
      </c>
      <c r="D5336" t="s">
        <v>112</v>
      </c>
      <c r="E5336" t="s">
        <v>9</v>
      </c>
      <c r="F5336" s="3">
        <v>-2550</v>
      </c>
      <c r="G5336" s="3">
        <v>-2550</v>
      </c>
      <c r="H5336" t="s">
        <v>3</v>
      </c>
      <c r="I5336" t="s">
        <v>3</v>
      </c>
      <c r="J5336" t="s">
        <v>310</v>
      </c>
      <c r="K5336" t="s">
        <v>13</v>
      </c>
      <c r="L5336" t="s">
        <v>18</v>
      </c>
      <c r="M5336" t="s">
        <v>114</v>
      </c>
      <c r="N5336" s="2">
        <v>46143</v>
      </c>
    </row>
    <row r="5337" spans="1:14" x14ac:dyDescent="0.25">
      <c r="A5337" t="s">
        <v>661</v>
      </c>
      <c r="B5337" s="2">
        <v>46173</v>
      </c>
      <c r="C5337" t="s">
        <v>661</v>
      </c>
      <c r="D5337" t="s">
        <v>112</v>
      </c>
      <c r="E5337" t="s">
        <v>9</v>
      </c>
      <c r="F5337" s="3">
        <v>4000</v>
      </c>
      <c r="G5337" s="3">
        <v>4000</v>
      </c>
      <c r="H5337" t="s">
        <v>3</v>
      </c>
      <c r="I5337" t="s">
        <v>3</v>
      </c>
      <c r="J5337" t="s">
        <v>313</v>
      </c>
      <c r="K5337" t="s">
        <v>13</v>
      </c>
      <c r="L5337" t="s">
        <v>18</v>
      </c>
      <c r="M5337" t="s">
        <v>114</v>
      </c>
      <c r="N5337" s="2">
        <v>46173</v>
      </c>
    </row>
    <row r="5338" spans="1:14" x14ac:dyDescent="0.25">
      <c r="A5338" s="4" t="s">
        <v>223</v>
      </c>
      <c r="B5338" s="5"/>
      <c r="C5338" s="4" t="s">
        <v>9</v>
      </c>
      <c r="D5338" s="4" t="s">
        <v>9</v>
      </c>
      <c r="E5338" s="4" t="s">
        <v>9</v>
      </c>
      <c r="F5338" s="6">
        <v>0</v>
      </c>
      <c r="G5338" s="6">
        <v>0</v>
      </c>
      <c r="H5338" s="4" t="s">
        <v>9</v>
      </c>
      <c r="I5338" s="4" t="s">
        <v>3</v>
      </c>
      <c r="J5338" s="4" t="s">
        <v>9</v>
      </c>
      <c r="K5338" s="4" t="s">
        <v>9</v>
      </c>
      <c r="L5338" s="4" t="s">
        <v>9</v>
      </c>
      <c r="M5338" s="4" t="s">
        <v>9</v>
      </c>
      <c r="N5338" s="5"/>
    </row>
    <row r="5339" spans="1:14" x14ac:dyDescent="0.25">
      <c r="A5339" t="s">
        <v>661</v>
      </c>
      <c r="B5339" s="2">
        <v>46173</v>
      </c>
      <c r="C5339" t="s">
        <v>661</v>
      </c>
      <c r="D5339" t="s">
        <v>112</v>
      </c>
      <c r="E5339" t="s">
        <v>9</v>
      </c>
      <c r="F5339" s="3">
        <v>-4000</v>
      </c>
      <c r="G5339" s="3">
        <v>-4000</v>
      </c>
      <c r="H5339" t="s">
        <v>3</v>
      </c>
      <c r="I5339" t="s">
        <v>3</v>
      </c>
      <c r="J5339" t="s">
        <v>313</v>
      </c>
      <c r="K5339" t="s">
        <v>13</v>
      </c>
      <c r="L5339" t="s">
        <v>19</v>
      </c>
      <c r="M5339" t="s">
        <v>114</v>
      </c>
      <c r="N5339" s="2">
        <v>46174</v>
      </c>
    </row>
    <row r="5340" spans="1:14" x14ac:dyDescent="0.25">
      <c r="A5340" t="s">
        <v>661</v>
      </c>
      <c r="B5340" s="2">
        <v>46203</v>
      </c>
      <c r="C5340" t="s">
        <v>661</v>
      </c>
      <c r="D5340" t="s">
        <v>112</v>
      </c>
      <c r="E5340" t="s">
        <v>9</v>
      </c>
      <c r="F5340" s="3">
        <v>4000</v>
      </c>
      <c r="G5340" s="3">
        <v>4000</v>
      </c>
      <c r="H5340" t="s">
        <v>3</v>
      </c>
      <c r="I5340" t="s">
        <v>3</v>
      </c>
      <c r="J5340" t="s">
        <v>316</v>
      </c>
      <c r="K5340" t="s">
        <v>13</v>
      </c>
      <c r="L5340" t="s">
        <v>19</v>
      </c>
      <c r="M5340" t="s">
        <v>114</v>
      </c>
      <c r="N5340" s="2">
        <v>46203</v>
      </c>
    </row>
    <row r="5341" spans="1:14" x14ac:dyDescent="0.25">
      <c r="A5341" s="4" t="s">
        <v>224</v>
      </c>
      <c r="B5341" s="5"/>
      <c r="C5341" s="4" t="s">
        <v>9</v>
      </c>
      <c r="D5341" s="4" t="s">
        <v>9</v>
      </c>
      <c r="E5341" s="4" t="s">
        <v>9</v>
      </c>
      <c r="F5341" s="6">
        <v>0</v>
      </c>
      <c r="G5341" s="6">
        <v>0</v>
      </c>
      <c r="H5341" s="4" t="s">
        <v>9</v>
      </c>
      <c r="I5341" s="4" t="s">
        <v>3</v>
      </c>
      <c r="J5341" s="4" t="s">
        <v>9</v>
      </c>
      <c r="K5341" s="4" t="s">
        <v>9</v>
      </c>
      <c r="L5341" s="4" t="s">
        <v>9</v>
      </c>
      <c r="M5341" s="4" t="s">
        <v>9</v>
      </c>
      <c r="N5341" s="5"/>
    </row>
    <row r="5342" spans="1:14" x14ac:dyDescent="0.25">
      <c r="A5342" t="s">
        <v>661</v>
      </c>
      <c r="B5342" s="2">
        <v>46239</v>
      </c>
      <c r="C5342" t="s">
        <v>661</v>
      </c>
      <c r="D5342" t="s">
        <v>112</v>
      </c>
      <c r="E5342" t="s">
        <v>9</v>
      </c>
      <c r="F5342" s="3">
        <v>-5100</v>
      </c>
      <c r="G5342" s="3">
        <v>-5100</v>
      </c>
      <c r="H5342" t="s">
        <v>3</v>
      </c>
      <c r="I5342" t="s">
        <v>3</v>
      </c>
      <c r="J5342" t="s">
        <v>9</v>
      </c>
      <c r="K5342" t="s">
        <v>9</v>
      </c>
      <c r="L5342" t="s">
        <v>21</v>
      </c>
      <c r="M5342" t="s">
        <v>114</v>
      </c>
      <c r="N5342" s="2">
        <v>46234</v>
      </c>
    </row>
    <row r="5343" spans="1:14" x14ac:dyDescent="0.25">
      <c r="A5343" t="s">
        <v>661</v>
      </c>
      <c r="B5343" s="2">
        <v>46203</v>
      </c>
      <c r="C5343" t="s">
        <v>661</v>
      </c>
      <c r="D5343" t="s">
        <v>112</v>
      </c>
      <c r="E5343" t="s">
        <v>9</v>
      </c>
      <c r="F5343" s="3">
        <v>-4000</v>
      </c>
      <c r="G5343" s="3">
        <v>-4000</v>
      </c>
      <c r="H5343" t="s">
        <v>3</v>
      </c>
      <c r="I5343" t="s">
        <v>3</v>
      </c>
      <c r="J5343" t="s">
        <v>316</v>
      </c>
      <c r="K5343" t="s">
        <v>13</v>
      </c>
      <c r="L5343" t="s">
        <v>21</v>
      </c>
      <c r="M5343" t="s">
        <v>114</v>
      </c>
      <c r="N5343" s="2">
        <v>46204</v>
      </c>
    </row>
    <row r="5344" spans="1:14" x14ac:dyDescent="0.25">
      <c r="A5344" t="s">
        <v>661</v>
      </c>
      <c r="B5344" s="2">
        <v>46234</v>
      </c>
      <c r="C5344" t="s">
        <v>661</v>
      </c>
      <c r="D5344" t="s">
        <v>112</v>
      </c>
      <c r="E5344" t="s">
        <v>9</v>
      </c>
      <c r="F5344" s="3">
        <v>9100</v>
      </c>
      <c r="G5344" s="3">
        <v>9100</v>
      </c>
      <c r="H5344" t="s">
        <v>3</v>
      </c>
      <c r="I5344" t="s">
        <v>3</v>
      </c>
      <c r="J5344" t="s">
        <v>319</v>
      </c>
      <c r="K5344" t="s">
        <v>13</v>
      </c>
      <c r="L5344" t="s">
        <v>21</v>
      </c>
      <c r="M5344" t="s">
        <v>114</v>
      </c>
      <c r="N5344" s="2">
        <v>46234</v>
      </c>
    </row>
    <row r="5345" spans="1:14" x14ac:dyDescent="0.25">
      <c r="A5345" s="4" t="s">
        <v>262</v>
      </c>
      <c r="B5345" s="5"/>
      <c r="C5345" s="4" t="s">
        <v>9</v>
      </c>
      <c r="D5345" s="4" t="s">
        <v>9</v>
      </c>
      <c r="E5345" s="4" t="s">
        <v>9</v>
      </c>
      <c r="F5345" s="6">
        <v>0</v>
      </c>
      <c r="G5345" s="6">
        <v>0</v>
      </c>
      <c r="H5345" s="4" t="s">
        <v>9</v>
      </c>
      <c r="I5345" s="4" t="s">
        <v>3</v>
      </c>
      <c r="J5345" s="4" t="s">
        <v>9</v>
      </c>
      <c r="K5345" s="4" t="s">
        <v>9</v>
      </c>
      <c r="L5345" s="4" t="s">
        <v>9</v>
      </c>
      <c r="M5345" s="4" t="s">
        <v>9</v>
      </c>
      <c r="N5345" s="5"/>
    </row>
    <row r="5346" spans="1:14" x14ac:dyDescent="0.25">
      <c r="A5346" t="s">
        <v>661</v>
      </c>
      <c r="B5346" s="2">
        <v>46267</v>
      </c>
      <c r="C5346" t="s">
        <v>661</v>
      </c>
      <c r="D5346" t="s">
        <v>112</v>
      </c>
      <c r="E5346" t="s">
        <v>9</v>
      </c>
      <c r="F5346" s="3">
        <v>-2300</v>
      </c>
      <c r="G5346" s="3">
        <v>-2300</v>
      </c>
      <c r="H5346" t="s">
        <v>3</v>
      </c>
      <c r="I5346" t="s">
        <v>3</v>
      </c>
      <c r="J5346" t="s">
        <v>9</v>
      </c>
      <c r="K5346" t="s">
        <v>9</v>
      </c>
      <c r="L5346" t="s">
        <v>22</v>
      </c>
      <c r="M5346" t="s">
        <v>114</v>
      </c>
      <c r="N5346" s="2">
        <v>46265</v>
      </c>
    </row>
    <row r="5347" spans="1:14" x14ac:dyDescent="0.25">
      <c r="A5347" t="s">
        <v>661</v>
      </c>
      <c r="B5347" s="2">
        <v>46234</v>
      </c>
      <c r="C5347" t="s">
        <v>661</v>
      </c>
      <c r="D5347" t="s">
        <v>112</v>
      </c>
      <c r="E5347" t="s">
        <v>9</v>
      </c>
      <c r="F5347" s="3">
        <v>-9100</v>
      </c>
      <c r="G5347" s="3">
        <v>-9100</v>
      </c>
      <c r="H5347" t="s">
        <v>3</v>
      </c>
      <c r="I5347" t="s">
        <v>3</v>
      </c>
      <c r="J5347" t="s">
        <v>319</v>
      </c>
      <c r="K5347" t="s">
        <v>13</v>
      </c>
      <c r="L5347" t="s">
        <v>22</v>
      </c>
      <c r="M5347" t="s">
        <v>114</v>
      </c>
      <c r="N5347" s="2">
        <v>46235</v>
      </c>
    </row>
    <row r="5348" spans="1:14" x14ac:dyDescent="0.25">
      <c r="A5348" t="s">
        <v>661</v>
      </c>
      <c r="B5348" s="2">
        <v>46265</v>
      </c>
      <c r="C5348" t="s">
        <v>661</v>
      </c>
      <c r="D5348" t="s">
        <v>112</v>
      </c>
      <c r="E5348" t="s">
        <v>9</v>
      </c>
      <c r="F5348" s="3">
        <v>11400</v>
      </c>
      <c r="G5348" s="3">
        <v>11400</v>
      </c>
      <c r="H5348" t="s">
        <v>3</v>
      </c>
      <c r="I5348" t="s">
        <v>3</v>
      </c>
      <c r="J5348" t="s">
        <v>322</v>
      </c>
      <c r="K5348" t="s">
        <v>13</v>
      </c>
      <c r="L5348" t="s">
        <v>22</v>
      </c>
      <c r="M5348" t="s">
        <v>114</v>
      </c>
      <c r="N5348" s="2">
        <v>46265</v>
      </c>
    </row>
    <row r="5349" spans="1:14" x14ac:dyDescent="0.25">
      <c r="A5349" s="4" t="s">
        <v>267</v>
      </c>
      <c r="B5349" s="5"/>
      <c r="C5349" s="4" t="s">
        <v>9</v>
      </c>
      <c r="D5349" s="4" t="s">
        <v>9</v>
      </c>
      <c r="E5349" s="4" t="s">
        <v>9</v>
      </c>
      <c r="F5349" s="6">
        <v>0</v>
      </c>
      <c r="G5349" s="6">
        <v>0</v>
      </c>
      <c r="H5349" s="4" t="s">
        <v>9</v>
      </c>
      <c r="I5349" s="4" t="s">
        <v>3</v>
      </c>
      <c r="J5349" s="4" t="s">
        <v>9</v>
      </c>
      <c r="K5349" s="4" t="s">
        <v>9</v>
      </c>
      <c r="L5349" s="4" t="s">
        <v>9</v>
      </c>
      <c r="M5349" s="4" t="s">
        <v>9</v>
      </c>
      <c r="N5349" s="5"/>
    </row>
    <row r="5350" spans="1:14" x14ac:dyDescent="0.25">
      <c r="A5350" s="4" t="s">
        <v>661</v>
      </c>
      <c r="B5350" s="5"/>
      <c r="C5350" s="4" t="s">
        <v>9</v>
      </c>
      <c r="D5350" s="4" t="s">
        <v>9</v>
      </c>
      <c r="E5350" s="4" t="s">
        <v>9</v>
      </c>
      <c r="F5350" s="6">
        <v>0</v>
      </c>
      <c r="G5350" s="6">
        <v>0</v>
      </c>
      <c r="H5350" s="4" t="s">
        <v>9</v>
      </c>
      <c r="I5350" s="4" t="s">
        <v>3</v>
      </c>
      <c r="J5350" s="4" t="s">
        <v>9</v>
      </c>
      <c r="K5350" s="4" t="s">
        <v>9</v>
      </c>
      <c r="L5350" s="4" t="s">
        <v>9</v>
      </c>
      <c r="M5350" s="4" t="s">
        <v>9</v>
      </c>
      <c r="N5350" s="5"/>
    </row>
    <row r="5351" spans="1:14" x14ac:dyDescent="0.25">
      <c r="A5351" t="s">
        <v>662</v>
      </c>
      <c r="B5351" s="2">
        <v>46056</v>
      </c>
      <c r="C5351" t="s">
        <v>662</v>
      </c>
      <c r="D5351" t="s">
        <v>112</v>
      </c>
      <c r="E5351" t="s">
        <v>9</v>
      </c>
      <c r="F5351" s="3">
        <v>-25400</v>
      </c>
      <c r="G5351" s="3">
        <v>-25400</v>
      </c>
      <c r="H5351" t="s">
        <v>3</v>
      </c>
      <c r="I5351" t="s">
        <v>3</v>
      </c>
      <c r="J5351" t="s">
        <v>9</v>
      </c>
      <c r="K5351" t="s">
        <v>9</v>
      </c>
      <c r="L5351" t="s">
        <v>14</v>
      </c>
      <c r="M5351" t="s">
        <v>114</v>
      </c>
      <c r="N5351" s="2">
        <v>46053</v>
      </c>
    </row>
    <row r="5352" spans="1:14" x14ac:dyDescent="0.25">
      <c r="A5352" t="s">
        <v>662</v>
      </c>
      <c r="B5352" s="2">
        <v>46053</v>
      </c>
      <c r="C5352" t="s">
        <v>662</v>
      </c>
      <c r="D5352" t="s">
        <v>112</v>
      </c>
      <c r="E5352" t="s">
        <v>9</v>
      </c>
      <c r="F5352" s="3">
        <v>11900</v>
      </c>
      <c r="G5352" s="3">
        <v>11900</v>
      </c>
      <c r="H5352" t="s">
        <v>3</v>
      </c>
      <c r="I5352" t="s">
        <v>3</v>
      </c>
      <c r="J5352" t="s">
        <v>300</v>
      </c>
      <c r="K5352" t="s">
        <v>13</v>
      </c>
      <c r="L5352" t="s">
        <v>14</v>
      </c>
      <c r="M5352" t="s">
        <v>114</v>
      </c>
      <c r="N5352" s="2">
        <v>46053</v>
      </c>
    </row>
    <row r="5353" spans="1:14" x14ac:dyDescent="0.25">
      <c r="A5353" t="s">
        <v>662</v>
      </c>
      <c r="B5353" s="2">
        <v>46053</v>
      </c>
      <c r="C5353" t="s">
        <v>662</v>
      </c>
      <c r="D5353" t="s">
        <v>112</v>
      </c>
      <c r="E5353" t="s">
        <v>9</v>
      </c>
      <c r="F5353" s="3">
        <v>13500</v>
      </c>
      <c r="G5353" s="3">
        <v>13500</v>
      </c>
      <c r="H5353" t="s">
        <v>3</v>
      </c>
      <c r="I5353" t="s">
        <v>3</v>
      </c>
      <c r="J5353" t="s">
        <v>391</v>
      </c>
      <c r="K5353" t="s">
        <v>13</v>
      </c>
      <c r="L5353" t="s">
        <v>14</v>
      </c>
      <c r="M5353" t="s">
        <v>114</v>
      </c>
      <c r="N5353" s="2">
        <v>46053</v>
      </c>
    </row>
    <row r="5354" spans="1:14" x14ac:dyDescent="0.25">
      <c r="A5354" s="4" t="s">
        <v>234</v>
      </c>
      <c r="B5354" s="5"/>
      <c r="C5354" s="4" t="s">
        <v>9</v>
      </c>
      <c r="D5354" s="4" t="s">
        <v>9</v>
      </c>
      <c r="E5354" s="4" t="s">
        <v>9</v>
      </c>
      <c r="F5354" s="6">
        <v>0</v>
      </c>
      <c r="G5354" s="6">
        <v>0</v>
      </c>
      <c r="H5354" s="4" t="s">
        <v>9</v>
      </c>
      <c r="I5354" s="4" t="s">
        <v>3</v>
      </c>
      <c r="J5354" s="4" t="s">
        <v>9</v>
      </c>
      <c r="K5354" s="4" t="s">
        <v>9</v>
      </c>
      <c r="L5354" s="4" t="s">
        <v>9</v>
      </c>
      <c r="M5354" s="4" t="s">
        <v>9</v>
      </c>
      <c r="N5354" s="5"/>
    </row>
    <row r="5355" spans="1:14" x14ac:dyDescent="0.25">
      <c r="A5355" t="s">
        <v>662</v>
      </c>
      <c r="B5355" s="2">
        <v>46084</v>
      </c>
      <c r="C5355" t="s">
        <v>662</v>
      </c>
      <c r="D5355" t="s">
        <v>112</v>
      </c>
      <c r="E5355" t="s">
        <v>9</v>
      </c>
      <c r="F5355" s="3">
        <v>-75110</v>
      </c>
      <c r="G5355" s="3">
        <v>-75110</v>
      </c>
      <c r="H5355" t="s">
        <v>3</v>
      </c>
      <c r="I5355" t="s">
        <v>3</v>
      </c>
      <c r="J5355" t="s">
        <v>9</v>
      </c>
      <c r="K5355" t="s">
        <v>9</v>
      </c>
      <c r="L5355" t="s">
        <v>15</v>
      </c>
      <c r="M5355" t="s">
        <v>114</v>
      </c>
      <c r="N5355" s="2">
        <v>46081</v>
      </c>
    </row>
    <row r="5356" spans="1:14" x14ac:dyDescent="0.25">
      <c r="A5356" t="s">
        <v>662</v>
      </c>
      <c r="B5356" s="2">
        <v>46054</v>
      </c>
      <c r="C5356" t="s">
        <v>662</v>
      </c>
      <c r="D5356" t="s">
        <v>112</v>
      </c>
      <c r="E5356" t="s">
        <v>9</v>
      </c>
      <c r="F5356" s="3">
        <v>-11900</v>
      </c>
      <c r="G5356" s="3">
        <v>-11900</v>
      </c>
      <c r="H5356" t="s">
        <v>3</v>
      </c>
      <c r="I5356" t="s">
        <v>3</v>
      </c>
      <c r="J5356" t="s">
        <v>300</v>
      </c>
      <c r="K5356" t="s">
        <v>13</v>
      </c>
      <c r="L5356" t="s">
        <v>15</v>
      </c>
      <c r="M5356" t="s">
        <v>114</v>
      </c>
      <c r="N5356" s="2">
        <v>46054</v>
      </c>
    </row>
    <row r="5357" spans="1:14" x14ac:dyDescent="0.25">
      <c r="A5357" t="s">
        <v>662</v>
      </c>
      <c r="B5357" s="2">
        <v>46054</v>
      </c>
      <c r="C5357" t="s">
        <v>662</v>
      </c>
      <c r="D5357" t="s">
        <v>112</v>
      </c>
      <c r="E5357" t="s">
        <v>9</v>
      </c>
      <c r="F5357" s="3">
        <v>-13500</v>
      </c>
      <c r="G5357" s="3">
        <v>-13500</v>
      </c>
      <c r="H5357" t="s">
        <v>3</v>
      </c>
      <c r="I5357" t="s">
        <v>3</v>
      </c>
      <c r="J5357" t="s">
        <v>391</v>
      </c>
      <c r="K5357" t="s">
        <v>13</v>
      </c>
      <c r="L5357" t="s">
        <v>15</v>
      </c>
      <c r="M5357" t="s">
        <v>114</v>
      </c>
      <c r="N5357" s="2">
        <v>46054</v>
      </c>
    </row>
    <row r="5358" spans="1:14" x14ac:dyDescent="0.25">
      <c r="A5358" t="s">
        <v>662</v>
      </c>
      <c r="B5358" s="2">
        <v>46054</v>
      </c>
      <c r="C5358" t="s">
        <v>662</v>
      </c>
      <c r="D5358" t="s">
        <v>112</v>
      </c>
      <c r="E5358" t="s">
        <v>9</v>
      </c>
      <c r="F5358" s="3">
        <v>11900</v>
      </c>
      <c r="G5358" s="3">
        <v>11900</v>
      </c>
      <c r="H5358" t="s">
        <v>3</v>
      </c>
      <c r="I5358" t="s">
        <v>3</v>
      </c>
      <c r="J5358" t="s">
        <v>300</v>
      </c>
      <c r="K5358" t="s">
        <v>13</v>
      </c>
      <c r="L5358" t="s">
        <v>15</v>
      </c>
      <c r="M5358" t="s">
        <v>114</v>
      </c>
      <c r="N5358" s="2">
        <v>46055</v>
      </c>
    </row>
    <row r="5359" spans="1:14" x14ac:dyDescent="0.25">
      <c r="A5359" t="s">
        <v>662</v>
      </c>
      <c r="B5359" s="2">
        <v>46054</v>
      </c>
      <c r="C5359" t="s">
        <v>662</v>
      </c>
      <c r="D5359" t="s">
        <v>112</v>
      </c>
      <c r="E5359" t="s">
        <v>9</v>
      </c>
      <c r="F5359" s="3">
        <v>13500</v>
      </c>
      <c r="G5359" s="3">
        <v>13500</v>
      </c>
      <c r="H5359" t="s">
        <v>3</v>
      </c>
      <c r="I5359" t="s">
        <v>3</v>
      </c>
      <c r="J5359" t="s">
        <v>391</v>
      </c>
      <c r="K5359" t="s">
        <v>13</v>
      </c>
      <c r="L5359" t="s">
        <v>15</v>
      </c>
      <c r="M5359" t="s">
        <v>114</v>
      </c>
      <c r="N5359" s="2">
        <v>46055</v>
      </c>
    </row>
    <row r="5360" spans="1:14" x14ac:dyDescent="0.25">
      <c r="A5360" t="s">
        <v>662</v>
      </c>
      <c r="B5360" s="2">
        <v>46054</v>
      </c>
      <c r="C5360" t="s">
        <v>662</v>
      </c>
      <c r="D5360" t="s">
        <v>112</v>
      </c>
      <c r="E5360" t="s">
        <v>9</v>
      </c>
      <c r="F5360" s="3">
        <v>-11900</v>
      </c>
      <c r="G5360" s="3">
        <v>-11900</v>
      </c>
      <c r="H5360" t="s">
        <v>3</v>
      </c>
      <c r="I5360" t="s">
        <v>3</v>
      </c>
      <c r="J5360" t="s">
        <v>300</v>
      </c>
      <c r="K5360" t="s">
        <v>13</v>
      </c>
      <c r="L5360" t="s">
        <v>15</v>
      </c>
      <c r="M5360" t="s">
        <v>114</v>
      </c>
      <c r="N5360" s="2">
        <v>46054</v>
      </c>
    </row>
    <row r="5361" spans="1:14" x14ac:dyDescent="0.25">
      <c r="A5361" t="s">
        <v>662</v>
      </c>
      <c r="B5361" s="2">
        <v>46054</v>
      </c>
      <c r="C5361" t="s">
        <v>662</v>
      </c>
      <c r="D5361" t="s">
        <v>112</v>
      </c>
      <c r="E5361" t="s">
        <v>9</v>
      </c>
      <c r="F5361" s="3">
        <v>-13500</v>
      </c>
      <c r="G5361" s="3">
        <v>-13500</v>
      </c>
      <c r="H5361" t="s">
        <v>3</v>
      </c>
      <c r="I5361" t="s">
        <v>3</v>
      </c>
      <c r="J5361" t="s">
        <v>391</v>
      </c>
      <c r="K5361" t="s">
        <v>13</v>
      </c>
      <c r="L5361" t="s">
        <v>15</v>
      </c>
      <c r="M5361" t="s">
        <v>114</v>
      </c>
      <c r="N5361" s="2">
        <v>46054</v>
      </c>
    </row>
    <row r="5362" spans="1:14" x14ac:dyDescent="0.25">
      <c r="A5362" t="s">
        <v>662</v>
      </c>
      <c r="B5362" s="2">
        <v>46081</v>
      </c>
      <c r="C5362" t="s">
        <v>662</v>
      </c>
      <c r="D5362" t="s">
        <v>112</v>
      </c>
      <c r="E5362" t="s">
        <v>9</v>
      </c>
      <c r="F5362" s="3">
        <v>29600</v>
      </c>
      <c r="G5362" s="3">
        <v>29600</v>
      </c>
      <c r="H5362" t="s">
        <v>3</v>
      </c>
      <c r="I5362" t="s">
        <v>3</v>
      </c>
      <c r="J5362" t="s">
        <v>304</v>
      </c>
      <c r="K5362" t="s">
        <v>13</v>
      </c>
      <c r="L5362" t="s">
        <v>15</v>
      </c>
      <c r="M5362" t="s">
        <v>114</v>
      </c>
      <c r="N5362" s="2">
        <v>46081</v>
      </c>
    </row>
    <row r="5363" spans="1:14" x14ac:dyDescent="0.25">
      <c r="A5363" t="s">
        <v>662</v>
      </c>
      <c r="B5363" s="2">
        <v>46081</v>
      </c>
      <c r="C5363" t="s">
        <v>662</v>
      </c>
      <c r="D5363" t="s">
        <v>112</v>
      </c>
      <c r="E5363" t="s">
        <v>9</v>
      </c>
      <c r="F5363" s="3">
        <v>70910</v>
      </c>
      <c r="G5363" s="3">
        <v>70910</v>
      </c>
      <c r="H5363" t="s">
        <v>3</v>
      </c>
      <c r="I5363" t="s">
        <v>3</v>
      </c>
      <c r="J5363" t="s">
        <v>393</v>
      </c>
      <c r="K5363" t="s">
        <v>13</v>
      </c>
      <c r="L5363" t="s">
        <v>15</v>
      </c>
      <c r="M5363" t="s">
        <v>114</v>
      </c>
      <c r="N5363" s="2">
        <v>46081</v>
      </c>
    </row>
    <row r="5364" spans="1:14" x14ac:dyDescent="0.25">
      <c r="A5364" s="4" t="s">
        <v>239</v>
      </c>
      <c r="B5364" s="5"/>
      <c r="C5364" s="4" t="s">
        <v>9</v>
      </c>
      <c r="D5364" s="4" t="s">
        <v>9</v>
      </c>
      <c r="E5364" s="4" t="s">
        <v>9</v>
      </c>
      <c r="F5364" s="6">
        <v>0</v>
      </c>
      <c r="G5364" s="6">
        <v>0</v>
      </c>
      <c r="H5364" s="4" t="s">
        <v>9</v>
      </c>
      <c r="I5364" s="4" t="s">
        <v>3</v>
      </c>
      <c r="J5364" s="4" t="s">
        <v>9</v>
      </c>
      <c r="K5364" s="4" t="s">
        <v>9</v>
      </c>
      <c r="L5364" s="4" t="s">
        <v>9</v>
      </c>
      <c r="M5364" s="4" t="s">
        <v>9</v>
      </c>
      <c r="N5364" s="5"/>
    </row>
    <row r="5365" spans="1:14" x14ac:dyDescent="0.25">
      <c r="A5365" t="s">
        <v>662</v>
      </c>
      <c r="B5365" s="2">
        <v>46115</v>
      </c>
      <c r="C5365" t="s">
        <v>662</v>
      </c>
      <c r="D5365" t="s">
        <v>112</v>
      </c>
      <c r="E5365" t="s">
        <v>9</v>
      </c>
      <c r="F5365" s="3">
        <v>-106072</v>
      </c>
      <c r="G5365" s="3">
        <v>-106072</v>
      </c>
      <c r="H5365" t="s">
        <v>3</v>
      </c>
      <c r="I5365" t="s">
        <v>3</v>
      </c>
      <c r="J5365" t="s">
        <v>9</v>
      </c>
      <c r="K5365" t="s">
        <v>9</v>
      </c>
      <c r="L5365" t="s">
        <v>16</v>
      </c>
      <c r="M5365" t="s">
        <v>114</v>
      </c>
      <c r="N5365" s="2">
        <v>46112</v>
      </c>
    </row>
    <row r="5366" spans="1:14" x14ac:dyDescent="0.25">
      <c r="A5366" t="s">
        <v>662</v>
      </c>
      <c r="B5366" s="2">
        <v>46081</v>
      </c>
      <c r="C5366" t="s">
        <v>662</v>
      </c>
      <c r="D5366" t="s">
        <v>112</v>
      </c>
      <c r="E5366" t="s">
        <v>9</v>
      </c>
      <c r="F5366" s="3">
        <v>-29600</v>
      </c>
      <c r="G5366" s="3">
        <v>-29600</v>
      </c>
      <c r="H5366" t="s">
        <v>3</v>
      </c>
      <c r="I5366" t="s">
        <v>3</v>
      </c>
      <c r="J5366" t="s">
        <v>304</v>
      </c>
      <c r="K5366" t="s">
        <v>13</v>
      </c>
      <c r="L5366" t="s">
        <v>16</v>
      </c>
      <c r="M5366" t="s">
        <v>114</v>
      </c>
      <c r="N5366" s="2">
        <v>46082</v>
      </c>
    </row>
    <row r="5367" spans="1:14" x14ac:dyDescent="0.25">
      <c r="A5367" t="s">
        <v>662</v>
      </c>
      <c r="B5367" s="2">
        <v>46081</v>
      </c>
      <c r="C5367" t="s">
        <v>662</v>
      </c>
      <c r="D5367" t="s">
        <v>112</v>
      </c>
      <c r="E5367" t="s">
        <v>9</v>
      </c>
      <c r="F5367" s="3">
        <v>-70910</v>
      </c>
      <c r="G5367" s="3">
        <v>-70910</v>
      </c>
      <c r="H5367" t="s">
        <v>3</v>
      </c>
      <c r="I5367" t="s">
        <v>3</v>
      </c>
      <c r="J5367" t="s">
        <v>393</v>
      </c>
      <c r="K5367" t="s">
        <v>13</v>
      </c>
      <c r="L5367" t="s">
        <v>16</v>
      </c>
      <c r="M5367" t="s">
        <v>114</v>
      </c>
      <c r="N5367" s="2">
        <v>46082</v>
      </c>
    </row>
    <row r="5368" spans="1:14" x14ac:dyDescent="0.25">
      <c r="A5368" t="s">
        <v>662</v>
      </c>
      <c r="B5368" s="2">
        <v>46112</v>
      </c>
      <c r="C5368" t="s">
        <v>662</v>
      </c>
      <c r="D5368" t="s">
        <v>112</v>
      </c>
      <c r="E5368" t="s">
        <v>9</v>
      </c>
      <c r="F5368" s="3">
        <v>54600</v>
      </c>
      <c r="G5368" s="3">
        <v>54600</v>
      </c>
      <c r="H5368" t="s">
        <v>3</v>
      </c>
      <c r="I5368" t="s">
        <v>3</v>
      </c>
      <c r="J5368" t="s">
        <v>307</v>
      </c>
      <c r="K5368" t="s">
        <v>13</v>
      </c>
      <c r="L5368" t="s">
        <v>16</v>
      </c>
      <c r="M5368" t="s">
        <v>114</v>
      </c>
      <c r="N5368" s="2">
        <v>46112</v>
      </c>
    </row>
    <row r="5369" spans="1:14" x14ac:dyDescent="0.25">
      <c r="A5369" t="s">
        <v>662</v>
      </c>
      <c r="B5369" s="2">
        <v>46112</v>
      </c>
      <c r="C5369" t="s">
        <v>662</v>
      </c>
      <c r="D5369" t="s">
        <v>112</v>
      </c>
      <c r="E5369" t="s">
        <v>9</v>
      </c>
      <c r="F5369" s="3">
        <v>149192</v>
      </c>
      <c r="G5369" s="3">
        <v>149192</v>
      </c>
      <c r="H5369" t="s">
        <v>3</v>
      </c>
      <c r="I5369" t="s">
        <v>3</v>
      </c>
      <c r="J5369" t="s">
        <v>395</v>
      </c>
      <c r="K5369" t="s">
        <v>13</v>
      </c>
      <c r="L5369" t="s">
        <v>16</v>
      </c>
      <c r="M5369" t="s">
        <v>114</v>
      </c>
      <c r="N5369" s="2">
        <v>46112</v>
      </c>
    </row>
    <row r="5370" spans="1:14" x14ac:dyDescent="0.25">
      <c r="A5370" t="s">
        <v>662</v>
      </c>
      <c r="B5370" s="2">
        <v>46112</v>
      </c>
      <c r="C5370" t="s">
        <v>662</v>
      </c>
      <c r="D5370" t="s">
        <v>112</v>
      </c>
      <c r="E5370" t="s">
        <v>9</v>
      </c>
      <c r="F5370" s="3">
        <v>2790</v>
      </c>
      <c r="G5370" s="3">
        <v>2790</v>
      </c>
      <c r="H5370" t="s">
        <v>3</v>
      </c>
      <c r="I5370" t="s">
        <v>3</v>
      </c>
      <c r="J5370" t="s">
        <v>498</v>
      </c>
      <c r="K5370" t="s">
        <v>13</v>
      </c>
      <c r="L5370" t="s">
        <v>16</v>
      </c>
      <c r="M5370" t="s">
        <v>114</v>
      </c>
      <c r="N5370" s="2">
        <v>46112</v>
      </c>
    </row>
    <row r="5371" spans="1:14" x14ac:dyDescent="0.25">
      <c r="A5371" s="4" t="s">
        <v>244</v>
      </c>
      <c r="B5371" s="5"/>
      <c r="C5371" s="4" t="s">
        <v>9</v>
      </c>
      <c r="D5371" s="4" t="s">
        <v>9</v>
      </c>
      <c r="E5371" s="4" t="s">
        <v>9</v>
      </c>
      <c r="F5371" s="6">
        <v>0</v>
      </c>
      <c r="G5371" s="6">
        <v>0</v>
      </c>
      <c r="H5371" s="4" t="s">
        <v>9</v>
      </c>
      <c r="I5371" s="4" t="s">
        <v>3</v>
      </c>
      <c r="J5371" s="4" t="s">
        <v>9</v>
      </c>
      <c r="K5371" s="4" t="s">
        <v>9</v>
      </c>
      <c r="L5371" s="4" t="s">
        <v>9</v>
      </c>
      <c r="M5371" s="4" t="s">
        <v>9</v>
      </c>
      <c r="N5371" s="5"/>
    </row>
    <row r="5372" spans="1:14" x14ac:dyDescent="0.25">
      <c r="A5372" t="s">
        <v>662</v>
      </c>
      <c r="B5372" s="2">
        <v>46147</v>
      </c>
      <c r="C5372" t="s">
        <v>662</v>
      </c>
      <c r="D5372" t="s">
        <v>112</v>
      </c>
      <c r="E5372" t="s">
        <v>9</v>
      </c>
      <c r="F5372" s="3">
        <v>-57204</v>
      </c>
      <c r="G5372" s="3">
        <v>-57204</v>
      </c>
      <c r="H5372" t="s">
        <v>3</v>
      </c>
      <c r="I5372" t="s">
        <v>3</v>
      </c>
      <c r="J5372" t="s">
        <v>9</v>
      </c>
      <c r="K5372" t="s">
        <v>9</v>
      </c>
      <c r="L5372" t="s">
        <v>17</v>
      </c>
      <c r="M5372" t="s">
        <v>114</v>
      </c>
      <c r="N5372" s="2">
        <v>46142</v>
      </c>
    </row>
    <row r="5373" spans="1:14" x14ac:dyDescent="0.25">
      <c r="A5373" t="s">
        <v>662</v>
      </c>
      <c r="B5373" s="2">
        <v>46147</v>
      </c>
      <c r="C5373" t="s">
        <v>662</v>
      </c>
      <c r="D5373" t="s">
        <v>301</v>
      </c>
      <c r="E5373" t="s">
        <v>9</v>
      </c>
      <c r="F5373" s="3">
        <v>263786</v>
      </c>
      <c r="G5373" s="3">
        <v>263786</v>
      </c>
      <c r="H5373" t="s">
        <v>3</v>
      </c>
      <c r="I5373" t="s">
        <v>3</v>
      </c>
      <c r="J5373" t="s">
        <v>9</v>
      </c>
      <c r="K5373" t="s">
        <v>9</v>
      </c>
      <c r="L5373" t="s">
        <v>17</v>
      </c>
      <c r="M5373" t="s">
        <v>302</v>
      </c>
      <c r="N5373" s="2">
        <v>46142</v>
      </c>
    </row>
    <row r="5374" spans="1:14" x14ac:dyDescent="0.25">
      <c r="A5374" t="s">
        <v>662</v>
      </c>
      <c r="B5374" s="2">
        <v>46112</v>
      </c>
      <c r="C5374" t="s">
        <v>662</v>
      </c>
      <c r="D5374" t="s">
        <v>112</v>
      </c>
      <c r="E5374" t="s">
        <v>9</v>
      </c>
      <c r="F5374" s="3">
        <v>-54600</v>
      </c>
      <c r="G5374" s="3">
        <v>-54600</v>
      </c>
      <c r="H5374" t="s">
        <v>3</v>
      </c>
      <c r="I5374" t="s">
        <v>3</v>
      </c>
      <c r="J5374" t="s">
        <v>307</v>
      </c>
      <c r="K5374" t="s">
        <v>13</v>
      </c>
      <c r="L5374" t="s">
        <v>17</v>
      </c>
      <c r="M5374" t="s">
        <v>114</v>
      </c>
      <c r="N5374" s="2">
        <v>46113</v>
      </c>
    </row>
    <row r="5375" spans="1:14" x14ac:dyDescent="0.25">
      <c r="A5375" t="s">
        <v>662</v>
      </c>
      <c r="B5375" s="2">
        <v>46112</v>
      </c>
      <c r="C5375" t="s">
        <v>662</v>
      </c>
      <c r="D5375" t="s">
        <v>112</v>
      </c>
      <c r="E5375" t="s">
        <v>9</v>
      </c>
      <c r="F5375" s="3">
        <v>-149192</v>
      </c>
      <c r="G5375" s="3">
        <v>-149192</v>
      </c>
      <c r="H5375" t="s">
        <v>3</v>
      </c>
      <c r="I5375" t="s">
        <v>3</v>
      </c>
      <c r="J5375" t="s">
        <v>395</v>
      </c>
      <c r="K5375" t="s">
        <v>13</v>
      </c>
      <c r="L5375" t="s">
        <v>17</v>
      </c>
      <c r="M5375" t="s">
        <v>114</v>
      </c>
      <c r="N5375" s="2">
        <v>46113</v>
      </c>
    </row>
    <row r="5376" spans="1:14" x14ac:dyDescent="0.25">
      <c r="A5376" t="s">
        <v>662</v>
      </c>
      <c r="B5376" s="2">
        <v>46112</v>
      </c>
      <c r="C5376" t="s">
        <v>662</v>
      </c>
      <c r="D5376" t="s">
        <v>112</v>
      </c>
      <c r="E5376" t="s">
        <v>9</v>
      </c>
      <c r="F5376" s="3">
        <v>-2790</v>
      </c>
      <c r="G5376" s="3">
        <v>-2790</v>
      </c>
      <c r="H5376" t="s">
        <v>3</v>
      </c>
      <c r="I5376" t="s">
        <v>3</v>
      </c>
      <c r="J5376" t="s">
        <v>498</v>
      </c>
      <c r="K5376" t="s">
        <v>13</v>
      </c>
      <c r="L5376" t="s">
        <v>17</v>
      </c>
      <c r="M5376" t="s">
        <v>114</v>
      </c>
      <c r="N5376" s="2">
        <v>46113</v>
      </c>
    </row>
    <row r="5377" spans="1:14" x14ac:dyDescent="0.25">
      <c r="A5377" t="s">
        <v>662</v>
      </c>
      <c r="B5377" s="2">
        <v>46142</v>
      </c>
      <c r="C5377" t="s">
        <v>662</v>
      </c>
      <c r="D5377" t="s">
        <v>112</v>
      </c>
      <c r="E5377" t="s">
        <v>9</v>
      </c>
      <c r="F5377" s="3">
        <v>69200</v>
      </c>
      <c r="G5377" s="3">
        <v>69200</v>
      </c>
      <c r="H5377" t="s">
        <v>3</v>
      </c>
      <c r="I5377" t="s">
        <v>3</v>
      </c>
      <c r="J5377" t="s">
        <v>310</v>
      </c>
      <c r="K5377" t="s">
        <v>13</v>
      </c>
      <c r="L5377" t="s">
        <v>17</v>
      </c>
      <c r="M5377" t="s">
        <v>114</v>
      </c>
      <c r="N5377" s="2">
        <v>46142</v>
      </c>
    </row>
    <row r="5378" spans="1:14" x14ac:dyDescent="0.25">
      <c r="A5378" t="s">
        <v>662</v>
      </c>
      <c r="B5378" s="2">
        <v>46142</v>
      </c>
      <c r="C5378" t="s">
        <v>662</v>
      </c>
      <c r="D5378" t="s">
        <v>112</v>
      </c>
      <c r="E5378" t="s">
        <v>9</v>
      </c>
      <c r="F5378" s="3">
        <v>188466</v>
      </c>
      <c r="G5378" s="3">
        <v>188466</v>
      </c>
      <c r="H5378" t="s">
        <v>3</v>
      </c>
      <c r="I5378" t="s">
        <v>3</v>
      </c>
      <c r="J5378" t="s">
        <v>423</v>
      </c>
      <c r="K5378" t="s">
        <v>13</v>
      </c>
      <c r="L5378" t="s">
        <v>17</v>
      </c>
      <c r="M5378" t="s">
        <v>114</v>
      </c>
      <c r="N5378" s="2">
        <v>46142</v>
      </c>
    </row>
    <row r="5379" spans="1:14" x14ac:dyDescent="0.25">
      <c r="A5379" t="s">
        <v>662</v>
      </c>
      <c r="B5379" s="2">
        <v>46142</v>
      </c>
      <c r="C5379" t="s">
        <v>662</v>
      </c>
      <c r="D5379" t="s">
        <v>112</v>
      </c>
      <c r="E5379" t="s">
        <v>9</v>
      </c>
      <c r="F5379" s="3">
        <v>6120</v>
      </c>
      <c r="G5379" s="3">
        <v>6120</v>
      </c>
      <c r="H5379" t="s">
        <v>3</v>
      </c>
      <c r="I5379" t="s">
        <v>3</v>
      </c>
      <c r="J5379" t="s">
        <v>499</v>
      </c>
      <c r="K5379" t="s">
        <v>13</v>
      </c>
      <c r="L5379" t="s">
        <v>17</v>
      </c>
      <c r="M5379" t="s">
        <v>114</v>
      </c>
      <c r="N5379" s="2">
        <v>46142</v>
      </c>
    </row>
    <row r="5380" spans="1:14" x14ac:dyDescent="0.25">
      <c r="A5380" t="s">
        <v>662</v>
      </c>
      <c r="B5380" s="2">
        <v>46142</v>
      </c>
      <c r="C5380" t="s">
        <v>662</v>
      </c>
      <c r="D5380" t="s">
        <v>301</v>
      </c>
      <c r="E5380" t="s">
        <v>9</v>
      </c>
      <c r="F5380" s="3">
        <v>-263786</v>
      </c>
      <c r="G5380" s="3">
        <v>-263786</v>
      </c>
      <c r="H5380" t="s">
        <v>3</v>
      </c>
      <c r="I5380" t="s">
        <v>3</v>
      </c>
      <c r="J5380" t="s">
        <v>10</v>
      </c>
      <c r="K5380" t="s">
        <v>13</v>
      </c>
      <c r="L5380" t="s">
        <v>17</v>
      </c>
      <c r="M5380" t="s">
        <v>302</v>
      </c>
      <c r="N5380" s="2">
        <v>46142</v>
      </c>
    </row>
    <row r="5381" spans="1:14" x14ac:dyDescent="0.25">
      <c r="A5381" s="4" t="s">
        <v>249</v>
      </c>
      <c r="B5381" s="5"/>
      <c r="C5381" s="4" t="s">
        <v>9</v>
      </c>
      <c r="D5381" s="4" t="s">
        <v>9</v>
      </c>
      <c r="E5381" s="4" t="s">
        <v>9</v>
      </c>
      <c r="F5381" s="6">
        <v>0</v>
      </c>
      <c r="G5381" s="6">
        <v>0</v>
      </c>
      <c r="H5381" s="4" t="s">
        <v>9</v>
      </c>
      <c r="I5381" s="4" t="s">
        <v>3</v>
      </c>
      <c r="J5381" s="4" t="s">
        <v>9</v>
      </c>
      <c r="K5381" s="4" t="s">
        <v>9</v>
      </c>
      <c r="L5381" s="4" t="s">
        <v>9</v>
      </c>
      <c r="M5381" s="4" t="s">
        <v>9</v>
      </c>
      <c r="N5381" s="5"/>
    </row>
    <row r="5382" spans="1:14" x14ac:dyDescent="0.25">
      <c r="A5382" t="s">
        <v>662</v>
      </c>
      <c r="B5382" s="2">
        <v>46175</v>
      </c>
      <c r="C5382" t="s">
        <v>662</v>
      </c>
      <c r="D5382" t="s">
        <v>112</v>
      </c>
      <c r="E5382" t="s">
        <v>9</v>
      </c>
      <c r="F5382" s="3">
        <v>-68830</v>
      </c>
      <c r="G5382" s="3">
        <v>-68830</v>
      </c>
      <c r="H5382" t="s">
        <v>3</v>
      </c>
      <c r="I5382" t="s">
        <v>3</v>
      </c>
      <c r="J5382" t="s">
        <v>9</v>
      </c>
      <c r="K5382" t="s">
        <v>9</v>
      </c>
      <c r="L5382" t="s">
        <v>18</v>
      </c>
      <c r="M5382" t="s">
        <v>114</v>
      </c>
      <c r="N5382" s="2">
        <v>46173</v>
      </c>
    </row>
    <row r="5383" spans="1:14" x14ac:dyDescent="0.25">
      <c r="A5383" t="s">
        <v>662</v>
      </c>
      <c r="B5383" s="2">
        <v>46175</v>
      </c>
      <c r="C5383" t="s">
        <v>662</v>
      </c>
      <c r="D5383" t="s">
        <v>301</v>
      </c>
      <c r="E5383" t="s">
        <v>9</v>
      </c>
      <c r="F5383" s="3">
        <v>68830</v>
      </c>
      <c r="G5383" s="3">
        <v>68830</v>
      </c>
      <c r="H5383" t="s">
        <v>3</v>
      </c>
      <c r="I5383" t="s">
        <v>3</v>
      </c>
      <c r="J5383" t="s">
        <v>9</v>
      </c>
      <c r="K5383" t="s">
        <v>9</v>
      </c>
      <c r="L5383" t="s">
        <v>18</v>
      </c>
      <c r="M5383" t="s">
        <v>302</v>
      </c>
      <c r="N5383" s="2">
        <v>46173</v>
      </c>
    </row>
    <row r="5384" spans="1:14" x14ac:dyDescent="0.25">
      <c r="A5384" t="s">
        <v>662</v>
      </c>
      <c r="B5384" s="2">
        <v>46142</v>
      </c>
      <c r="C5384" t="s">
        <v>662</v>
      </c>
      <c r="D5384" t="s">
        <v>112</v>
      </c>
      <c r="E5384" t="s">
        <v>9</v>
      </c>
      <c r="F5384" s="3">
        <v>-69200</v>
      </c>
      <c r="G5384" s="3">
        <v>-69200</v>
      </c>
      <c r="H5384" t="s">
        <v>3</v>
      </c>
      <c r="I5384" t="s">
        <v>3</v>
      </c>
      <c r="J5384" t="s">
        <v>310</v>
      </c>
      <c r="K5384" t="s">
        <v>13</v>
      </c>
      <c r="L5384" t="s">
        <v>18</v>
      </c>
      <c r="M5384" t="s">
        <v>114</v>
      </c>
      <c r="N5384" s="2">
        <v>46143</v>
      </c>
    </row>
    <row r="5385" spans="1:14" x14ac:dyDescent="0.25">
      <c r="A5385" t="s">
        <v>662</v>
      </c>
      <c r="B5385" s="2">
        <v>46142</v>
      </c>
      <c r="C5385" t="s">
        <v>662</v>
      </c>
      <c r="D5385" t="s">
        <v>112</v>
      </c>
      <c r="E5385" t="s">
        <v>9</v>
      </c>
      <c r="F5385" s="3">
        <v>-188466</v>
      </c>
      <c r="G5385" s="3">
        <v>-188466</v>
      </c>
      <c r="H5385" t="s">
        <v>3</v>
      </c>
      <c r="I5385" t="s">
        <v>3</v>
      </c>
      <c r="J5385" t="s">
        <v>423</v>
      </c>
      <c r="K5385" t="s">
        <v>13</v>
      </c>
      <c r="L5385" t="s">
        <v>18</v>
      </c>
      <c r="M5385" t="s">
        <v>114</v>
      </c>
      <c r="N5385" s="2">
        <v>46143</v>
      </c>
    </row>
    <row r="5386" spans="1:14" x14ac:dyDescent="0.25">
      <c r="A5386" t="s">
        <v>662</v>
      </c>
      <c r="B5386" s="2">
        <v>46142</v>
      </c>
      <c r="C5386" t="s">
        <v>662</v>
      </c>
      <c r="D5386" t="s">
        <v>112</v>
      </c>
      <c r="E5386" t="s">
        <v>9</v>
      </c>
      <c r="F5386" s="3">
        <v>-6120</v>
      </c>
      <c r="G5386" s="3">
        <v>-6120</v>
      </c>
      <c r="H5386" t="s">
        <v>3</v>
      </c>
      <c r="I5386" t="s">
        <v>3</v>
      </c>
      <c r="J5386" t="s">
        <v>499</v>
      </c>
      <c r="K5386" t="s">
        <v>13</v>
      </c>
      <c r="L5386" t="s">
        <v>18</v>
      </c>
      <c r="M5386" t="s">
        <v>114</v>
      </c>
      <c r="N5386" s="2">
        <v>46143</v>
      </c>
    </row>
    <row r="5387" spans="1:14" x14ac:dyDescent="0.25">
      <c r="A5387" t="s">
        <v>662</v>
      </c>
      <c r="B5387" s="2">
        <v>46173</v>
      </c>
      <c r="C5387" t="s">
        <v>662</v>
      </c>
      <c r="D5387" t="s">
        <v>112</v>
      </c>
      <c r="E5387" t="s">
        <v>9</v>
      </c>
      <c r="F5387" s="3">
        <v>80500</v>
      </c>
      <c r="G5387" s="3">
        <v>80500</v>
      </c>
      <c r="H5387" t="s">
        <v>3</v>
      </c>
      <c r="I5387" t="s">
        <v>3</v>
      </c>
      <c r="J5387" t="s">
        <v>313</v>
      </c>
      <c r="K5387" t="s">
        <v>13</v>
      </c>
      <c r="L5387" t="s">
        <v>18</v>
      </c>
      <c r="M5387" t="s">
        <v>114</v>
      </c>
      <c r="N5387" s="2">
        <v>46173</v>
      </c>
    </row>
    <row r="5388" spans="1:14" x14ac:dyDescent="0.25">
      <c r="A5388" t="s">
        <v>662</v>
      </c>
      <c r="B5388" s="2">
        <v>46173</v>
      </c>
      <c r="C5388" t="s">
        <v>662</v>
      </c>
      <c r="D5388" t="s">
        <v>112</v>
      </c>
      <c r="E5388" t="s">
        <v>9</v>
      </c>
      <c r="F5388" s="3">
        <v>243116</v>
      </c>
      <c r="G5388" s="3">
        <v>243116</v>
      </c>
      <c r="H5388" t="s">
        <v>3</v>
      </c>
      <c r="I5388" t="s">
        <v>3</v>
      </c>
      <c r="J5388" t="s">
        <v>427</v>
      </c>
      <c r="K5388" t="s">
        <v>13</v>
      </c>
      <c r="L5388" t="s">
        <v>18</v>
      </c>
      <c r="M5388" t="s">
        <v>114</v>
      </c>
      <c r="N5388" s="2">
        <v>46173</v>
      </c>
    </row>
    <row r="5389" spans="1:14" x14ac:dyDescent="0.25">
      <c r="A5389" t="s">
        <v>662</v>
      </c>
      <c r="B5389" s="2">
        <v>46173</v>
      </c>
      <c r="C5389" t="s">
        <v>662</v>
      </c>
      <c r="D5389" t="s">
        <v>112</v>
      </c>
      <c r="E5389" t="s">
        <v>9</v>
      </c>
      <c r="F5389" s="3">
        <v>9000</v>
      </c>
      <c r="G5389" s="3">
        <v>9000</v>
      </c>
      <c r="H5389" t="s">
        <v>3</v>
      </c>
      <c r="I5389" t="s">
        <v>3</v>
      </c>
      <c r="J5389" t="s">
        <v>500</v>
      </c>
      <c r="K5389" t="s">
        <v>13</v>
      </c>
      <c r="L5389" t="s">
        <v>18</v>
      </c>
      <c r="M5389" t="s">
        <v>114</v>
      </c>
      <c r="N5389" s="2">
        <v>46173</v>
      </c>
    </row>
    <row r="5390" spans="1:14" x14ac:dyDescent="0.25">
      <c r="A5390" t="s">
        <v>662</v>
      </c>
      <c r="B5390" s="2">
        <v>46173</v>
      </c>
      <c r="C5390" t="s">
        <v>662</v>
      </c>
      <c r="D5390" t="s">
        <v>301</v>
      </c>
      <c r="E5390" t="s">
        <v>9</v>
      </c>
      <c r="F5390" s="3">
        <v>-68830</v>
      </c>
      <c r="G5390" s="3">
        <v>-68830</v>
      </c>
      <c r="H5390" t="s">
        <v>3</v>
      </c>
      <c r="I5390" t="s">
        <v>3</v>
      </c>
      <c r="J5390" t="s">
        <v>10</v>
      </c>
      <c r="K5390" t="s">
        <v>13</v>
      </c>
      <c r="L5390" t="s">
        <v>18</v>
      </c>
      <c r="M5390" t="s">
        <v>302</v>
      </c>
      <c r="N5390" s="2">
        <v>46173</v>
      </c>
    </row>
    <row r="5391" spans="1:14" x14ac:dyDescent="0.25">
      <c r="A5391" s="4" t="s">
        <v>223</v>
      </c>
      <c r="B5391" s="5"/>
      <c r="C5391" s="4" t="s">
        <v>9</v>
      </c>
      <c r="D5391" s="4" t="s">
        <v>9</v>
      </c>
      <c r="E5391" s="4" t="s">
        <v>9</v>
      </c>
      <c r="F5391" s="6">
        <v>0</v>
      </c>
      <c r="G5391" s="6">
        <v>0</v>
      </c>
      <c r="H5391" s="4" t="s">
        <v>9</v>
      </c>
      <c r="I5391" s="4" t="s">
        <v>3</v>
      </c>
      <c r="J5391" s="4" t="s">
        <v>9</v>
      </c>
      <c r="K5391" s="4" t="s">
        <v>9</v>
      </c>
      <c r="L5391" s="4" t="s">
        <v>9</v>
      </c>
      <c r="M5391" s="4" t="s">
        <v>9</v>
      </c>
      <c r="N5391" s="5"/>
    </row>
    <row r="5392" spans="1:14" x14ac:dyDescent="0.25">
      <c r="A5392" t="s">
        <v>662</v>
      </c>
      <c r="B5392" s="2">
        <v>46205</v>
      </c>
      <c r="C5392" t="s">
        <v>662</v>
      </c>
      <c r="D5392" t="s">
        <v>112</v>
      </c>
      <c r="E5392" t="s">
        <v>9</v>
      </c>
      <c r="F5392" s="3">
        <v>-33004.49</v>
      </c>
      <c r="G5392" s="3">
        <v>-33004.49</v>
      </c>
      <c r="H5392" t="s">
        <v>3</v>
      </c>
      <c r="I5392" t="s">
        <v>3</v>
      </c>
      <c r="J5392" t="s">
        <v>9</v>
      </c>
      <c r="K5392" t="s">
        <v>9</v>
      </c>
      <c r="L5392" t="s">
        <v>19</v>
      </c>
      <c r="M5392" t="s">
        <v>114</v>
      </c>
      <c r="N5392" s="2">
        <v>46203</v>
      </c>
    </row>
    <row r="5393" spans="1:14" x14ac:dyDescent="0.25">
      <c r="A5393" t="s">
        <v>662</v>
      </c>
      <c r="B5393" s="2">
        <v>46205</v>
      </c>
      <c r="C5393" t="s">
        <v>662</v>
      </c>
      <c r="D5393" t="s">
        <v>301</v>
      </c>
      <c r="E5393" t="s">
        <v>9</v>
      </c>
      <c r="F5393" s="3">
        <v>33004.49</v>
      </c>
      <c r="G5393" s="3">
        <v>33004.49</v>
      </c>
      <c r="H5393" t="s">
        <v>3</v>
      </c>
      <c r="I5393" t="s">
        <v>3</v>
      </c>
      <c r="J5393" t="s">
        <v>9</v>
      </c>
      <c r="K5393" t="s">
        <v>9</v>
      </c>
      <c r="L5393" t="s">
        <v>19</v>
      </c>
      <c r="M5393" t="s">
        <v>302</v>
      </c>
      <c r="N5393" s="2">
        <v>46203</v>
      </c>
    </row>
    <row r="5394" spans="1:14" x14ac:dyDescent="0.25">
      <c r="A5394" t="s">
        <v>662</v>
      </c>
      <c r="B5394" s="2">
        <v>46173</v>
      </c>
      <c r="C5394" t="s">
        <v>662</v>
      </c>
      <c r="D5394" t="s">
        <v>112</v>
      </c>
      <c r="E5394" t="s">
        <v>9</v>
      </c>
      <c r="F5394" s="3">
        <v>-80500</v>
      </c>
      <c r="G5394" s="3">
        <v>-80500</v>
      </c>
      <c r="H5394" t="s">
        <v>3</v>
      </c>
      <c r="I5394" t="s">
        <v>3</v>
      </c>
      <c r="J5394" t="s">
        <v>313</v>
      </c>
      <c r="K5394" t="s">
        <v>13</v>
      </c>
      <c r="L5394" t="s">
        <v>19</v>
      </c>
      <c r="M5394" t="s">
        <v>114</v>
      </c>
      <c r="N5394" s="2">
        <v>46174</v>
      </c>
    </row>
    <row r="5395" spans="1:14" x14ac:dyDescent="0.25">
      <c r="A5395" t="s">
        <v>662</v>
      </c>
      <c r="B5395" s="2">
        <v>46173</v>
      </c>
      <c r="C5395" t="s">
        <v>662</v>
      </c>
      <c r="D5395" t="s">
        <v>112</v>
      </c>
      <c r="E5395" t="s">
        <v>9</v>
      </c>
      <c r="F5395" s="3">
        <v>-243116</v>
      </c>
      <c r="G5395" s="3">
        <v>-243116</v>
      </c>
      <c r="H5395" t="s">
        <v>3</v>
      </c>
      <c r="I5395" t="s">
        <v>3</v>
      </c>
      <c r="J5395" t="s">
        <v>427</v>
      </c>
      <c r="K5395" t="s">
        <v>13</v>
      </c>
      <c r="L5395" t="s">
        <v>19</v>
      </c>
      <c r="M5395" t="s">
        <v>114</v>
      </c>
      <c r="N5395" s="2">
        <v>46174</v>
      </c>
    </row>
    <row r="5396" spans="1:14" x14ac:dyDescent="0.25">
      <c r="A5396" t="s">
        <v>662</v>
      </c>
      <c r="B5396" s="2">
        <v>46173</v>
      </c>
      <c r="C5396" t="s">
        <v>662</v>
      </c>
      <c r="D5396" t="s">
        <v>112</v>
      </c>
      <c r="E5396" t="s">
        <v>9</v>
      </c>
      <c r="F5396" s="3">
        <v>-9000</v>
      </c>
      <c r="G5396" s="3">
        <v>-9000</v>
      </c>
      <c r="H5396" t="s">
        <v>3</v>
      </c>
      <c r="I5396" t="s">
        <v>3</v>
      </c>
      <c r="J5396" t="s">
        <v>500</v>
      </c>
      <c r="K5396" t="s">
        <v>13</v>
      </c>
      <c r="L5396" t="s">
        <v>19</v>
      </c>
      <c r="M5396" t="s">
        <v>114</v>
      </c>
      <c r="N5396" s="2">
        <v>46174</v>
      </c>
    </row>
    <row r="5397" spans="1:14" x14ac:dyDescent="0.25">
      <c r="A5397" t="s">
        <v>662</v>
      </c>
      <c r="B5397" s="2">
        <v>46203</v>
      </c>
      <c r="C5397" t="s">
        <v>662</v>
      </c>
      <c r="D5397" t="s">
        <v>112</v>
      </c>
      <c r="E5397" t="s">
        <v>9</v>
      </c>
      <c r="F5397" s="3">
        <v>90604.49</v>
      </c>
      <c r="G5397" s="3">
        <v>90604.49</v>
      </c>
      <c r="H5397" t="s">
        <v>3</v>
      </c>
      <c r="I5397" t="s">
        <v>3</v>
      </c>
      <c r="J5397" t="s">
        <v>316</v>
      </c>
      <c r="K5397" t="s">
        <v>13</v>
      </c>
      <c r="L5397" t="s">
        <v>19</v>
      </c>
      <c r="M5397" t="s">
        <v>114</v>
      </c>
      <c r="N5397" s="2">
        <v>46203</v>
      </c>
    </row>
    <row r="5398" spans="1:14" x14ac:dyDescent="0.25">
      <c r="A5398" t="s">
        <v>662</v>
      </c>
      <c r="B5398" s="2">
        <v>46203</v>
      </c>
      <c r="C5398" t="s">
        <v>662</v>
      </c>
      <c r="D5398" t="s">
        <v>112</v>
      </c>
      <c r="E5398" t="s">
        <v>9</v>
      </c>
      <c r="F5398" s="3">
        <v>266016</v>
      </c>
      <c r="G5398" s="3">
        <v>266016</v>
      </c>
      <c r="H5398" t="s">
        <v>3</v>
      </c>
      <c r="I5398" t="s">
        <v>3</v>
      </c>
      <c r="J5398" t="s">
        <v>428</v>
      </c>
      <c r="K5398" t="s">
        <v>13</v>
      </c>
      <c r="L5398" t="s">
        <v>19</v>
      </c>
      <c r="M5398" t="s">
        <v>114</v>
      </c>
      <c r="N5398" s="2">
        <v>46203</v>
      </c>
    </row>
    <row r="5399" spans="1:14" x14ac:dyDescent="0.25">
      <c r="A5399" t="s">
        <v>662</v>
      </c>
      <c r="B5399" s="2">
        <v>46203</v>
      </c>
      <c r="C5399" t="s">
        <v>662</v>
      </c>
      <c r="D5399" t="s">
        <v>112</v>
      </c>
      <c r="E5399" t="s">
        <v>9</v>
      </c>
      <c r="F5399" s="3">
        <v>9000</v>
      </c>
      <c r="G5399" s="3">
        <v>9000</v>
      </c>
      <c r="H5399" t="s">
        <v>3</v>
      </c>
      <c r="I5399" t="s">
        <v>3</v>
      </c>
      <c r="J5399" t="s">
        <v>501</v>
      </c>
      <c r="K5399" t="s">
        <v>13</v>
      </c>
      <c r="L5399" t="s">
        <v>19</v>
      </c>
      <c r="M5399" t="s">
        <v>114</v>
      </c>
      <c r="N5399" s="2">
        <v>46203</v>
      </c>
    </row>
    <row r="5400" spans="1:14" x14ac:dyDescent="0.25">
      <c r="A5400" t="s">
        <v>662</v>
      </c>
      <c r="B5400" s="2">
        <v>46203</v>
      </c>
      <c r="C5400" t="s">
        <v>662</v>
      </c>
      <c r="D5400" t="s">
        <v>301</v>
      </c>
      <c r="E5400" t="s">
        <v>9</v>
      </c>
      <c r="F5400" s="3">
        <v>-33004.49</v>
      </c>
      <c r="G5400" s="3">
        <v>-33004.49</v>
      </c>
      <c r="H5400" t="s">
        <v>3</v>
      </c>
      <c r="I5400" t="s">
        <v>3</v>
      </c>
      <c r="J5400" t="s">
        <v>10</v>
      </c>
      <c r="K5400" t="s">
        <v>13</v>
      </c>
      <c r="L5400" t="s">
        <v>19</v>
      </c>
      <c r="M5400" t="s">
        <v>302</v>
      </c>
      <c r="N5400" s="2">
        <v>46203</v>
      </c>
    </row>
    <row r="5401" spans="1:14" x14ac:dyDescent="0.25">
      <c r="A5401" s="4" t="s">
        <v>224</v>
      </c>
      <c r="B5401" s="5"/>
      <c r="C5401" s="4" t="s">
        <v>9</v>
      </c>
      <c r="D5401" s="4" t="s">
        <v>9</v>
      </c>
      <c r="E5401" s="4" t="s">
        <v>9</v>
      </c>
      <c r="F5401" s="6">
        <v>0</v>
      </c>
      <c r="G5401" s="6">
        <v>0</v>
      </c>
      <c r="H5401" s="4" t="s">
        <v>9</v>
      </c>
      <c r="I5401" s="4" t="s">
        <v>3</v>
      </c>
      <c r="J5401" s="4" t="s">
        <v>9</v>
      </c>
      <c r="K5401" s="4" t="s">
        <v>9</v>
      </c>
      <c r="L5401" s="4" t="s">
        <v>9</v>
      </c>
      <c r="M5401" s="4" t="s">
        <v>9</v>
      </c>
      <c r="N5401" s="5"/>
    </row>
    <row r="5402" spans="1:14" x14ac:dyDescent="0.25">
      <c r="A5402" t="s">
        <v>662</v>
      </c>
      <c r="B5402" s="2">
        <v>46239</v>
      </c>
      <c r="C5402" t="s">
        <v>662</v>
      </c>
      <c r="D5402" t="s">
        <v>112</v>
      </c>
      <c r="E5402" t="s">
        <v>9</v>
      </c>
      <c r="F5402" s="3">
        <v>-33025.51</v>
      </c>
      <c r="G5402" s="3">
        <v>-33025.51</v>
      </c>
      <c r="H5402" t="s">
        <v>3</v>
      </c>
      <c r="I5402" t="s">
        <v>3</v>
      </c>
      <c r="J5402" t="s">
        <v>9</v>
      </c>
      <c r="K5402" t="s">
        <v>9</v>
      </c>
      <c r="L5402" t="s">
        <v>21</v>
      </c>
      <c r="M5402" t="s">
        <v>114</v>
      </c>
      <c r="N5402" s="2">
        <v>46234</v>
      </c>
    </row>
    <row r="5403" spans="1:14" x14ac:dyDescent="0.25">
      <c r="A5403" t="s">
        <v>662</v>
      </c>
      <c r="B5403" s="2">
        <v>46239</v>
      </c>
      <c r="C5403" t="s">
        <v>662</v>
      </c>
      <c r="D5403" t="s">
        <v>301</v>
      </c>
      <c r="E5403" t="s">
        <v>9</v>
      </c>
      <c r="F5403" s="3">
        <v>33025.51</v>
      </c>
      <c r="G5403" s="3">
        <v>33025.51</v>
      </c>
      <c r="H5403" t="s">
        <v>3</v>
      </c>
      <c r="I5403" t="s">
        <v>3</v>
      </c>
      <c r="J5403" t="s">
        <v>9</v>
      </c>
      <c r="K5403" t="s">
        <v>9</v>
      </c>
      <c r="L5403" t="s">
        <v>21</v>
      </c>
      <c r="M5403" t="s">
        <v>302</v>
      </c>
      <c r="N5403" s="2">
        <v>46234</v>
      </c>
    </row>
    <row r="5404" spans="1:14" x14ac:dyDescent="0.25">
      <c r="A5404" t="s">
        <v>662</v>
      </c>
      <c r="B5404" s="2">
        <v>46203</v>
      </c>
      <c r="C5404" t="s">
        <v>662</v>
      </c>
      <c r="D5404" t="s">
        <v>112</v>
      </c>
      <c r="E5404" t="s">
        <v>9</v>
      </c>
      <c r="F5404" s="3">
        <v>-90604.49</v>
      </c>
      <c r="G5404" s="3">
        <v>-90604.49</v>
      </c>
      <c r="H5404" t="s">
        <v>3</v>
      </c>
      <c r="I5404" t="s">
        <v>3</v>
      </c>
      <c r="J5404" t="s">
        <v>316</v>
      </c>
      <c r="K5404" t="s">
        <v>13</v>
      </c>
      <c r="L5404" t="s">
        <v>21</v>
      </c>
      <c r="M5404" t="s">
        <v>114</v>
      </c>
      <c r="N5404" s="2">
        <v>46204</v>
      </c>
    </row>
    <row r="5405" spans="1:14" x14ac:dyDescent="0.25">
      <c r="A5405" t="s">
        <v>662</v>
      </c>
      <c r="B5405" s="2">
        <v>46203</v>
      </c>
      <c r="C5405" t="s">
        <v>662</v>
      </c>
      <c r="D5405" t="s">
        <v>112</v>
      </c>
      <c r="E5405" t="s">
        <v>9</v>
      </c>
      <c r="F5405" s="3">
        <v>-266016</v>
      </c>
      <c r="G5405" s="3">
        <v>-266016</v>
      </c>
      <c r="H5405" t="s">
        <v>3</v>
      </c>
      <c r="I5405" t="s">
        <v>3</v>
      </c>
      <c r="J5405" t="s">
        <v>428</v>
      </c>
      <c r="K5405" t="s">
        <v>13</v>
      </c>
      <c r="L5405" t="s">
        <v>21</v>
      </c>
      <c r="M5405" t="s">
        <v>114</v>
      </c>
      <c r="N5405" s="2">
        <v>46204</v>
      </c>
    </row>
    <row r="5406" spans="1:14" x14ac:dyDescent="0.25">
      <c r="A5406" t="s">
        <v>662</v>
      </c>
      <c r="B5406" s="2">
        <v>46203</v>
      </c>
      <c r="C5406" t="s">
        <v>662</v>
      </c>
      <c r="D5406" t="s">
        <v>112</v>
      </c>
      <c r="E5406" t="s">
        <v>9</v>
      </c>
      <c r="F5406" s="3">
        <v>-9000</v>
      </c>
      <c r="G5406" s="3">
        <v>-9000</v>
      </c>
      <c r="H5406" t="s">
        <v>3</v>
      </c>
      <c r="I5406" t="s">
        <v>3</v>
      </c>
      <c r="J5406" t="s">
        <v>501</v>
      </c>
      <c r="K5406" t="s">
        <v>13</v>
      </c>
      <c r="L5406" t="s">
        <v>21</v>
      </c>
      <c r="M5406" t="s">
        <v>114</v>
      </c>
      <c r="N5406" s="2">
        <v>46204</v>
      </c>
    </row>
    <row r="5407" spans="1:14" x14ac:dyDescent="0.25">
      <c r="A5407" t="s">
        <v>662</v>
      </c>
      <c r="B5407" s="2">
        <v>46234</v>
      </c>
      <c r="C5407" t="s">
        <v>662</v>
      </c>
      <c r="D5407" t="s">
        <v>301</v>
      </c>
      <c r="E5407" t="s">
        <v>9</v>
      </c>
      <c r="F5407" s="3">
        <v>-33025.51</v>
      </c>
      <c r="G5407" s="3">
        <v>-33025.51</v>
      </c>
      <c r="H5407" t="s">
        <v>3</v>
      </c>
      <c r="I5407" t="s">
        <v>3</v>
      </c>
      <c r="J5407" t="s">
        <v>10</v>
      </c>
      <c r="K5407" t="s">
        <v>13</v>
      </c>
      <c r="L5407" t="s">
        <v>21</v>
      </c>
      <c r="M5407" t="s">
        <v>302</v>
      </c>
      <c r="N5407" s="2">
        <v>46234</v>
      </c>
    </row>
    <row r="5408" spans="1:14" x14ac:dyDescent="0.25">
      <c r="A5408" t="s">
        <v>662</v>
      </c>
      <c r="B5408" s="2">
        <v>46234</v>
      </c>
      <c r="C5408" t="s">
        <v>662</v>
      </c>
      <c r="D5408" t="s">
        <v>112</v>
      </c>
      <c r="E5408" t="s">
        <v>9</v>
      </c>
      <c r="F5408" s="3">
        <v>100080</v>
      </c>
      <c r="G5408" s="3">
        <v>100080</v>
      </c>
      <c r="H5408" t="s">
        <v>3</v>
      </c>
      <c r="I5408" t="s">
        <v>3</v>
      </c>
      <c r="J5408" t="s">
        <v>319</v>
      </c>
      <c r="K5408" t="s">
        <v>13</v>
      </c>
      <c r="L5408" t="s">
        <v>21</v>
      </c>
      <c r="M5408" t="s">
        <v>114</v>
      </c>
      <c r="N5408" s="2">
        <v>46234</v>
      </c>
    </row>
    <row r="5409" spans="1:14" x14ac:dyDescent="0.25">
      <c r="A5409" t="s">
        <v>662</v>
      </c>
      <c r="B5409" s="2">
        <v>46234</v>
      </c>
      <c r="C5409" t="s">
        <v>662</v>
      </c>
      <c r="D5409" t="s">
        <v>112</v>
      </c>
      <c r="E5409" t="s">
        <v>9</v>
      </c>
      <c r="F5409" s="3">
        <v>289566</v>
      </c>
      <c r="G5409" s="3">
        <v>289566</v>
      </c>
      <c r="H5409" t="s">
        <v>3</v>
      </c>
      <c r="I5409" t="s">
        <v>3</v>
      </c>
      <c r="J5409" t="s">
        <v>429</v>
      </c>
      <c r="K5409" t="s">
        <v>13</v>
      </c>
      <c r="L5409" t="s">
        <v>21</v>
      </c>
      <c r="M5409" t="s">
        <v>114</v>
      </c>
      <c r="N5409" s="2">
        <v>46234</v>
      </c>
    </row>
    <row r="5410" spans="1:14" x14ac:dyDescent="0.25">
      <c r="A5410" t="s">
        <v>662</v>
      </c>
      <c r="B5410" s="2">
        <v>46234</v>
      </c>
      <c r="C5410" t="s">
        <v>662</v>
      </c>
      <c r="D5410" t="s">
        <v>112</v>
      </c>
      <c r="E5410" t="s">
        <v>9</v>
      </c>
      <c r="F5410" s="3">
        <v>9000</v>
      </c>
      <c r="G5410" s="3">
        <v>9000</v>
      </c>
      <c r="H5410" t="s">
        <v>3</v>
      </c>
      <c r="I5410" t="s">
        <v>3</v>
      </c>
      <c r="J5410" t="s">
        <v>502</v>
      </c>
      <c r="K5410" t="s">
        <v>13</v>
      </c>
      <c r="L5410" t="s">
        <v>21</v>
      </c>
      <c r="M5410" t="s">
        <v>114</v>
      </c>
      <c r="N5410" s="2">
        <v>46234</v>
      </c>
    </row>
    <row r="5411" spans="1:14" x14ac:dyDescent="0.25">
      <c r="A5411" s="4" t="s">
        <v>262</v>
      </c>
      <c r="B5411" s="5"/>
      <c r="C5411" s="4" t="s">
        <v>9</v>
      </c>
      <c r="D5411" s="4" t="s">
        <v>9</v>
      </c>
      <c r="E5411" s="4" t="s">
        <v>9</v>
      </c>
      <c r="F5411" s="6">
        <v>0</v>
      </c>
      <c r="G5411" s="6">
        <v>0</v>
      </c>
      <c r="H5411" s="4" t="s">
        <v>9</v>
      </c>
      <c r="I5411" s="4" t="s">
        <v>3</v>
      </c>
      <c r="J5411" s="4" t="s">
        <v>9</v>
      </c>
      <c r="K5411" s="4" t="s">
        <v>9</v>
      </c>
      <c r="L5411" s="4" t="s">
        <v>9</v>
      </c>
      <c r="M5411" s="4" t="s">
        <v>9</v>
      </c>
      <c r="N5411" s="5"/>
    </row>
    <row r="5412" spans="1:14" x14ac:dyDescent="0.25">
      <c r="A5412" t="s">
        <v>662</v>
      </c>
      <c r="B5412" s="2">
        <v>46267</v>
      </c>
      <c r="C5412" t="s">
        <v>662</v>
      </c>
      <c r="D5412" t="s">
        <v>112</v>
      </c>
      <c r="E5412" t="s">
        <v>9</v>
      </c>
      <c r="F5412" s="3">
        <v>-18040</v>
      </c>
      <c r="G5412" s="3">
        <v>-18040</v>
      </c>
      <c r="H5412" t="s">
        <v>3</v>
      </c>
      <c r="I5412" t="s">
        <v>3</v>
      </c>
      <c r="J5412" t="s">
        <v>9</v>
      </c>
      <c r="K5412" t="s">
        <v>9</v>
      </c>
      <c r="L5412" t="s">
        <v>22</v>
      </c>
      <c r="M5412" t="s">
        <v>114</v>
      </c>
      <c r="N5412" s="2">
        <v>46265</v>
      </c>
    </row>
    <row r="5413" spans="1:14" x14ac:dyDescent="0.25">
      <c r="A5413" t="s">
        <v>662</v>
      </c>
      <c r="B5413" s="2">
        <v>46267</v>
      </c>
      <c r="C5413" t="s">
        <v>662</v>
      </c>
      <c r="D5413" t="s">
        <v>301</v>
      </c>
      <c r="E5413" t="s">
        <v>9</v>
      </c>
      <c r="F5413" s="3">
        <v>18040</v>
      </c>
      <c r="G5413" s="3">
        <v>18040</v>
      </c>
      <c r="H5413" t="s">
        <v>3</v>
      </c>
      <c r="I5413" t="s">
        <v>3</v>
      </c>
      <c r="J5413" t="s">
        <v>9</v>
      </c>
      <c r="K5413" t="s">
        <v>9</v>
      </c>
      <c r="L5413" t="s">
        <v>22</v>
      </c>
      <c r="M5413" t="s">
        <v>302</v>
      </c>
      <c r="N5413" s="2">
        <v>46265</v>
      </c>
    </row>
    <row r="5414" spans="1:14" x14ac:dyDescent="0.25">
      <c r="A5414" t="s">
        <v>662</v>
      </c>
      <c r="B5414" s="2">
        <v>46234</v>
      </c>
      <c r="C5414" t="s">
        <v>662</v>
      </c>
      <c r="D5414" t="s">
        <v>112</v>
      </c>
      <c r="E5414" t="s">
        <v>9</v>
      </c>
      <c r="F5414" s="3">
        <v>-100080</v>
      </c>
      <c r="G5414" s="3">
        <v>-100080</v>
      </c>
      <c r="H5414" t="s">
        <v>3</v>
      </c>
      <c r="I5414" t="s">
        <v>3</v>
      </c>
      <c r="J5414" t="s">
        <v>319</v>
      </c>
      <c r="K5414" t="s">
        <v>13</v>
      </c>
      <c r="L5414" t="s">
        <v>22</v>
      </c>
      <c r="M5414" t="s">
        <v>114</v>
      </c>
      <c r="N5414" s="2">
        <v>46235</v>
      </c>
    </row>
    <row r="5415" spans="1:14" x14ac:dyDescent="0.25">
      <c r="A5415" t="s">
        <v>662</v>
      </c>
      <c r="B5415" s="2">
        <v>46234</v>
      </c>
      <c r="C5415" t="s">
        <v>662</v>
      </c>
      <c r="D5415" t="s">
        <v>112</v>
      </c>
      <c r="E5415" t="s">
        <v>9</v>
      </c>
      <c r="F5415" s="3">
        <v>-289566</v>
      </c>
      <c r="G5415" s="3">
        <v>-289566</v>
      </c>
      <c r="H5415" t="s">
        <v>3</v>
      </c>
      <c r="I5415" t="s">
        <v>3</v>
      </c>
      <c r="J5415" t="s">
        <v>429</v>
      </c>
      <c r="K5415" t="s">
        <v>13</v>
      </c>
      <c r="L5415" t="s">
        <v>22</v>
      </c>
      <c r="M5415" t="s">
        <v>114</v>
      </c>
      <c r="N5415" s="2">
        <v>46235</v>
      </c>
    </row>
    <row r="5416" spans="1:14" x14ac:dyDescent="0.25">
      <c r="A5416" t="s">
        <v>662</v>
      </c>
      <c r="B5416" s="2">
        <v>46234</v>
      </c>
      <c r="C5416" t="s">
        <v>662</v>
      </c>
      <c r="D5416" t="s">
        <v>112</v>
      </c>
      <c r="E5416" t="s">
        <v>9</v>
      </c>
      <c r="F5416" s="3">
        <v>-9000</v>
      </c>
      <c r="G5416" s="3">
        <v>-9000</v>
      </c>
      <c r="H5416" t="s">
        <v>3</v>
      </c>
      <c r="I5416" t="s">
        <v>3</v>
      </c>
      <c r="J5416" t="s">
        <v>502</v>
      </c>
      <c r="K5416" t="s">
        <v>13</v>
      </c>
      <c r="L5416" t="s">
        <v>22</v>
      </c>
      <c r="M5416" t="s">
        <v>114</v>
      </c>
      <c r="N5416" s="2">
        <v>46235</v>
      </c>
    </row>
    <row r="5417" spans="1:14" x14ac:dyDescent="0.25">
      <c r="A5417" t="s">
        <v>662</v>
      </c>
      <c r="B5417" s="2">
        <v>46265</v>
      </c>
      <c r="C5417" t="s">
        <v>662</v>
      </c>
      <c r="D5417" t="s">
        <v>112</v>
      </c>
      <c r="E5417" t="s">
        <v>9</v>
      </c>
      <c r="F5417" s="3">
        <v>99600</v>
      </c>
      <c r="G5417" s="3">
        <v>99600</v>
      </c>
      <c r="H5417" t="s">
        <v>3</v>
      </c>
      <c r="I5417" t="s">
        <v>3</v>
      </c>
      <c r="J5417" t="s">
        <v>322</v>
      </c>
      <c r="K5417" t="s">
        <v>13</v>
      </c>
      <c r="L5417" t="s">
        <v>22</v>
      </c>
      <c r="M5417" t="s">
        <v>114</v>
      </c>
      <c r="N5417" s="2">
        <v>46265</v>
      </c>
    </row>
    <row r="5418" spans="1:14" x14ac:dyDescent="0.25">
      <c r="A5418" t="s">
        <v>662</v>
      </c>
      <c r="B5418" s="2">
        <v>46265</v>
      </c>
      <c r="C5418" t="s">
        <v>662</v>
      </c>
      <c r="D5418" t="s">
        <v>112</v>
      </c>
      <c r="E5418" t="s">
        <v>9</v>
      </c>
      <c r="F5418" s="3">
        <v>302866</v>
      </c>
      <c r="G5418" s="3">
        <v>302866</v>
      </c>
      <c r="H5418" t="s">
        <v>3</v>
      </c>
      <c r="I5418" t="s">
        <v>3</v>
      </c>
      <c r="J5418" t="s">
        <v>431</v>
      </c>
      <c r="K5418" t="s">
        <v>13</v>
      </c>
      <c r="L5418" t="s">
        <v>22</v>
      </c>
      <c r="M5418" t="s">
        <v>114</v>
      </c>
      <c r="N5418" s="2">
        <v>46265</v>
      </c>
    </row>
    <row r="5419" spans="1:14" x14ac:dyDescent="0.25">
      <c r="A5419" t="s">
        <v>662</v>
      </c>
      <c r="B5419" s="2">
        <v>46265</v>
      </c>
      <c r="C5419" t="s">
        <v>662</v>
      </c>
      <c r="D5419" t="s">
        <v>112</v>
      </c>
      <c r="E5419" t="s">
        <v>9</v>
      </c>
      <c r="F5419" s="3">
        <v>14220</v>
      </c>
      <c r="G5419" s="3">
        <v>14220</v>
      </c>
      <c r="H5419" t="s">
        <v>3</v>
      </c>
      <c r="I5419" t="s">
        <v>3</v>
      </c>
      <c r="J5419" t="s">
        <v>503</v>
      </c>
      <c r="K5419" t="s">
        <v>13</v>
      </c>
      <c r="L5419" t="s">
        <v>22</v>
      </c>
      <c r="M5419" t="s">
        <v>114</v>
      </c>
      <c r="N5419" s="2">
        <v>46265</v>
      </c>
    </row>
    <row r="5420" spans="1:14" x14ac:dyDescent="0.25">
      <c r="A5420" t="s">
        <v>662</v>
      </c>
      <c r="B5420" s="2">
        <v>46265</v>
      </c>
      <c r="C5420" t="s">
        <v>662</v>
      </c>
      <c r="D5420" t="s">
        <v>301</v>
      </c>
      <c r="E5420" t="s">
        <v>9</v>
      </c>
      <c r="F5420" s="3">
        <v>-18040</v>
      </c>
      <c r="G5420" s="3">
        <v>-18040</v>
      </c>
      <c r="H5420" t="s">
        <v>3</v>
      </c>
      <c r="I5420" t="s">
        <v>3</v>
      </c>
      <c r="J5420" t="s">
        <v>10</v>
      </c>
      <c r="K5420" t="s">
        <v>13</v>
      </c>
      <c r="L5420" t="s">
        <v>22</v>
      </c>
      <c r="M5420" t="s">
        <v>302</v>
      </c>
      <c r="N5420" s="2">
        <v>46265</v>
      </c>
    </row>
    <row r="5421" spans="1:14" x14ac:dyDescent="0.25">
      <c r="A5421" s="4" t="s">
        <v>267</v>
      </c>
      <c r="B5421" s="5"/>
      <c r="C5421" s="4" t="s">
        <v>9</v>
      </c>
      <c r="D5421" s="4" t="s">
        <v>9</v>
      </c>
      <c r="E5421" s="4" t="s">
        <v>9</v>
      </c>
      <c r="F5421" s="6">
        <v>0</v>
      </c>
      <c r="G5421" s="6">
        <v>0</v>
      </c>
      <c r="H5421" s="4" t="s">
        <v>9</v>
      </c>
      <c r="I5421" s="4" t="s">
        <v>3</v>
      </c>
      <c r="J5421" s="4" t="s">
        <v>9</v>
      </c>
      <c r="K5421" s="4" t="s">
        <v>9</v>
      </c>
      <c r="L5421" s="4" t="s">
        <v>9</v>
      </c>
      <c r="M5421" s="4" t="s">
        <v>9</v>
      </c>
      <c r="N5421" s="5"/>
    </row>
    <row r="5422" spans="1:14" x14ac:dyDescent="0.25">
      <c r="A5422" s="4" t="s">
        <v>662</v>
      </c>
      <c r="B5422" s="5"/>
      <c r="C5422" s="4" t="s">
        <v>9</v>
      </c>
      <c r="D5422" s="4" t="s">
        <v>9</v>
      </c>
      <c r="E5422" s="4" t="s">
        <v>9</v>
      </c>
      <c r="F5422" s="6">
        <v>0</v>
      </c>
      <c r="G5422" s="6">
        <v>0</v>
      </c>
      <c r="H5422" s="4" t="s">
        <v>9</v>
      </c>
      <c r="I5422" s="4" t="s">
        <v>3</v>
      </c>
      <c r="J5422" s="4" t="s">
        <v>9</v>
      </c>
      <c r="K5422" s="4" t="s">
        <v>9</v>
      </c>
      <c r="L5422" s="4" t="s">
        <v>9</v>
      </c>
      <c r="M5422" s="4" t="s">
        <v>9</v>
      </c>
      <c r="N5422" s="5"/>
    </row>
    <row r="5423" spans="1:14" x14ac:dyDescent="0.25">
      <c r="A5423" t="s">
        <v>663</v>
      </c>
      <c r="B5423" s="2">
        <v>46115</v>
      </c>
      <c r="C5423" t="s">
        <v>663</v>
      </c>
      <c r="D5423" t="s">
        <v>51</v>
      </c>
      <c r="E5423" t="s">
        <v>9</v>
      </c>
      <c r="F5423" s="3">
        <v>-5250</v>
      </c>
      <c r="G5423" s="3">
        <v>-5250</v>
      </c>
      <c r="H5423" t="s">
        <v>3</v>
      </c>
      <c r="I5423" t="s">
        <v>3</v>
      </c>
      <c r="J5423" t="s">
        <v>9</v>
      </c>
      <c r="K5423" t="s">
        <v>9</v>
      </c>
      <c r="L5423" t="s">
        <v>16</v>
      </c>
      <c r="M5423" t="s">
        <v>53</v>
      </c>
      <c r="N5423" s="2">
        <v>46112</v>
      </c>
    </row>
    <row r="5424" spans="1:14" x14ac:dyDescent="0.25">
      <c r="A5424" t="s">
        <v>663</v>
      </c>
      <c r="B5424" s="2">
        <v>46090</v>
      </c>
      <c r="C5424" t="s">
        <v>663</v>
      </c>
      <c r="D5424" t="s">
        <v>51</v>
      </c>
      <c r="E5424" t="s">
        <v>664</v>
      </c>
      <c r="F5424" s="3">
        <v>5250</v>
      </c>
      <c r="G5424" s="3">
        <v>5250</v>
      </c>
      <c r="H5424" t="s">
        <v>3</v>
      </c>
      <c r="I5424" t="s">
        <v>3</v>
      </c>
      <c r="J5424" t="s">
        <v>665</v>
      </c>
      <c r="K5424" t="s">
        <v>13</v>
      </c>
      <c r="L5424" t="s">
        <v>16</v>
      </c>
      <c r="M5424" t="s">
        <v>53</v>
      </c>
      <c r="N5424" s="2">
        <v>46090</v>
      </c>
    </row>
    <row r="5425" spans="1:14" x14ac:dyDescent="0.25">
      <c r="A5425" s="4" t="s">
        <v>244</v>
      </c>
      <c r="B5425" s="5"/>
      <c r="C5425" s="4" t="s">
        <v>9</v>
      </c>
      <c r="D5425" s="4" t="s">
        <v>9</v>
      </c>
      <c r="E5425" s="4" t="s">
        <v>9</v>
      </c>
      <c r="F5425" s="6">
        <v>0</v>
      </c>
      <c r="G5425" s="6">
        <v>0</v>
      </c>
      <c r="H5425" s="4" t="s">
        <v>9</v>
      </c>
      <c r="I5425" s="4" t="s">
        <v>3</v>
      </c>
      <c r="J5425" s="4" t="s">
        <v>9</v>
      </c>
      <c r="K5425" s="4" t="s">
        <v>9</v>
      </c>
      <c r="L5425" s="4" t="s">
        <v>9</v>
      </c>
      <c r="M5425" s="4" t="s">
        <v>9</v>
      </c>
      <c r="N5425" s="5"/>
    </row>
    <row r="5426" spans="1:14" x14ac:dyDescent="0.25">
      <c r="A5426" s="4" t="s">
        <v>663</v>
      </c>
      <c r="B5426" s="5"/>
      <c r="C5426" s="4" t="s">
        <v>9</v>
      </c>
      <c r="D5426" s="4" t="s">
        <v>9</v>
      </c>
      <c r="E5426" s="4" t="s">
        <v>9</v>
      </c>
      <c r="F5426" s="6">
        <v>0</v>
      </c>
      <c r="G5426" s="6">
        <v>0</v>
      </c>
      <c r="H5426" s="4" t="s">
        <v>9</v>
      </c>
      <c r="I5426" s="4" t="s">
        <v>3</v>
      </c>
      <c r="J5426" s="4" t="s">
        <v>9</v>
      </c>
      <c r="K5426" s="4" t="s">
        <v>9</v>
      </c>
      <c r="L5426" s="4" t="s">
        <v>9</v>
      </c>
      <c r="M5426" s="4" t="s">
        <v>9</v>
      </c>
      <c r="N5426" s="5"/>
    </row>
    <row r="5427" spans="1:14" x14ac:dyDescent="0.25">
      <c r="A5427" t="s">
        <v>666</v>
      </c>
      <c r="B5427" s="2">
        <v>46147</v>
      </c>
      <c r="C5427" t="s">
        <v>666</v>
      </c>
      <c r="D5427" t="s">
        <v>112</v>
      </c>
      <c r="E5427" t="s">
        <v>9</v>
      </c>
      <c r="F5427" s="3">
        <v>-108488.5</v>
      </c>
      <c r="G5427" s="3">
        <v>-108488.5</v>
      </c>
      <c r="H5427" t="s">
        <v>3</v>
      </c>
      <c r="I5427" t="s">
        <v>3</v>
      </c>
      <c r="J5427" t="s">
        <v>9</v>
      </c>
      <c r="K5427" t="s">
        <v>9</v>
      </c>
      <c r="L5427" t="s">
        <v>17</v>
      </c>
      <c r="M5427" t="s">
        <v>114</v>
      </c>
      <c r="N5427" s="2">
        <v>46142</v>
      </c>
    </row>
    <row r="5428" spans="1:14" x14ac:dyDescent="0.25">
      <c r="A5428" t="s">
        <v>666</v>
      </c>
      <c r="B5428" s="2">
        <v>46142</v>
      </c>
      <c r="C5428" t="s">
        <v>666</v>
      </c>
      <c r="D5428" t="s">
        <v>112</v>
      </c>
      <c r="E5428" t="s">
        <v>9</v>
      </c>
      <c r="F5428" s="3">
        <v>24500</v>
      </c>
      <c r="G5428" s="3">
        <v>24500</v>
      </c>
      <c r="H5428" t="s">
        <v>3</v>
      </c>
      <c r="I5428" t="s">
        <v>3</v>
      </c>
      <c r="J5428" t="s">
        <v>310</v>
      </c>
      <c r="K5428" t="s">
        <v>13</v>
      </c>
      <c r="L5428" t="s">
        <v>17</v>
      </c>
      <c r="M5428" t="s">
        <v>114</v>
      </c>
      <c r="N5428" s="2">
        <v>46142</v>
      </c>
    </row>
    <row r="5429" spans="1:14" x14ac:dyDescent="0.25">
      <c r="A5429" t="s">
        <v>666</v>
      </c>
      <c r="B5429" s="2">
        <v>46142</v>
      </c>
      <c r="C5429" t="s">
        <v>666</v>
      </c>
      <c r="D5429" t="s">
        <v>112</v>
      </c>
      <c r="E5429" t="s">
        <v>9</v>
      </c>
      <c r="F5429" s="3">
        <v>900</v>
      </c>
      <c r="G5429" s="3">
        <v>900</v>
      </c>
      <c r="H5429" t="s">
        <v>3</v>
      </c>
      <c r="I5429" t="s">
        <v>3</v>
      </c>
      <c r="J5429" t="s">
        <v>370</v>
      </c>
      <c r="K5429" t="s">
        <v>13</v>
      </c>
      <c r="L5429" t="s">
        <v>17</v>
      </c>
      <c r="M5429" t="s">
        <v>114</v>
      </c>
      <c r="N5429" s="2">
        <v>46142</v>
      </c>
    </row>
    <row r="5430" spans="1:14" x14ac:dyDescent="0.25">
      <c r="A5430" t="s">
        <v>666</v>
      </c>
      <c r="B5430" s="2">
        <v>46142</v>
      </c>
      <c r="C5430" t="s">
        <v>666</v>
      </c>
      <c r="D5430" t="s">
        <v>112</v>
      </c>
      <c r="E5430" t="s">
        <v>9</v>
      </c>
      <c r="F5430" s="3">
        <v>83088.5</v>
      </c>
      <c r="G5430" s="3">
        <v>83088.5</v>
      </c>
      <c r="H5430" t="s">
        <v>3</v>
      </c>
      <c r="I5430" t="s">
        <v>3</v>
      </c>
      <c r="J5430" t="s">
        <v>423</v>
      </c>
      <c r="K5430" t="s">
        <v>13</v>
      </c>
      <c r="L5430" t="s">
        <v>17</v>
      </c>
      <c r="M5430" t="s">
        <v>114</v>
      </c>
      <c r="N5430" s="2">
        <v>46142</v>
      </c>
    </row>
    <row r="5431" spans="1:14" x14ac:dyDescent="0.25">
      <c r="A5431" s="4" t="s">
        <v>249</v>
      </c>
      <c r="B5431" s="5"/>
      <c r="C5431" s="4" t="s">
        <v>9</v>
      </c>
      <c r="D5431" s="4" t="s">
        <v>9</v>
      </c>
      <c r="E5431" s="4" t="s">
        <v>9</v>
      </c>
      <c r="F5431" s="6">
        <v>0</v>
      </c>
      <c r="G5431" s="6">
        <v>0</v>
      </c>
      <c r="H5431" s="4" t="s">
        <v>9</v>
      </c>
      <c r="I5431" s="4" t="s">
        <v>3</v>
      </c>
      <c r="J5431" s="4" t="s">
        <v>9</v>
      </c>
      <c r="K5431" s="4" t="s">
        <v>9</v>
      </c>
      <c r="L5431" s="4" t="s">
        <v>9</v>
      </c>
      <c r="M5431" s="4" t="s">
        <v>9</v>
      </c>
      <c r="N5431" s="5"/>
    </row>
    <row r="5432" spans="1:14" x14ac:dyDescent="0.25">
      <c r="A5432" t="s">
        <v>666</v>
      </c>
      <c r="B5432" s="2">
        <v>46175</v>
      </c>
      <c r="C5432" t="s">
        <v>666</v>
      </c>
      <c r="D5432" t="s">
        <v>112</v>
      </c>
      <c r="E5432" t="s">
        <v>9</v>
      </c>
      <c r="F5432" s="3">
        <v>-5635</v>
      </c>
      <c r="G5432" s="3">
        <v>-5635</v>
      </c>
      <c r="H5432" t="s">
        <v>3</v>
      </c>
      <c r="I5432" t="s">
        <v>3</v>
      </c>
      <c r="J5432" t="s">
        <v>9</v>
      </c>
      <c r="K5432" t="s">
        <v>9</v>
      </c>
      <c r="L5432" t="s">
        <v>18</v>
      </c>
      <c r="M5432" t="s">
        <v>114</v>
      </c>
      <c r="N5432" s="2">
        <v>46173</v>
      </c>
    </row>
    <row r="5433" spans="1:14" x14ac:dyDescent="0.25">
      <c r="A5433" t="s">
        <v>666</v>
      </c>
      <c r="B5433" s="2">
        <v>46142</v>
      </c>
      <c r="C5433" t="s">
        <v>666</v>
      </c>
      <c r="D5433" t="s">
        <v>112</v>
      </c>
      <c r="E5433" t="s">
        <v>9</v>
      </c>
      <c r="F5433" s="3">
        <v>-24500</v>
      </c>
      <c r="G5433" s="3">
        <v>-24500</v>
      </c>
      <c r="H5433" t="s">
        <v>3</v>
      </c>
      <c r="I5433" t="s">
        <v>3</v>
      </c>
      <c r="J5433" t="s">
        <v>310</v>
      </c>
      <c r="K5433" t="s">
        <v>13</v>
      </c>
      <c r="L5433" t="s">
        <v>18</v>
      </c>
      <c r="M5433" t="s">
        <v>114</v>
      </c>
      <c r="N5433" s="2">
        <v>46143</v>
      </c>
    </row>
    <row r="5434" spans="1:14" x14ac:dyDescent="0.25">
      <c r="A5434" t="s">
        <v>666</v>
      </c>
      <c r="B5434" s="2">
        <v>46142</v>
      </c>
      <c r="C5434" t="s">
        <v>666</v>
      </c>
      <c r="D5434" t="s">
        <v>112</v>
      </c>
      <c r="E5434" t="s">
        <v>9</v>
      </c>
      <c r="F5434" s="3">
        <v>-900</v>
      </c>
      <c r="G5434" s="3">
        <v>-900</v>
      </c>
      <c r="H5434" t="s">
        <v>3</v>
      </c>
      <c r="I5434" t="s">
        <v>3</v>
      </c>
      <c r="J5434" t="s">
        <v>370</v>
      </c>
      <c r="K5434" t="s">
        <v>13</v>
      </c>
      <c r="L5434" t="s">
        <v>18</v>
      </c>
      <c r="M5434" t="s">
        <v>114</v>
      </c>
      <c r="N5434" s="2">
        <v>46143</v>
      </c>
    </row>
    <row r="5435" spans="1:14" x14ac:dyDescent="0.25">
      <c r="A5435" t="s">
        <v>666</v>
      </c>
      <c r="B5435" s="2">
        <v>46142</v>
      </c>
      <c r="C5435" t="s">
        <v>666</v>
      </c>
      <c r="D5435" t="s">
        <v>112</v>
      </c>
      <c r="E5435" t="s">
        <v>9</v>
      </c>
      <c r="F5435" s="3">
        <v>-83088.5</v>
      </c>
      <c r="G5435" s="3">
        <v>-83088.5</v>
      </c>
      <c r="H5435" t="s">
        <v>3</v>
      </c>
      <c r="I5435" t="s">
        <v>3</v>
      </c>
      <c r="J5435" t="s">
        <v>423</v>
      </c>
      <c r="K5435" t="s">
        <v>13</v>
      </c>
      <c r="L5435" t="s">
        <v>18</v>
      </c>
      <c r="M5435" t="s">
        <v>114</v>
      </c>
      <c r="N5435" s="2">
        <v>46143</v>
      </c>
    </row>
    <row r="5436" spans="1:14" x14ac:dyDescent="0.25">
      <c r="A5436" t="s">
        <v>666</v>
      </c>
      <c r="B5436" s="2">
        <v>46173</v>
      </c>
      <c r="C5436" t="s">
        <v>666</v>
      </c>
      <c r="D5436" t="s">
        <v>112</v>
      </c>
      <c r="E5436" t="s">
        <v>9</v>
      </c>
      <c r="F5436" s="3">
        <v>25300</v>
      </c>
      <c r="G5436" s="3">
        <v>25300</v>
      </c>
      <c r="H5436" t="s">
        <v>3</v>
      </c>
      <c r="I5436" t="s">
        <v>3</v>
      </c>
      <c r="J5436" t="s">
        <v>313</v>
      </c>
      <c r="K5436" t="s">
        <v>13</v>
      </c>
      <c r="L5436" t="s">
        <v>18</v>
      </c>
      <c r="M5436" t="s">
        <v>114</v>
      </c>
      <c r="N5436" s="2">
        <v>46173</v>
      </c>
    </row>
    <row r="5437" spans="1:14" x14ac:dyDescent="0.25">
      <c r="A5437" t="s">
        <v>666</v>
      </c>
      <c r="B5437" s="2">
        <v>46173</v>
      </c>
      <c r="C5437" t="s">
        <v>666</v>
      </c>
      <c r="D5437" t="s">
        <v>112</v>
      </c>
      <c r="E5437" t="s">
        <v>9</v>
      </c>
      <c r="F5437" s="3">
        <v>900</v>
      </c>
      <c r="G5437" s="3">
        <v>900</v>
      </c>
      <c r="H5437" t="s">
        <v>3</v>
      </c>
      <c r="I5437" t="s">
        <v>3</v>
      </c>
      <c r="J5437" t="s">
        <v>371</v>
      </c>
      <c r="K5437" t="s">
        <v>13</v>
      </c>
      <c r="L5437" t="s">
        <v>18</v>
      </c>
      <c r="M5437" t="s">
        <v>114</v>
      </c>
      <c r="N5437" s="2">
        <v>46173</v>
      </c>
    </row>
    <row r="5438" spans="1:14" x14ac:dyDescent="0.25">
      <c r="A5438" t="s">
        <v>666</v>
      </c>
      <c r="B5438" s="2">
        <v>46173</v>
      </c>
      <c r="C5438" t="s">
        <v>666</v>
      </c>
      <c r="D5438" t="s">
        <v>112</v>
      </c>
      <c r="E5438" t="s">
        <v>9</v>
      </c>
      <c r="F5438" s="3">
        <v>87923.5</v>
      </c>
      <c r="G5438" s="3">
        <v>87923.5</v>
      </c>
      <c r="H5438" t="s">
        <v>3</v>
      </c>
      <c r="I5438" t="s">
        <v>3</v>
      </c>
      <c r="J5438" t="s">
        <v>427</v>
      </c>
      <c r="K5438" t="s">
        <v>13</v>
      </c>
      <c r="L5438" t="s">
        <v>18</v>
      </c>
      <c r="M5438" t="s">
        <v>114</v>
      </c>
      <c r="N5438" s="2">
        <v>46173</v>
      </c>
    </row>
    <row r="5439" spans="1:14" x14ac:dyDescent="0.25">
      <c r="A5439" s="4" t="s">
        <v>223</v>
      </c>
      <c r="B5439" s="5"/>
      <c r="C5439" s="4" t="s">
        <v>9</v>
      </c>
      <c r="D5439" s="4" t="s">
        <v>9</v>
      </c>
      <c r="E5439" s="4" t="s">
        <v>9</v>
      </c>
      <c r="F5439" s="6">
        <v>0</v>
      </c>
      <c r="G5439" s="6">
        <v>0</v>
      </c>
      <c r="H5439" s="4" t="s">
        <v>9</v>
      </c>
      <c r="I5439" s="4" t="s">
        <v>3</v>
      </c>
      <c r="J5439" s="4" t="s">
        <v>9</v>
      </c>
      <c r="K5439" s="4" t="s">
        <v>9</v>
      </c>
      <c r="L5439" s="4" t="s">
        <v>9</v>
      </c>
      <c r="M5439" s="4" t="s">
        <v>9</v>
      </c>
      <c r="N5439" s="5"/>
    </row>
    <row r="5440" spans="1:14" x14ac:dyDescent="0.25">
      <c r="A5440" t="s">
        <v>666</v>
      </c>
      <c r="B5440" s="2">
        <v>46205</v>
      </c>
      <c r="C5440" t="s">
        <v>666</v>
      </c>
      <c r="D5440" t="s">
        <v>112</v>
      </c>
      <c r="E5440" t="s">
        <v>9</v>
      </c>
      <c r="F5440" s="3">
        <v>-28795.94</v>
      </c>
      <c r="G5440" s="3">
        <v>-28795.94</v>
      </c>
      <c r="H5440" t="s">
        <v>3</v>
      </c>
      <c r="I5440" t="s">
        <v>3</v>
      </c>
      <c r="J5440" t="s">
        <v>9</v>
      </c>
      <c r="K5440" t="s">
        <v>9</v>
      </c>
      <c r="L5440" t="s">
        <v>19</v>
      </c>
      <c r="M5440" t="s">
        <v>114</v>
      </c>
      <c r="N5440" s="2">
        <v>46203</v>
      </c>
    </row>
    <row r="5441" spans="1:14" x14ac:dyDescent="0.25">
      <c r="A5441" t="s">
        <v>666</v>
      </c>
      <c r="B5441" s="2">
        <v>46205</v>
      </c>
      <c r="C5441" t="s">
        <v>666</v>
      </c>
      <c r="D5441" t="s">
        <v>301</v>
      </c>
      <c r="E5441" t="s">
        <v>9</v>
      </c>
      <c r="F5441" s="3">
        <v>100000</v>
      </c>
      <c r="G5441" s="3">
        <v>100000</v>
      </c>
      <c r="H5441" t="s">
        <v>3</v>
      </c>
      <c r="I5441" t="s">
        <v>3</v>
      </c>
      <c r="J5441" t="s">
        <v>9</v>
      </c>
      <c r="K5441" t="s">
        <v>9</v>
      </c>
      <c r="L5441" t="s">
        <v>19</v>
      </c>
      <c r="M5441" t="s">
        <v>302</v>
      </c>
      <c r="N5441" s="2">
        <v>46203</v>
      </c>
    </row>
    <row r="5442" spans="1:14" x14ac:dyDescent="0.25">
      <c r="A5442" t="s">
        <v>666</v>
      </c>
      <c r="B5442" s="2">
        <v>46173</v>
      </c>
      <c r="C5442" t="s">
        <v>666</v>
      </c>
      <c r="D5442" t="s">
        <v>112</v>
      </c>
      <c r="E5442" t="s">
        <v>9</v>
      </c>
      <c r="F5442" s="3">
        <v>-25300</v>
      </c>
      <c r="G5442" s="3">
        <v>-25300</v>
      </c>
      <c r="H5442" t="s">
        <v>3</v>
      </c>
      <c r="I5442" t="s">
        <v>3</v>
      </c>
      <c r="J5442" t="s">
        <v>313</v>
      </c>
      <c r="K5442" t="s">
        <v>13</v>
      </c>
      <c r="L5442" t="s">
        <v>19</v>
      </c>
      <c r="M5442" t="s">
        <v>114</v>
      </c>
      <c r="N5442" s="2">
        <v>46174</v>
      </c>
    </row>
    <row r="5443" spans="1:14" x14ac:dyDescent="0.25">
      <c r="A5443" t="s">
        <v>666</v>
      </c>
      <c r="B5443" s="2">
        <v>46173</v>
      </c>
      <c r="C5443" t="s">
        <v>666</v>
      </c>
      <c r="D5443" t="s">
        <v>112</v>
      </c>
      <c r="E5443" t="s">
        <v>9</v>
      </c>
      <c r="F5443" s="3">
        <v>-900</v>
      </c>
      <c r="G5443" s="3">
        <v>-900</v>
      </c>
      <c r="H5443" t="s">
        <v>3</v>
      </c>
      <c r="I5443" t="s">
        <v>3</v>
      </c>
      <c r="J5443" t="s">
        <v>371</v>
      </c>
      <c r="K5443" t="s">
        <v>13</v>
      </c>
      <c r="L5443" t="s">
        <v>19</v>
      </c>
      <c r="M5443" t="s">
        <v>114</v>
      </c>
      <c r="N5443" s="2">
        <v>46174</v>
      </c>
    </row>
    <row r="5444" spans="1:14" x14ac:dyDescent="0.25">
      <c r="A5444" t="s">
        <v>666</v>
      </c>
      <c r="B5444" s="2">
        <v>46173</v>
      </c>
      <c r="C5444" t="s">
        <v>666</v>
      </c>
      <c r="D5444" t="s">
        <v>112</v>
      </c>
      <c r="E5444" t="s">
        <v>9</v>
      </c>
      <c r="F5444" s="3">
        <v>-87923.5</v>
      </c>
      <c r="G5444" s="3">
        <v>-87923.5</v>
      </c>
      <c r="H5444" t="s">
        <v>3</v>
      </c>
      <c r="I5444" t="s">
        <v>3</v>
      </c>
      <c r="J5444" t="s">
        <v>427</v>
      </c>
      <c r="K5444" t="s">
        <v>13</v>
      </c>
      <c r="L5444" t="s">
        <v>19</v>
      </c>
      <c r="M5444" t="s">
        <v>114</v>
      </c>
      <c r="N5444" s="2">
        <v>46174</v>
      </c>
    </row>
    <row r="5445" spans="1:14" x14ac:dyDescent="0.25">
      <c r="A5445" t="s">
        <v>666</v>
      </c>
      <c r="B5445" s="2">
        <v>46203</v>
      </c>
      <c r="C5445" t="s">
        <v>666</v>
      </c>
      <c r="D5445" t="s">
        <v>112</v>
      </c>
      <c r="E5445" t="s">
        <v>9</v>
      </c>
      <c r="F5445" s="3">
        <v>42377.94</v>
      </c>
      <c r="G5445" s="3">
        <v>42377.94</v>
      </c>
      <c r="H5445" t="s">
        <v>3</v>
      </c>
      <c r="I5445" t="s">
        <v>3</v>
      </c>
      <c r="J5445" t="s">
        <v>316</v>
      </c>
      <c r="K5445" t="s">
        <v>13</v>
      </c>
      <c r="L5445" t="s">
        <v>19</v>
      </c>
      <c r="M5445" t="s">
        <v>114</v>
      </c>
      <c r="N5445" s="2">
        <v>46203</v>
      </c>
    </row>
    <row r="5446" spans="1:14" x14ac:dyDescent="0.25">
      <c r="A5446" t="s">
        <v>666</v>
      </c>
      <c r="B5446" s="2">
        <v>46203</v>
      </c>
      <c r="C5446" t="s">
        <v>666</v>
      </c>
      <c r="D5446" t="s">
        <v>112</v>
      </c>
      <c r="E5446" t="s">
        <v>9</v>
      </c>
      <c r="F5446" s="3">
        <v>900</v>
      </c>
      <c r="G5446" s="3">
        <v>900</v>
      </c>
      <c r="H5446" t="s">
        <v>3</v>
      </c>
      <c r="I5446" t="s">
        <v>3</v>
      </c>
      <c r="J5446" t="s">
        <v>372</v>
      </c>
      <c r="K5446" t="s">
        <v>13</v>
      </c>
      <c r="L5446" t="s">
        <v>19</v>
      </c>
      <c r="M5446" t="s">
        <v>114</v>
      </c>
      <c r="N5446" s="2">
        <v>46203</v>
      </c>
    </row>
    <row r="5447" spans="1:14" x14ac:dyDescent="0.25">
      <c r="A5447" t="s">
        <v>666</v>
      </c>
      <c r="B5447" s="2">
        <v>46203</v>
      </c>
      <c r="C5447" t="s">
        <v>666</v>
      </c>
      <c r="D5447" t="s">
        <v>112</v>
      </c>
      <c r="E5447" t="s">
        <v>9</v>
      </c>
      <c r="F5447" s="3">
        <v>99641.5</v>
      </c>
      <c r="G5447" s="3">
        <v>99641.5</v>
      </c>
      <c r="H5447" t="s">
        <v>3</v>
      </c>
      <c r="I5447" t="s">
        <v>3</v>
      </c>
      <c r="J5447" t="s">
        <v>428</v>
      </c>
      <c r="K5447" t="s">
        <v>13</v>
      </c>
      <c r="L5447" t="s">
        <v>19</v>
      </c>
      <c r="M5447" t="s">
        <v>114</v>
      </c>
      <c r="N5447" s="2">
        <v>46203</v>
      </c>
    </row>
    <row r="5448" spans="1:14" x14ac:dyDescent="0.25">
      <c r="A5448" t="s">
        <v>666</v>
      </c>
      <c r="B5448" s="2">
        <v>46203</v>
      </c>
      <c r="C5448" t="s">
        <v>666</v>
      </c>
      <c r="D5448" t="s">
        <v>301</v>
      </c>
      <c r="E5448" t="s">
        <v>9</v>
      </c>
      <c r="F5448" s="3">
        <v>-100000</v>
      </c>
      <c r="G5448" s="3">
        <v>-100000</v>
      </c>
      <c r="H5448" t="s">
        <v>3</v>
      </c>
      <c r="I5448" t="s">
        <v>3</v>
      </c>
      <c r="J5448" t="s">
        <v>10</v>
      </c>
      <c r="K5448" t="s">
        <v>13</v>
      </c>
      <c r="L5448" t="s">
        <v>19</v>
      </c>
      <c r="M5448" t="s">
        <v>302</v>
      </c>
      <c r="N5448" s="2">
        <v>46203</v>
      </c>
    </row>
    <row r="5449" spans="1:14" x14ac:dyDescent="0.25">
      <c r="A5449" s="4" t="s">
        <v>224</v>
      </c>
      <c r="B5449" s="5"/>
      <c r="C5449" s="4" t="s">
        <v>9</v>
      </c>
      <c r="D5449" s="4" t="s">
        <v>9</v>
      </c>
      <c r="E5449" s="4" t="s">
        <v>9</v>
      </c>
      <c r="F5449" s="6">
        <v>0</v>
      </c>
      <c r="G5449" s="6">
        <v>0</v>
      </c>
      <c r="H5449" s="4" t="s">
        <v>9</v>
      </c>
      <c r="I5449" s="4" t="s">
        <v>3</v>
      </c>
      <c r="J5449" s="4" t="s">
        <v>9</v>
      </c>
      <c r="K5449" s="4" t="s">
        <v>9</v>
      </c>
      <c r="L5449" s="4" t="s">
        <v>9</v>
      </c>
      <c r="M5449" s="4" t="s">
        <v>9</v>
      </c>
      <c r="N5449" s="5"/>
    </row>
    <row r="5450" spans="1:14" x14ac:dyDescent="0.25">
      <c r="A5450" t="s">
        <v>666</v>
      </c>
      <c r="B5450" s="2">
        <v>46239</v>
      </c>
      <c r="C5450" t="s">
        <v>666</v>
      </c>
      <c r="D5450" t="s">
        <v>112</v>
      </c>
      <c r="E5450" t="s">
        <v>9</v>
      </c>
      <c r="F5450" s="3">
        <v>-10513.06</v>
      </c>
      <c r="G5450" s="3">
        <v>-10513.06</v>
      </c>
      <c r="H5450" t="s">
        <v>3</v>
      </c>
      <c r="I5450" t="s">
        <v>3</v>
      </c>
      <c r="J5450" t="s">
        <v>9</v>
      </c>
      <c r="K5450" t="s">
        <v>9</v>
      </c>
      <c r="L5450" t="s">
        <v>21</v>
      </c>
      <c r="M5450" t="s">
        <v>114</v>
      </c>
      <c r="N5450" s="2">
        <v>46234</v>
      </c>
    </row>
    <row r="5451" spans="1:14" x14ac:dyDescent="0.25">
      <c r="A5451" t="s">
        <v>666</v>
      </c>
      <c r="B5451" s="2">
        <v>46203</v>
      </c>
      <c r="C5451" t="s">
        <v>666</v>
      </c>
      <c r="D5451" t="s">
        <v>112</v>
      </c>
      <c r="E5451" t="s">
        <v>9</v>
      </c>
      <c r="F5451" s="3">
        <v>-42377.94</v>
      </c>
      <c r="G5451" s="3">
        <v>-42377.94</v>
      </c>
      <c r="H5451" t="s">
        <v>3</v>
      </c>
      <c r="I5451" t="s">
        <v>3</v>
      </c>
      <c r="J5451" t="s">
        <v>316</v>
      </c>
      <c r="K5451" t="s">
        <v>13</v>
      </c>
      <c r="L5451" t="s">
        <v>21</v>
      </c>
      <c r="M5451" t="s">
        <v>114</v>
      </c>
      <c r="N5451" s="2">
        <v>46204</v>
      </c>
    </row>
    <row r="5452" spans="1:14" x14ac:dyDescent="0.25">
      <c r="A5452" t="s">
        <v>666</v>
      </c>
      <c r="B5452" s="2">
        <v>46203</v>
      </c>
      <c r="C5452" t="s">
        <v>666</v>
      </c>
      <c r="D5452" t="s">
        <v>112</v>
      </c>
      <c r="E5452" t="s">
        <v>9</v>
      </c>
      <c r="F5452" s="3">
        <v>-900</v>
      </c>
      <c r="G5452" s="3">
        <v>-900</v>
      </c>
      <c r="H5452" t="s">
        <v>3</v>
      </c>
      <c r="I5452" t="s">
        <v>3</v>
      </c>
      <c r="J5452" t="s">
        <v>372</v>
      </c>
      <c r="K5452" t="s">
        <v>13</v>
      </c>
      <c r="L5452" t="s">
        <v>21</v>
      </c>
      <c r="M5452" t="s">
        <v>114</v>
      </c>
      <c r="N5452" s="2">
        <v>46204</v>
      </c>
    </row>
    <row r="5453" spans="1:14" x14ac:dyDescent="0.25">
      <c r="A5453" t="s">
        <v>666</v>
      </c>
      <c r="B5453" s="2">
        <v>46203</v>
      </c>
      <c r="C5453" t="s">
        <v>666</v>
      </c>
      <c r="D5453" t="s">
        <v>112</v>
      </c>
      <c r="E5453" t="s">
        <v>9</v>
      </c>
      <c r="F5453" s="3">
        <v>-99641.5</v>
      </c>
      <c r="G5453" s="3">
        <v>-99641.5</v>
      </c>
      <c r="H5453" t="s">
        <v>3</v>
      </c>
      <c r="I5453" t="s">
        <v>3</v>
      </c>
      <c r="J5453" t="s">
        <v>428</v>
      </c>
      <c r="K5453" t="s">
        <v>13</v>
      </c>
      <c r="L5453" t="s">
        <v>21</v>
      </c>
      <c r="M5453" t="s">
        <v>114</v>
      </c>
      <c r="N5453" s="2">
        <v>46204</v>
      </c>
    </row>
    <row r="5454" spans="1:14" x14ac:dyDescent="0.25">
      <c r="A5454" t="s">
        <v>666</v>
      </c>
      <c r="B5454" s="2">
        <v>46234</v>
      </c>
      <c r="C5454" t="s">
        <v>666</v>
      </c>
      <c r="D5454" t="s">
        <v>112</v>
      </c>
      <c r="E5454" t="s">
        <v>9</v>
      </c>
      <c r="F5454" s="3">
        <v>52891</v>
      </c>
      <c r="G5454" s="3">
        <v>52891</v>
      </c>
      <c r="H5454" t="s">
        <v>3</v>
      </c>
      <c r="I5454" t="s">
        <v>3</v>
      </c>
      <c r="J5454" t="s">
        <v>319</v>
      </c>
      <c r="K5454" t="s">
        <v>13</v>
      </c>
      <c r="L5454" t="s">
        <v>21</v>
      </c>
      <c r="M5454" t="s">
        <v>114</v>
      </c>
      <c r="N5454" s="2">
        <v>46234</v>
      </c>
    </row>
    <row r="5455" spans="1:14" x14ac:dyDescent="0.25">
      <c r="A5455" t="s">
        <v>666</v>
      </c>
      <c r="B5455" s="2">
        <v>46234</v>
      </c>
      <c r="C5455" t="s">
        <v>666</v>
      </c>
      <c r="D5455" t="s">
        <v>112</v>
      </c>
      <c r="E5455" t="s">
        <v>9</v>
      </c>
      <c r="F5455" s="3">
        <v>900</v>
      </c>
      <c r="G5455" s="3">
        <v>900</v>
      </c>
      <c r="H5455" t="s">
        <v>3</v>
      </c>
      <c r="I5455" t="s">
        <v>3</v>
      </c>
      <c r="J5455" t="s">
        <v>373</v>
      </c>
      <c r="K5455" t="s">
        <v>13</v>
      </c>
      <c r="L5455" t="s">
        <v>21</v>
      </c>
      <c r="M5455" t="s">
        <v>114</v>
      </c>
      <c r="N5455" s="2">
        <v>46234</v>
      </c>
    </row>
    <row r="5456" spans="1:14" x14ac:dyDescent="0.25">
      <c r="A5456" t="s">
        <v>666</v>
      </c>
      <c r="B5456" s="2">
        <v>46234</v>
      </c>
      <c r="C5456" t="s">
        <v>666</v>
      </c>
      <c r="D5456" t="s">
        <v>112</v>
      </c>
      <c r="E5456" t="s">
        <v>9</v>
      </c>
      <c r="F5456" s="3">
        <v>99641.5</v>
      </c>
      <c r="G5456" s="3">
        <v>99641.5</v>
      </c>
      <c r="H5456" t="s">
        <v>3</v>
      </c>
      <c r="I5456" t="s">
        <v>3</v>
      </c>
      <c r="J5456" t="s">
        <v>429</v>
      </c>
      <c r="K5456" t="s">
        <v>13</v>
      </c>
      <c r="L5456" t="s">
        <v>21</v>
      </c>
      <c r="M5456" t="s">
        <v>114</v>
      </c>
      <c r="N5456" s="2">
        <v>46234</v>
      </c>
    </row>
    <row r="5457" spans="1:14" x14ac:dyDescent="0.25">
      <c r="A5457" s="4" t="s">
        <v>262</v>
      </c>
      <c r="B5457" s="5"/>
      <c r="C5457" s="4" t="s">
        <v>9</v>
      </c>
      <c r="D5457" s="4" t="s">
        <v>9</v>
      </c>
      <c r="E5457" s="4" t="s">
        <v>9</v>
      </c>
      <c r="F5457" s="6">
        <v>0</v>
      </c>
      <c r="G5457" s="6">
        <v>0</v>
      </c>
      <c r="H5457" s="4" t="s">
        <v>9</v>
      </c>
      <c r="I5457" s="4" t="s">
        <v>3</v>
      </c>
      <c r="J5457" s="4" t="s">
        <v>9</v>
      </c>
      <c r="K5457" s="4" t="s">
        <v>9</v>
      </c>
      <c r="L5457" s="4" t="s">
        <v>9</v>
      </c>
      <c r="M5457" s="4" t="s">
        <v>9</v>
      </c>
      <c r="N5457" s="5"/>
    </row>
    <row r="5458" spans="1:14" x14ac:dyDescent="0.25">
      <c r="A5458" t="s">
        <v>666</v>
      </c>
      <c r="B5458" s="2">
        <v>46267</v>
      </c>
      <c r="C5458" t="s">
        <v>666</v>
      </c>
      <c r="D5458" t="s">
        <v>112</v>
      </c>
      <c r="E5458" t="s">
        <v>9</v>
      </c>
      <c r="F5458" s="3">
        <v>-32013</v>
      </c>
      <c r="G5458" s="3">
        <v>-32013</v>
      </c>
      <c r="H5458" t="s">
        <v>3</v>
      </c>
      <c r="I5458" t="s">
        <v>3</v>
      </c>
      <c r="J5458" t="s">
        <v>9</v>
      </c>
      <c r="K5458" t="s">
        <v>9</v>
      </c>
      <c r="L5458" t="s">
        <v>22</v>
      </c>
      <c r="M5458" t="s">
        <v>114</v>
      </c>
      <c r="N5458" s="2">
        <v>46265</v>
      </c>
    </row>
    <row r="5459" spans="1:14" x14ac:dyDescent="0.25">
      <c r="A5459" t="s">
        <v>666</v>
      </c>
      <c r="B5459" s="2">
        <v>46234</v>
      </c>
      <c r="C5459" t="s">
        <v>666</v>
      </c>
      <c r="D5459" t="s">
        <v>112</v>
      </c>
      <c r="E5459" t="s">
        <v>9</v>
      </c>
      <c r="F5459" s="3">
        <v>-52891</v>
      </c>
      <c r="G5459" s="3">
        <v>-52891</v>
      </c>
      <c r="H5459" t="s">
        <v>3</v>
      </c>
      <c r="I5459" t="s">
        <v>3</v>
      </c>
      <c r="J5459" t="s">
        <v>319</v>
      </c>
      <c r="K5459" t="s">
        <v>13</v>
      </c>
      <c r="L5459" t="s">
        <v>22</v>
      </c>
      <c r="M5459" t="s">
        <v>114</v>
      </c>
      <c r="N5459" s="2">
        <v>46235</v>
      </c>
    </row>
    <row r="5460" spans="1:14" x14ac:dyDescent="0.25">
      <c r="A5460" t="s">
        <v>666</v>
      </c>
      <c r="B5460" s="2">
        <v>46234</v>
      </c>
      <c r="C5460" t="s">
        <v>666</v>
      </c>
      <c r="D5460" t="s">
        <v>112</v>
      </c>
      <c r="E5460" t="s">
        <v>9</v>
      </c>
      <c r="F5460" s="3">
        <v>-900</v>
      </c>
      <c r="G5460" s="3">
        <v>-900</v>
      </c>
      <c r="H5460" t="s">
        <v>3</v>
      </c>
      <c r="I5460" t="s">
        <v>3</v>
      </c>
      <c r="J5460" t="s">
        <v>373</v>
      </c>
      <c r="K5460" t="s">
        <v>13</v>
      </c>
      <c r="L5460" t="s">
        <v>22</v>
      </c>
      <c r="M5460" t="s">
        <v>114</v>
      </c>
      <c r="N5460" s="2">
        <v>46235</v>
      </c>
    </row>
    <row r="5461" spans="1:14" x14ac:dyDescent="0.25">
      <c r="A5461" t="s">
        <v>666</v>
      </c>
      <c r="B5461" s="2">
        <v>46234</v>
      </c>
      <c r="C5461" t="s">
        <v>666</v>
      </c>
      <c r="D5461" t="s">
        <v>112</v>
      </c>
      <c r="E5461" t="s">
        <v>9</v>
      </c>
      <c r="F5461" s="3">
        <v>-99641.5</v>
      </c>
      <c r="G5461" s="3">
        <v>-99641.5</v>
      </c>
      <c r="H5461" t="s">
        <v>3</v>
      </c>
      <c r="I5461" t="s">
        <v>3</v>
      </c>
      <c r="J5461" t="s">
        <v>429</v>
      </c>
      <c r="K5461" t="s">
        <v>13</v>
      </c>
      <c r="L5461" t="s">
        <v>22</v>
      </c>
      <c r="M5461" t="s">
        <v>114</v>
      </c>
      <c r="N5461" s="2">
        <v>46235</v>
      </c>
    </row>
    <row r="5462" spans="1:14" x14ac:dyDescent="0.25">
      <c r="A5462" t="s">
        <v>666</v>
      </c>
      <c r="B5462" s="2">
        <v>46265</v>
      </c>
      <c r="C5462" t="s">
        <v>666</v>
      </c>
      <c r="D5462" t="s">
        <v>112</v>
      </c>
      <c r="E5462" t="s">
        <v>9</v>
      </c>
      <c r="F5462" s="3">
        <v>79279</v>
      </c>
      <c r="G5462" s="3">
        <v>79279</v>
      </c>
      <c r="H5462" t="s">
        <v>3</v>
      </c>
      <c r="I5462" t="s">
        <v>3</v>
      </c>
      <c r="J5462" t="s">
        <v>322</v>
      </c>
      <c r="K5462" t="s">
        <v>13</v>
      </c>
      <c r="L5462" t="s">
        <v>22</v>
      </c>
      <c r="M5462" t="s">
        <v>114</v>
      </c>
      <c r="N5462" s="2">
        <v>46265</v>
      </c>
    </row>
    <row r="5463" spans="1:14" x14ac:dyDescent="0.25">
      <c r="A5463" t="s">
        <v>666</v>
      </c>
      <c r="B5463" s="2">
        <v>46265</v>
      </c>
      <c r="C5463" t="s">
        <v>666</v>
      </c>
      <c r="D5463" t="s">
        <v>112</v>
      </c>
      <c r="E5463" t="s">
        <v>9</v>
      </c>
      <c r="F5463" s="3">
        <v>900</v>
      </c>
      <c r="G5463" s="3">
        <v>900</v>
      </c>
      <c r="H5463" t="s">
        <v>3</v>
      </c>
      <c r="I5463" t="s">
        <v>3</v>
      </c>
      <c r="J5463" t="s">
        <v>430</v>
      </c>
      <c r="K5463" t="s">
        <v>13</v>
      </c>
      <c r="L5463" t="s">
        <v>22</v>
      </c>
      <c r="M5463" t="s">
        <v>114</v>
      </c>
      <c r="N5463" s="2">
        <v>46265</v>
      </c>
    </row>
    <row r="5464" spans="1:14" x14ac:dyDescent="0.25">
      <c r="A5464" t="s">
        <v>666</v>
      </c>
      <c r="B5464" s="2">
        <v>46265</v>
      </c>
      <c r="C5464" t="s">
        <v>666</v>
      </c>
      <c r="D5464" t="s">
        <v>112</v>
      </c>
      <c r="E5464" t="s">
        <v>9</v>
      </c>
      <c r="F5464" s="3">
        <v>99641.5</v>
      </c>
      <c r="G5464" s="3">
        <v>99641.5</v>
      </c>
      <c r="H5464" t="s">
        <v>3</v>
      </c>
      <c r="I5464" t="s">
        <v>3</v>
      </c>
      <c r="J5464" t="s">
        <v>431</v>
      </c>
      <c r="K5464" t="s">
        <v>13</v>
      </c>
      <c r="L5464" t="s">
        <v>22</v>
      </c>
      <c r="M5464" t="s">
        <v>114</v>
      </c>
      <c r="N5464" s="2">
        <v>46265</v>
      </c>
    </row>
    <row r="5465" spans="1:14" x14ac:dyDescent="0.25">
      <c r="A5465" t="s">
        <v>666</v>
      </c>
      <c r="B5465" s="2">
        <v>46265</v>
      </c>
      <c r="C5465" t="s">
        <v>666</v>
      </c>
      <c r="D5465" t="s">
        <v>112</v>
      </c>
      <c r="E5465" t="s">
        <v>9</v>
      </c>
      <c r="F5465" s="3">
        <v>5625</v>
      </c>
      <c r="G5465" s="3">
        <v>5625</v>
      </c>
      <c r="H5465" t="s">
        <v>3</v>
      </c>
      <c r="I5465" t="s">
        <v>3</v>
      </c>
      <c r="J5465" t="s">
        <v>511</v>
      </c>
      <c r="K5465" t="s">
        <v>13</v>
      </c>
      <c r="L5465" t="s">
        <v>22</v>
      </c>
      <c r="M5465" t="s">
        <v>114</v>
      </c>
      <c r="N5465" s="2">
        <v>46265</v>
      </c>
    </row>
    <row r="5466" spans="1:14" x14ac:dyDescent="0.25">
      <c r="A5466" s="4" t="s">
        <v>267</v>
      </c>
      <c r="B5466" s="5"/>
      <c r="C5466" s="4" t="s">
        <v>9</v>
      </c>
      <c r="D5466" s="4" t="s">
        <v>9</v>
      </c>
      <c r="E5466" s="4" t="s">
        <v>9</v>
      </c>
      <c r="F5466" s="6">
        <v>0</v>
      </c>
      <c r="G5466" s="6">
        <v>0</v>
      </c>
      <c r="H5466" s="4" t="s">
        <v>9</v>
      </c>
      <c r="I5466" s="4" t="s">
        <v>3</v>
      </c>
      <c r="J5466" s="4" t="s">
        <v>9</v>
      </c>
      <c r="K5466" s="4" t="s">
        <v>9</v>
      </c>
      <c r="L5466" s="4" t="s">
        <v>9</v>
      </c>
      <c r="M5466" s="4" t="s">
        <v>9</v>
      </c>
      <c r="N5466" s="5"/>
    </row>
    <row r="5467" spans="1:14" x14ac:dyDescent="0.25">
      <c r="A5467" s="4" t="s">
        <v>666</v>
      </c>
      <c r="B5467" s="5"/>
      <c r="C5467" s="4" t="s">
        <v>9</v>
      </c>
      <c r="D5467" s="4" t="s">
        <v>9</v>
      </c>
      <c r="E5467" s="4" t="s">
        <v>9</v>
      </c>
      <c r="F5467" s="6">
        <v>0</v>
      </c>
      <c r="G5467" s="6">
        <v>0</v>
      </c>
      <c r="H5467" s="4" t="s">
        <v>9</v>
      </c>
      <c r="I5467" s="4" t="s">
        <v>3</v>
      </c>
      <c r="J5467" s="4" t="s">
        <v>9</v>
      </c>
      <c r="K5467" s="4" t="s">
        <v>9</v>
      </c>
      <c r="L5467" s="4" t="s">
        <v>9</v>
      </c>
      <c r="M5467" s="4" t="s">
        <v>9</v>
      </c>
      <c r="N5467" s="5"/>
    </row>
    <row r="5468" spans="1:14" x14ac:dyDescent="0.25">
      <c r="A5468" t="s">
        <v>667</v>
      </c>
      <c r="B5468" s="2">
        <v>46115</v>
      </c>
      <c r="C5468" t="s">
        <v>667</v>
      </c>
      <c r="D5468" t="s">
        <v>112</v>
      </c>
      <c r="E5468" t="s">
        <v>9</v>
      </c>
      <c r="F5468" s="3">
        <v>-38189</v>
      </c>
      <c r="G5468" s="3">
        <v>-38189</v>
      </c>
      <c r="H5468" t="s">
        <v>3</v>
      </c>
      <c r="I5468" t="s">
        <v>3</v>
      </c>
      <c r="J5468" t="s">
        <v>9</v>
      </c>
      <c r="K5468" t="s">
        <v>9</v>
      </c>
      <c r="L5468" t="s">
        <v>16</v>
      </c>
      <c r="M5468" t="s">
        <v>114</v>
      </c>
      <c r="N5468" s="2">
        <v>46112</v>
      </c>
    </row>
    <row r="5469" spans="1:14" x14ac:dyDescent="0.25">
      <c r="A5469" t="s">
        <v>667</v>
      </c>
      <c r="B5469" s="2">
        <v>46112</v>
      </c>
      <c r="C5469" t="s">
        <v>667</v>
      </c>
      <c r="D5469" t="s">
        <v>112</v>
      </c>
      <c r="E5469" t="s">
        <v>9</v>
      </c>
      <c r="F5469" s="3">
        <v>1900</v>
      </c>
      <c r="G5469" s="3">
        <v>1900</v>
      </c>
      <c r="H5469" t="s">
        <v>3</v>
      </c>
      <c r="I5469" t="s">
        <v>3</v>
      </c>
      <c r="J5469" t="s">
        <v>307</v>
      </c>
      <c r="K5469" t="s">
        <v>13</v>
      </c>
      <c r="L5469" t="s">
        <v>16</v>
      </c>
      <c r="M5469" t="s">
        <v>114</v>
      </c>
      <c r="N5469" s="2">
        <v>46112</v>
      </c>
    </row>
    <row r="5470" spans="1:14" x14ac:dyDescent="0.25">
      <c r="A5470" t="s">
        <v>667</v>
      </c>
      <c r="B5470" s="2">
        <v>46112</v>
      </c>
      <c r="C5470" t="s">
        <v>667</v>
      </c>
      <c r="D5470" t="s">
        <v>112</v>
      </c>
      <c r="E5470" t="s">
        <v>9</v>
      </c>
      <c r="F5470" s="3">
        <v>36289</v>
      </c>
      <c r="G5470" s="3">
        <v>36289</v>
      </c>
      <c r="H5470" t="s">
        <v>3</v>
      </c>
      <c r="I5470" t="s">
        <v>3</v>
      </c>
      <c r="J5470" t="s">
        <v>395</v>
      </c>
      <c r="K5470" t="s">
        <v>13</v>
      </c>
      <c r="L5470" t="s">
        <v>16</v>
      </c>
      <c r="M5470" t="s">
        <v>114</v>
      </c>
      <c r="N5470" s="2">
        <v>46112</v>
      </c>
    </row>
    <row r="5471" spans="1:14" x14ac:dyDescent="0.25">
      <c r="A5471" s="4" t="s">
        <v>244</v>
      </c>
      <c r="B5471" s="5"/>
      <c r="C5471" s="4" t="s">
        <v>9</v>
      </c>
      <c r="D5471" s="4" t="s">
        <v>9</v>
      </c>
      <c r="E5471" s="4" t="s">
        <v>9</v>
      </c>
      <c r="F5471" s="6">
        <v>0</v>
      </c>
      <c r="G5471" s="6">
        <v>0</v>
      </c>
      <c r="H5471" s="4" t="s">
        <v>9</v>
      </c>
      <c r="I5471" s="4" t="s">
        <v>3</v>
      </c>
      <c r="J5471" s="4" t="s">
        <v>9</v>
      </c>
      <c r="K5471" s="4" t="s">
        <v>9</v>
      </c>
      <c r="L5471" s="4" t="s">
        <v>9</v>
      </c>
      <c r="M5471" s="4" t="s">
        <v>9</v>
      </c>
      <c r="N5471" s="5"/>
    </row>
    <row r="5472" spans="1:14" x14ac:dyDescent="0.25">
      <c r="A5472" t="s">
        <v>667</v>
      </c>
      <c r="B5472" s="2">
        <v>46147</v>
      </c>
      <c r="C5472" t="s">
        <v>667</v>
      </c>
      <c r="D5472" t="s">
        <v>112</v>
      </c>
      <c r="E5472" t="s">
        <v>9</v>
      </c>
      <c r="F5472" s="3">
        <v>-7974</v>
      </c>
      <c r="G5472" s="3">
        <v>-7974</v>
      </c>
      <c r="H5472" t="s">
        <v>3</v>
      </c>
      <c r="I5472" t="s">
        <v>3</v>
      </c>
      <c r="J5472" t="s">
        <v>9</v>
      </c>
      <c r="K5472" t="s">
        <v>9</v>
      </c>
      <c r="L5472" t="s">
        <v>17</v>
      </c>
      <c r="M5472" t="s">
        <v>114</v>
      </c>
      <c r="N5472" s="2">
        <v>46142</v>
      </c>
    </row>
    <row r="5473" spans="1:14" x14ac:dyDescent="0.25">
      <c r="A5473" t="s">
        <v>667</v>
      </c>
      <c r="B5473" s="2">
        <v>46147</v>
      </c>
      <c r="C5473" t="s">
        <v>667</v>
      </c>
      <c r="D5473" t="s">
        <v>301</v>
      </c>
      <c r="E5473" t="s">
        <v>9</v>
      </c>
      <c r="F5473" s="3">
        <v>35803</v>
      </c>
      <c r="G5473" s="3">
        <v>35803</v>
      </c>
      <c r="H5473" t="s">
        <v>3</v>
      </c>
      <c r="I5473" t="s">
        <v>3</v>
      </c>
      <c r="J5473" t="s">
        <v>9</v>
      </c>
      <c r="K5473" t="s">
        <v>9</v>
      </c>
      <c r="L5473" t="s">
        <v>17</v>
      </c>
      <c r="M5473" t="s">
        <v>302</v>
      </c>
      <c r="N5473" s="2">
        <v>46142</v>
      </c>
    </row>
    <row r="5474" spans="1:14" x14ac:dyDescent="0.25">
      <c r="A5474" t="s">
        <v>667</v>
      </c>
      <c r="B5474" s="2">
        <v>46112</v>
      </c>
      <c r="C5474" t="s">
        <v>667</v>
      </c>
      <c r="D5474" t="s">
        <v>112</v>
      </c>
      <c r="E5474" t="s">
        <v>9</v>
      </c>
      <c r="F5474" s="3">
        <v>-1900</v>
      </c>
      <c r="G5474" s="3">
        <v>-1900</v>
      </c>
      <c r="H5474" t="s">
        <v>3</v>
      </c>
      <c r="I5474" t="s">
        <v>3</v>
      </c>
      <c r="J5474" t="s">
        <v>307</v>
      </c>
      <c r="K5474" t="s">
        <v>13</v>
      </c>
      <c r="L5474" t="s">
        <v>17</v>
      </c>
      <c r="M5474" t="s">
        <v>114</v>
      </c>
      <c r="N5474" s="2">
        <v>46113</v>
      </c>
    </row>
    <row r="5475" spans="1:14" x14ac:dyDescent="0.25">
      <c r="A5475" t="s">
        <v>667</v>
      </c>
      <c r="B5475" s="2">
        <v>46112</v>
      </c>
      <c r="C5475" t="s">
        <v>667</v>
      </c>
      <c r="D5475" t="s">
        <v>112</v>
      </c>
      <c r="E5475" t="s">
        <v>9</v>
      </c>
      <c r="F5475" s="3">
        <v>-36289</v>
      </c>
      <c r="G5475" s="3">
        <v>-36289</v>
      </c>
      <c r="H5475" t="s">
        <v>3</v>
      </c>
      <c r="I5475" t="s">
        <v>3</v>
      </c>
      <c r="J5475" t="s">
        <v>395</v>
      </c>
      <c r="K5475" t="s">
        <v>13</v>
      </c>
      <c r="L5475" t="s">
        <v>17</v>
      </c>
      <c r="M5475" t="s">
        <v>114</v>
      </c>
      <c r="N5475" s="2">
        <v>46113</v>
      </c>
    </row>
    <row r="5476" spans="1:14" x14ac:dyDescent="0.25">
      <c r="A5476" t="s">
        <v>667</v>
      </c>
      <c r="B5476" s="2">
        <v>46142</v>
      </c>
      <c r="C5476" t="s">
        <v>667</v>
      </c>
      <c r="D5476" t="s">
        <v>112</v>
      </c>
      <c r="E5476" t="s">
        <v>9</v>
      </c>
      <c r="F5476" s="3">
        <v>1900</v>
      </c>
      <c r="G5476" s="3">
        <v>1900</v>
      </c>
      <c r="H5476" t="s">
        <v>3</v>
      </c>
      <c r="I5476" t="s">
        <v>3</v>
      </c>
      <c r="J5476" t="s">
        <v>310</v>
      </c>
      <c r="K5476" t="s">
        <v>13</v>
      </c>
      <c r="L5476" t="s">
        <v>17</v>
      </c>
      <c r="M5476" t="s">
        <v>114</v>
      </c>
      <c r="N5476" s="2">
        <v>46142</v>
      </c>
    </row>
    <row r="5477" spans="1:14" x14ac:dyDescent="0.25">
      <c r="A5477" t="s">
        <v>667</v>
      </c>
      <c r="B5477" s="2">
        <v>46142</v>
      </c>
      <c r="C5477" t="s">
        <v>667</v>
      </c>
      <c r="D5477" t="s">
        <v>112</v>
      </c>
      <c r="E5477" t="s">
        <v>9</v>
      </c>
      <c r="F5477" s="3">
        <v>44263</v>
      </c>
      <c r="G5477" s="3">
        <v>44263</v>
      </c>
      <c r="H5477" t="s">
        <v>3</v>
      </c>
      <c r="I5477" t="s">
        <v>3</v>
      </c>
      <c r="J5477" t="s">
        <v>423</v>
      </c>
      <c r="K5477" t="s">
        <v>13</v>
      </c>
      <c r="L5477" t="s">
        <v>17</v>
      </c>
      <c r="M5477" t="s">
        <v>114</v>
      </c>
      <c r="N5477" s="2">
        <v>46142</v>
      </c>
    </row>
    <row r="5478" spans="1:14" x14ac:dyDescent="0.25">
      <c r="A5478" t="s">
        <v>667</v>
      </c>
      <c r="B5478" s="2">
        <v>46142</v>
      </c>
      <c r="C5478" t="s">
        <v>667</v>
      </c>
      <c r="D5478" t="s">
        <v>301</v>
      </c>
      <c r="E5478" t="s">
        <v>9</v>
      </c>
      <c r="F5478" s="3">
        <v>-35803</v>
      </c>
      <c r="G5478" s="3">
        <v>-35803</v>
      </c>
      <c r="H5478" t="s">
        <v>3</v>
      </c>
      <c r="I5478" t="s">
        <v>3</v>
      </c>
      <c r="J5478" t="s">
        <v>10</v>
      </c>
      <c r="K5478" t="s">
        <v>13</v>
      </c>
      <c r="L5478" t="s">
        <v>17</v>
      </c>
      <c r="M5478" t="s">
        <v>302</v>
      </c>
      <c r="N5478" s="2">
        <v>46142</v>
      </c>
    </row>
    <row r="5479" spans="1:14" x14ac:dyDescent="0.25">
      <c r="A5479" s="4" t="s">
        <v>249</v>
      </c>
      <c r="B5479" s="5"/>
      <c r="C5479" s="4" t="s">
        <v>9</v>
      </c>
      <c r="D5479" s="4" t="s">
        <v>9</v>
      </c>
      <c r="E5479" s="4" t="s">
        <v>9</v>
      </c>
      <c r="F5479" s="6">
        <v>0</v>
      </c>
      <c r="G5479" s="6">
        <v>0</v>
      </c>
      <c r="H5479" s="4" t="s">
        <v>9</v>
      </c>
      <c r="I5479" s="4" t="s">
        <v>3</v>
      </c>
      <c r="J5479" s="4" t="s">
        <v>9</v>
      </c>
      <c r="K5479" s="4" t="s">
        <v>9</v>
      </c>
      <c r="L5479" s="4" t="s">
        <v>9</v>
      </c>
      <c r="M5479" s="4" t="s">
        <v>9</v>
      </c>
      <c r="N5479" s="5"/>
    </row>
    <row r="5480" spans="1:14" x14ac:dyDescent="0.25">
      <c r="A5480" t="s">
        <v>667</v>
      </c>
      <c r="B5480" s="2">
        <v>46175</v>
      </c>
      <c r="C5480" t="s">
        <v>667</v>
      </c>
      <c r="D5480" t="s">
        <v>112</v>
      </c>
      <c r="E5480" t="s">
        <v>9</v>
      </c>
      <c r="F5480" s="3">
        <v>-7047</v>
      </c>
      <c r="G5480" s="3">
        <v>-7047</v>
      </c>
      <c r="H5480" t="s">
        <v>3</v>
      </c>
      <c r="I5480" t="s">
        <v>3</v>
      </c>
      <c r="J5480" t="s">
        <v>9</v>
      </c>
      <c r="K5480" t="s">
        <v>9</v>
      </c>
      <c r="L5480" t="s">
        <v>18</v>
      </c>
      <c r="M5480" t="s">
        <v>114</v>
      </c>
      <c r="N5480" s="2">
        <v>46173</v>
      </c>
    </row>
    <row r="5481" spans="1:14" x14ac:dyDescent="0.25">
      <c r="A5481" t="s">
        <v>667</v>
      </c>
      <c r="B5481" s="2">
        <v>46175</v>
      </c>
      <c r="C5481" t="s">
        <v>667</v>
      </c>
      <c r="D5481" t="s">
        <v>301</v>
      </c>
      <c r="E5481" t="s">
        <v>9</v>
      </c>
      <c r="F5481" s="3">
        <v>6197</v>
      </c>
      <c r="G5481" s="3">
        <v>6197</v>
      </c>
      <c r="H5481" t="s">
        <v>3</v>
      </c>
      <c r="I5481" t="s">
        <v>3</v>
      </c>
      <c r="J5481" t="s">
        <v>9</v>
      </c>
      <c r="K5481" t="s">
        <v>9</v>
      </c>
      <c r="L5481" t="s">
        <v>18</v>
      </c>
      <c r="M5481" t="s">
        <v>302</v>
      </c>
      <c r="N5481" s="2">
        <v>46173</v>
      </c>
    </row>
    <row r="5482" spans="1:14" x14ac:dyDescent="0.25">
      <c r="A5482" t="s">
        <v>667</v>
      </c>
      <c r="B5482" s="2">
        <v>46142</v>
      </c>
      <c r="C5482" t="s">
        <v>667</v>
      </c>
      <c r="D5482" t="s">
        <v>112</v>
      </c>
      <c r="E5482" t="s">
        <v>9</v>
      </c>
      <c r="F5482" s="3">
        <v>-1900</v>
      </c>
      <c r="G5482" s="3">
        <v>-1900</v>
      </c>
      <c r="H5482" t="s">
        <v>3</v>
      </c>
      <c r="I5482" t="s">
        <v>3</v>
      </c>
      <c r="J5482" t="s">
        <v>310</v>
      </c>
      <c r="K5482" t="s">
        <v>13</v>
      </c>
      <c r="L5482" t="s">
        <v>18</v>
      </c>
      <c r="M5482" t="s">
        <v>114</v>
      </c>
      <c r="N5482" s="2">
        <v>46143</v>
      </c>
    </row>
    <row r="5483" spans="1:14" x14ac:dyDescent="0.25">
      <c r="A5483" t="s">
        <v>667</v>
      </c>
      <c r="B5483" s="2">
        <v>46142</v>
      </c>
      <c r="C5483" t="s">
        <v>667</v>
      </c>
      <c r="D5483" t="s">
        <v>112</v>
      </c>
      <c r="E5483" t="s">
        <v>9</v>
      </c>
      <c r="F5483" s="3">
        <v>-44263</v>
      </c>
      <c r="G5483" s="3">
        <v>-44263</v>
      </c>
      <c r="H5483" t="s">
        <v>3</v>
      </c>
      <c r="I5483" t="s">
        <v>3</v>
      </c>
      <c r="J5483" t="s">
        <v>423</v>
      </c>
      <c r="K5483" t="s">
        <v>13</v>
      </c>
      <c r="L5483" t="s">
        <v>18</v>
      </c>
      <c r="M5483" t="s">
        <v>114</v>
      </c>
      <c r="N5483" s="2">
        <v>46143</v>
      </c>
    </row>
    <row r="5484" spans="1:14" x14ac:dyDescent="0.25">
      <c r="A5484" t="s">
        <v>667</v>
      </c>
      <c r="B5484" s="2">
        <v>46173</v>
      </c>
      <c r="C5484" t="s">
        <v>667</v>
      </c>
      <c r="D5484" t="s">
        <v>112</v>
      </c>
      <c r="E5484" t="s">
        <v>9</v>
      </c>
      <c r="F5484" s="3">
        <v>1900</v>
      </c>
      <c r="G5484" s="3">
        <v>1900</v>
      </c>
      <c r="H5484" t="s">
        <v>3</v>
      </c>
      <c r="I5484" t="s">
        <v>3</v>
      </c>
      <c r="J5484" t="s">
        <v>313</v>
      </c>
      <c r="K5484" t="s">
        <v>13</v>
      </c>
      <c r="L5484" t="s">
        <v>18</v>
      </c>
      <c r="M5484" t="s">
        <v>114</v>
      </c>
      <c r="N5484" s="2">
        <v>46173</v>
      </c>
    </row>
    <row r="5485" spans="1:14" x14ac:dyDescent="0.25">
      <c r="A5485" t="s">
        <v>667</v>
      </c>
      <c r="B5485" s="2">
        <v>46173</v>
      </c>
      <c r="C5485" t="s">
        <v>667</v>
      </c>
      <c r="D5485" t="s">
        <v>112</v>
      </c>
      <c r="E5485" t="s">
        <v>9</v>
      </c>
      <c r="F5485" s="3">
        <v>51310</v>
      </c>
      <c r="G5485" s="3">
        <v>51310</v>
      </c>
      <c r="H5485" t="s">
        <v>3</v>
      </c>
      <c r="I5485" t="s">
        <v>3</v>
      </c>
      <c r="J5485" t="s">
        <v>427</v>
      </c>
      <c r="K5485" t="s">
        <v>13</v>
      </c>
      <c r="L5485" t="s">
        <v>18</v>
      </c>
      <c r="M5485" t="s">
        <v>114</v>
      </c>
      <c r="N5485" s="2">
        <v>46173</v>
      </c>
    </row>
    <row r="5486" spans="1:14" x14ac:dyDescent="0.25">
      <c r="A5486" t="s">
        <v>667</v>
      </c>
      <c r="B5486" s="2">
        <v>46173</v>
      </c>
      <c r="C5486" t="s">
        <v>667</v>
      </c>
      <c r="D5486" t="s">
        <v>301</v>
      </c>
      <c r="E5486" t="s">
        <v>9</v>
      </c>
      <c r="F5486" s="3">
        <v>-6197</v>
      </c>
      <c r="G5486" s="3">
        <v>-6197</v>
      </c>
      <c r="H5486" t="s">
        <v>3</v>
      </c>
      <c r="I5486" t="s">
        <v>3</v>
      </c>
      <c r="J5486" t="s">
        <v>10</v>
      </c>
      <c r="K5486" t="s">
        <v>13</v>
      </c>
      <c r="L5486" t="s">
        <v>18</v>
      </c>
      <c r="M5486" t="s">
        <v>302</v>
      </c>
      <c r="N5486" s="2">
        <v>46173</v>
      </c>
    </row>
    <row r="5487" spans="1:14" x14ac:dyDescent="0.25">
      <c r="A5487" s="4" t="s">
        <v>223</v>
      </c>
      <c r="B5487" s="5"/>
      <c r="C5487" s="4" t="s">
        <v>9</v>
      </c>
      <c r="D5487" s="4" t="s">
        <v>9</v>
      </c>
      <c r="E5487" s="4" t="s">
        <v>9</v>
      </c>
      <c r="F5487" s="6">
        <v>0</v>
      </c>
      <c r="G5487" s="6">
        <v>0</v>
      </c>
      <c r="H5487" s="4" t="s">
        <v>9</v>
      </c>
      <c r="I5487" s="4" t="s">
        <v>3</v>
      </c>
      <c r="J5487" s="4" t="s">
        <v>9</v>
      </c>
      <c r="K5487" s="4" t="s">
        <v>9</v>
      </c>
      <c r="L5487" s="4" t="s">
        <v>9</v>
      </c>
      <c r="M5487" s="4" t="s">
        <v>9</v>
      </c>
      <c r="N5487" s="5"/>
    </row>
    <row r="5488" spans="1:14" x14ac:dyDescent="0.25">
      <c r="A5488" t="s">
        <v>667</v>
      </c>
      <c r="B5488" s="2">
        <v>46205</v>
      </c>
      <c r="C5488" t="s">
        <v>667</v>
      </c>
      <c r="D5488" t="s">
        <v>112</v>
      </c>
      <c r="E5488" t="s">
        <v>9</v>
      </c>
      <c r="F5488" s="3">
        <v>-11373.14</v>
      </c>
      <c r="G5488" s="3">
        <v>-11373.14</v>
      </c>
      <c r="H5488" t="s">
        <v>3</v>
      </c>
      <c r="I5488" t="s">
        <v>3</v>
      </c>
      <c r="J5488" t="s">
        <v>9</v>
      </c>
      <c r="K5488" t="s">
        <v>9</v>
      </c>
      <c r="L5488" t="s">
        <v>19</v>
      </c>
      <c r="M5488" t="s">
        <v>114</v>
      </c>
      <c r="N5488" s="2">
        <v>46203</v>
      </c>
    </row>
    <row r="5489" spans="1:14" x14ac:dyDescent="0.25">
      <c r="A5489" t="s">
        <v>667</v>
      </c>
      <c r="B5489" s="2">
        <v>46205</v>
      </c>
      <c r="C5489" t="s">
        <v>667</v>
      </c>
      <c r="D5489" t="s">
        <v>301</v>
      </c>
      <c r="E5489" t="s">
        <v>9</v>
      </c>
      <c r="F5489" s="3">
        <v>4680</v>
      </c>
      <c r="G5489" s="3">
        <v>4680</v>
      </c>
      <c r="H5489" t="s">
        <v>3</v>
      </c>
      <c r="I5489" t="s">
        <v>3</v>
      </c>
      <c r="J5489" t="s">
        <v>9</v>
      </c>
      <c r="K5489" t="s">
        <v>9</v>
      </c>
      <c r="L5489" t="s">
        <v>19</v>
      </c>
      <c r="M5489" t="s">
        <v>302</v>
      </c>
      <c r="N5489" s="2">
        <v>46203</v>
      </c>
    </row>
    <row r="5490" spans="1:14" x14ac:dyDescent="0.25">
      <c r="A5490" t="s">
        <v>667</v>
      </c>
      <c r="B5490" s="2">
        <v>46173</v>
      </c>
      <c r="C5490" t="s">
        <v>667</v>
      </c>
      <c r="D5490" t="s">
        <v>112</v>
      </c>
      <c r="E5490" t="s">
        <v>9</v>
      </c>
      <c r="F5490" s="3">
        <v>-1900</v>
      </c>
      <c r="G5490" s="3">
        <v>-1900</v>
      </c>
      <c r="H5490" t="s">
        <v>3</v>
      </c>
      <c r="I5490" t="s">
        <v>3</v>
      </c>
      <c r="J5490" t="s">
        <v>313</v>
      </c>
      <c r="K5490" t="s">
        <v>13</v>
      </c>
      <c r="L5490" t="s">
        <v>19</v>
      </c>
      <c r="M5490" t="s">
        <v>114</v>
      </c>
      <c r="N5490" s="2">
        <v>46174</v>
      </c>
    </row>
    <row r="5491" spans="1:14" x14ac:dyDescent="0.25">
      <c r="A5491" t="s">
        <v>667</v>
      </c>
      <c r="B5491" s="2">
        <v>46173</v>
      </c>
      <c r="C5491" t="s">
        <v>667</v>
      </c>
      <c r="D5491" t="s">
        <v>112</v>
      </c>
      <c r="E5491" t="s">
        <v>9</v>
      </c>
      <c r="F5491" s="3">
        <v>-51310</v>
      </c>
      <c r="G5491" s="3">
        <v>-51310</v>
      </c>
      <c r="H5491" t="s">
        <v>3</v>
      </c>
      <c r="I5491" t="s">
        <v>3</v>
      </c>
      <c r="J5491" t="s">
        <v>427</v>
      </c>
      <c r="K5491" t="s">
        <v>13</v>
      </c>
      <c r="L5491" t="s">
        <v>19</v>
      </c>
      <c r="M5491" t="s">
        <v>114</v>
      </c>
      <c r="N5491" s="2">
        <v>46174</v>
      </c>
    </row>
    <row r="5492" spans="1:14" x14ac:dyDescent="0.25">
      <c r="A5492" t="s">
        <v>667</v>
      </c>
      <c r="B5492" s="2">
        <v>46203</v>
      </c>
      <c r="C5492" t="s">
        <v>667</v>
      </c>
      <c r="D5492" t="s">
        <v>112</v>
      </c>
      <c r="E5492" t="s">
        <v>9</v>
      </c>
      <c r="F5492" s="3">
        <v>6580</v>
      </c>
      <c r="G5492" s="3">
        <v>6580</v>
      </c>
      <c r="H5492" t="s">
        <v>3</v>
      </c>
      <c r="I5492" t="s">
        <v>3</v>
      </c>
      <c r="J5492" t="s">
        <v>316</v>
      </c>
      <c r="K5492" t="s">
        <v>13</v>
      </c>
      <c r="L5492" t="s">
        <v>19</v>
      </c>
      <c r="M5492" t="s">
        <v>114</v>
      </c>
      <c r="N5492" s="2">
        <v>46203</v>
      </c>
    </row>
    <row r="5493" spans="1:14" x14ac:dyDescent="0.25">
      <c r="A5493" t="s">
        <v>667</v>
      </c>
      <c r="B5493" s="2">
        <v>46203</v>
      </c>
      <c r="C5493" t="s">
        <v>667</v>
      </c>
      <c r="D5493" t="s">
        <v>112</v>
      </c>
      <c r="E5493" t="s">
        <v>9</v>
      </c>
      <c r="F5493" s="3">
        <v>58003.14</v>
      </c>
      <c r="G5493" s="3">
        <v>58003.14</v>
      </c>
      <c r="H5493" t="s">
        <v>3</v>
      </c>
      <c r="I5493" t="s">
        <v>3</v>
      </c>
      <c r="J5493" t="s">
        <v>428</v>
      </c>
      <c r="K5493" t="s">
        <v>13</v>
      </c>
      <c r="L5493" t="s">
        <v>19</v>
      </c>
      <c r="M5493" t="s">
        <v>114</v>
      </c>
      <c r="N5493" s="2">
        <v>46203</v>
      </c>
    </row>
    <row r="5494" spans="1:14" x14ac:dyDescent="0.25">
      <c r="A5494" t="s">
        <v>667</v>
      </c>
      <c r="B5494" s="2">
        <v>46203</v>
      </c>
      <c r="C5494" t="s">
        <v>667</v>
      </c>
      <c r="D5494" t="s">
        <v>301</v>
      </c>
      <c r="E5494" t="s">
        <v>9</v>
      </c>
      <c r="F5494" s="3">
        <v>-4680</v>
      </c>
      <c r="G5494" s="3">
        <v>-4680</v>
      </c>
      <c r="H5494" t="s">
        <v>3</v>
      </c>
      <c r="I5494" t="s">
        <v>3</v>
      </c>
      <c r="J5494" t="s">
        <v>10</v>
      </c>
      <c r="K5494" t="s">
        <v>13</v>
      </c>
      <c r="L5494" t="s">
        <v>19</v>
      </c>
      <c r="M5494" t="s">
        <v>302</v>
      </c>
      <c r="N5494" s="2">
        <v>46203</v>
      </c>
    </row>
    <row r="5495" spans="1:14" x14ac:dyDescent="0.25">
      <c r="A5495" s="4" t="s">
        <v>224</v>
      </c>
      <c r="B5495" s="5"/>
      <c r="C5495" s="4" t="s">
        <v>9</v>
      </c>
      <c r="D5495" s="4" t="s">
        <v>9</v>
      </c>
      <c r="E5495" s="4" t="s">
        <v>9</v>
      </c>
      <c r="F5495" s="6">
        <v>0</v>
      </c>
      <c r="G5495" s="6">
        <v>0</v>
      </c>
      <c r="H5495" s="4" t="s">
        <v>9</v>
      </c>
      <c r="I5495" s="4" t="s">
        <v>3</v>
      </c>
      <c r="J5495" s="4" t="s">
        <v>9</v>
      </c>
      <c r="K5495" s="4" t="s">
        <v>9</v>
      </c>
      <c r="L5495" s="4" t="s">
        <v>9</v>
      </c>
      <c r="M5495" s="4" t="s">
        <v>9</v>
      </c>
      <c r="N5495" s="5"/>
    </row>
    <row r="5496" spans="1:14" x14ac:dyDescent="0.25">
      <c r="A5496" t="s">
        <v>667</v>
      </c>
      <c r="B5496" s="2">
        <v>46239</v>
      </c>
      <c r="C5496" t="s">
        <v>667</v>
      </c>
      <c r="D5496" t="s">
        <v>112</v>
      </c>
      <c r="E5496" t="s">
        <v>9</v>
      </c>
      <c r="F5496" s="3">
        <v>-6471.86</v>
      </c>
      <c r="G5496" s="3">
        <v>-6471.86</v>
      </c>
      <c r="H5496" t="s">
        <v>3</v>
      </c>
      <c r="I5496" t="s">
        <v>3</v>
      </c>
      <c r="J5496" t="s">
        <v>9</v>
      </c>
      <c r="K5496" t="s">
        <v>9</v>
      </c>
      <c r="L5496" t="s">
        <v>21</v>
      </c>
      <c r="M5496" t="s">
        <v>114</v>
      </c>
      <c r="N5496" s="2">
        <v>46234</v>
      </c>
    </row>
    <row r="5497" spans="1:14" x14ac:dyDescent="0.25">
      <c r="A5497" t="s">
        <v>667</v>
      </c>
      <c r="B5497" s="2">
        <v>46239</v>
      </c>
      <c r="C5497" t="s">
        <v>667</v>
      </c>
      <c r="D5497" t="s">
        <v>301</v>
      </c>
      <c r="E5497" t="s">
        <v>9</v>
      </c>
      <c r="F5497" s="3">
        <v>6840</v>
      </c>
      <c r="G5497" s="3">
        <v>6840</v>
      </c>
      <c r="H5497" t="s">
        <v>3</v>
      </c>
      <c r="I5497" t="s">
        <v>3</v>
      </c>
      <c r="J5497" t="s">
        <v>9</v>
      </c>
      <c r="K5497" t="s">
        <v>9</v>
      </c>
      <c r="L5497" t="s">
        <v>21</v>
      </c>
      <c r="M5497" t="s">
        <v>302</v>
      </c>
      <c r="N5497" s="2">
        <v>46234</v>
      </c>
    </row>
    <row r="5498" spans="1:14" x14ac:dyDescent="0.25">
      <c r="A5498" t="s">
        <v>667</v>
      </c>
      <c r="B5498" s="2">
        <v>46203</v>
      </c>
      <c r="C5498" t="s">
        <v>667</v>
      </c>
      <c r="D5498" t="s">
        <v>112</v>
      </c>
      <c r="E5498" t="s">
        <v>9</v>
      </c>
      <c r="F5498" s="3">
        <v>-6580</v>
      </c>
      <c r="G5498" s="3">
        <v>-6580</v>
      </c>
      <c r="H5498" t="s">
        <v>3</v>
      </c>
      <c r="I5498" t="s">
        <v>3</v>
      </c>
      <c r="J5498" t="s">
        <v>316</v>
      </c>
      <c r="K5498" t="s">
        <v>13</v>
      </c>
      <c r="L5498" t="s">
        <v>21</v>
      </c>
      <c r="M5498" t="s">
        <v>114</v>
      </c>
      <c r="N5498" s="2">
        <v>46204</v>
      </c>
    </row>
    <row r="5499" spans="1:14" x14ac:dyDescent="0.25">
      <c r="A5499" t="s">
        <v>667</v>
      </c>
      <c r="B5499" s="2">
        <v>46203</v>
      </c>
      <c r="C5499" t="s">
        <v>667</v>
      </c>
      <c r="D5499" t="s">
        <v>112</v>
      </c>
      <c r="E5499" t="s">
        <v>9</v>
      </c>
      <c r="F5499" s="3">
        <v>-58003.14</v>
      </c>
      <c r="G5499" s="3">
        <v>-58003.14</v>
      </c>
      <c r="H5499" t="s">
        <v>3</v>
      </c>
      <c r="I5499" t="s">
        <v>3</v>
      </c>
      <c r="J5499" t="s">
        <v>428</v>
      </c>
      <c r="K5499" t="s">
        <v>13</v>
      </c>
      <c r="L5499" t="s">
        <v>21</v>
      </c>
      <c r="M5499" t="s">
        <v>114</v>
      </c>
      <c r="N5499" s="2">
        <v>46204</v>
      </c>
    </row>
    <row r="5500" spans="1:14" x14ac:dyDescent="0.25">
      <c r="A5500" t="s">
        <v>667</v>
      </c>
      <c r="B5500" s="2">
        <v>46234</v>
      </c>
      <c r="C5500" t="s">
        <v>667</v>
      </c>
      <c r="D5500" t="s">
        <v>301</v>
      </c>
      <c r="E5500" t="s">
        <v>9</v>
      </c>
      <c r="F5500" s="3">
        <v>-6840</v>
      </c>
      <c r="G5500" s="3">
        <v>-6840</v>
      </c>
      <c r="H5500" t="s">
        <v>3</v>
      </c>
      <c r="I5500" t="s">
        <v>3</v>
      </c>
      <c r="J5500" t="s">
        <v>10</v>
      </c>
      <c r="K5500" t="s">
        <v>13</v>
      </c>
      <c r="L5500" t="s">
        <v>21</v>
      </c>
      <c r="M5500" t="s">
        <v>302</v>
      </c>
      <c r="N5500" s="2">
        <v>46234</v>
      </c>
    </row>
    <row r="5501" spans="1:14" x14ac:dyDescent="0.25">
      <c r="A5501" t="s">
        <v>667</v>
      </c>
      <c r="B5501" s="2">
        <v>46234</v>
      </c>
      <c r="C5501" t="s">
        <v>667</v>
      </c>
      <c r="D5501" t="s">
        <v>112</v>
      </c>
      <c r="E5501" t="s">
        <v>9</v>
      </c>
      <c r="F5501" s="3">
        <v>11980</v>
      </c>
      <c r="G5501" s="3">
        <v>11980</v>
      </c>
      <c r="H5501" t="s">
        <v>3</v>
      </c>
      <c r="I5501" t="s">
        <v>3</v>
      </c>
      <c r="J5501" t="s">
        <v>319</v>
      </c>
      <c r="K5501" t="s">
        <v>13</v>
      </c>
      <c r="L5501" t="s">
        <v>21</v>
      </c>
      <c r="M5501" t="s">
        <v>114</v>
      </c>
      <c r="N5501" s="2">
        <v>46234</v>
      </c>
    </row>
    <row r="5502" spans="1:14" x14ac:dyDescent="0.25">
      <c r="A5502" t="s">
        <v>667</v>
      </c>
      <c r="B5502" s="2">
        <v>46234</v>
      </c>
      <c r="C5502" t="s">
        <v>667</v>
      </c>
      <c r="D5502" t="s">
        <v>112</v>
      </c>
      <c r="E5502" t="s">
        <v>9</v>
      </c>
      <c r="F5502" s="3">
        <v>59075</v>
      </c>
      <c r="G5502" s="3">
        <v>59075</v>
      </c>
      <c r="H5502" t="s">
        <v>3</v>
      </c>
      <c r="I5502" t="s">
        <v>3</v>
      </c>
      <c r="J5502" t="s">
        <v>429</v>
      </c>
      <c r="K5502" t="s">
        <v>13</v>
      </c>
      <c r="L5502" t="s">
        <v>21</v>
      </c>
      <c r="M5502" t="s">
        <v>114</v>
      </c>
      <c r="N5502" s="2">
        <v>46234</v>
      </c>
    </row>
    <row r="5503" spans="1:14" x14ac:dyDescent="0.25">
      <c r="A5503" s="4" t="s">
        <v>262</v>
      </c>
      <c r="B5503" s="5"/>
      <c r="C5503" s="4" t="s">
        <v>9</v>
      </c>
      <c r="D5503" s="4" t="s">
        <v>9</v>
      </c>
      <c r="E5503" s="4" t="s">
        <v>9</v>
      </c>
      <c r="F5503" s="6">
        <v>0</v>
      </c>
      <c r="G5503" s="6">
        <v>0</v>
      </c>
      <c r="H5503" s="4" t="s">
        <v>9</v>
      </c>
      <c r="I5503" s="4" t="s">
        <v>3</v>
      </c>
      <c r="J5503" s="4" t="s">
        <v>9</v>
      </c>
      <c r="K5503" s="4" t="s">
        <v>9</v>
      </c>
      <c r="L5503" s="4" t="s">
        <v>9</v>
      </c>
      <c r="M5503" s="4" t="s">
        <v>9</v>
      </c>
      <c r="N5503" s="5"/>
    </row>
    <row r="5504" spans="1:14" x14ac:dyDescent="0.25">
      <c r="A5504" t="s">
        <v>667</v>
      </c>
      <c r="B5504" s="2">
        <v>46267</v>
      </c>
      <c r="C5504" t="s">
        <v>667</v>
      </c>
      <c r="D5504" t="s">
        <v>112</v>
      </c>
      <c r="E5504" t="s">
        <v>9</v>
      </c>
      <c r="F5504" s="3">
        <v>-6666</v>
      </c>
      <c r="G5504" s="3">
        <v>-6666</v>
      </c>
      <c r="H5504" t="s">
        <v>3</v>
      </c>
      <c r="I5504" t="s">
        <v>3</v>
      </c>
      <c r="J5504" t="s">
        <v>9</v>
      </c>
      <c r="K5504" t="s">
        <v>9</v>
      </c>
      <c r="L5504" t="s">
        <v>22</v>
      </c>
      <c r="M5504" t="s">
        <v>114</v>
      </c>
      <c r="N5504" s="2">
        <v>46265</v>
      </c>
    </row>
    <row r="5505" spans="1:14" x14ac:dyDescent="0.25">
      <c r="A5505" t="s">
        <v>667</v>
      </c>
      <c r="B5505" s="2">
        <v>46267</v>
      </c>
      <c r="C5505" t="s">
        <v>667</v>
      </c>
      <c r="D5505" t="s">
        <v>301</v>
      </c>
      <c r="E5505" t="s">
        <v>9</v>
      </c>
      <c r="F5505" s="3">
        <v>5040</v>
      </c>
      <c r="G5505" s="3">
        <v>5040</v>
      </c>
      <c r="H5505" t="s">
        <v>3</v>
      </c>
      <c r="I5505" t="s">
        <v>3</v>
      </c>
      <c r="J5505" t="s">
        <v>9</v>
      </c>
      <c r="K5505" t="s">
        <v>9</v>
      </c>
      <c r="L5505" t="s">
        <v>22</v>
      </c>
      <c r="M5505" t="s">
        <v>302</v>
      </c>
      <c r="N5505" s="2">
        <v>46265</v>
      </c>
    </row>
    <row r="5506" spans="1:14" x14ac:dyDescent="0.25">
      <c r="A5506" t="s">
        <v>667</v>
      </c>
      <c r="B5506" s="2">
        <v>46234</v>
      </c>
      <c r="C5506" t="s">
        <v>667</v>
      </c>
      <c r="D5506" t="s">
        <v>112</v>
      </c>
      <c r="E5506" t="s">
        <v>9</v>
      </c>
      <c r="F5506" s="3">
        <v>-11980</v>
      </c>
      <c r="G5506" s="3">
        <v>-11980</v>
      </c>
      <c r="H5506" t="s">
        <v>3</v>
      </c>
      <c r="I5506" t="s">
        <v>3</v>
      </c>
      <c r="J5506" t="s">
        <v>319</v>
      </c>
      <c r="K5506" t="s">
        <v>13</v>
      </c>
      <c r="L5506" t="s">
        <v>22</v>
      </c>
      <c r="M5506" t="s">
        <v>114</v>
      </c>
      <c r="N5506" s="2">
        <v>46235</v>
      </c>
    </row>
    <row r="5507" spans="1:14" x14ac:dyDescent="0.25">
      <c r="A5507" t="s">
        <v>667</v>
      </c>
      <c r="B5507" s="2">
        <v>46234</v>
      </c>
      <c r="C5507" t="s">
        <v>667</v>
      </c>
      <c r="D5507" t="s">
        <v>112</v>
      </c>
      <c r="E5507" t="s">
        <v>9</v>
      </c>
      <c r="F5507" s="3">
        <v>-59075</v>
      </c>
      <c r="G5507" s="3">
        <v>-59075</v>
      </c>
      <c r="H5507" t="s">
        <v>3</v>
      </c>
      <c r="I5507" t="s">
        <v>3</v>
      </c>
      <c r="J5507" t="s">
        <v>429</v>
      </c>
      <c r="K5507" t="s">
        <v>13</v>
      </c>
      <c r="L5507" t="s">
        <v>22</v>
      </c>
      <c r="M5507" t="s">
        <v>114</v>
      </c>
      <c r="N5507" s="2">
        <v>46235</v>
      </c>
    </row>
    <row r="5508" spans="1:14" x14ac:dyDescent="0.25">
      <c r="A5508" t="s">
        <v>667</v>
      </c>
      <c r="B5508" s="2">
        <v>46265</v>
      </c>
      <c r="C5508" t="s">
        <v>667</v>
      </c>
      <c r="D5508" t="s">
        <v>112</v>
      </c>
      <c r="E5508" t="s">
        <v>9</v>
      </c>
      <c r="F5508" s="3">
        <v>18646</v>
      </c>
      <c r="G5508" s="3">
        <v>18646</v>
      </c>
      <c r="H5508" t="s">
        <v>3</v>
      </c>
      <c r="I5508" t="s">
        <v>3</v>
      </c>
      <c r="J5508" t="s">
        <v>322</v>
      </c>
      <c r="K5508" t="s">
        <v>13</v>
      </c>
      <c r="L5508" t="s">
        <v>22</v>
      </c>
      <c r="M5508" t="s">
        <v>114</v>
      </c>
      <c r="N5508" s="2">
        <v>46265</v>
      </c>
    </row>
    <row r="5509" spans="1:14" x14ac:dyDescent="0.25">
      <c r="A5509" t="s">
        <v>667</v>
      </c>
      <c r="B5509" s="2">
        <v>46265</v>
      </c>
      <c r="C5509" t="s">
        <v>667</v>
      </c>
      <c r="D5509" t="s">
        <v>112</v>
      </c>
      <c r="E5509" t="s">
        <v>9</v>
      </c>
      <c r="F5509" s="3">
        <v>59075</v>
      </c>
      <c r="G5509" s="3">
        <v>59075</v>
      </c>
      <c r="H5509" t="s">
        <v>3</v>
      </c>
      <c r="I5509" t="s">
        <v>3</v>
      </c>
      <c r="J5509" t="s">
        <v>431</v>
      </c>
      <c r="K5509" t="s">
        <v>13</v>
      </c>
      <c r="L5509" t="s">
        <v>22</v>
      </c>
      <c r="M5509" t="s">
        <v>114</v>
      </c>
      <c r="N5509" s="2">
        <v>46265</v>
      </c>
    </row>
    <row r="5510" spans="1:14" x14ac:dyDescent="0.25">
      <c r="A5510" t="s">
        <v>667</v>
      </c>
      <c r="B5510" s="2">
        <v>46265</v>
      </c>
      <c r="C5510" t="s">
        <v>667</v>
      </c>
      <c r="D5510" t="s">
        <v>301</v>
      </c>
      <c r="E5510" t="s">
        <v>9</v>
      </c>
      <c r="F5510" s="3">
        <v>-5040</v>
      </c>
      <c r="G5510" s="3">
        <v>-5040</v>
      </c>
      <c r="H5510" t="s">
        <v>3</v>
      </c>
      <c r="I5510" t="s">
        <v>3</v>
      </c>
      <c r="J5510" t="s">
        <v>10</v>
      </c>
      <c r="K5510" t="s">
        <v>13</v>
      </c>
      <c r="L5510" t="s">
        <v>22</v>
      </c>
      <c r="M5510" t="s">
        <v>302</v>
      </c>
      <c r="N5510" s="2">
        <v>46265</v>
      </c>
    </row>
    <row r="5511" spans="1:14" x14ac:dyDescent="0.25">
      <c r="A5511" s="4" t="s">
        <v>267</v>
      </c>
      <c r="B5511" s="5"/>
      <c r="C5511" s="4" t="s">
        <v>9</v>
      </c>
      <c r="D5511" s="4" t="s">
        <v>9</v>
      </c>
      <c r="E5511" s="4" t="s">
        <v>9</v>
      </c>
      <c r="F5511" s="6">
        <v>0</v>
      </c>
      <c r="G5511" s="6">
        <v>0</v>
      </c>
      <c r="H5511" s="4" t="s">
        <v>9</v>
      </c>
      <c r="I5511" s="4" t="s">
        <v>3</v>
      </c>
      <c r="J5511" s="4" t="s">
        <v>9</v>
      </c>
      <c r="K5511" s="4" t="s">
        <v>9</v>
      </c>
      <c r="L5511" s="4" t="s">
        <v>9</v>
      </c>
      <c r="M5511" s="4" t="s">
        <v>9</v>
      </c>
      <c r="N5511" s="5"/>
    </row>
    <row r="5512" spans="1:14" x14ac:dyDescent="0.25">
      <c r="A5512" s="4" t="s">
        <v>667</v>
      </c>
      <c r="B5512" s="5"/>
      <c r="C5512" s="4" t="s">
        <v>9</v>
      </c>
      <c r="D5512" s="4" t="s">
        <v>9</v>
      </c>
      <c r="E5512" s="4" t="s">
        <v>9</v>
      </c>
      <c r="F5512" s="6">
        <v>0</v>
      </c>
      <c r="G5512" s="6">
        <v>0</v>
      </c>
      <c r="H5512" s="4" t="s">
        <v>9</v>
      </c>
      <c r="I5512" s="4" t="s">
        <v>3</v>
      </c>
      <c r="J5512" s="4" t="s">
        <v>9</v>
      </c>
      <c r="K5512" s="4" t="s">
        <v>9</v>
      </c>
      <c r="L5512" s="4" t="s">
        <v>9</v>
      </c>
      <c r="M5512" s="4" t="s">
        <v>9</v>
      </c>
      <c r="N5512" s="5"/>
    </row>
    <row r="5513" spans="1:14" x14ac:dyDescent="0.25">
      <c r="A5513" t="s">
        <v>668</v>
      </c>
      <c r="B5513" s="2">
        <v>46084</v>
      </c>
      <c r="C5513" t="s">
        <v>668</v>
      </c>
      <c r="D5513" t="s">
        <v>112</v>
      </c>
      <c r="E5513" t="s">
        <v>9</v>
      </c>
      <c r="F5513" s="3">
        <v>-15900</v>
      </c>
      <c r="G5513" s="3">
        <v>-15900</v>
      </c>
      <c r="H5513" t="s">
        <v>3</v>
      </c>
      <c r="I5513" t="s">
        <v>3</v>
      </c>
      <c r="J5513" t="s">
        <v>9</v>
      </c>
      <c r="K5513" t="s">
        <v>9</v>
      </c>
      <c r="L5513" t="s">
        <v>15</v>
      </c>
      <c r="M5513" t="s">
        <v>114</v>
      </c>
      <c r="N5513" s="2">
        <v>46081</v>
      </c>
    </row>
    <row r="5514" spans="1:14" x14ac:dyDescent="0.25">
      <c r="A5514" t="s">
        <v>668</v>
      </c>
      <c r="B5514" s="2">
        <v>46084</v>
      </c>
      <c r="C5514" t="s">
        <v>668</v>
      </c>
      <c r="D5514" t="s">
        <v>301</v>
      </c>
      <c r="E5514" t="s">
        <v>9</v>
      </c>
      <c r="F5514" s="3">
        <v>15900</v>
      </c>
      <c r="G5514" s="3">
        <v>15900</v>
      </c>
      <c r="H5514" t="s">
        <v>3</v>
      </c>
      <c r="I5514" t="s">
        <v>3</v>
      </c>
      <c r="J5514" t="s">
        <v>9</v>
      </c>
      <c r="K5514" t="s">
        <v>9</v>
      </c>
      <c r="L5514" t="s">
        <v>15</v>
      </c>
      <c r="M5514" t="s">
        <v>302</v>
      </c>
      <c r="N5514" s="2">
        <v>46081</v>
      </c>
    </row>
    <row r="5515" spans="1:14" x14ac:dyDescent="0.25">
      <c r="A5515" t="s">
        <v>668</v>
      </c>
      <c r="B5515" s="2">
        <v>46081</v>
      </c>
      <c r="C5515" t="s">
        <v>668</v>
      </c>
      <c r="D5515" t="s">
        <v>301</v>
      </c>
      <c r="E5515" t="s">
        <v>9</v>
      </c>
      <c r="F5515" s="3">
        <v>-15900</v>
      </c>
      <c r="G5515" s="3">
        <v>-15900</v>
      </c>
      <c r="H5515" t="s">
        <v>3</v>
      </c>
      <c r="I5515" t="s">
        <v>3</v>
      </c>
      <c r="J5515" t="s">
        <v>10</v>
      </c>
      <c r="K5515" t="s">
        <v>13</v>
      </c>
      <c r="L5515" t="s">
        <v>15</v>
      </c>
      <c r="M5515" t="s">
        <v>302</v>
      </c>
      <c r="N5515" s="2">
        <v>46081</v>
      </c>
    </row>
    <row r="5516" spans="1:14" x14ac:dyDescent="0.25">
      <c r="A5516" t="s">
        <v>668</v>
      </c>
      <c r="B5516" s="2">
        <v>46081</v>
      </c>
      <c r="C5516" t="s">
        <v>668</v>
      </c>
      <c r="D5516" t="s">
        <v>112</v>
      </c>
      <c r="E5516" t="s">
        <v>9</v>
      </c>
      <c r="F5516" s="3">
        <v>15900</v>
      </c>
      <c r="G5516" s="3">
        <v>15900</v>
      </c>
      <c r="H5516" t="s">
        <v>3</v>
      </c>
      <c r="I5516" t="s">
        <v>3</v>
      </c>
      <c r="J5516" t="s">
        <v>304</v>
      </c>
      <c r="K5516" t="s">
        <v>13</v>
      </c>
      <c r="L5516" t="s">
        <v>15</v>
      </c>
      <c r="M5516" t="s">
        <v>114</v>
      </c>
      <c r="N5516" s="2">
        <v>46081</v>
      </c>
    </row>
    <row r="5517" spans="1:14" x14ac:dyDescent="0.25">
      <c r="A5517" s="4" t="s">
        <v>239</v>
      </c>
      <c r="B5517" s="5"/>
      <c r="C5517" s="4" t="s">
        <v>9</v>
      </c>
      <c r="D5517" s="4" t="s">
        <v>9</v>
      </c>
      <c r="E5517" s="4" t="s">
        <v>9</v>
      </c>
      <c r="F5517" s="6">
        <v>0</v>
      </c>
      <c r="G5517" s="6">
        <v>0</v>
      </c>
      <c r="H5517" s="4" t="s">
        <v>9</v>
      </c>
      <c r="I5517" s="4" t="s">
        <v>3</v>
      </c>
      <c r="J5517" s="4" t="s">
        <v>9</v>
      </c>
      <c r="K5517" s="4" t="s">
        <v>9</v>
      </c>
      <c r="L5517" s="4" t="s">
        <v>9</v>
      </c>
      <c r="M5517" s="4" t="s">
        <v>9</v>
      </c>
      <c r="N5517" s="5"/>
    </row>
    <row r="5518" spans="1:14" x14ac:dyDescent="0.25">
      <c r="A5518" t="s">
        <v>668</v>
      </c>
      <c r="B5518" s="2">
        <v>46115</v>
      </c>
      <c r="C5518" t="s">
        <v>668</v>
      </c>
      <c r="D5518" t="s">
        <v>112</v>
      </c>
      <c r="E5518" t="s">
        <v>9</v>
      </c>
      <c r="F5518" s="3">
        <v>-3200</v>
      </c>
      <c r="G5518" s="3">
        <v>-3200</v>
      </c>
      <c r="H5518" t="s">
        <v>3</v>
      </c>
      <c r="I5518" t="s">
        <v>3</v>
      </c>
      <c r="J5518" t="s">
        <v>9</v>
      </c>
      <c r="K5518" t="s">
        <v>9</v>
      </c>
      <c r="L5518" t="s">
        <v>16</v>
      </c>
      <c r="M5518" t="s">
        <v>114</v>
      </c>
      <c r="N5518" s="2">
        <v>46112</v>
      </c>
    </row>
    <row r="5519" spans="1:14" x14ac:dyDescent="0.25">
      <c r="A5519" t="s">
        <v>668</v>
      </c>
      <c r="B5519" s="2">
        <v>46115</v>
      </c>
      <c r="C5519" t="s">
        <v>668</v>
      </c>
      <c r="D5519" t="s">
        <v>301</v>
      </c>
      <c r="E5519" t="s">
        <v>9</v>
      </c>
      <c r="F5519" s="3">
        <v>3200</v>
      </c>
      <c r="G5519" s="3">
        <v>3200</v>
      </c>
      <c r="H5519" t="s">
        <v>3</v>
      </c>
      <c r="I5519" t="s">
        <v>3</v>
      </c>
      <c r="J5519" t="s">
        <v>9</v>
      </c>
      <c r="K5519" t="s">
        <v>9</v>
      </c>
      <c r="L5519" t="s">
        <v>16</v>
      </c>
      <c r="M5519" t="s">
        <v>302</v>
      </c>
      <c r="N5519" s="2">
        <v>46112</v>
      </c>
    </row>
    <row r="5520" spans="1:14" x14ac:dyDescent="0.25">
      <c r="A5520" t="s">
        <v>668</v>
      </c>
      <c r="B5520" s="2">
        <v>46081</v>
      </c>
      <c r="C5520" t="s">
        <v>668</v>
      </c>
      <c r="D5520" t="s">
        <v>112</v>
      </c>
      <c r="E5520" t="s">
        <v>9</v>
      </c>
      <c r="F5520" s="3">
        <v>-15900</v>
      </c>
      <c r="G5520" s="3">
        <v>-15900</v>
      </c>
      <c r="H5520" t="s">
        <v>3</v>
      </c>
      <c r="I5520" t="s">
        <v>3</v>
      </c>
      <c r="J5520" t="s">
        <v>304</v>
      </c>
      <c r="K5520" t="s">
        <v>13</v>
      </c>
      <c r="L5520" t="s">
        <v>16</v>
      </c>
      <c r="M5520" t="s">
        <v>114</v>
      </c>
      <c r="N5520" s="2">
        <v>46082</v>
      </c>
    </row>
    <row r="5521" spans="1:14" x14ac:dyDescent="0.25">
      <c r="A5521" t="s">
        <v>668</v>
      </c>
      <c r="B5521" s="2">
        <v>46112</v>
      </c>
      <c r="C5521" t="s">
        <v>668</v>
      </c>
      <c r="D5521" t="s">
        <v>112</v>
      </c>
      <c r="E5521" t="s">
        <v>9</v>
      </c>
      <c r="F5521" s="3">
        <v>19100</v>
      </c>
      <c r="G5521" s="3">
        <v>19100</v>
      </c>
      <c r="H5521" t="s">
        <v>3</v>
      </c>
      <c r="I5521" t="s">
        <v>3</v>
      </c>
      <c r="J5521" t="s">
        <v>307</v>
      </c>
      <c r="K5521" t="s">
        <v>13</v>
      </c>
      <c r="L5521" t="s">
        <v>16</v>
      </c>
      <c r="M5521" t="s">
        <v>114</v>
      </c>
      <c r="N5521" s="2">
        <v>46112</v>
      </c>
    </row>
    <row r="5522" spans="1:14" x14ac:dyDescent="0.25">
      <c r="A5522" t="s">
        <v>668</v>
      </c>
      <c r="B5522" s="2">
        <v>46112</v>
      </c>
      <c r="C5522" t="s">
        <v>668</v>
      </c>
      <c r="D5522" t="s">
        <v>301</v>
      </c>
      <c r="E5522" t="s">
        <v>9</v>
      </c>
      <c r="F5522" s="3">
        <v>-3200</v>
      </c>
      <c r="G5522" s="3">
        <v>-3200</v>
      </c>
      <c r="H5522" t="s">
        <v>3</v>
      </c>
      <c r="I5522" t="s">
        <v>3</v>
      </c>
      <c r="J5522" t="s">
        <v>10</v>
      </c>
      <c r="K5522" t="s">
        <v>13</v>
      </c>
      <c r="L5522" t="s">
        <v>16</v>
      </c>
      <c r="M5522" t="s">
        <v>302</v>
      </c>
      <c r="N5522" s="2">
        <v>46112</v>
      </c>
    </row>
    <row r="5523" spans="1:14" x14ac:dyDescent="0.25">
      <c r="A5523" s="4" t="s">
        <v>244</v>
      </c>
      <c r="B5523" s="5"/>
      <c r="C5523" s="4" t="s">
        <v>9</v>
      </c>
      <c r="D5523" s="4" t="s">
        <v>9</v>
      </c>
      <c r="E5523" s="4" t="s">
        <v>9</v>
      </c>
      <c r="F5523" s="6">
        <v>0</v>
      </c>
      <c r="G5523" s="6">
        <v>0</v>
      </c>
      <c r="H5523" s="4" t="s">
        <v>9</v>
      </c>
      <c r="I5523" s="4" t="s">
        <v>3</v>
      </c>
      <c r="J5523" s="4" t="s">
        <v>9</v>
      </c>
      <c r="K5523" s="4" t="s">
        <v>9</v>
      </c>
      <c r="L5523" s="4" t="s">
        <v>9</v>
      </c>
      <c r="M5523" s="4" t="s">
        <v>9</v>
      </c>
      <c r="N5523" s="5"/>
    </row>
    <row r="5524" spans="1:14" x14ac:dyDescent="0.25">
      <c r="A5524" t="s">
        <v>668</v>
      </c>
      <c r="B5524" s="2">
        <v>46147</v>
      </c>
      <c r="C5524" t="s">
        <v>668</v>
      </c>
      <c r="D5524" t="s">
        <v>112</v>
      </c>
      <c r="E5524" t="s">
        <v>9</v>
      </c>
      <c r="F5524" s="3">
        <v>-6600</v>
      </c>
      <c r="G5524" s="3">
        <v>-6600</v>
      </c>
      <c r="H5524" t="s">
        <v>3</v>
      </c>
      <c r="I5524" t="s">
        <v>3</v>
      </c>
      <c r="J5524" t="s">
        <v>9</v>
      </c>
      <c r="K5524" t="s">
        <v>9</v>
      </c>
      <c r="L5524" t="s">
        <v>17</v>
      </c>
      <c r="M5524" t="s">
        <v>114</v>
      </c>
      <c r="N5524" s="2">
        <v>46142</v>
      </c>
    </row>
    <row r="5525" spans="1:14" x14ac:dyDescent="0.25">
      <c r="A5525" t="s">
        <v>668</v>
      </c>
      <c r="B5525" s="2">
        <v>46147</v>
      </c>
      <c r="C5525" t="s">
        <v>668</v>
      </c>
      <c r="D5525" t="s">
        <v>301</v>
      </c>
      <c r="E5525" t="s">
        <v>9</v>
      </c>
      <c r="F5525" s="3">
        <v>6600</v>
      </c>
      <c r="G5525" s="3">
        <v>6600</v>
      </c>
      <c r="H5525" t="s">
        <v>3</v>
      </c>
      <c r="I5525" t="s">
        <v>3</v>
      </c>
      <c r="J5525" t="s">
        <v>9</v>
      </c>
      <c r="K5525" t="s">
        <v>9</v>
      </c>
      <c r="L5525" t="s">
        <v>17</v>
      </c>
      <c r="M5525" t="s">
        <v>302</v>
      </c>
      <c r="N5525" s="2">
        <v>46142</v>
      </c>
    </row>
    <row r="5526" spans="1:14" x14ac:dyDescent="0.25">
      <c r="A5526" t="s">
        <v>668</v>
      </c>
      <c r="B5526" s="2">
        <v>46112</v>
      </c>
      <c r="C5526" t="s">
        <v>668</v>
      </c>
      <c r="D5526" t="s">
        <v>112</v>
      </c>
      <c r="E5526" t="s">
        <v>9</v>
      </c>
      <c r="F5526" s="3">
        <v>-19100</v>
      </c>
      <c r="G5526" s="3">
        <v>-19100</v>
      </c>
      <c r="H5526" t="s">
        <v>3</v>
      </c>
      <c r="I5526" t="s">
        <v>3</v>
      </c>
      <c r="J5526" t="s">
        <v>307</v>
      </c>
      <c r="K5526" t="s">
        <v>13</v>
      </c>
      <c r="L5526" t="s">
        <v>17</v>
      </c>
      <c r="M5526" t="s">
        <v>114</v>
      </c>
      <c r="N5526" s="2">
        <v>46113</v>
      </c>
    </row>
    <row r="5527" spans="1:14" x14ac:dyDescent="0.25">
      <c r="A5527" t="s">
        <v>668</v>
      </c>
      <c r="B5527" s="2">
        <v>46142</v>
      </c>
      <c r="C5527" t="s">
        <v>668</v>
      </c>
      <c r="D5527" t="s">
        <v>112</v>
      </c>
      <c r="E5527" t="s">
        <v>9</v>
      </c>
      <c r="F5527" s="3">
        <v>25700</v>
      </c>
      <c r="G5527" s="3">
        <v>25700</v>
      </c>
      <c r="H5527" t="s">
        <v>3</v>
      </c>
      <c r="I5527" t="s">
        <v>3</v>
      </c>
      <c r="J5527" t="s">
        <v>310</v>
      </c>
      <c r="K5527" t="s">
        <v>13</v>
      </c>
      <c r="L5527" t="s">
        <v>17</v>
      </c>
      <c r="M5527" t="s">
        <v>114</v>
      </c>
      <c r="N5527" s="2">
        <v>46142</v>
      </c>
    </row>
    <row r="5528" spans="1:14" x14ac:dyDescent="0.25">
      <c r="A5528" t="s">
        <v>668</v>
      </c>
      <c r="B5528" s="2">
        <v>46142</v>
      </c>
      <c r="C5528" t="s">
        <v>668</v>
      </c>
      <c r="D5528" t="s">
        <v>301</v>
      </c>
      <c r="E5528" t="s">
        <v>9</v>
      </c>
      <c r="F5528" s="3">
        <v>-6600</v>
      </c>
      <c r="G5528" s="3">
        <v>-6600</v>
      </c>
      <c r="H5528" t="s">
        <v>3</v>
      </c>
      <c r="I5528" t="s">
        <v>3</v>
      </c>
      <c r="J5528" t="s">
        <v>10</v>
      </c>
      <c r="K5528" t="s">
        <v>13</v>
      </c>
      <c r="L5528" t="s">
        <v>17</v>
      </c>
      <c r="M5528" t="s">
        <v>302</v>
      </c>
      <c r="N5528" s="2">
        <v>46142</v>
      </c>
    </row>
    <row r="5529" spans="1:14" x14ac:dyDescent="0.25">
      <c r="A5529" s="4" t="s">
        <v>249</v>
      </c>
      <c r="B5529" s="5"/>
      <c r="C5529" s="4" t="s">
        <v>9</v>
      </c>
      <c r="D5529" s="4" t="s">
        <v>9</v>
      </c>
      <c r="E5529" s="4" t="s">
        <v>9</v>
      </c>
      <c r="F5529" s="6">
        <v>0</v>
      </c>
      <c r="G5529" s="6">
        <v>0</v>
      </c>
      <c r="H5529" s="4" t="s">
        <v>9</v>
      </c>
      <c r="I5529" s="4" t="s">
        <v>3</v>
      </c>
      <c r="J5529" s="4" t="s">
        <v>9</v>
      </c>
      <c r="K5529" s="4" t="s">
        <v>9</v>
      </c>
      <c r="L5529" s="4" t="s">
        <v>9</v>
      </c>
      <c r="M5529" s="4" t="s">
        <v>9</v>
      </c>
      <c r="N5529" s="5"/>
    </row>
    <row r="5530" spans="1:14" x14ac:dyDescent="0.25">
      <c r="A5530" t="s">
        <v>668</v>
      </c>
      <c r="B5530" s="2">
        <v>46175</v>
      </c>
      <c r="C5530" t="s">
        <v>668</v>
      </c>
      <c r="D5530" t="s">
        <v>112</v>
      </c>
      <c r="E5530" t="s">
        <v>9</v>
      </c>
      <c r="F5530" s="3">
        <v>-1400</v>
      </c>
      <c r="G5530" s="3">
        <v>-1400</v>
      </c>
      <c r="H5530" t="s">
        <v>3</v>
      </c>
      <c r="I5530" t="s">
        <v>3</v>
      </c>
      <c r="J5530" t="s">
        <v>9</v>
      </c>
      <c r="K5530" t="s">
        <v>9</v>
      </c>
      <c r="L5530" t="s">
        <v>18</v>
      </c>
      <c r="M5530" t="s">
        <v>114</v>
      </c>
      <c r="N5530" s="2">
        <v>46173</v>
      </c>
    </row>
    <row r="5531" spans="1:14" x14ac:dyDescent="0.25">
      <c r="A5531" t="s">
        <v>668</v>
      </c>
      <c r="B5531" s="2">
        <v>46175</v>
      </c>
      <c r="C5531" t="s">
        <v>668</v>
      </c>
      <c r="D5531" t="s">
        <v>301</v>
      </c>
      <c r="E5531" t="s">
        <v>9</v>
      </c>
      <c r="F5531" s="3">
        <v>1400</v>
      </c>
      <c r="G5531" s="3">
        <v>1400</v>
      </c>
      <c r="H5531" t="s">
        <v>3</v>
      </c>
      <c r="I5531" t="s">
        <v>3</v>
      </c>
      <c r="J5531" t="s">
        <v>9</v>
      </c>
      <c r="K5531" t="s">
        <v>9</v>
      </c>
      <c r="L5531" t="s">
        <v>18</v>
      </c>
      <c r="M5531" t="s">
        <v>302</v>
      </c>
      <c r="N5531" s="2">
        <v>46173</v>
      </c>
    </row>
    <row r="5532" spans="1:14" x14ac:dyDescent="0.25">
      <c r="A5532" t="s">
        <v>668</v>
      </c>
      <c r="B5532" s="2">
        <v>46142</v>
      </c>
      <c r="C5532" t="s">
        <v>668</v>
      </c>
      <c r="D5532" t="s">
        <v>112</v>
      </c>
      <c r="E5532" t="s">
        <v>9</v>
      </c>
      <c r="F5532" s="3">
        <v>-25700</v>
      </c>
      <c r="G5532" s="3">
        <v>-25700</v>
      </c>
      <c r="H5532" t="s">
        <v>3</v>
      </c>
      <c r="I5532" t="s">
        <v>3</v>
      </c>
      <c r="J5532" t="s">
        <v>310</v>
      </c>
      <c r="K5532" t="s">
        <v>13</v>
      </c>
      <c r="L5532" t="s">
        <v>18</v>
      </c>
      <c r="M5532" t="s">
        <v>114</v>
      </c>
      <c r="N5532" s="2">
        <v>46143</v>
      </c>
    </row>
    <row r="5533" spans="1:14" x14ac:dyDescent="0.25">
      <c r="A5533" t="s">
        <v>668</v>
      </c>
      <c r="B5533" s="2">
        <v>46173</v>
      </c>
      <c r="C5533" t="s">
        <v>668</v>
      </c>
      <c r="D5533" t="s">
        <v>112</v>
      </c>
      <c r="E5533" t="s">
        <v>9</v>
      </c>
      <c r="F5533" s="3">
        <v>27100</v>
      </c>
      <c r="G5533" s="3">
        <v>27100</v>
      </c>
      <c r="H5533" t="s">
        <v>3</v>
      </c>
      <c r="I5533" t="s">
        <v>3</v>
      </c>
      <c r="J5533" t="s">
        <v>313</v>
      </c>
      <c r="K5533" t="s">
        <v>13</v>
      </c>
      <c r="L5533" t="s">
        <v>18</v>
      </c>
      <c r="M5533" t="s">
        <v>114</v>
      </c>
      <c r="N5533" s="2">
        <v>46173</v>
      </c>
    </row>
    <row r="5534" spans="1:14" x14ac:dyDescent="0.25">
      <c r="A5534" t="s">
        <v>668</v>
      </c>
      <c r="B5534" s="2">
        <v>46173</v>
      </c>
      <c r="C5534" t="s">
        <v>668</v>
      </c>
      <c r="D5534" t="s">
        <v>301</v>
      </c>
      <c r="E5534" t="s">
        <v>9</v>
      </c>
      <c r="F5534" s="3">
        <v>-1400</v>
      </c>
      <c r="G5534" s="3">
        <v>-1400</v>
      </c>
      <c r="H5534" t="s">
        <v>3</v>
      </c>
      <c r="I5534" t="s">
        <v>3</v>
      </c>
      <c r="J5534" t="s">
        <v>10</v>
      </c>
      <c r="K5534" t="s">
        <v>13</v>
      </c>
      <c r="L5534" t="s">
        <v>18</v>
      </c>
      <c r="M5534" t="s">
        <v>302</v>
      </c>
      <c r="N5534" s="2">
        <v>46173</v>
      </c>
    </row>
    <row r="5535" spans="1:14" x14ac:dyDescent="0.25">
      <c r="A5535" s="4" t="s">
        <v>223</v>
      </c>
      <c r="B5535" s="5"/>
      <c r="C5535" s="4" t="s">
        <v>9</v>
      </c>
      <c r="D5535" s="4" t="s">
        <v>9</v>
      </c>
      <c r="E5535" s="4" t="s">
        <v>9</v>
      </c>
      <c r="F5535" s="6">
        <v>0</v>
      </c>
      <c r="G5535" s="6">
        <v>0</v>
      </c>
      <c r="H5535" s="4" t="s">
        <v>9</v>
      </c>
      <c r="I5535" s="4" t="s">
        <v>3</v>
      </c>
      <c r="J5535" s="4" t="s">
        <v>9</v>
      </c>
      <c r="K5535" s="4" t="s">
        <v>9</v>
      </c>
      <c r="L5535" s="4" t="s">
        <v>9</v>
      </c>
      <c r="M5535" s="4" t="s">
        <v>9</v>
      </c>
      <c r="N5535" s="5"/>
    </row>
    <row r="5536" spans="1:14" x14ac:dyDescent="0.25">
      <c r="A5536" t="s">
        <v>668</v>
      </c>
      <c r="B5536" s="2">
        <v>46205</v>
      </c>
      <c r="C5536" t="s">
        <v>668</v>
      </c>
      <c r="D5536" t="s">
        <v>112</v>
      </c>
      <c r="E5536" t="s">
        <v>9</v>
      </c>
      <c r="F5536" s="3">
        <v>-4881.46</v>
      </c>
      <c r="G5536" s="3">
        <v>-4881.46</v>
      </c>
      <c r="H5536" t="s">
        <v>3</v>
      </c>
      <c r="I5536" t="s">
        <v>3</v>
      </c>
      <c r="J5536" t="s">
        <v>9</v>
      </c>
      <c r="K5536" t="s">
        <v>9</v>
      </c>
      <c r="L5536" t="s">
        <v>19</v>
      </c>
      <c r="M5536" t="s">
        <v>114</v>
      </c>
      <c r="N5536" s="2">
        <v>46203</v>
      </c>
    </row>
    <row r="5537" spans="1:14" x14ac:dyDescent="0.25">
      <c r="A5537" t="s">
        <v>668</v>
      </c>
      <c r="B5537" s="2">
        <v>46205</v>
      </c>
      <c r="C5537" t="s">
        <v>668</v>
      </c>
      <c r="D5537" t="s">
        <v>301</v>
      </c>
      <c r="E5537" t="s">
        <v>9</v>
      </c>
      <c r="F5537" s="3">
        <v>4881.46</v>
      </c>
      <c r="G5537" s="3">
        <v>4881.46</v>
      </c>
      <c r="H5537" t="s">
        <v>3</v>
      </c>
      <c r="I5537" t="s">
        <v>3</v>
      </c>
      <c r="J5537" t="s">
        <v>9</v>
      </c>
      <c r="K5537" t="s">
        <v>9</v>
      </c>
      <c r="L5537" t="s">
        <v>19</v>
      </c>
      <c r="M5537" t="s">
        <v>302</v>
      </c>
      <c r="N5537" s="2">
        <v>46203</v>
      </c>
    </row>
    <row r="5538" spans="1:14" x14ac:dyDescent="0.25">
      <c r="A5538" t="s">
        <v>668</v>
      </c>
      <c r="B5538" s="2">
        <v>46173</v>
      </c>
      <c r="C5538" t="s">
        <v>668</v>
      </c>
      <c r="D5538" t="s">
        <v>112</v>
      </c>
      <c r="E5538" t="s">
        <v>9</v>
      </c>
      <c r="F5538" s="3">
        <v>-27100</v>
      </c>
      <c r="G5538" s="3">
        <v>-27100</v>
      </c>
      <c r="H5538" t="s">
        <v>3</v>
      </c>
      <c r="I5538" t="s">
        <v>3</v>
      </c>
      <c r="J5538" t="s">
        <v>313</v>
      </c>
      <c r="K5538" t="s">
        <v>13</v>
      </c>
      <c r="L5538" t="s">
        <v>19</v>
      </c>
      <c r="M5538" t="s">
        <v>114</v>
      </c>
      <c r="N5538" s="2">
        <v>46174</v>
      </c>
    </row>
    <row r="5539" spans="1:14" x14ac:dyDescent="0.25">
      <c r="A5539" t="s">
        <v>668</v>
      </c>
      <c r="B5539" s="2">
        <v>46203</v>
      </c>
      <c r="C5539" t="s">
        <v>668</v>
      </c>
      <c r="D5539" t="s">
        <v>112</v>
      </c>
      <c r="E5539" t="s">
        <v>9</v>
      </c>
      <c r="F5539" s="3">
        <v>31981.46</v>
      </c>
      <c r="G5539" s="3">
        <v>31981.46</v>
      </c>
      <c r="H5539" t="s">
        <v>3</v>
      </c>
      <c r="I5539" t="s">
        <v>3</v>
      </c>
      <c r="J5539" t="s">
        <v>316</v>
      </c>
      <c r="K5539" t="s">
        <v>13</v>
      </c>
      <c r="L5539" t="s">
        <v>19</v>
      </c>
      <c r="M5539" t="s">
        <v>114</v>
      </c>
      <c r="N5539" s="2">
        <v>46203</v>
      </c>
    </row>
    <row r="5540" spans="1:14" x14ac:dyDescent="0.25">
      <c r="A5540" t="s">
        <v>668</v>
      </c>
      <c r="B5540" s="2">
        <v>46203</v>
      </c>
      <c r="C5540" t="s">
        <v>668</v>
      </c>
      <c r="D5540" t="s">
        <v>301</v>
      </c>
      <c r="E5540" t="s">
        <v>9</v>
      </c>
      <c r="F5540" s="3">
        <v>-4881.46</v>
      </c>
      <c r="G5540" s="3">
        <v>-4881.46</v>
      </c>
      <c r="H5540" t="s">
        <v>3</v>
      </c>
      <c r="I5540" t="s">
        <v>3</v>
      </c>
      <c r="J5540" t="s">
        <v>10</v>
      </c>
      <c r="K5540" t="s">
        <v>13</v>
      </c>
      <c r="L5540" t="s">
        <v>19</v>
      </c>
      <c r="M5540" t="s">
        <v>302</v>
      </c>
      <c r="N5540" s="2">
        <v>46203</v>
      </c>
    </row>
    <row r="5541" spans="1:14" x14ac:dyDescent="0.25">
      <c r="A5541" s="4" t="s">
        <v>224</v>
      </c>
      <c r="B5541" s="5"/>
      <c r="C5541" s="4" t="s">
        <v>9</v>
      </c>
      <c r="D5541" s="4" t="s">
        <v>9</v>
      </c>
      <c r="E5541" s="4" t="s">
        <v>9</v>
      </c>
      <c r="F5541" s="6">
        <v>0</v>
      </c>
      <c r="G5541" s="6">
        <v>0</v>
      </c>
      <c r="H5541" s="4" t="s">
        <v>9</v>
      </c>
      <c r="I5541" s="4" t="s">
        <v>3</v>
      </c>
      <c r="J5541" s="4" t="s">
        <v>9</v>
      </c>
      <c r="K5541" s="4" t="s">
        <v>9</v>
      </c>
      <c r="L5541" s="4" t="s">
        <v>9</v>
      </c>
      <c r="M5541" s="4" t="s">
        <v>9</v>
      </c>
      <c r="N5541" s="5"/>
    </row>
    <row r="5542" spans="1:14" x14ac:dyDescent="0.25">
      <c r="A5542" t="s">
        <v>668</v>
      </c>
      <c r="B5542" s="2">
        <v>46239</v>
      </c>
      <c r="C5542" t="s">
        <v>668</v>
      </c>
      <c r="D5542" t="s">
        <v>112</v>
      </c>
      <c r="E5542" t="s">
        <v>9</v>
      </c>
      <c r="F5542" s="3">
        <v>-2318.54</v>
      </c>
      <c r="G5542" s="3">
        <v>-2318.54</v>
      </c>
      <c r="H5542" t="s">
        <v>3</v>
      </c>
      <c r="I5542" t="s">
        <v>3</v>
      </c>
      <c r="J5542" t="s">
        <v>9</v>
      </c>
      <c r="K5542" t="s">
        <v>9</v>
      </c>
      <c r="L5542" t="s">
        <v>21</v>
      </c>
      <c r="M5542" t="s">
        <v>114</v>
      </c>
      <c r="N5542" s="2">
        <v>46234</v>
      </c>
    </row>
    <row r="5543" spans="1:14" x14ac:dyDescent="0.25">
      <c r="A5543" t="s">
        <v>668</v>
      </c>
      <c r="B5543" s="2">
        <v>46239</v>
      </c>
      <c r="C5543" t="s">
        <v>668</v>
      </c>
      <c r="D5543" t="s">
        <v>301</v>
      </c>
      <c r="E5543" t="s">
        <v>9</v>
      </c>
      <c r="F5543" s="3">
        <v>2318.54</v>
      </c>
      <c r="G5543" s="3">
        <v>2318.54</v>
      </c>
      <c r="H5543" t="s">
        <v>3</v>
      </c>
      <c r="I5543" t="s">
        <v>3</v>
      </c>
      <c r="J5543" t="s">
        <v>9</v>
      </c>
      <c r="K5543" t="s">
        <v>9</v>
      </c>
      <c r="L5543" t="s">
        <v>21</v>
      </c>
      <c r="M5543" t="s">
        <v>302</v>
      </c>
      <c r="N5543" s="2">
        <v>46234</v>
      </c>
    </row>
    <row r="5544" spans="1:14" x14ac:dyDescent="0.25">
      <c r="A5544" t="s">
        <v>668</v>
      </c>
      <c r="B5544" s="2">
        <v>46203</v>
      </c>
      <c r="C5544" t="s">
        <v>668</v>
      </c>
      <c r="D5544" t="s">
        <v>112</v>
      </c>
      <c r="E5544" t="s">
        <v>9</v>
      </c>
      <c r="F5544" s="3">
        <v>-31981.46</v>
      </c>
      <c r="G5544" s="3">
        <v>-31981.46</v>
      </c>
      <c r="H5544" t="s">
        <v>3</v>
      </c>
      <c r="I5544" t="s">
        <v>3</v>
      </c>
      <c r="J5544" t="s">
        <v>316</v>
      </c>
      <c r="K5544" t="s">
        <v>13</v>
      </c>
      <c r="L5544" t="s">
        <v>21</v>
      </c>
      <c r="M5544" t="s">
        <v>114</v>
      </c>
      <c r="N5544" s="2">
        <v>46204</v>
      </c>
    </row>
    <row r="5545" spans="1:14" x14ac:dyDescent="0.25">
      <c r="A5545" t="s">
        <v>668</v>
      </c>
      <c r="B5545" s="2">
        <v>46234</v>
      </c>
      <c r="C5545" t="s">
        <v>668</v>
      </c>
      <c r="D5545" t="s">
        <v>301</v>
      </c>
      <c r="E5545" t="s">
        <v>9</v>
      </c>
      <c r="F5545" s="3">
        <v>-2318.54</v>
      </c>
      <c r="G5545" s="3">
        <v>-2318.54</v>
      </c>
      <c r="H5545" t="s">
        <v>3</v>
      </c>
      <c r="I5545" t="s">
        <v>3</v>
      </c>
      <c r="J5545" t="s">
        <v>10</v>
      </c>
      <c r="K5545" t="s">
        <v>13</v>
      </c>
      <c r="L5545" t="s">
        <v>21</v>
      </c>
      <c r="M5545" t="s">
        <v>302</v>
      </c>
      <c r="N5545" s="2">
        <v>46234</v>
      </c>
    </row>
    <row r="5546" spans="1:14" x14ac:dyDescent="0.25">
      <c r="A5546" t="s">
        <v>668</v>
      </c>
      <c r="B5546" s="2">
        <v>46234</v>
      </c>
      <c r="C5546" t="s">
        <v>668</v>
      </c>
      <c r="D5546" t="s">
        <v>112</v>
      </c>
      <c r="E5546" t="s">
        <v>9</v>
      </c>
      <c r="F5546" s="3">
        <v>34300</v>
      </c>
      <c r="G5546" s="3">
        <v>34300</v>
      </c>
      <c r="H5546" t="s">
        <v>3</v>
      </c>
      <c r="I5546" t="s">
        <v>3</v>
      </c>
      <c r="J5546" t="s">
        <v>319</v>
      </c>
      <c r="K5546" t="s">
        <v>13</v>
      </c>
      <c r="L5546" t="s">
        <v>21</v>
      </c>
      <c r="M5546" t="s">
        <v>114</v>
      </c>
      <c r="N5546" s="2">
        <v>46234</v>
      </c>
    </row>
    <row r="5547" spans="1:14" x14ac:dyDescent="0.25">
      <c r="A5547" s="4" t="s">
        <v>262</v>
      </c>
      <c r="B5547" s="5"/>
      <c r="C5547" s="4" t="s">
        <v>9</v>
      </c>
      <c r="D5547" s="4" t="s">
        <v>9</v>
      </c>
      <c r="E5547" s="4" t="s">
        <v>9</v>
      </c>
      <c r="F5547" s="6">
        <v>0</v>
      </c>
      <c r="G5547" s="6">
        <v>0</v>
      </c>
      <c r="H5547" s="4" t="s">
        <v>9</v>
      </c>
      <c r="I5547" s="4" t="s">
        <v>3</v>
      </c>
      <c r="J5547" s="4" t="s">
        <v>9</v>
      </c>
      <c r="K5547" s="4" t="s">
        <v>9</v>
      </c>
      <c r="L5547" s="4" t="s">
        <v>9</v>
      </c>
      <c r="M5547" s="4" t="s">
        <v>9</v>
      </c>
      <c r="N5547" s="5"/>
    </row>
    <row r="5548" spans="1:14" x14ac:dyDescent="0.25">
      <c r="A5548" t="s">
        <v>668</v>
      </c>
      <c r="B5548" s="2">
        <v>46267</v>
      </c>
      <c r="C5548" t="s">
        <v>668</v>
      </c>
      <c r="D5548" t="s">
        <v>112</v>
      </c>
      <c r="E5548" t="s">
        <v>9</v>
      </c>
      <c r="F5548" s="3">
        <v>-3700</v>
      </c>
      <c r="G5548" s="3">
        <v>-3700</v>
      </c>
      <c r="H5548" t="s">
        <v>3</v>
      </c>
      <c r="I5548" t="s">
        <v>3</v>
      </c>
      <c r="J5548" t="s">
        <v>9</v>
      </c>
      <c r="K5548" t="s">
        <v>9</v>
      </c>
      <c r="L5548" t="s">
        <v>22</v>
      </c>
      <c r="M5548" t="s">
        <v>114</v>
      </c>
      <c r="N5548" s="2">
        <v>46265</v>
      </c>
    </row>
    <row r="5549" spans="1:14" x14ac:dyDescent="0.25">
      <c r="A5549" t="s">
        <v>668</v>
      </c>
      <c r="B5549" s="2">
        <v>46267</v>
      </c>
      <c r="C5549" t="s">
        <v>668</v>
      </c>
      <c r="D5549" t="s">
        <v>301</v>
      </c>
      <c r="E5549" t="s">
        <v>9</v>
      </c>
      <c r="F5549" s="3">
        <v>3700</v>
      </c>
      <c r="G5549" s="3">
        <v>3700</v>
      </c>
      <c r="H5549" t="s">
        <v>3</v>
      </c>
      <c r="I5549" t="s">
        <v>3</v>
      </c>
      <c r="J5549" t="s">
        <v>9</v>
      </c>
      <c r="K5549" t="s">
        <v>9</v>
      </c>
      <c r="L5549" t="s">
        <v>22</v>
      </c>
      <c r="M5549" t="s">
        <v>302</v>
      </c>
      <c r="N5549" s="2">
        <v>46265</v>
      </c>
    </row>
    <row r="5550" spans="1:14" x14ac:dyDescent="0.25">
      <c r="A5550" t="s">
        <v>668</v>
      </c>
      <c r="B5550" s="2">
        <v>46234</v>
      </c>
      <c r="C5550" t="s">
        <v>668</v>
      </c>
      <c r="D5550" t="s">
        <v>112</v>
      </c>
      <c r="E5550" t="s">
        <v>9</v>
      </c>
      <c r="F5550" s="3">
        <v>-34300</v>
      </c>
      <c r="G5550" s="3">
        <v>-34300</v>
      </c>
      <c r="H5550" t="s">
        <v>3</v>
      </c>
      <c r="I5550" t="s">
        <v>3</v>
      </c>
      <c r="J5550" t="s">
        <v>319</v>
      </c>
      <c r="K5550" t="s">
        <v>13</v>
      </c>
      <c r="L5550" t="s">
        <v>22</v>
      </c>
      <c r="M5550" t="s">
        <v>114</v>
      </c>
      <c r="N5550" s="2">
        <v>46235</v>
      </c>
    </row>
    <row r="5551" spans="1:14" x14ac:dyDescent="0.25">
      <c r="A5551" t="s">
        <v>668</v>
      </c>
      <c r="B5551" s="2">
        <v>46265</v>
      </c>
      <c r="C5551" t="s">
        <v>668</v>
      </c>
      <c r="D5551" t="s">
        <v>112</v>
      </c>
      <c r="E5551" t="s">
        <v>9</v>
      </c>
      <c r="F5551" s="3">
        <v>38000</v>
      </c>
      <c r="G5551" s="3">
        <v>38000</v>
      </c>
      <c r="H5551" t="s">
        <v>3</v>
      </c>
      <c r="I5551" t="s">
        <v>3</v>
      </c>
      <c r="J5551" t="s">
        <v>322</v>
      </c>
      <c r="K5551" t="s">
        <v>13</v>
      </c>
      <c r="L5551" t="s">
        <v>22</v>
      </c>
      <c r="M5551" t="s">
        <v>114</v>
      </c>
      <c r="N5551" s="2">
        <v>46265</v>
      </c>
    </row>
    <row r="5552" spans="1:14" x14ac:dyDescent="0.25">
      <c r="A5552" t="s">
        <v>668</v>
      </c>
      <c r="B5552" s="2">
        <v>46265</v>
      </c>
      <c r="C5552" t="s">
        <v>668</v>
      </c>
      <c r="D5552" t="s">
        <v>301</v>
      </c>
      <c r="E5552" t="s">
        <v>9</v>
      </c>
      <c r="F5552" s="3">
        <v>-3700</v>
      </c>
      <c r="G5552" s="3">
        <v>-3700</v>
      </c>
      <c r="H5552" t="s">
        <v>3</v>
      </c>
      <c r="I5552" t="s">
        <v>3</v>
      </c>
      <c r="J5552" t="s">
        <v>10</v>
      </c>
      <c r="K5552" t="s">
        <v>13</v>
      </c>
      <c r="L5552" t="s">
        <v>22</v>
      </c>
      <c r="M5552" t="s">
        <v>302</v>
      </c>
      <c r="N5552" s="2">
        <v>46265</v>
      </c>
    </row>
    <row r="5553" spans="1:14" x14ac:dyDescent="0.25">
      <c r="A5553" s="4" t="s">
        <v>267</v>
      </c>
      <c r="B5553" s="5"/>
      <c r="C5553" s="4" t="s">
        <v>9</v>
      </c>
      <c r="D5553" s="4" t="s">
        <v>9</v>
      </c>
      <c r="E5553" s="4" t="s">
        <v>9</v>
      </c>
      <c r="F5553" s="6">
        <v>0</v>
      </c>
      <c r="G5553" s="6">
        <v>0</v>
      </c>
      <c r="H5553" s="4" t="s">
        <v>9</v>
      </c>
      <c r="I5553" s="4" t="s">
        <v>3</v>
      </c>
      <c r="J5553" s="4" t="s">
        <v>9</v>
      </c>
      <c r="K5553" s="4" t="s">
        <v>9</v>
      </c>
      <c r="L5553" s="4" t="s">
        <v>9</v>
      </c>
      <c r="M5553" s="4" t="s">
        <v>9</v>
      </c>
      <c r="N5553" s="5"/>
    </row>
    <row r="5554" spans="1:14" x14ac:dyDescent="0.25">
      <c r="A5554" s="4" t="s">
        <v>668</v>
      </c>
      <c r="B5554" s="5"/>
      <c r="C5554" s="4" t="s">
        <v>9</v>
      </c>
      <c r="D5554" s="4" t="s">
        <v>9</v>
      </c>
      <c r="E5554" s="4" t="s">
        <v>9</v>
      </c>
      <c r="F5554" s="6">
        <v>0</v>
      </c>
      <c r="G5554" s="6">
        <v>0</v>
      </c>
      <c r="H5554" s="4" t="s">
        <v>9</v>
      </c>
      <c r="I5554" s="4" t="s">
        <v>3</v>
      </c>
      <c r="J5554" s="4" t="s">
        <v>9</v>
      </c>
      <c r="K5554" s="4" t="s">
        <v>9</v>
      </c>
      <c r="L5554" s="4" t="s">
        <v>9</v>
      </c>
      <c r="M5554" s="4" t="s">
        <v>9</v>
      </c>
      <c r="N5554" s="5"/>
    </row>
    <row r="5555" spans="1:14" x14ac:dyDescent="0.25">
      <c r="A5555" t="s">
        <v>669</v>
      </c>
      <c r="B5555" s="2">
        <v>46056</v>
      </c>
      <c r="C5555" t="s">
        <v>669</v>
      </c>
      <c r="D5555" t="s">
        <v>112</v>
      </c>
      <c r="E5555" t="s">
        <v>9</v>
      </c>
      <c r="F5555" s="3">
        <v>-5500</v>
      </c>
      <c r="G5555" s="3">
        <v>-5500</v>
      </c>
      <c r="H5555" t="s">
        <v>3</v>
      </c>
      <c r="I5555" t="s">
        <v>3</v>
      </c>
      <c r="J5555" t="s">
        <v>9</v>
      </c>
      <c r="K5555" t="s">
        <v>9</v>
      </c>
      <c r="L5555" t="s">
        <v>14</v>
      </c>
      <c r="M5555" t="s">
        <v>114</v>
      </c>
      <c r="N5555" s="2">
        <v>46053</v>
      </c>
    </row>
    <row r="5556" spans="1:14" x14ac:dyDescent="0.25">
      <c r="A5556" t="s">
        <v>669</v>
      </c>
      <c r="B5556" s="2">
        <v>46053</v>
      </c>
      <c r="C5556" t="s">
        <v>669</v>
      </c>
      <c r="D5556" t="s">
        <v>112</v>
      </c>
      <c r="E5556" t="s">
        <v>9</v>
      </c>
      <c r="F5556" s="3">
        <v>4500</v>
      </c>
      <c r="G5556" s="3">
        <v>4500</v>
      </c>
      <c r="H5556" t="s">
        <v>3</v>
      </c>
      <c r="I5556" t="s">
        <v>3</v>
      </c>
      <c r="J5556" t="s">
        <v>300</v>
      </c>
      <c r="K5556" t="s">
        <v>13</v>
      </c>
      <c r="L5556" t="s">
        <v>14</v>
      </c>
      <c r="M5556" t="s">
        <v>114</v>
      </c>
      <c r="N5556" s="2">
        <v>46053</v>
      </c>
    </row>
    <row r="5557" spans="1:14" x14ac:dyDescent="0.25">
      <c r="A5557" t="s">
        <v>669</v>
      </c>
      <c r="B5557" s="2">
        <v>46053</v>
      </c>
      <c r="C5557" t="s">
        <v>669</v>
      </c>
      <c r="D5557" t="s">
        <v>112</v>
      </c>
      <c r="E5557" t="s">
        <v>9</v>
      </c>
      <c r="F5557" s="3">
        <v>1000</v>
      </c>
      <c r="G5557" s="3">
        <v>1000</v>
      </c>
      <c r="H5557" t="s">
        <v>3</v>
      </c>
      <c r="I5557" t="s">
        <v>3</v>
      </c>
      <c r="J5557" t="s">
        <v>391</v>
      </c>
      <c r="K5557" t="s">
        <v>13</v>
      </c>
      <c r="L5557" t="s">
        <v>14</v>
      </c>
      <c r="M5557" t="s">
        <v>114</v>
      </c>
      <c r="N5557" s="2">
        <v>46053</v>
      </c>
    </row>
    <row r="5558" spans="1:14" x14ac:dyDescent="0.25">
      <c r="A5558" s="4" t="s">
        <v>234</v>
      </c>
      <c r="B5558" s="5"/>
      <c r="C5558" s="4" t="s">
        <v>9</v>
      </c>
      <c r="D5558" s="4" t="s">
        <v>9</v>
      </c>
      <c r="E5558" s="4" t="s">
        <v>9</v>
      </c>
      <c r="F5558" s="6">
        <v>0</v>
      </c>
      <c r="G5558" s="6">
        <v>0</v>
      </c>
      <c r="H5558" s="4" t="s">
        <v>9</v>
      </c>
      <c r="I5558" s="4" t="s">
        <v>3</v>
      </c>
      <c r="J5558" s="4" t="s">
        <v>9</v>
      </c>
      <c r="K5558" s="4" t="s">
        <v>9</v>
      </c>
      <c r="L5558" s="4" t="s">
        <v>9</v>
      </c>
      <c r="M5558" s="4" t="s">
        <v>9</v>
      </c>
      <c r="N5558" s="5"/>
    </row>
    <row r="5559" spans="1:14" x14ac:dyDescent="0.25">
      <c r="A5559" t="s">
        <v>669</v>
      </c>
      <c r="B5559" s="2">
        <v>46084</v>
      </c>
      <c r="C5559" t="s">
        <v>669</v>
      </c>
      <c r="D5559" t="s">
        <v>112</v>
      </c>
      <c r="E5559" t="s">
        <v>9</v>
      </c>
      <c r="F5559" s="3">
        <v>-6000</v>
      </c>
      <c r="G5559" s="3">
        <v>-6000</v>
      </c>
      <c r="H5559" t="s">
        <v>3</v>
      </c>
      <c r="I5559" t="s">
        <v>3</v>
      </c>
      <c r="J5559" t="s">
        <v>9</v>
      </c>
      <c r="K5559" t="s">
        <v>9</v>
      </c>
      <c r="L5559" t="s">
        <v>15</v>
      </c>
      <c r="M5559" t="s">
        <v>114</v>
      </c>
      <c r="N5559" s="2">
        <v>46081</v>
      </c>
    </row>
    <row r="5560" spans="1:14" x14ac:dyDescent="0.25">
      <c r="A5560" t="s">
        <v>669</v>
      </c>
      <c r="B5560" s="2">
        <v>46054</v>
      </c>
      <c r="C5560" t="s">
        <v>669</v>
      </c>
      <c r="D5560" t="s">
        <v>112</v>
      </c>
      <c r="E5560" t="s">
        <v>9</v>
      </c>
      <c r="F5560" s="3">
        <v>-4500</v>
      </c>
      <c r="G5560" s="3">
        <v>-4500</v>
      </c>
      <c r="H5560" t="s">
        <v>3</v>
      </c>
      <c r="I5560" t="s">
        <v>3</v>
      </c>
      <c r="J5560" t="s">
        <v>300</v>
      </c>
      <c r="K5560" t="s">
        <v>13</v>
      </c>
      <c r="L5560" t="s">
        <v>15</v>
      </c>
      <c r="M5560" t="s">
        <v>114</v>
      </c>
      <c r="N5560" s="2">
        <v>46054</v>
      </c>
    </row>
    <row r="5561" spans="1:14" x14ac:dyDescent="0.25">
      <c r="A5561" t="s">
        <v>669</v>
      </c>
      <c r="B5561" s="2">
        <v>46054</v>
      </c>
      <c r="C5561" t="s">
        <v>669</v>
      </c>
      <c r="D5561" t="s">
        <v>112</v>
      </c>
      <c r="E5561" t="s">
        <v>9</v>
      </c>
      <c r="F5561" s="3">
        <v>-1000</v>
      </c>
      <c r="G5561" s="3">
        <v>-1000</v>
      </c>
      <c r="H5561" t="s">
        <v>3</v>
      </c>
      <c r="I5561" t="s">
        <v>3</v>
      </c>
      <c r="J5561" t="s">
        <v>391</v>
      </c>
      <c r="K5561" t="s">
        <v>13</v>
      </c>
      <c r="L5561" t="s">
        <v>15</v>
      </c>
      <c r="M5561" t="s">
        <v>114</v>
      </c>
      <c r="N5561" s="2">
        <v>46054</v>
      </c>
    </row>
    <row r="5562" spans="1:14" x14ac:dyDescent="0.25">
      <c r="A5562" t="s">
        <v>669</v>
      </c>
      <c r="B5562" s="2">
        <v>46054</v>
      </c>
      <c r="C5562" t="s">
        <v>669</v>
      </c>
      <c r="D5562" t="s">
        <v>112</v>
      </c>
      <c r="E5562" t="s">
        <v>9</v>
      </c>
      <c r="F5562" s="3">
        <v>4500</v>
      </c>
      <c r="G5562" s="3">
        <v>4500</v>
      </c>
      <c r="H5562" t="s">
        <v>3</v>
      </c>
      <c r="I5562" t="s">
        <v>3</v>
      </c>
      <c r="J5562" t="s">
        <v>300</v>
      </c>
      <c r="K5562" t="s">
        <v>13</v>
      </c>
      <c r="L5562" t="s">
        <v>15</v>
      </c>
      <c r="M5562" t="s">
        <v>114</v>
      </c>
      <c r="N5562" s="2">
        <v>46055</v>
      </c>
    </row>
    <row r="5563" spans="1:14" x14ac:dyDescent="0.25">
      <c r="A5563" t="s">
        <v>669</v>
      </c>
      <c r="B5563" s="2">
        <v>46054</v>
      </c>
      <c r="C5563" t="s">
        <v>669</v>
      </c>
      <c r="D5563" t="s">
        <v>112</v>
      </c>
      <c r="E5563" t="s">
        <v>9</v>
      </c>
      <c r="F5563" s="3">
        <v>1000</v>
      </c>
      <c r="G5563" s="3">
        <v>1000</v>
      </c>
      <c r="H5563" t="s">
        <v>3</v>
      </c>
      <c r="I5563" t="s">
        <v>3</v>
      </c>
      <c r="J5563" t="s">
        <v>391</v>
      </c>
      <c r="K5563" t="s">
        <v>13</v>
      </c>
      <c r="L5563" t="s">
        <v>15</v>
      </c>
      <c r="M5563" t="s">
        <v>114</v>
      </c>
      <c r="N5563" s="2">
        <v>46055</v>
      </c>
    </row>
    <row r="5564" spans="1:14" x14ac:dyDescent="0.25">
      <c r="A5564" t="s">
        <v>669</v>
      </c>
      <c r="B5564" s="2">
        <v>46054</v>
      </c>
      <c r="C5564" t="s">
        <v>669</v>
      </c>
      <c r="D5564" t="s">
        <v>112</v>
      </c>
      <c r="E5564" t="s">
        <v>9</v>
      </c>
      <c r="F5564" s="3">
        <v>-4500</v>
      </c>
      <c r="G5564" s="3">
        <v>-4500</v>
      </c>
      <c r="H5564" t="s">
        <v>3</v>
      </c>
      <c r="I5564" t="s">
        <v>3</v>
      </c>
      <c r="J5564" t="s">
        <v>300</v>
      </c>
      <c r="K5564" t="s">
        <v>13</v>
      </c>
      <c r="L5564" t="s">
        <v>15</v>
      </c>
      <c r="M5564" t="s">
        <v>114</v>
      </c>
      <c r="N5564" s="2">
        <v>46054</v>
      </c>
    </row>
    <row r="5565" spans="1:14" x14ac:dyDescent="0.25">
      <c r="A5565" t="s">
        <v>669</v>
      </c>
      <c r="B5565" s="2">
        <v>46054</v>
      </c>
      <c r="C5565" t="s">
        <v>669</v>
      </c>
      <c r="D5565" t="s">
        <v>112</v>
      </c>
      <c r="E5565" t="s">
        <v>9</v>
      </c>
      <c r="F5565" s="3">
        <v>-1000</v>
      </c>
      <c r="G5565" s="3">
        <v>-1000</v>
      </c>
      <c r="H5565" t="s">
        <v>3</v>
      </c>
      <c r="I5565" t="s">
        <v>3</v>
      </c>
      <c r="J5565" t="s">
        <v>391</v>
      </c>
      <c r="K5565" t="s">
        <v>13</v>
      </c>
      <c r="L5565" t="s">
        <v>15</v>
      </c>
      <c r="M5565" t="s">
        <v>114</v>
      </c>
      <c r="N5565" s="2">
        <v>46054</v>
      </c>
    </row>
    <row r="5566" spans="1:14" x14ac:dyDescent="0.25">
      <c r="A5566" t="s">
        <v>669</v>
      </c>
      <c r="B5566" s="2">
        <v>46081</v>
      </c>
      <c r="C5566" t="s">
        <v>669</v>
      </c>
      <c r="D5566" t="s">
        <v>112</v>
      </c>
      <c r="E5566" t="s">
        <v>9</v>
      </c>
      <c r="F5566" s="3">
        <v>9400</v>
      </c>
      <c r="G5566" s="3">
        <v>9400</v>
      </c>
      <c r="H5566" t="s">
        <v>3</v>
      </c>
      <c r="I5566" t="s">
        <v>3</v>
      </c>
      <c r="J5566" t="s">
        <v>304</v>
      </c>
      <c r="K5566" t="s">
        <v>13</v>
      </c>
      <c r="L5566" t="s">
        <v>15</v>
      </c>
      <c r="M5566" t="s">
        <v>114</v>
      </c>
      <c r="N5566" s="2">
        <v>46081</v>
      </c>
    </row>
    <row r="5567" spans="1:14" x14ac:dyDescent="0.25">
      <c r="A5567" t="s">
        <v>669</v>
      </c>
      <c r="B5567" s="2">
        <v>46081</v>
      </c>
      <c r="C5567" t="s">
        <v>669</v>
      </c>
      <c r="D5567" t="s">
        <v>112</v>
      </c>
      <c r="E5567" t="s">
        <v>9</v>
      </c>
      <c r="F5567" s="3">
        <v>2100</v>
      </c>
      <c r="G5567" s="3">
        <v>2100</v>
      </c>
      <c r="H5567" t="s">
        <v>3</v>
      </c>
      <c r="I5567" t="s">
        <v>3</v>
      </c>
      <c r="J5567" t="s">
        <v>393</v>
      </c>
      <c r="K5567" t="s">
        <v>13</v>
      </c>
      <c r="L5567" t="s">
        <v>15</v>
      </c>
      <c r="M5567" t="s">
        <v>114</v>
      </c>
      <c r="N5567" s="2">
        <v>46081</v>
      </c>
    </row>
    <row r="5568" spans="1:14" x14ac:dyDescent="0.25">
      <c r="A5568" s="4" t="s">
        <v>239</v>
      </c>
      <c r="B5568" s="5"/>
      <c r="C5568" s="4" t="s">
        <v>9</v>
      </c>
      <c r="D5568" s="4" t="s">
        <v>9</v>
      </c>
      <c r="E5568" s="4" t="s">
        <v>9</v>
      </c>
      <c r="F5568" s="6">
        <v>0</v>
      </c>
      <c r="G5568" s="6">
        <v>0</v>
      </c>
      <c r="H5568" s="4" t="s">
        <v>9</v>
      </c>
      <c r="I5568" s="4" t="s">
        <v>3</v>
      </c>
      <c r="J5568" s="4" t="s">
        <v>9</v>
      </c>
      <c r="K5568" s="4" t="s">
        <v>9</v>
      </c>
      <c r="L5568" s="4" t="s">
        <v>9</v>
      </c>
      <c r="M5568" s="4" t="s">
        <v>9</v>
      </c>
      <c r="N5568" s="5"/>
    </row>
    <row r="5569" spans="1:14" x14ac:dyDescent="0.25">
      <c r="A5569" t="s">
        <v>669</v>
      </c>
      <c r="B5569" s="2">
        <v>46115</v>
      </c>
      <c r="C5569" t="s">
        <v>669</v>
      </c>
      <c r="D5569" t="s">
        <v>112</v>
      </c>
      <c r="E5569" t="s">
        <v>9</v>
      </c>
      <c r="F5569" s="3">
        <v>-11700</v>
      </c>
      <c r="G5569" s="3">
        <v>-11700</v>
      </c>
      <c r="H5569" t="s">
        <v>3</v>
      </c>
      <c r="I5569" t="s">
        <v>3</v>
      </c>
      <c r="J5569" t="s">
        <v>9</v>
      </c>
      <c r="K5569" t="s">
        <v>9</v>
      </c>
      <c r="L5569" t="s">
        <v>16</v>
      </c>
      <c r="M5569" t="s">
        <v>114</v>
      </c>
      <c r="N5569" s="2">
        <v>46112</v>
      </c>
    </row>
    <row r="5570" spans="1:14" x14ac:dyDescent="0.25">
      <c r="A5570" t="s">
        <v>669</v>
      </c>
      <c r="B5570" s="2">
        <v>46081</v>
      </c>
      <c r="C5570" t="s">
        <v>669</v>
      </c>
      <c r="D5570" t="s">
        <v>112</v>
      </c>
      <c r="E5570" t="s">
        <v>9</v>
      </c>
      <c r="F5570" s="3">
        <v>-9400</v>
      </c>
      <c r="G5570" s="3">
        <v>-9400</v>
      </c>
      <c r="H5570" t="s">
        <v>3</v>
      </c>
      <c r="I5570" t="s">
        <v>3</v>
      </c>
      <c r="J5570" t="s">
        <v>304</v>
      </c>
      <c r="K5570" t="s">
        <v>13</v>
      </c>
      <c r="L5570" t="s">
        <v>16</v>
      </c>
      <c r="M5570" t="s">
        <v>114</v>
      </c>
      <c r="N5570" s="2">
        <v>46082</v>
      </c>
    </row>
    <row r="5571" spans="1:14" x14ac:dyDescent="0.25">
      <c r="A5571" t="s">
        <v>669</v>
      </c>
      <c r="B5571" s="2">
        <v>46081</v>
      </c>
      <c r="C5571" t="s">
        <v>669</v>
      </c>
      <c r="D5571" t="s">
        <v>112</v>
      </c>
      <c r="E5571" t="s">
        <v>9</v>
      </c>
      <c r="F5571" s="3">
        <v>-2100</v>
      </c>
      <c r="G5571" s="3">
        <v>-2100</v>
      </c>
      <c r="H5571" t="s">
        <v>3</v>
      </c>
      <c r="I5571" t="s">
        <v>3</v>
      </c>
      <c r="J5571" t="s">
        <v>393</v>
      </c>
      <c r="K5571" t="s">
        <v>13</v>
      </c>
      <c r="L5571" t="s">
        <v>16</v>
      </c>
      <c r="M5571" t="s">
        <v>114</v>
      </c>
      <c r="N5571" s="2">
        <v>46082</v>
      </c>
    </row>
    <row r="5572" spans="1:14" x14ac:dyDescent="0.25">
      <c r="A5572" t="s">
        <v>669</v>
      </c>
      <c r="B5572" s="2">
        <v>46112</v>
      </c>
      <c r="C5572" t="s">
        <v>669</v>
      </c>
      <c r="D5572" t="s">
        <v>112</v>
      </c>
      <c r="E5572" t="s">
        <v>9</v>
      </c>
      <c r="F5572" s="3">
        <v>17900</v>
      </c>
      <c r="G5572" s="3">
        <v>17900</v>
      </c>
      <c r="H5572" t="s">
        <v>3</v>
      </c>
      <c r="I5572" t="s">
        <v>3</v>
      </c>
      <c r="J5572" t="s">
        <v>307</v>
      </c>
      <c r="K5572" t="s">
        <v>13</v>
      </c>
      <c r="L5572" t="s">
        <v>16</v>
      </c>
      <c r="M5572" t="s">
        <v>114</v>
      </c>
      <c r="N5572" s="2">
        <v>46112</v>
      </c>
    </row>
    <row r="5573" spans="1:14" x14ac:dyDescent="0.25">
      <c r="A5573" t="s">
        <v>669</v>
      </c>
      <c r="B5573" s="2">
        <v>46112</v>
      </c>
      <c r="C5573" t="s">
        <v>669</v>
      </c>
      <c r="D5573" t="s">
        <v>112</v>
      </c>
      <c r="E5573" t="s">
        <v>9</v>
      </c>
      <c r="F5573" s="3">
        <v>5300</v>
      </c>
      <c r="G5573" s="3">
        <v>5300</v>
      </c>
      <c r="H5573" t="s">
        <v>3</v>
      </c>
      <c r="I5573" t="s">
        <v>3</v>
      </c>
      <c r="J5573" t="s">
        <v>395</v>
      </c>
      <c r="K5573" t="s">
        <v>13</v>
      </c>
      <c r="L5573" t="s">
        <v>16</v>
      </c>
      <c r="M5573" t="s">
        <v>114</v>
      </c>
      <c r="N5573" s="2">
        <v>46112</v>
      </c>
    </row>
    <row r="5574" spans="1:14" x14ac:dyDescent="0.25">
      <c r="A5574" s="4" t="s">
        <v>244</v>
      </c>
      <c r="B5574" s="5"/>
      <c r="C5574" s="4" t="s">
        <v>9</v>
      </c>
      <c r="D5574" s="4" t="s">
        <v>9</v>
      </c>
      <c r="E5574" s="4" t="s">
        <v>9</v>
      </c>
      <c r="F5574" s="6">
        <v>0</v>
      </c>
      <c r="G5574" s="6">
        <v>0</v>
      </c>
      <c r="H5574" s="4" t="s">
        <v>9</v>
      </c>
      <c r="I5574" s="4" t="s">
        <v>3</v>
      </c>
      <c r="J5574" s="4" t="s">
        <v>9</v>
      </c>
      <c r="K5574" s="4" t="s">
        <v>9</v>
      </c>
      <c r="L5574" s="4" t="s">
        <v>9</v>
      </c>
      <c r="M5574" s="4" t="s">
        <v>9</v>
      </c>
      <c r="N5574" s="5"/>
    </row>
    <row r="5575" spans="1:14" x14ac:dyDescent="0.25">
      <c r="A5575" t="s">
        <v>669</v>
      </c>
      <c r="B5575" s="2">
        <v>46147</v>
      </c>
      <c r="C5575" t="s">
        <v>669</v>
      </c>
      <c r="D5575" t="s">
        <v>112</v>
      </c>
      <c r="E5575" t="s">
        <v>9</v>
      </c>
      <c r="F5575" s="3">
        <v>-100</v>
      </c>
      <c r="G5575" s="3">
        <v>-100</v>
      </c>
      <c r="H5575" t="s">
        <v>3</v>
      </c>
      <c r="I5575" t="s">
        <v>3</v>
      </c>
      <c r="J5575" t="s">
        <v>9</v>
      </c>
      <c r="K5575" t="s">
        <v>9</v>
      </c>
      <c r="L5575" t="s">
        <v>17</v>
      </c>
      <c r="M5575" t="s">
        <v>114</v>
      </c>
      <c r="N5575" s="2">
        <v>46142</v>
      </c>
    </row>
    <row r="5576" spans="1:14" x14ac:dyDescent="0.25">
      <c r="A5576" t="s">
        <v>669</v>
      </c>
      <c r="B5576" s="2">
        <v>46112</v>
      </c>
      <c r="C5576" t="s">
        <v>669</v>
      </c>
      <c r="D5576" t="s">
        <v>112</v>
      </c>
      <c r="E5576" t="s">
        <v>9</v>
      </c>
      <c r="F5576" s="3">
        <v>-17900</v>
      </c>
      <c r="G5576" s="3">
        <v>-17900</v>
      </c>
      <c r="H5576" t="s">
        <v>3</v>
      </c>
      <c r="I5576" t="s">
        <v>3</v>
      </c>
      <c r="J5576" t="s">
        <v>307</v>
      </c>
      <c r="K5576" t="s">
        <v>13</v>
      </c>
      <c r="L5576" t="s">
        <v>17</v>
      </c>
      <c r="M5576" t="s">
        <v>114</v>
      </c>
      <c r="N5576" s="2">
        <v>46113</v>
      </c>
    </row>
    <row r="5577" spans="1:14" x14ac:dyDescent="0.25">
      <c r="A5577" t="s">
        <v>669</v>
      </c>
      <c r="B5577" s="2">
        <v>46112</v>
      </c>
      <c r="C5577" t="s">
        <v>669</v>
      </c>
      <c r="D5577" t="s">
        <v>112</v>
      </c>
      <c r="E5577" t="s">
        <v>9</v>
      </c>
      <c r="F5577" s="3">
        <v>-5300</v>
      </c>
      <c r="G5577" s="3">
        <v>-5300</v>
      </c>
      <c r="H5577" t="s">
        <v>3</v>
      </c>
      <c r="I5577" t="s">
        <v>3</v>
      </c>
      <c r="J5577" t="s">
        <v>395</v>
      </c>
      <c r="K5577" t="s">
        <v>13</v>
      </c>
      <c r="L5577" t="s">
        <v>17</v>
      </c>
      <c r="M5577" t="s">
        <v>114</v>
      </c>
      <c r="N5577" s="2">
        <v>46113</v>
      </c>
    </row>
    <row r="5578" spans="1:14" x14ac:dyDescent="0.25">
      <c r="A5578" t="s">
        <v>669</v>
      </c>
      <c r="B5578" s="2">
        <v>46142</v>
      </c>
      <c r="C5578" t="s">
        <v>669</v>
      </c>
      <c r="D5578" t="s">
        <v>112</v>
      </c>
      <c r="E5578" t="s">
        <v>9</v>
      </c>
      <c r="F5578" s="3">
        <v>18000</v>
      </c>
      <c r="G5578" s="3">
        <v>18000</v>
      </c>
      <c r="H5578" t="s">
        <v>3</v>
      </c>
      <c r="I5578" t="s">
        <v>3</v>
      </c>
      <c r="J5578" t="s">
        <v>310</v>
      </c>
      <c r="K5578" t="s">
        <v>13</v>
      </c>
      <c r="L5578" t="s">
        <v>17</v>
      </c>
      <c r="M5578" t="s">
        <v>114</v>
      </c>
      <c r="N5578" s="2">
        <v>46142</v>
      </c>
    </row>
    <row r="5579" spans="1:14" x14ac:dyDescent="0.25">
      <c r="A5579" t="s">
        <v>669</v>
      </c>
      <c r="B5579" s="2">
        <v>46142</v>
      </c>
      <c r="C5579" t="s">
        <v>669</v>
      </c>
      <c r="D5579" t="s">
        <v>112</v>
      </c>
      <c r="E5579" t="s">
        <v>9</v>
      </c>
      <c r="F5579" s="3">
        <v>5300</v>
      </c>
      <c r="G5579" s="3">
        <v>5300</v>
      </c>
      <c r="H5579" t="s">
        <v>3</v>
      </c>
      <c r="I5579" t="s">
        <v>3</v>
      </c>
      <c r="J5579" t="s">
        <v>423</v>
      </c>
      <c r="K5579" t="s">
        <v>13</v>
      </c>
      <c r="L5579" t="s">
        <v>17</v>
      </c>
      <c r="M5579" t="s">
        <v>114</v>
      </c>
      <c r="N5579" s="2">
        <v>46142</v>
      </c>
    </row>
    <row r="5580" spans="1:14" x14ac:dyDescent="0.25">
      <c r="A5580" s="4" t="s">
        <v>249</v>
      </c>
      <c r="B5580" s="5"/>
      <c r="C5580" s="4" t="s">
        <v>9</v>
      </c>
      <c r="D5580" s="4" t="s">
        <v>9</v>
      </c>
      <c r="E5580" s="4" t="s">
        <v>9</v>
      </c>
      <c r="F5580" s="6">
        <v>0</v>
      </c>
      <c r="G5580" s="6">
        <v>0</v>
      </c>
      <c r="H5580" s="4" t="s">
        <v>9</v>
      </c>
      <c r="I5580" s="4" t="s">
        <v>3</v>
      </c>
      <c r="J5580" s="4" t="s">
        <v>9</v>
      </c>
      <c r="K5580" s="4" t="s">
        <v>9</v>
      </c>
      <c r="L5580" s="4" t="s">
        <v>9</v>
      </c>
      <c r="M5580" s="4" t="s">
        <v>9</v>
      </c>
      <c r="N5580" s="5"/>
    </row>
    <row r="5581" spans="1:14" x14ac:dyDescent="0.25">
      <c r="A5581" t="s">
        <v>669</v>
      </c>
      <c r="B5581" s="2">
        <v>46175</v>
      </c>
      <c r="C5581" t="s">
        <v>669</v>
      </c>
      <c r="D5581" t="s">
        <v>112</v>
      </c>
      <c r="E5581" t="s">
        <v>9</v>
      </c>
      <c r="F5581" s="3">
        <v>-100</v>
      </c>
      <c r="G5581" s="3">
        <v>-100</v>
      </c>
      <c r="H5581" t="s">
        <v>3</v>
      </c>
      <c r="I5581" t="s">
        <v>3</v>
      </c>
      <c r="J5581" t="s">
        <v>9</v>
      </c>
      <c r="K5581" t="s">
        <v>9</v>
      </c>
      <c r="L5581" t="s">
        <v>18</v>
      </c>
      <c r="M5581" t="s">
        <v>114</v>
      </c>
      <c r="N5581" s="2">
        <v>46173</v>
      </c>
    </row>
    <row r="5582" spans="1:14" x14ac:dyDescent="0.25">
      <c r="A5582" t="s">
        <v>669</v>
      </c>
      <c r="B5582" s="2">
        <v>46142</v>
      </c>
      <c r="C5582" t="s">
        <v>669</v>
      </c>
      <c r="D5582" t="s">
        <v>112</v>
      </c>
      <c r="E5582" t="s">
        <v>9</v>
      </c>
      <c r="F5582" s="3">
        <v>-18000</v>
      </c>
      <c r="G5582" s="3">
        <v>-18000</v>
      </c>
      <c r="H5582" t="s">
        <v>3</v>
      </c>
      <c r="I5582" t="s">
        <v>3</v>
      </c>
      <c r="J5582" t="s">
        <v>310</v>
      </c>
      <c r="K5582" t="s">
        <v>13</v>
      </c>
      <c r="L5582" t="s">
        <v>18</v>
      </c>
      <c r="M5582" t="s">
        <v>114</v>
      </c>
      <c r="N5582" s="2">
        <v>46143</v>
      </c>
    </row>
    <row r="5583" spans="1:14" x14ac:dyDescent="0.25">
      <c r="A5583" t="s">
        <v>669</v>
      </c>
      <c r="B5583" s="2">
        <v>46142</v>
      </c>
      <c r="C5583" t="s">
        <v>669</v>
      </c>
      <c r="D5583" t="s">
        <v>112</v>
      </c>
      <c r="E5583" t="s">
        <v>9</v>
      </c>
      <c r="F5583" s="3">
        <v>-5300</v>
      </c>
      <c r="G5583" s="3">
        <v>-5300</v>
      </c>
      <c r="H5583" t="s">
        <v>3</v>
      </c>
      <c r="I5583" t="s">
        <v>3</v>
      </c>
      <c r="J5583" t="s">
        <v>423</v>
      </c>
      <c r="K5583" t="s">
        <v>13</v>
      </c>
      <c r="L5583" t="s">
        <v>18</v>
      </c>
      <c r="M5583" t="s">
        <v>114</v>
      </c>
      <c r="N5583" s="2">
        <v>46143</v>
      </c>
    </row>
    <row r="5584" spans="1:14" x14ac:dyDescent="0.25">
      <c r="A5584" t="s">
        <v>669</v>
      </c>
      <c r="B5584" s="2">
        <v>46173</v>
      </c>
      <c r="C5584" t="s">
        <v>669</v>
      </c>
      <c r="D5584" t="s">
        <v>112</v>
      </c>
      <c r="E5584" t="s">
        <v>9</v>
      </c>
      <c r="F5584" s="3">
        <v>18000</v>
      </c>
      <c r="G5584" s="3">
        <v>18000</v>
      </c>
      <c r="H5584" t="s">
        <v>3</v>
      </c>
      <c r="I5584" t="s">
        <v>3</v>
      </c>
      <c r="J5584" t="s">
        <v>313</v>
      </c>
      <c r="K5584" t="s">
        <v>13</v>
      </c>
      <c r="L5584" t="s">
        <v>18</v>
      </c>
      <c r="M5584" t="s">
        <v>114</v>
      </c>
      <c r="N5584" s="2">
        <v>46173</v>
      </c>
    </row>
    <row r="5585" spans="1:14" x14ac:dyDescent="0.25">
      <c r="A5585" t="s">
        <v>669</v>
      </c>
      <c r="B5585" s="2">
        <v>46173</v>
      </c>
      <c r="C5585" t="s">
        <v>669</v>
      </c>
      <c r="D5585" t="s">
        <v>112</v>
      </c>
      <c r="E5585" t="s">
        <v>9</v>
      </c>
      <c r="F5585" s="3">
        <v>5400</v>
      </c>
      <c r="G5585" s="3">
        <v>5400</v>
      </c>
      <c r="H5585" t="s">
        <v>3</v>
      </c>
      <c r="I5585" t="s">
        <v>3</v>
      </c>
      <c r="J5585" t="s">
        <v>427</v>
      </c>
      <c r="K5585" t="s">
        <v>13</v>
      </c>
      <c r="L5585" t="s">
        <v>18</v>
      </c>
      <c r="M5585" t="s">
        <v>114</v>
      </c>
      <c r="N5585" s="2">
        <v>46173</v>
      </c>
    </row>
    <row r="5586" spans="1:14" x14ac:dyDescent="0.25">
      <c r="A5586" s="4" t="s">
        <v>223</v>
      </c>
      <c r="B5586" s="5"/>
      <c r="C5586" s="4" t="s">
        <v>9</v>
      </c>
      <c r="D5586" s="4" t="s">
        <v>9</v>
      </c>
      <c r="E5586" s="4" t="s">
        <v>9</v>
      </c>
      <c r="F5586" s="6">
        <v>0</v>
      </c>
      <c r="G5586" s="6">
        <v>0</v>
      </c>
      <c r="H5586" s="4" t="s">
        <v>9</v>
      </c>
      <c r="I5586" s="4" t="s">
        <v>3</v>
      </c>
      <c r="J5586" s="4" t="s">
        <v>9</v>
      </c>
      <c r="K5586" s="4" t="s">
        <v>9</v>
      </c>
      <c r="L5586" s="4" t="s">
        <v>9</v>
      </c>
      <c r="M5586" s="4" t="s">
        <v>9</v>
      </c>
      <c r="N5586" s="5"/>
    </row>
    <row r="5587" spans="1:14" x14ac:dyDescent="0.25">
      <c r="A5587" t="s">
        <v>669</v>
      </c>
      <c r="B5587" s="2">
        <v>46173</v>
      </c>
      <c r="C5587" t="s">
        <v>669</v>
      </c>
      <c r="D5587" t="s">
        <v>112</v>
      </c>
      <c r="E5587" t="s">
        <v>9</v>
      </c>
      <c r="F5587" s="3">
        <v>-18000</v>
      </c>
      <c r="G5587" s="3">
        <v>-18000</v>
      </c>
      <c r="H5587" t="s">
        <v>3</v>
      </c>
      <c r="I5587" t="s">
        <v>3</v>
      </c>
      <c r="J5587" t="s">
        <v>313</v>
      </c>
      <c r="K5587" t="s">
        <v>13</v>
      </c>
      <c r="L5587" t="s">
        <v>19</v>
      </c>
      <c r="M5587" t="s">
        <v>114</v>
      </c>
      <c r="N5587" s="2">
        <v>46174</v>
      </c>
    </row>
    <row r="5588" spans="1:14" x14ac:dyDescent="0.25">
      <c r="A5588" t="s">
        <v>669</v>
      </c>
      <c r="B5588" s="2">
        <v>46173</v>
      </c>
      <c r="C5588" t="s">
        <v>669</v>
      </c>
      <c r="D5588" t="s">
        <v>112</v>
      </c>
      <c r="E5588" t="s">
        <v>9</v>
      </c>
      <c r="F5588" s="3">
        <v>-5400</v>
      </c>
      <c r="G5588" s="3">
        <v>-5400</v>
      </c>
      <c r="H5588" t="s">
        <v>3</v>
      </c>
      <c r="I5588" t="s">
        <v>3</v>
      </c>
      <c r="J5588" t="s">
        <v>427</v>
      </c>
      <c r="K5588" t="s">
        <v>13</v>
      </c>
      <c r="L5588" t="s">
        <v>19</v>
      </c>
      <c r="M5588" t="s">
        <v>114</v>
      </c>
      <c r="N5588" s="2">
        <v>46174</v>
      </c>
    </row>
    <row r="5589" spans="1:14" x14ac:dyDescent="0.25">
      <c r="A5589" t="s">
        <v>669</v>
      </c>
      <c r="B5589" s="2">
        <v>46203</v>
      </c>
      <c r="C5589" t="s">
        <v>669</v>
      </c>
      <c r="D5589" t="s">
        <v>112</v>
      </c>
      <c r="E5589" t="s">
        <v>9</v>
      </c>
      <c r="F5589" s="3">
        <v>18000</v>
      </c>
      <c r="G5589" s="3">
        <v>18000</v>
      </c>
      <c r="H5589" t="s">
        <v>3</v>
      </c>
      <c r="I5589" t="s">
        <v>3</v>
      </c>
      <c r="J5589" t="s">
        <v>316</v>
      </c>
      <c r="K5589" t="s">
        <v>13</v>
      </c>
      <c r="L5589" t="s">
        <v>19</v>
      </c>
      <c r="M5589" t="s">
        <v>114</v>
      </c>
      <c r="N5589" s="2">
        <v>46203</v>
      </c>
    </row>
    <row r="5590" spans="1:14" x14ac:dyDescent="0.25">
      <c r="A5590" t="s">
        <v>669</v>
      </c>
      <c r="B5590" s="2">
        <v>46203</v>
      </c>
      <c r="C5590" t="s">
        <v>669</v>
      </c>
      <c r="D5590" t="s">
        <v>112</v>
      </c>
      <c r="E5590" t="s">
        <v>9</v>
      </c>
      <c r="F5590" s="3">
        <v>5400</v>
      </c>
      <c r="G5590" s="3">
        <v>5400</v>
      </c>
      <c r="H5590" t="s">
        <v>3</v>
      </c>
      <c r="I5590" t="s">
        <v>3</v>
      </c>
      <c r="J5590" t="s">
        <v>428</v>
      </c>
      <c r="K5590" t="s">
        <v>13</v>
      </c>
      <c r="L5590" t="s">
        <v>19</v>
      </c>
      <c r="M5590" t="s">
        <v>114</v>
      </c>
      <c r="N5590" s="2">
        <v>46203</v>
      </c>
    </row>
    <row r="5591" spans="1:14" x14ac:dyDescent="0.25">
      <c r="A5591" s="4" t="s">
        <v>224</v>
      </c>
      <c r="B5591" s="5"/>
      <c r="C5591" s="4" t="s">
        <v>9</v>
      </c>
      <c r="D5591" s="4" t="s">
        <v>9</v>
      </c>
      <c r="E5591" s="4" t="s">
        <v>9</v>
      </c>
      <c r="F5591" s="6">
        <v>0</v>
      </c>
      <c r="G5591" s="6">
        <v>0</v>
      </c>
      <c r="H5591" s="4" t="s">
        <v>9</v>
      </c>
      <c r="I5591" s="4" t="s">
        <v>3</v>
      </c>
      <c r="J5591" s="4" t="s">
        <v>9</v>
      </c>
      <c r="K5591" s="4" t="s">
        <v>9</v>
      </c>
      <c r="L5591" s="4" t="s">
        <v>9</v>
      </c>
      <c r="M5591" s="4" t="s">
        <v>9</v>
      </c>
      <c r="N5591" s="5"/>
    </row>
    <row r="5592" spans="1:14" x14ac:dyDescent="0.25">
      <c r="A5592" t="s">
        <v>669</v>
      </c>
      <c r="B5592" s="2">
        <v>46239</v>
      </c>
      <c r="C5592" t="s">
        <v>669</v>
      </c>
      <c r="D5592" t="s">
        <v>112</v>
      </c>
      <c r="E5592" t="s">
        <v>9</v>
      </c>
      <c r="F5592" s="3">
        <v>-500</v>
      </c>
      <c r="G5592" s="3">
        <v>-500</v>
      </c>
      <c r="H5592" t="s">
        <v>3</v>
      </c>
      <c r="I5592" t="s">
        <v>3</v>
      </c>
      <c r="J5592" t="s">
        <v>9</v>
      </c>
      <c r="K5592" t="s">
        <v>9</v>
      </c>
      <c r="L5592" t="s">
        <v>21</v>
      </c>
      <c r="M5592" t="s">
        <v>114</v>
      </c>
      <c r="N5592" s="2">
        <v>46234</v>
      </c>
    </row>
    <row r="5593" spans="1:14" x14ac:dyDescent="0.25">
      <c r="A5593" t="s">
        <v>669</v>
      </c>
      <c r="B5593" s="2">
        <v>46203</v>
      </c>
      <c r="C5593" t="s">
        <v>669</v>
      </c>
      <c r="D5593" t="s">
        <v>112</v>
      </c>
      <c r="E5593" t="s">
        <v>9</v>
      </c>
      <c r="F5593" s="3">
        <v>-18000</v>
      </c>
      <c r="G5593" s="3">
        <v>-18000</v>
      </c>
      <c r="H5593" t="s">
        <v>3</v>
      </c>
      <c r="I5593" t="s">
        <v>3</v>
      </c>
      <c r="J5593" t="s">
        <v>316</v>
      </c>
      <c r="K5593" t="s">
        <v>13</v>
      </c>
      <c r="L5593" t="s">
        <v>21</v>
      </c>
      <c r="M5593" t="s">
        <v>114</v>
      </c>
      <c r="N5593" s="2">
        <v>46204</v>
      </c>
    </row>
    <row r="5594" spans="1:14" x14ac:dyDescent="0.25">
      <c r="A5594" t="s">
        <v>669</v>
      </c>
      <c r="B5594" s="2">
        <v>46203</v>
      </c>
      <c r="C5594" t="s">
        <v>669</v>
      </c>
      <c r="D5594" t="s">
        <v>112</v>
      </c>
      <c r="E5594" t="s">
        <v>9</v>
      </c>
      <c r="F5594" s="3">
        <v>-5400</v>
      </c>
      <c r="G5594" s="3">
        <v>-5400</v>
      </c>
      <c r="H5594" t="s">
        <v>3</v>
      </c>
      <c r="I5594" t="s">
        <v>3</v>
      </c>
      <c r="J5594" t="s">
        <v>428</v>
      </c>
      <c r="K5594" t="s">
        <v>13</v>
      </c>
      <c r="L5594" t="s">
        <v>21</v>
      </c>
      <c r="M5594" t="s">
        <v>114</v>
      </c>
      <c r="N5594" s="2">
        <v>46204</v>
      </c>
    </row>
    <row r="5595" spans="1:14" x14ac:dyDescent="0.25">
      <c r="A5595" t="s">
        <v>669</v>
      </c>
      <c r="B5595" s="2">
        <v>46234</v>
      </c>
      <c r="C5595" t="s">
        <v>669</v>
      </c>
      <c r="D5595" t="s">
        <v>112</v>
      </c>
      <c r="E5595" t="s">
        <v>9</v>
      </c>
      <c r="F5595" s="3">
        <v>18000</v>
      </c>
      <c r="G5595" s="3">
        <v>18000</v>
      </c>
      <c r="H5595" t="s">
        <v>3</v>
      </c>
      <c r="I5595" t="s">
        <v>3</v>
      </c>
      <c r="J5595" t="s">
        <v>319</v>
      </c>
      <c r="K5595" t="s">
        <v>13</v>
      </c>
      <c r="L5595" t="s">
        <v>21</v>
      </c>
      <c r="M5595" t="s">
        <v>114</v>
      </c>
      <c r="N5595" s="2">
        <v>46234</v>
      </c>
    </row>
    <row r="5596" spans="1:14" x14ac:dyDescent="0.25">
      <c r="A5596" t="s">
        <v>669</v>
      </c>
      <c r="B5596" s="2">
        <v>46234</v>
      </c>
      <c r="C5596" t="s">
        <v>669</v>
      </c>
      <c r="D5596" t="s">
        <v>112</v>
      </c>
      <c r="E5596" t="s">
        <v>9</v>
      </c>
      <c r="F5596" s="3">
        <v>5900</v>
      </c>
      <c r="G5596" s="3">
        <v>5900</v>
      </c>
      <c r="H5596" t="s">
        <v>3</v>
      </c>
      <c r="I5596" t="s">
        <v>3</v>
      </c>
      <c r="J5596" t="s">
        <v>429</v>
      </c>
      <c r="K5596" t="s">
        <v>13</v>
      </c>
      <c r="L5596" t="s">
        <v>21</v>
      </c>
      <c r="M5596" t="s">
        <v>114</v>
      </c>
      <c r="N5596" s="2">
        <v>46234</v>
      </c>
    </row>
    <row r="5597" spans="1:14" x14ac:dyDescent="0.25">
      <c r="A5597" s="4" t="s">
        <v>262</v>
      </c>
      <c r="B5597" s="5"/>
      <c r="C5597" s="4" t="s">
        <v>9</v>
      </c>
      <c r="D5597" s="4" t="s">
        <v>9</v>
      </c>
      <c r="E5597" s="4" t="s">
        <v>9</v>
      </c>
      <c r="F5597" s="6">
        <v>0</v>
      </c>
      <c r="G5597" s="6">
        <v>0</v>
      </c>
      <c r="H5597" s="4" t="s">
        <v>9</v>
      </c>
      <c r="I5597" s="4" t="s">
        <v>3</v>
      </c>
      <c r="J5597" s="4" t="s">
        <v>9</v>
      </c>
      <c r="K5597" s="4" t="s">
        <v>9</v>
      </c>
      <c r="L5597" s="4" t="s">
        <v>9</v>
      </c>
      <c r="M5597" s="4" t="s">
        <v>9</v>
      </c>
      <c r="N5597" s="5"/>
    </row>
    <row r="5598" spans="1:14" x14ac:dyDescent="0.25">
      <c r="A5598" t="s">
        <v>669</v>
      </c>
      <c r="B5598" s="2">
        <v>46234</v>
      </c>
      <c r="C5598" t="s">
        <v>669</v>
      </c>
      <c r="D5598" t="s">
        <v>112</v>
      </c>
      <c r="E5598" t="s">
        <v>9</v>
      </c>
      <c r="F5598" s="3">
        <v>-18000</v>
      </c>
      <c r="G5598" s="3">
        <v>-18000</v>
      </c>
      <c r="H5598" t="s">
        <v>3</v>
      </c>
      <c r="I5598" t="s">
        <v>3</v>
      </c>
      <c r="J5598" t="s">
        <v>319</v>
      </c>
      <c r="K5598" t="s">
        <v>13</v>
      </c>
      <c r="L5598" t="s">
        <v>22</v>
      </c>
      <c r="M5598" t="s">
        <v>114</v>
      </c>
      <c r="N5598" s="2">
        <v>46235</v>
      </c>
    </row>
    <row r="5599" spans="1:14" x14ac:dyDescent="0.25">
      <c r="A5599" t="s">
        <v>669</v>
      </c>
      <c r="B5599" s="2">
        <v>46234</v>
      </c>
      <c r="C5599" t="s">
        <v>669</v>
      </c>
      <c r="D5599" t="s">
        <v>112</v>
      </c>
      <c r="E5599" t="s">
        <v>9</v>
      </c>
      <c r="F5599" s="3">
        <v>-5900</v>
      </c>
      <c r="G5599" s="3">
        <v>-5900</v>
      </c>
      <c r="H5599" t="s">
        <v>3</v>
      </c>
      <c r="I5599" t="s">
        <v>3</v>
      </c>
      <c r="J5599" t="s">
        <v>429</v>
      </c>
      <c r="K5599" t="s">
        <v>13</v>
      </c>
      <c r="L5599" t="s">
        <v>22</v>
      </c>
      <c r="M5599" t="s">
        <v>114</v>
      </c>
      <c r="N5599" s="2">
        <v>46235</v>
      </c>
    </row>
    <row r="5600" spans="1:14" x14ac:dyDescent="0.25">
      <c r="A5600" t="s">
        <v>669</v>
      </c>
      <c r="B5600" s="2">
        <v>46265</v>
      </c>
      <c r="C5600" t="s">
        <v>669</v>
      </c>
      <c r="D5600" t="s">
        <v>112</v>
      </c>
      <c r="E5600" t="s">
        <v>9</v>
      </c>
      <c r="F5600" s="3">
        <v>18000</v>
      </c>
      <c r="G5600" s="3">
        <v>18000</v>
      </c>
      <c r="H5600" t="s">
        <v>3</v>
      </c>
      <c r="I5600" t="s">
        <v>3</v>
      </c>
      <c r="J5600" t="s">
        <v>322</v>
      </c>
      <c r="K5600" t="s">
        <v>13</v>
      </c>
      <c r="L5600" t="s">
        <v>22</v>
      </c>
      <c r="M5600" t="s">
        <v>114</v>
      </c>
      <c r="N5600" s="2">
        <v>46265</v>
      </c>
    </row>
    <row r="5601" spans="1:14" x14ac:dyDescent="0.25">
      <c r="A5601" t="s">
        <v>669</v>
      </c>
      <c r="B5601" s="2">
        <v>46265</v>
      </c>
      <c r="C5601" t="s">
        <v>669</v>
      </c>
      <c r="D5601" t="s">
        <v>112</v>
      </c>
      <c r="E5601" t="s">
        <v>9</v>
      </c>
      <c r="F5601" s="3">
        <v>5900</v>
      </c>
      <c r="G5601" s="3">
        <v>5900</v>
      </c>
      <c r="H5601" t="s">
        <v>3</v>
      </c>
      <c r="I5601" t="s">
        <v>3</v>
      </c>
      <c r="J5601" t="s">
        <v>431</v>
      </c>
      <c r="K5601" t="s">
        <v>13</v>
      </c>
      <c r="L5601" t="s">
        <v>22</v>
      </c>
      <c r="M5601" t="s">
        <v>114</v>
      </c>
      <c r="N5601" s="2">
        <v>46265</v>
      </c>
    </row>
    <row r="5602" spans="1:14" x14ac:dyDescent="0.25">
      <c r="A5602" s="4" t="s">
        <v>267</v>
      </c>
      <c r="B5602" s="5"/>
      <c r="C5602" s="4" t="s">
        <v>9</v>
      </c>
      <c r="D5602" s="4" t="s">
        <v>9</v>
      </c>
      <c r="E5602" s="4" t="s">
        <v>9</v>
      </c>
      <c r="F5602" s="6">
        <v>0</v>
      </c>
      <c r="G5602" s="6">
        <v>0</v>
      </c>
      <c r="H5602" s="4" t="s">
        <v>9</v>
      </c>
      <c r="I5602" s="4" t="s">
        <v>3</v>
      </c>
      <c r="J5602" s="4" t="s">
        <v>9</v>
      </c>
      <c r="K5602" s="4" t="s">
        <v>9</v>
      </c>
      <c r="L5602" s="4" t="s">
        <v>9</v>
      </c>
      <c r="M5602" s="4" t="s">
        <v>9</v>
      </c>
      <c r="N5602" s="5"/>
    </row>
    <row r="5603" spans="1:14" x14ac:dyDescent="0.25">
      <c r="A5603" s="4" t="s">
        <v>669</v>
      </c>
      <c r="B5603" s="5"/>
      <c r="C5603" s="4" t="s">
        <v>9</v>
      </c>
      <c r="D5603" s="4" t="s">
        <v>9</v>
      </c>
      <c r="E5603" s="4" t="s">
        <v>9</v>
      </c>
      <c r="F5603" s="6">
        <v>0</v>
      </c>
      <c r="G5603" s="6">
        <v>0</v>
      </c>
      <c r="H5603" s="4" t="s">
        <v>9</v>
      </c>
      <c r="I5603" s="4" t="s">
        <v>3</v>
      </c>
      <c r="J5603" s="4" t="s">
        <v>9</v>
      </c>
      <c r="K5603" s="4" t="s">
        <v>9</v>
      </c>
      <c r="L5603" s="4" t="s">
        <v>9</v>
      </c>
      <c r="M5603" s="4" t="s">
        <v>9</v>
      </c>
      <c r="N5603" s="5"/>
    </row>
    <row r="5604" spans="1:14" x14ac:dyDescent="0.25">
      <c r="A5604" t="s">
        <v>670</v>
      </c>
      <c r="B5604" s="2">
        <v>46056</v>
      </c>
      <c r="C5604" t="s">
        <v>670</v>
      </c>
      <c r="D5604" t="s">
        <v>112</v>
      </c>
      <c r="E5604" t="s">
        <v>9</v>
      </c>
      <c r="F5604" s="3">
        <v>-51720</v>
      </c>
      <c r="G5604" s="3">
        <v>-51720</v>
      </c>
      <c r="H5604" t="s">
        <v>3</v>
      </c>
      <c r="I5604" t="s">
        <v>3</v>
      </c>
      <c r="J5604" t="s">
        <v>9</v>
      </c>
      <c r="K5604" t="s">
        <v>9</v>
      </c>
      <c r="L5604" t="s">
        <v>14</v>
      </c>
      <c r="M5604" t="s">
        <v>114</v>
      </c>
      <c r="N5604" s="2">
        <v>46053</v>
      </c>
    </row>
    <row r="5605" spans="1:14" x14ac:dyDescent="0.25">
      <c r="A5605" t="s">
        <v>670</v>
      </c>
      <c r="B5605" s="2">
        <v>46053</v>
      </c>
      <c r="C5605" t="s">
        <v>670</v>
      </c>
      <c r="D5605" t="s">
        <v>112</v>
      </c>
      <c r="E5605" t="s">
        <v>9</v>
      </c>
      <c r="F5605" s="3">
        <v>51720</v>
      </c>
      <c r="G5605" s="3">
        <v>51720</v>
      </c>
      <c r="H5605" t="s">
        <v>3</v>
      </c>
      <c r="I5605" t="s">
        <v>3</v>
      </c>
      <c r="J5605" t="s">
        <v>391</v>
      </c>
      <c r="K5605" t="s">
        <v>13</v>
      </c>
      <c r="L5605" t="s">
        <v>14</v>
      </c>
      <c r="M5605" t="s">
        <v>114</v>
      </c>
      <c r="N5605" s="2">
        <v>46053</v>
      </c>
    </row>
    <row r="5606" spans="1:14" x14ac:dyDescent="0.25">
      <c r="A5606" s="4" t="s">
        <v>234</v>
      </c>
      <c r="B5606" s="5"/>
      <c r="C5606" s="4" t="s">
        <v>9</v>
      </c>
      <c r="D5606" s="4" t="s">
        <v>9</v>
      </c>
      <c r="E5606" s="4" t="s">
        <v>9</v>
      </c>
      <c r="F5606" s="6">
        <v>0</v>
      </c>
      <c r="G5606" s="6">
        <v>0</v>
      </c>
      <c r="H5606" s="4" t="s">
        <v>9</v>
      </c>
      <c r="I5606" s="4" t="s">
        <v>3</v>
      </c>
      <c r="J5606" s="4" t="s">
        <v>9</v>
      </c>
      <c r="K5606" s="4" t="s">
        <v>9</v>
      </c>
      <c r="L5606" s="4" t="s">
        <v>9</v>
      </c>
      <c r="M5606" s="4" t="s">
        <v>9</v>
      </c>
      <c r="N5606" s="5"/>
    </row>
    <row r="5607" spans="1:14" x14ac:dyDescent="0.25">
      <c r="A5607" t="s">
        <v>670</v>
      </c>
      <c r="B5607" s="2">
        <v>46084</v>
      </c>
      <c r="C5607" t="s">
        <v>670</v>
      </c>
      <c r="D5607" t="s">
        <v>112</v>
      </c>
      <c r="E5607" t="s">
        <v>9</v>
      </c>
      <c r="F5607" s="3">
        <v>-8672</v>
      </c>
      <c r="G5607" s="3">
        <v>-8672</v>
      </c>
      <c r="H5607" t="s">
        <v>3</v>
      </c>
      <c r="I5607" t="s">
        <v>3</v>
      </c>
      <c r="J5607" t="s">
        <v>9</v>
      </c>
      <c r="K5607" t="s">
        <v>9</v>
      </c>
      <c r="L5607" t="s">
        <v>15</v>
      </c>
      <c r="M5607" t="s">
        <v>114</v>
      </c>
      <c r="N5607" s="2">
        <v>46081</v>
      </c>
    </row>
    <row r="5608" spans="1:14" x14ac:dyDescent="0.25">
      <c r="A5608" t="s">
        <v>670</v>
      </c>
      <c r="B5608" s="2">
        <v>46084</v>
      </c>
      <c r="C5608" t="s">
        <v>670</v>
      </c>
      <c r="D5608" t="s">
        <v>301</v>
      </c>
      <c r="E5608" t="s">
        <v>9</v>
      </c>
      <c r="F5608" s="3">
        <v>60392</v>
      </c>
      <c r="G5608" s="3">
        <v>60392</v>
      </c>
      <c r="H5608" t="s">
        <v>3</v>
      </c>
      <c r="I5608" t="s">
        <v>3</v>
      </c>
      <c r="J5608" t="s">
        <v>9</v>
      </c>
      <c r="K5608" t="s">
        <v>9</v>
      </c>
      <c r="L5608" t="s">
        <v>15</v>
      </c>
      <c r="M5608" t="s">
        <v>302</v>
      </c>
      <c r="N5608" s="2">
        <v>46081</v>
      </c>
    </row>
    <row r="5609" spans="1:14" x14ac:dyDescent="0.25">
      <c r="A5609" t="s">
        <v>670</v>
      </c>
      <c r="B5609" s="2">
        <v>46054</v>
      </c>
      <c r="C5609" t="s">
        <v>670</v>
      </c>
      <c r="D5609" t="s">
        <v>112</v>
      </c>
      <c r="E5609" t="s">
        <v>9</v>
      </c>
      <c r="F5609" s="3">
        <v>-51720</v>
      </c>
      <c r="G5609" s="3">
        <v>-51720</v>
      </c>
      <c r="H5609" t="s">
        <v>3</v>
      </c>
      <c r="I5609" t="s">
        <v>3</v>
      </c>
      <c r="J5609" t="s">
        <v>391</v>
      </c>
      <c r="K5609" t="s">
        <v>13</v>
      </c>
      <c r="L5609" t="s">
        <v>15</v>
      </c>
      <c r="M5609" t="s">
        <v>114</v>
      </c>
      <c r="N5609" s="2">
        <v>46054</v>
      </c>
    </row>
    <row r="5610" spans="1:14" x14ac:dyDescent="0.25">
      <c r="A5610" t="s">
        <v>670</v>
      </c>
      <c r="B5610" s="2">
        <v>46054</v>
      </c>
      <c r="C5610" t="s">
        <v>670</v>
      </c>
      <c r="D5610" t="s">
        <v>112</v>
      </c>
      <c r="E5610" t="s">
        <v>9</v>
      </c>
      <c r="F5610" s="3">
        <v>51720</v>
      </c>
      <c r="G5610" s="3">
        <v>51720</v>
      </c>
      <c r="H5610" t="s">
        <v>3</v>
      </c>
      <c r="I5610" t="s">
        <v>3</v>
      </c>
      <c r="J5610" t="s">
        <v>391</v>
      </c>
      <c r="K5610" t="s">
        <v>13</v>
      </c>
      <c r="L5610" t="s">
        <v>15</v>
      </c>
      <c r="M5610" t="s">
        <v>114</v>
      </c>
      <c r="N5610" s="2">
        <v>46055</v>
      </c>
    </row>
    <row r="5611" spans="1:14" x14ac:dyDescent="0.25">
      <c r="A5611" t="s">
        <v>670</v>
      </c>
      <c r="B5611" s="2">
        <v>46054</v>
      </c>
      <c r="C5611" t="s">
        <v>670</v>
      </c>
      <c r="D5611" t="s">
        <v>112</v>
      </c>
      <c r="E5611" t="s">
        <v>9</v>
      </c>
      <c r="F5611" s="3">
        <v>-51720</v>
      </c>
      <c r="G5611" s="3">
        <v>-51720</v>
      </c>
      <c r="H5611" t="s">
        <v>3</v>
      </c>
      <c r="I5611" t="s">
        <v>3</v>
      </c>
      <c r="J5611" t="s">
        <v>391</v>
      </c>
      <c r="K5611" t="s">
        <v>13</v>
      </c>
      <c r="L5611" t="s">
        <v>15</v>
      </c>
      <c r="M5611" t="s">
        <v>114</v>
      </c>
      <c r="N5611" s="2">
        <v>46054</v>
      </c>
    </row>
    <row r="5612" spans="1:14" x14ac:dyDescent="0.25">
      <c r="A5612" t="s">
        <v>670</v>
      </c>
      <c r="B5612" s="2">
        <v>46081</v>
      </c>
      <c r="C5612" t="s">
        <v>670</v>
      </c>
      <c r="D5612" t="s">
        <v>301</v>
      </c>
      <c r="E5612" t="s">
        <v>9</v>
      </c>
      <c r="F5612" s="3">
        <v>-60392</v>
      </c>
      <c r="G5612" s="3">
        <v>-60392</v>
      </c>
      <c r="H5612" t="s">
        <v>3</v>
      </c>
      <c r="I5612" t="s">
        <v>3</v>
      </c>
      <c r="J5612" t="s">
        <v>10</v>
      </c>
      <c r="K5612" t="s">
        <v>13</v>
      </c>
      <c r="L5612" t="s">
        <v>15</v>
      </c>
      <c r="M5612" t="s">
        <v>302</v>
      </c>
      <c r="N5612" s="2">
        <v>46081</v>
      </c>
    </row>
    <row r="5613" spans="1:14" x14ac:dyDescent="0.25">
      <c r="A5613" t="s">
        <v>670</v>
      </c>
      <c r="B5613" s="2">
        <v>46081</v>
      </c>
      <c r="C5613" t="s">
        <v>670</v>
      </c>
      <c r="D5613" t="s">
        <v>112</v>
      </c>
      <c r="E5613" t="s">
        <v>9</v>
      </c>
      <c r="F5613" s="3">
        <v>60392</v>
      </c>
      <c r="G5613" s="3">
        <v>60392</v>
      </c>
      <c r="H5613" t="s">
        <v>3</v>
      </c>
      <c r="I5613" t="s">
        <v>3</v>
      </c>
      <c r="J5613" t="s">
        <v>393</v>
      </c>
      <c r="K5613" t="s">
        <v>13</v>
      </c>
      <c r="L5613" t="s">
        <v>15</v>
      </c>
      <c r="M5613" t="s">
        <v>114</v>
      </c>
      <c r="N5613" s="2">
        <v>46081</v>
      </c>
    </row>
    <row r="5614" spans="1:14" x14ac:dyDescent="0.25">
      <c r="A5614" s="4" t="s">
        <v>239</v>
      </c>
      <c r="B5614" s="5"/>
      <c r="C5614" s="4" t="s">
        <v>9</v>
      </c>
      <c r="D5614" s="4" t="s">
        <v>9</v>
      </c>
      <c r="E5614" s="4" t="s">
        <v>9</v>
      </c>
      <c r="F5614" s="6">
        <v>0</v>
      </c>
      <c r="G5614" s="6">
        <v>0</v>
      </c>
      <c r="H5614" s="4" t="s">
        <v>9</v>
      </c>
      <c r="I5614" s="4" t="s">
        <v>3</v>
      </c>
      <c r="J5614" s="4" t="s">
        <v>9</v>
      </c>
      <c r="K5614" s="4" t="s">
        <v>9</v>
      </c>
      <c r="L5614" s="4" t="s">
        <v>9</v>
      </c>
      <c r="M5614" s="4" t="s">
        <v>9</v>
      </c>
      <c r="N5614" s="5"/>
    </row>
    <row r="5615" spans="1:14" x14ac:dyDescent="0.25">
      <c r="A5615" t="s">
        <v>670</v>
      </c>
      <c r="B5615" s="2">
        <v>46115</v>
      </c>
      <c r="C5615" t="s">
        <v>670</v>
      </c>
      <c r="D5615" t="s">
        <v>112</v>
      </c>
      <c r="E5615" t="s">
        <v>9</v>
      </c>
      <c r="F5615" s="3">
        <v>-85820</v>
      </c>
      <c r="G5615" s="3">
        <v>-85820</v>
      </c>
      <c r="H5615" t="s">
        <v>3</v>
      </c>
      <c r="I5615" t="s">
        <v>3</v>
      </c>
      <c r="J5615" t="s">
        <v>9</v>
      </c>
      <c r="K5615" t="s">
        <v>9</v>
      </c>
      <c r="L5615" t="s">
        <v>16</v>
      </c>
      <c r="M5615" t="s">
        <v>114</v>
      </c>
      <c r="N5615" s="2">
        <v>46112</v>
      </c>
    </row>
    <row r="5616" spans="1:14" x14ac:dyDescent="0.25">
      <c r="A5616" t="s">
        <v>670</v>
      </c>
      <c r="B5616" s="2">
        <v>46115</v>
      </c>
      <c r="C5616" t="s">
        <v>670</v>
      </c>
      <c r="D5616" t="s">
        <v>301</v>
      </c>
      <c r="E5616" t="s">
        <v>9</v>
      </c>
      <c r="F5616" s="3">
        <v>85820</v>
      </c>
      <c r="G5616" s="3">
        <v>85820</v>
      </c>
      <c r="H5616" t="s">
        <v>3</v>
      </c>
      <c r="I5616" t="s">
        <v>3</v>
      </c>
      <c r="J5616" t="s">
        <v>9</v>
      </c>
      <c r="K5616" t="s">
        <v>9</v>
      </c>
      <c r="L5616" t="s">
        <v>16</v>
      </c>
      <c r="M5616" t="s">
        <v>302</v>
      </c>
      <c r="N5616" s="2">
        <v>46112</v>
      </c>
    </row>
    <row r="5617" spans="1:14" x14ac:dyDescent="0.25">
      <c r="A5617" t="s">
        <v>670</v>
      </c>
      <c r="B5617" s="2">
        <v>46081</v>
      </c>
      <c r="C5617" t="s">
        <v>670</v>
      </c>
      <c r="D5617" t="s">
        <v>112</v>
      </c>
      <c r="E5617" t="s">
        <v>9</v>
      </c>
      <c r="F5617" s="3">
        <v>-60392</v>
      </c>
      <c r="G5617" s="3">
        <v>-60392</v>
      </c>
      <c r="H5617" t="s">
        <v>3</v>
      </c>
      <c r="I5617" t="s">
        <v>3</v>
      </c>
      <c r="J5617" t="s">
        <v>393</v>
      </c>
      <c r="K5617" t="s">
        <v>13</v>
      </c>
      <c r="L5617" t="s">
        <v>16</v>
      </c>
      <c r="M5617" t="s">
        <v>114</v>
      </c>
      <c r="N5617" s="2">
        <v>46082</v>
      </c>
    </row>
    <row r="5618" spans="1:14" x14ac:dyDescent="0.25">
      <c r="A5618" t="s">
        <v>670</v>
      </c>
      <c r="B5618" s="2">
        <v>46112</v>
      </c>
      <c r="C5618" t="s">
        <v>670</v>
      </c>
      <c r="D5618" t="s">
        <v>112</v>
      </c>
      <c r="E5618" t="s">
        <v>9</v>
      </c>
      <c r="F5618" s="3">
        <v>146212</v>
      </c>
      <c r="G5618" s="3">
        <v>146212</v>
      </c>
      <c r="H5618" t="s">
        <v>3</v>
      </c>
      <c r="I5618" t="s">
        <v>3</v>
      </c>
      <c r="J5618" t="s">
        <v>395</v>
      </c>
      <c r="K5618" t="s">
        <v>13</v>
      </c>
      <c r="L5618" t="s">
        <v>16</v>
      </c>
      <c r="M5618" t="s">
        <v>114</v>
      </c>
      <c r="N5618" s="2">
        <v>46112</v>
      </c>
    </row>
    <row r="5619" spans="1:14" x14ac:dyDescent="0.25">
      <c r="A5619" t="s">
        <v>670</v>
      </c>
      <c r="B5619" s="2">
        <v>46112</v>
      </c>
      <c r="C5619" t="s">
        <v>670</v>
      </c>
      <c r="D5619" t="s">
        <v>301</v>
      </c>
      <c r="E5619" t="s">
        <v>9</v>
      </c>
      <c r="F5619" s="3">
        <v>-85820</v>
      </c>
      <c r="G5619" s="3">
        <v>-85820</v>
      </c>
      <c r="H5619" t="s">
        <v>3</v>
      </c>
      <c r="I5619" t="s">
        <v>3</v>
      </c>
      <c r="J5619" t="s">
        <v>10</v>
      </c>
      <c r="K5619" t="s">
        <v>13</v>
      </c>
      <c r="L5619" t="s">
        <v>16</v>
      </c>
      <c r="M5619" t="s">
        <v>302</v>
      </c>
      <c r="N5619" s="2">
        <v>46112</v>
      </c>
    </row>
    <row r="5620" spans="1:14" x14ac:dyDescent="0.25">
      <c r="A5620" s="4" t="s">
        <v>244</v>
      </c>
      <c r="B5620" s="5"/>
      <c r="C5620" s="4" t="s">
        <v>9</v>
      </c>
      <c r="D5620" s="4" t="s">
        <v>9</v>
      </c>
      <c r="E5620" s="4" t="s">
        <v>9</v>
      </c>
      <c r="F5620" s="6">
        <v>0</v>
      </c>
      <c r="G5620" s="6">
        <v>0</v>
      </c>
      <c r="H5620" s="4" t="s">
        <v>9</v>
      </c>
      <c r="I5620" s="4" t="s">
        <v>3</v>
      </c>
      <c r="J5620" s="4" t="s">
        <v>9</v>
      </c>
      <c r="K5620" s="4" t="s">
        <v>9</v>
      </c>
      <c r="L5620" s="4" t="s">
        <v>9</v>
      </c>
      <c r="M5620" s="4" t="s">
        <v>9</v>
      </c>
      <c r="N5620" s="5"/>
    </row>
    <row r="5621" spans="1:14" x14ac:dyDescent="0.25">
      <c r="A5621" t="s">
        <v>670</v>
      </c>
      <c r="B5621" s="2">
        <v>46147</v>
      </c>
      <c r="C5621" t="s">
        <v>670</v>
      </c>
      <c r="D5621" t="s">
        <v>112</v>
      </c>
      <c r="E5621" t="s">
        <v>9</v>
      </c>
      <c r="F5621" s="3">
        <v>-53014</v>
      </c>
      <c r="G5621" s="3">
        <v>-53014</v>
      </c>
      <c r="H5621" t="s">
        <v>3</v>
      </c>
      <c r="I5621" t="s">
        <v>3</v>
      </c>
      <c r="J5621" t="s">
        <v>9</v>
      </c>
      <c r="K5621" t="s">
        <v>9</v>
      </c>
      <c r="L5621" t="s">
        <v>17</v>
      </c>
      <c r="M5621" t="s">
        <v>114</v>
      </c>
      <c r="N5621" s="2">
        <v>46142</v>
      </c>
    </row>
    <row r="5622" spans="1:14" x14ac:dyDescent="0.25">
      <c r="A5622" t="s">
        <v>670</v>
      </c>
      <c r="B5622" s="2">
        <v>46147</v>
      </c>
      <c r="C5622" t="s">
        <v>670</v>
      </c>
      <c r="D5622" t="s">
        <v>301</v>
      </c>
      <c r="E5622" t="s">
        <v>9</v>
      </c>
      <c r="F5622" s="3">
        <v>45326</v>
      </c>
      <c r="G5622" s="3">
        <v>45326</v>
      </c>
      <c r="H5622" t="s">
        <v>3</v>
      </c>
      <c r="I5622" t="s">
        <v>3</v>
      </c>
      <c r="J5622" t="s">
        <v>9</v>
      </c>
      <c r="K5622" t="s">
        <v>9</v>
      </c>
      <c r="L5622" t="s">
        <v>17</v>
      </c>
      <c r="M5622" t="s">
        <v>302</v>
      </c>
      <c r="N5622" s="2">
        <v>46142</v>
      </c>
    </row>
    <row r="5623" spans="1:14" x14ac:dyDescent="0.25">
      <c r="A5623" t="s">
        <v>670</v>
      </c>
      <c r="B5623" s="2">
        <v>46112</v>
      </c>
      <c r="C5623" t="s">
        <v>670</v>
      </c>
      <c r="D5623" t="s">
        <v>112</v>
      </c>
      <c r="E5623" t="s">
        <v>9</v>
      </c>
      <c r="F5623" s="3">
        <v>-146212</v>
      </c>
      <c r="G5623" s="3">
        <v>-146212</v>
      </c>
      <c r="H5623" t="s">
        <v>3</v>
      </c>
      <c r="I5623" t="s">
        <v>3</v>
      </c>
      <c r="J5623" t="s">
        <v>395</v>
      </c>
      <c r="K5623" t="s">
        <v>13</v>
      </c>
      <c r="L5623" t="s">
        <v>17</v>
      </c>
      <c r="M5623" t="s">
        <v>114</v>
      </c>
      <c r="N5623" s="2">
        <v>46113</v>
      </c>
    </row>
    <row r="5624" spans="1:14" x14ac:dyDescent="0.25">
      <c r="A5624" t="s">
        <v>670</v>
      </c>
      <c r="B5624" s="2">
        <v>46142</v>
      </c>
      <c r="C5624" t="s">
        <v>670</v>
      </c>
      <c r="D5624" t="s">
        <v>112</v>
      </c>
      <c r="E5624" t="s">
        <v>9</v>
      </c>
      <c r="F5624" s="3">
        <v>199226</v>
      </c>
      <c r="G5624" s="3">
        <v>199226</v>
      </c>
      <c r="H5624" t="s">
        <v>3</v>
      </c>
      <c r="I5624" t="s">
        <v>3</v>
      </c>
      <c r="J5624" t="s">
        <v>423</v>
      </c>
      <c r="K5624" t="s">
        <v>13</v>
      </c>
      <c r="L5624" t="s">
        <v>17</v>
      </c>
      <c r="M5624" t="s">
        <v>114</v>
      </c>
      <c r="N5624" s="2">
        <v>46142</v>
      </c>
    </row>
    <row r="5625" spans="1:14" x14ac:dyDescent="0.25">
      <c r="A5625" t="s">
        <v>670</v>
      </c>
      <c r="B5625" s="2">
        <v>46142</v>
      </c>
      <c r="C5625" t="s">
        <v>670</v>
      </c>
      <c r="D5625" t="s">
        <v>301</v>
      </c>
      <c r="E5625" t="s">
        <v>9</v>
      </c>
      <c r="F5625" s="3">
        <v>-45326</v>
      </c>
      <c r="G5625" s="3">
        <v>-45326</v>
      </c>
      <c r="H5625" t="s">
        <v>3</v>
      </c>
      <c r="I5625" t="s">
        <v>3</v>
      </c>
      <c r="J5625" t="s">
        <v>10</v>
      </c>
      <c r="K5625" t="s">
        <v>13</v>
      </c>
      <c r="L5625" t="s">
        <v>17</v>
      </c>
      <c r="M5625" t="s">
        <v>302</v>
      </c>
      <c r="N5625" s="2">
        <v>46142</v>
      </c>
    </row>
    <row r="5626" spans="1:14" x14ac:dyDescent="0.25">
      <c r="A5626" s="4" t="s">
        <v>249</v>
      </c>
      <c r="B5626" s="5"/>
      <c r="C5626" s="4" t="s">
        <v>9</v>
      </c>
      <c r="D5626" s="4" t="s">
        <v>9</v>
      </c>
      <c r="E5626" s="4" t="s">
        <v>9</v>
      </c>
      <c r="F5626" s="6">
        <v>0</v>
      </c>
      <c r="G5626" s="6">
        <v>0</v>
      </c>
      <c r="H5626" s="4" t="s">
        <v>9</v>
      </c>
      <c r="I5626" s="4" t="s">
        <v>3</v>
      </c>
      <c r="J5626" s="4" t="s">
        <v>9</v>
      </c>
      <c r="K5626" s="4" t="s">
        <v>9</v>
      </c>
      <c r="L5626" s="4" t="s">
        <v>9</v>
      </c>
      <c r="M5626" s="4" t="s">
        <v>9</v>
      </c>
      <c r="N5626" s="5"/>
    </row>
    <row r="5627" spans="1:14" x14ac:dyDescent="0.25">
      <c r="A5627" t="s">
        <v>670</v>
      </c>
      <c r="B5627" s="2">
        <v>46175</v>
      </c>
      <c r="C5627" t="s">
        <v>670</v>
      </c>
      <c r="D5627" t="s">
        <v>112</v>
      </c>
      <c r="E5627" t="s">
        <v>9</v>
      </c>
      <c r="F5627" s="3">
        <v>896</v>
      </c>
      <c r="G5627" s="3">
        <v>896</v>
      </c>
      <c r="H5627" t="s">
        <v>3</v>
      </c>
      <c r="I5627" t="s">
        <v>3</v>
      </c>
      <c r="J5627" t="s">
        <v>9</v>
      </c>
      <c r="K5627" t="s">
        <v>9</v>
      </c>
      <c r="L5627" t="s">
        <v>18</v>
      </c>
      <c r="M5627" t="s">
        <v>114</v>
      </c>
      <c r="N5627" s="2">
        <v>46173</v>
      </c>
    </row>
    <row r="5628" spans="1:14" x14ac:dyDescent="0.25">
      <c r="A5628" t="s">
        <v>670</v>
      </c>
      <c r="B5628" s="2">
        <v>46142</v>
      </c>
      <c r="C5628" t="s">
        <v>670</v>
      </c>
      <c r="D5628" t="s">
        <v>112</v>
      </c>
      <c r="E5628" t="s">
        <v>9</v>
      </c>
      <c r="F5628" s="3">
        <v>-199226</v>
      </c>
      <c r="G5628" s="3">
        <v>-199226</v>
      </c>
      <c r="H5628" t="s">
        <v>3</v>
      </c>
      <c r="I5628" t="s">
        <v>3</v>
      </c>
      <c r="J5628" t="s">
        <v>423</v>
      </c>
      <c r="K5628" t="s">
        <v>13</v>
      </c>
      <c r="L5628" t="s">
        <v>18</v>
      </c>
      <c r="M5628" t="s">
        <v>114</v>
      </c>
      <c r="N5628" s="2">
        <v>46143</v>
      </c>
    </row>
    <row r="5629" spans="1:14" x14ac:dyDescent="0.25">
      <c r="A5629" t="s">
        <v>670</v>
      </c>
      <c r="B5629" s="2">
        <v>46173</v>
      </c>
      <c r="C5629" t="s">
        <v>670</v>
      </c>
      <c r="D5629" t="s">
        <v>112</v>
      </c>
      <c r="E5629" t="s">
        <v>9</v>
      </c>
      <c r="F5629" s="3">
        <v>198330</v>
      </c>
      <c r="G5629" s="3">
        <v>198330</v>
      </c>
      <c r="H5629" t="s">
        <v>3</v>
      </c>
      <c r="I5629" t="s">
        <v>3</v>
      </c>
      <c r="J5629" t="s">
        <v>427</v>
      </c>
      <c r="K5629" t="s">
        <v>13</v>
      </c>
      <c r="L5629" t="s">
        <v>18</v>
      </c>
      <c r="M5629" t="s">
        <v>114</v>
      </c>
      <c r="N5629" s="2">
        <v>46173</v>
      </c>
    </row>
    <row r="5630" spans="1:14" x14ac:dyDescent="0.25">
      <c r="A5630" s="4" t="s">
        <v>223</v>
      </c>
      <c r="B5630" s="5"/>
      <c r="C5630" s="4" t="s">
        <v>9</v>
      </c>
      <c r="D5630" s="4" t="s">
        <v>9</v>
      </c>
      <c r="E5630" s="4" t="s">
        <v>9</v>
      </c>
      <c r="F5630" s="6">
        <v>0</v>
      </c>
      <c r="G5630" s="6">
        <v>0</v>
      </c>
      <c r="H5630" s="4" t="s">
        <v>9</v>
      </c>
      <c r="I5630" s="4" t="s">
        <v>3</v>
      </c>
      <c r="J5630" s="4" t="s">
        <v>9</v>
      </c>
      <c r="K5630" s="4" t="s">
        <v>9</v>
      </c>
      <c r="L5630" s="4" t="s">
        <v>9</v>
      </c>
      <c r="M5630" s="4" t="s">
        <v>9</v>
      </c>
      <c r="N5630" s="5"/>
    </row>
    <row r="5631" spans="1:14" x14ac:dyDescent="0.25">
      <c r="A5631" t="s">
        <v>670</v>
      </c>
      <c r="B5631" s="2">
        <v>46173</v>
      </c>
      <c r="C5631" t="s">
        <v>670</v>
      </c>
      <c r="D5631" t="s">
        <v>112</v>
      </c>
      <c r="E5631" t="s">
        <v>9</v>
      </c>
      <c r="F5631" s="3">
        <v>-198330</v>
      </c>
      <c r="G5631" s="3">
        <v>-198330</v>
      </c>
      <c r="H5631" t="s">
        <v>3</v>
      </c>
      <c r="I5631" t="s">
        <v>3</v>
      </c>
      <c r="J5631" t="s">
        <v>427</v>
      </c>
      <c r="K5631" t="s">
        <v>13</v>
      </c>
      <c r="L5631" t="s">
        <v>19</v>
      </c>
      <c r="M5631" t="s">
        <v>114</v>
      </c>
      <c r="N5631" s="2">
        <v>46174</v>
      </c>
    </row>
    <row r="5632" spans="1:14" x14ac:dyDescent="0.25">
      <c r="A5632" t="s">
        <v>670</v>
      </c>
      <c r="B5632" s="2">
        <v>46203</v>
      </c>
      <c r="C5632" t="s">
        <v>670</v>
      </c>
      <c r="D5632" t="s">
        <v>112</v>
      </c>
      <c r="E5632" t="s">
        <v>9</v>
      </c>
      <c r="F5632" s="3">
        <v>198330</v>
      </c>
      <c r="G5632" s="3">
        <v>198330</v>
      </c>
      <c r="H5632" t="s">
        <v>3</v>
      </c>
      <c r="I5632" t="s">
        <v>3</v>
      </c>
      <c r="J5632" t="s">
        <v>428</v>
      </c>
      <c r="K5632" t="s">
        <v>13</v>
      </c>
      <c r="L5632" t="s">
        <v>19</v>
      </c>
      <c r="M5632" t="s">
        <v>114</v>
      </c>
      <c r="N5632" s="2">
        <v>46203</v>
      </c>
    </row>
    <row r="5633" spans="1:14" x14ac:dyDescent="0.25">
      <c r="A5633" s="4" t="s">
        <v>224</v>
      </c>
      <c r="B5633" s="5"/>
      <c r="C5633" s="4" t="s">
        <v>9</v>
      </c>
      <c r="D5633" s="4" t="s">
        <v>9</v>
      </c>
      <c r="E5633" s="4" t="s">
        <v>9</v>
      </c>
      <c r="F5633" s="6">
        <v>0</v>
      </c>
      <c r="G5633" s="6">
        <v>0</v>
      </c>
      <c r="H5633" s="4" t="s">
        <v>9</v>
      </c>
      <c r="I5633" s="4" t="s">
        <v>3</v>
      </c>
      <c r="J5633" s="4" t="s">
        <v>9</v>
      </c>
      <c r="K5633" s="4" t="s">
        <v>9</v>
      </c>
      <c r="L5633" s="4" t="s">
        <v>9</v>
      </c>
      <c r="M5633" s="4" t="s">
        <v>9</v>
      </c>
      <c r="N5633" s="5"/>
    </row>
    <row r="5634" spans="1:14" x14ac:dyDescent="0.25">
      <c r="A5634" t="s">
        <v>670</v>
      </c>
      <c r="B5634" s="2">
        <v>46203</v>
      </c>
      <c r="C5634" t="s">
        <v>670</v>
      </c>
      <c r="D5634" t="s">
        <v>112</v>
      </c>
      <c r="E5634" t="s">
        <v>9</v>
      </c>
      <c r="F5634" s="3">
        <v>-198330</v>
      </c>
      <c r="G5634" s="3">
        <v>-198330</v>
      </c>
      <c r="H5634" t="s">
        <v>3</v>
      </c>
      <c r="I5634" t="s">
        <v>3</v>
      </c>
      <c r="J5634" t="s">
        <v>428</v>
      </c>
      <c r="K5634" t="s">
        <v>13</v>
      </c>
      <c r="L5634" t="s">
        <v>21</v>
      </c>
      <c r="M5634" t="s">
        <v>114</v>
      </c>
      <c r="N5634" s="2">
        <v>46204</v>
      </c>
    </row>
    <row r="5635" spans="1:14" x14ac:dyDescent="0.25">
      <c r="A5635" t="s">
        <v>670</v>
      </c>
      <c r="B5635" s="2">
        <v>46234</v>
      </c>
      <c r="C5635" t="s">
        <v>670</v>
      </c>
      <c r="D5635" t="s">
        <v>112</v>
      </c>
      <c r="E5635" t="s">
        <v>9</v>
      </c>
      <c r="F5635" s="3">
        <v>198330</v>
      </c>
      <c r="G5635" s="3">
        <v>198330</v>
      </c>
      <c r="H5635" t="s">
        <v>3</v>
      </c>
      <c r="I5635" t="s">
        <v>3</v>
      </c>
      <c r="J5635" t="s">
        <v>429</v>
      </c>
      <c r="K5635" t="s">
        <v>13</v>
      </c>
      <c r="L5635" t="s">
        <v>21</v>
      </c>
      <c r="M5635" t="s">
        <v>114</v>
      </c>
      <c r="N5635" s="2">
        <v>46234</v>
      </c>
    </row>
    <row r="5636" spans="1:14" x14ac:dyDescent="0.25">
      <c r="A5636" s="4" t="s">
        <v>262</v>
      </c>
      <c r="B5636" s="5"/>
      <c r="C5636" s="4" t="s">
        <v>9</v>
      </c>
      <c r="D5636" s="4" t="s">
        <v>9</v>
      </c>
      <c r="E5636" s="4" t="s">
        <v>9</v>
      </c>
      <c r="F5636" s="6">
        <v>0</v>
      </c>
      <c r="G5636" s="6">
        <v>0</v>
      </c>
      <c r="H5636" s="4" t="s">
        <v>9</v>
      </c>
      <c r="I5636" s="4" t="s">
        <v>3</v>
      </c>
      <c r="J5636" s="4" t="s">
        <v>9</v>
      </c>
      <c r="K5636" s="4" t="s">
        <v>9</v>
      </c>
      <c r="L5636" s="4" t="s">
        <v>9</v>
      </c>
      <c r="M5636" s="4" t="s">
        <v>9</v>
      </c>
      <c r="N5636" s="5"/>
    </row>
    <row r="5637" spans="1:14" x14ac:dyDescent="0.25">
      <c r="A5637" t="s">
        <v>670</v>
      </c>
      <c r="B5637" s="2">
        <v>46234</v>
      </c>
      <c r="C5637" t="s">
        <v>670</v>
      </c>
      <c r="D5637" t="s">
        <v>112</v>
      </c>
      <c r="E5637" t="s">
        <v>9</v>
      </c>
      <c r="F5637" s="3">
        <v>-198330</v>
      </c>
      <c r="G5637" s="3">
        <v>-198330</v>
      </c>
      <c r="H5637" t="s">
        <v>3</v>
      </c>
      <c r="I5637" t="s">
        <v>3</v>
      </c>
      <c r="J5637" t="s">
        <v>429</v>
      </c>
      <c r="K5637" t="s">
        <v>13</v>
      </c>
      <c r="L5637" t="s">
        <v>22</v>
      </c>
      <c r="M5637" t="s">
        <v>114</v>
      </c>
      <c r="N5637" s="2">
        <v>46235</v>
      </c>
    </row>
    <row r="5638" spans="1:14" x14ac:dyDescent="0.25">
      <c r="A5638" t="s">
        <v>670</v>
      </c>
      <c r="B5638" s="2">
        <v>46265</v>
      </c>
      <c r="C5638" t="s">
        <v>670</v>
      </c>
      <c r="D5638" t="s">
        <v>112</v>
      </c>
      <c r="E5638" t="s">
        <v>9</v>
      </c>
      <c r="F5638" s="3">
        <v>198330</v>
      </c>
      <c r="G5638" s="3">
        <v>198330</v>
      </c>
      <c r="H5638" t="s">
        <v>3</v>
      </c>
      <c r="I5638" t="s">
        <v>3</v>
      </c>
      <c r="J5638" t="s">
        <v>431</v>
      </c>
      <c r="K5638" t="s">
        <v>13</v>
      </c>
      <c r="L5638" t="s">
        <v>22</v>
      </c>
      <c r="M5638" t="s">
        <v>114</v>
      </c>
      <c r="N5638" s="2">
        <v>46265</v>
      </c>
    </row>
    <row r="5639" spans="1:14" x14ac:dyDescent="0.25">
      <c r="A5639" s="4" t="s">
        <v>267</v>
      </c>
      <c r="B5639" s="5"/>
      <c r="C5639" s="4" t="s">
        <v>9</v>
      </c>
      <c r="D5639" s="4" t="s">
        <v>9</v>
      </c>
      <c r="E5639" s="4" t="s">
        <v>9</v>
      </c>
      <c r="F5639" s="6">
        <v>0</v>
      </c>
      <c r="G5639" s="6">
        <v>0</v>
      </c>
      <c r="H5639" s="4" t="s">
        <v>9</v>
      </c>
      <c r="I5639" s="4" t="s">
        <v>3</v>
      </c>
      <c r="J5639" s="4" t="s">
        <v>9</v>
      </c>
      <c r="K5639" s="4" t="s">
        <v>9</v>
      </c>
      <c r="L5639" s="4" t="s">
        <v>9</v>
      </c>
      <c r="M5639" s="4" t="s">
        <v>9</v>
      </c>
      <c r="N5639" s="5"/>
    </row>
    <row r="5640" spans="1:14" x14ac:dyDescent="0.25">
      <c r="A5640" s="4" t="s">
        <v>670</v>
      </c>
      <c r="B5640" s="5"/>
      <c r="C5640" s="4" t="s">
        <v>9</v>
      </c>
      <c r="D5640" s="4" t="s">
        <v>9</v>
      </c>
      <c r="E5640" s="4" t="s">
        <v>9</v>
      </c>
      <c r="F5640" s="6">
        <v>0</v>
      </c>
      <c r="G5640" s="6">
        <v>0</v>
      </c>
      <c r="H5640" s="4" t="s">
        <v>9</v>
      </c>
      <c r="I5640" s="4" t="s">
        <v>3</v>
      </c>
      <c r="J5640" s="4" t="s">
        <v>9</v>
      </c>
      <c r="K5640" s="4" t="s">
        <v>9</v>
      </c>
      <c r="L5640" s="4" t="s">
        <v>9</v>
      </c>
      <c r="M5640" s="4" t="s">
        <v>9</v>
      </c>
      <c r="N5640" s="5"/>
    </row>
    <row r="5641" spans="1:14" x14ac:dyDescent="0.25">
      <c r="A5641" t="s">
        <v>671</v>
      </c>
      <c r="B5641" s="2">
        <v>46084</v>
      </c>
      <c r="C5641" t="s">
        <v>671</v>
      </c>
      <c r="D5641" t="s">
        <v>112</v>
      </c>
      <c r="E5641" t="s">
        <v>9</v>
      </c>
      <c r="F5641" s="3">
        <v>-2800</v>
      </c>
      <c r="G5641" s="3">
        <v>-2800</v>
      </c>
      <c r="H5641" t="s">
        <v>3</v>
      </c>
      <c r="I5641" t="s">
        <v>3</v>
      </c>
      <c r="J5641" t="s">
        <v>9</v>
      </c>
      <c r="K5641" t="s">
        <v>9</v>
      </c>
      <c r="L5641" t="s">
        <v>15</v>
      </c>
      <c r="M5641" t="s">
        <v>114</v>
      </c>
      <c r="N5641" s="2">
        <v>46081</v>
      </c>
    </row>
    <row r="5642" spans="1:14" x14ac:dyDescent="0.25">
      <c r="A5642" t="s">
        <v>671</v>
      </c>
      <c r="B5642" s="2">
        <v>46081</v>
      </c>
      <c r="C5642" t="s">
        <v>671</v>
      </c>
      <c r="D5642" t="s">
        <v>112</v>
      </c>
      <c r="E5642" t="s">
        <v>9</v>
      </c>
      <c r="F5642" s="3">
        <v>2800</v>
      </c>
      <c r="G5642" s="3">
        <v>2800</v>
      </c>
      <c r="H5642" t="s">
        <v>3</v>
      </c>
      <c r="I5642" t="s">
        <v>3</v>
      </c>
      <c r="J5642" t="s">
        <v>304</v>
      </c>
      <c r="K5642" t="s">
        <v>13</v>
      </c>
      <c r="L5642" t="s">
        <v>15</v>
      </c>
      <c r="M5642" t="s">
        <v>114</v>
      </c>
      <c r="N5642" s="2">
        <v>46081</v>
      </c>
    </row>
    <row r="5643" spans="1:14" x14ac:dyDescent="0.25">
      <c r="A5643" s="4" t="s">
        <v>239</v>
      </c>
      <c r="B5643" s="5"/>
      <c r="C5643" s="4" t="s">
        <v>9</v>
      </c>
      <c r="D5643" s="4" t="s">
        <v>9</v>
      </c>
      <c r="E5643" s="4" t="s">
        <v>9</v>
      </c>
      <c r="F5643" s="6">
        <v>0</v>
      </c>
      <c r="G5643" s="6">
        <v>0</v>
      </c>
      <c r="H5643" s="4" t="s">
        <v>9</v>
      </c>
      <c r="I5643" s="4" t="s">
        <v>3</v>
      </c>
      <c r="J5643" s="4" t="s">
        <v>9</v>
      </c>
      <c r="K5643" s="4" t="s">
        <v>9</v>
      </c>
      <c r="L5643" s="4" t="s">
        <v>9</v>
      </c>
      <c r="M5643" s="4" t="s">
        <v>9</v>
      </c>
      <c r="N5643" s="5"/>
    </row>
    <row r="5644" spans="1:14" x14ac:dyDescent="0.25">
      <c r="A5644" t="s">
        <v>671</v>
      </c>
      <c r="B5644" s="2">
        <v>46115</v>
      </c>
      <c r="C5644" t="s">
        <v>671</v>
      </c>
      <c r="D5644" t="s">
        <v>112</v>
      </c>
      <c r="E5644" t="s">
        <v>9</v>
      </c>
      <c r="F5644" s="3">
        <v>-5300</v>
      </c>
      <c r="G5644" s="3">
        <v>-5300</v>
      </c>
      <c r="H5644" t="s">
        <v>3</v>
      </c>
      <c r="I5644" t="s">
        <v>3</v>
      </c>
      <c r="J5644" t="s">
        <v>9</v>
      </c>
      <c r="K5644" t="s">
        <v>9</v>
      </c>
      <c r="L5644" t="s">
        <v>16</v>
      </c>
      <c r="M5644" t="s">
        <v>114</v>
      </c>
      <c r="N5644" s="2">
        <v>46112</v>
      </c>
    </row>
    <row r="5645" spans="1:14" x14ac:dyDescent="0.25">
      <c r="A5645" t="s">
        <v>671</v>
      </c>
      <c r="B5645" s="2">
        <v>46115</v>
      </c>
      <c r="C5645" t="s">
        <v>671</v>
      </c>
      <c r="D5645" t="s">
        <v>301</v>
      </c>
      <c r="E5645" t="s">
        <v>9</v>
      </c>
      <c r="F5645" s="3">
        <v>8100</v>
      </c>
      <c r="G5645" s="3">
        <v>8100</v>
      </c>
      <c r="H5645" t="s">
        <v>3</v>
      </c>
      <c r="I5645" t="s">
        <v>3</v>
      </c>
      <c r="J5645" t="s">
        <v>9</v>
      </c>
      <c r="K5645" t="s">
        <v>9</v>
      </c>
      <c r="L5645" t="s">
        <v>16</v>
      </c>
      <c r="M5645" t="s">
        <v>302</v>
      </c>
      <c r="N5645" s="2">
        <v>46112</v>
      </c>
    </row>
    <row r="5646" spans="1:14" x14ac:dyDescent="0.25">
      <c r="A5646" t="s">
        <v>671</v>
      </c>
      <c r="B5646" s="2">
        <v>46081</v>
      </c>
      <c r="C5646" t="s">
        <v>671</v>
      </c>
      <c r="D5646" t="s">
        <v>112</v>
      </c>
      <c r="E5646" t="s">
        <v>9</v>
      </c>
      <c r="F5646" s="3">
        <v>-2800</v>
      </c>
      <c r="G5646" s="3">
        <v>-2800</v>
      </c>
      <c r="H5646" t="s">
        <v>3</v>
      </c>
      <c r="I5646" t="s">
        <v>3</v>
      </c>
      <c r="J5646" t="s">
        <v>304</v>
      </c>
      <c r="K5646" t="s">
        <v>13</v>
      </c>
      <c r="L5646" t="s">
        <v>16</v>
      </c>
      <c r="M5646" t="s">
        <v>114</v>
      </c>
      <c r="N5646" s="2">
        <v>46082</v>
      </c>
    </row>
    <row r="5647" spans="1:14" x14ac:dyDescent="0.25">
      <c r="A5647" t="s">
        <v>671</v>
      </c>
      <c r="B5647" s="2">
        <v>46112</v>
      </c>
      <c r="C5647" t="s">
        <v>671</v>
      </c>
      <c r="D5647" t="s">
        <v>112</v>
      </c>
      <c r="E5647" t="s">
        <v>9</v>
      </c>
      <c r="F5647" s="3">
        <v>8100</v>
      </c>
      <c r="G5647" s="3">
        <v>8100</v>
      </c>
      <c r="H5647" t="s">
        <v>3</v>
      </c>
      <c r="I5647" t="s">
        <v>3</v>
      </c>
      <c r="J5647" t="s">
        <v>307</v>
      </c>
      <c r="K5647" t="s">
        <v>13</v>
      </c>
      <c r="L5647" t="s">
        <v>16</v>
      </c>
      <c r="M5647" t="s">
        <v>114</v>
      </c>
      <c r="N5647" s="2">
        <v>46112</v>
      </c>
    </row>
    <row r="5648" spans="1:14" x14ac:dyDescent="0.25">
      <c r="A5648" t="s">
        <v>671</v>
      </c>
      <c r="B5648" s="2">
        <v>46112</v>
      </c>
      <c r="C5648" t="s">
        <v>671</v>
      </c>
      <c r="D5648" t="s">
        <v>301</v>
      </c>
      <c r="E5648" t="s">
        <v>9</v>
      </c>
      <c r="F5648" s="3">
        <v>-8100</v>
      </c>
      <c r="G5648" s="3">
        <v>-8100</v>
      </c>
      <c r="H5648" t="s">
        <v>3</v>
      </c>
      <c r="I5648" t="s">
        <v>3</v>
      </c>
      <c r="J5648" t="s">
        <v>10</v>
      </c>
      <c r="K5648" t="s">
        <v>13</v>
      </c>
      <c r="L5648" t="s">
        <v>16</v>
      </c>
      <c r="M5648" t="s">
        <v>302</v>
      </c>
      <c r="N5648" s="2">
        <v>46112</v>
      </c>
    </row>
    <row r="5649" spans="1:14" x14ac:dyDescent="0.25">
      <c r="A5649" s="4" t="s">
        <v>244</v>
      </c>
      <c r="B5649" s="5"/>
      <c r="C5649" s="4" t="s">
        <v>9</v>
      </c>
      <c r="D5649" s="4" t="s">
        <v>9</v>
      </c>
      <c r="E5649" s="4" t="s">
        <v>9</v>
      </c>
      <c r="F5649" s="6">
        <v>0</v>
      </c>
      <c r="G5649" s="6">
        <v>0</v>
      </c>
      <c r="H5649" s="4" t="s">
        <v>9</v>
      </c>
      <c r="I5649" s="4" t="s">
        <v>3</v>
      </c>
      <c r="J5649" s="4" t="s">
        <v>9</v>
      </c>
      <c r="K5649" s="4" t="s">
        <v>9</v>
      </c>
      <c r="L5649" s="4" t="s">
        <v>9</v>
      </c>
      <c r="M5649" s="4" t="s">
        <v>9</v>
      </c>
      <c r="N5649" s="5"/>
    </row>
    <row r="5650" spans="1:14" x14ac:dyDescent="0.25">
      <c r="A5650" t="s">
        <v>671</v>
      </c>
      <c r="B5650" s="2">
        <v>46147</v>
      </c>
      <c r="C5650" t="s">
        <v>671</v>
      </c>
      <c r="D5650" t="s">
        <v>112</v>
      </c>
      <c r="E5650" t="s">
        <v>9</v>
      </c>
      <c r="F5650" s="3">
        <v>-4900</v>
      </c>
      <c r="G5650" s="3">
        <v>-4900</v>
      </c>
      <c r="H5650" t="s">
        <v>3</v>
      </c>
      <c r="I5650" t="s">
        <v>3</v>
      </c>
      <c r="J5650" t="s">
        <v>9</v>
      </c>
      <c r="K5650" t="s">
        <v>9</v>
      </c>
      <c r="L5650" t="s">
        <v>17</v>
      </c>
      <c r="M5650" t="s">
        <v>114</v>
      </c>
      <c r="N5650" s="2">
        <v>46142</v>
      </c>
    </row>
    <row r="5651" spans="1:14" x14ac:dyDescent="0.25">
      <c r="A5651" t="s">
        <v>671</v>
      </c>
      <c r="B5651" s="2">
        <v>46147</v>
      </c>
      <c r="C5651" t="s">
        <v>671</v>
      </c>
      <c r="D5651" t="s">
        <v>301</v>
      </c>
      <c r="E5651" t="s">
        <v>9</v>
      </c>
      <c r="F5651" s="3">
        <v>4900</v>
      </c>
      <c r="G5651" s="3">
        <v>4900</v>
      </c>
      <c r="H5651" t="s">
        <v>3</v>
      </c>
      <c r="I5651" t="s">
        <v>3</v>
      </c>
      <c r="J5651" t="s">
        <v>9</v>
      </c>
      <c r="K5651" t="s">
        <v>9</v>
      </c>
      <c r="L5651" t="s">
        <v>17</v>
      </c>
      <c r="M5651" t="s">
        <v>302</v>
      </c>
      <c r="N5651" s="2">
        <v>46142</v>
      </c>
    </row>
    <row r="5652" spans="1:14" x14ac:dyDescent="0.25">
      <c r="A5652" t="s">
        <v>671</v>
      </c>
      <c r="B5652" s="2">
        <v>46112</v>
      </c>
      <c r="C5652" t="s">
        <v>671</v>
      </c>
      <c r="D5652" t="s">
        <v>112</v>
      </c>
      <c r="E5652" t="s">
        <v>9</v>
      </c>
      <c r="F5652" s="3">
        <v>-8100</v>
      </c>
      <c r="G5652" s="3">
        <v>-8100</v>
      </c>
      <c r="H5652" t="s">
        <v>3</v>
      </c>
      <c r="I5652" t="s">
        <v>3</v>
      </c>
      <c r="J5652" t="s">
        <v>307</v>
      </c>
      <c r="K5652" t="s">
        <v>13</v>
      </c>
      <c r="L5652" t="s">
        <v>17</v>
      </c>
      <c r="M5652" t="s">
        <v>114</v>
      </c>
      <c r="N5652" s="2">
        <v>46113</v>
      </c>
    </row>
    <row r="5653" spans="1:14" x14ac:dyDescent="0.25">
      <c r="A5653" t="s">
        <v>671</v>
      </c>
      <c r="B5653" s="2">
        <v>46142</v>
      </c>
      <c r="C5653" t="s">
        <v>671</v>
      </c>
      <c r="D5653" t="s">
        <v>112</v>
      </c>
      <c r="E5653" t="s">
        <v>9</v>
      </c>
      <c r="F5653" s="3">
        <v>13000</v>
      </c>
      <c r="G5653" s="3">
        <v>13000</v>
      </c>
      <c r="H5653" t="s">
        <v>3</v>
      </c>
      <c r="I5653" t="s">
        <v>3</v>
      </c>
      <c r="J5653" t="s">
        <v>310</v>
      </c>
      <c r="K5653" t="s">
        <v>13</v>
      </c>
      <c r="L5653" t="s">
        <v>17</v>
      </c>
      <c r="M5653" t="s">
        <v>114</v>
      </c>
      <c r="N5653" s="2">
        <v>46142</v>
      </c>
    </row>
    <row r="5654" spans="1:14" x14ac:dyDescent="0.25">
      <c r="A5654" t="s">
        <v>671</v>
      </c>
      <c r="B5654" s="2">
        <v>46142</v>
      </c>
      <c r="C5654" t="s">
        <v>671</v>
      </c>
      <c r="D5654" t="s">
        <v>301</v>
      </c>
      <c r="E5654" t="s">
        <v>9</v>
      </c>
      <c r="F5654" s="3">
        <v>-4900</v>
      </c>
      <c r="G5654" s="3">
        <v>-4900</v>
      </c>
      <c r="H5654" t="s">
        <v>3</v>
      </c>
      <c r="I5654" t="s">
        <v>3</v>
      </c>
      <c r="J5654" t="s">
        <v>10</v>
      </c>
      <c r="K5654" t="s">
        <v>13</v>
      </c>
      <c r="L5654" t="s">
        <v>17</v>
      </c>
      <c r="M5654" t="s">
        <v>302</v>
      </c>
      <c r="N5654" s="2">
        <v>46142</v>
      </c>
    </row>
    <row r="5655" spans="1:14" x14ac:dyDescent="0.25">
      <c r="A5655" s="4" t="s">
        <v>249</v>
      </c>
      <c r="B5655" s="5"/>
      <c r="C5655" s="4" t="s">
        <v>9</v>
      </c>
      <c r="D5655" s="4" t="s">
        <v>9</v>
      </c>
      <c r="E5655" s="4" t="s">
        <v>9</v>
      </c>
      <c r="F5655" s="6">
        <v>0</v>
      </c>
      <c r="G5655" s="6">
        <v>0</v>
      </c>
      <c r="H5655" s="4" t="s">
        <v>9</v>
      </c>
      <c r="I5655" s="4" t="s">
        <v>3</v>
      </c>
      <c r="J5655" s="4" t="s">
        <v>9</v>
      </c>
      <c r="K5655" s="4" t="s">
        <v>9</v>
      </c>
      <c r="L5655" s="4" t="s">
        <v>9</v>
      </c>
      <c r="M5655" s="4" t="s">
        <v>9</v>
      </c>
      <c r="N5655" s="5"/>
    </row>
    <row r="5656" spans="1:14" x14ac:dyDescent="0.25">
      <c r="A5656" t="s">
        <v>671</v>
      </c>
      <c r="B5656" s="2">
        <v>46175</v>
      </c>
      <c r="C5656" t="s">
        <v>671</v>
      </c>
      <c r="D5656" t="s">
        <v>112</v>
      </c>
      <c r="E5656" t="s">
        <v>9</v>
      </c>
      <c r="F5656" s="3">
        <v>-2400</v>
      </c>
      <c r="G5656" s="3">
        <v>-2400</v>
      </c>
      <c r="H5656" t="s">
        <v>3</v>
      </c>
      <c r="I5656" t="s">
        <v>3</v>
      </c>
      <c r="J5656" t="s">
        <v>9</v>
      </c>
      <c r="K5656" t="s">
        <v>9</v>
      </c>
      <c r="L5656" t="s">
        <v>18</v>
      </c>
      <c r="M5656" t="s">
        <v>114</v>
      </c>
      <c r="N5656" s="2">
        <v>46173</v>
      </c>
    </row>
    <row r="5657" spans="1:14" x14ac:dyDescent="0.25">
      <c r="A5657" t="s">
        <v>671</v>
      </c>
      <c r="B5657" s="2">
        <v>46175</v>
      </c>
      <c r="C5657" t="s">
        <v>671</v>
      </c>
      <c r="D5657" t="s">
        <v>301</v>
      </c>
      <c r="E5657" t="s">
        <v>9</v>
      </c>
      <c r="F5657" s="3">
        <v>2400</v>
      </c>
      <c r="G5657" s="3">
        <v>2400</v>
      </c>
      <c r="H5657" t="s">
        <v>3</v>
      </c>
      <c r="I5657" t="s">
        <v>3</v>
      </c>
      <c r="J5657" t="s">
        <v>9</v>
      </c>
      <c r="K5657" t="s">
        <v>9</v>
      </c>
      <c r="L5657" t="s">
        <v>18</v>
      </c>
      <c r="M5657" t="s">
        <v>302</v>
      </c>
      <c r="N5657" s="2">
        <v>46173</v>
      </c>
    </row>
    <row r="5658" spans="1:14" x14ac:dyDescent="0.25">
      <c r="A5658" t="s">
        <v>671</v>
      </c>
      <c r="B5658" s="2">
        <v>46142</v>
      </c>
      <c r="C5658" t="s">
        <v>671</v>
      </c>
      <c r="D5658" t="s">
        <v>112</v>
      </c>
      <c r="E5658" t="s">
        <v>9</v>
      </c>
      <c r="F5658" s="3">
        <v>-13000</v>
      </c>
      <c r="G5658" s="3">
        <v>-13000</v>
      </c>
      <c r="H5658" t="s">
        <v>3</v>
      </c>
      <c r="I5658" t="s">
        <v>3</v>
      </c>
      <c r="J5658" t="s">
        <v>310</v>
      </c>
      <c r="K5658" t="s">
        <v>13</v>
      </c>
      <c r="L5658" t="s">
        <v>18</v>
      </c>
      <c r="M5658" t="s">
        <v>114</v>
      </c>
      <c r="N5658" s="2">
        <v>46143</v>
      </c>
    </row>
    <row r="5659" spans="1:14" x14ac:dyDescent="0.25">
      <c r="A5659" t="s">
        <v>671</v>
      </c>
      <c r="B5659" s="2">
        <v>46173</v>
      </c>
      <c r="C5659" t="s">
        <v>671</v>
      </c>
      <c r="D5659" t="s">
        <v>112</v>
      </c>
      <c r="E5659" t="s">
        <v>9</v>
      </c>
      <c r="F5659" s="3">
        <v>15400</v>
      </c>
      <c r="G5659" s="3">
        <v>15400</v>
      </c>
      <c r="H5659" t="s">
        <v>3</v>
      </c>
      <c r="I5659" t="s">
        <v>3</v>
      </c>
      <c r="J5659" t="s">
        <v>313</v>
      </c>
      <c r="K5659" t="s">
        <v>13</v>
      </c>
      <c r="L5659" t="s">
        <v>18</v>
      </c>
      <c r="M5659" t="s">
        <v>114</v>
      </c>
      <c r="N5659" s="2">
        <v>46173</v>
      </c>
    </row>
    <row r="5660" spans="1:14" x14ac:dyDescent="0.25">
      <c r="A5660" t="s">
        <v>671</v>
      </c>
      <c r="B5660" s="2">
        <v>46173</v>
      </c>
      <c r="C5660" t="s">
        <v>671</v>
      </c>
      <c r="D5660" t="s">
        <v>301</v>
      </c>
      <c r="E5660" t="s">
        <v>9</v>
      </c>
      <c r="F5660" s="3">
        <v>-2400</v>
      </c>
      <c r="G5660" s="3">
        <v>-2400</v>
      </c>
      <c r="H5660" t="s">
        <v>3</v>
      </c>
      <c r="I5660" t="s">
        <v>3</v>
      </c>
      <c r="J5660" t="s">
        <v>10</v>
      </c>
      <c r="K5660" t="s">
        <v>13</v>
      </c>
      <c r="L5660" t="s">
        <v>18</v>
      </c>
      <c r="M5660" t="s">
        <v>302</v>
      </c>
      <c r="N5660" s="2">
        <v>46173</v>
      </c>
    </row>
    <row r="5661" spans="1:14" x14ac:dyDescent="0.25">
      <c r="A5661" s="4" t="s">
        <v>223</v>
      </c>
      <c r="B5661" s="5"/>
      <c r="C5661" s="4" t="s">
        <v>9</v>
      </c>
      <c r="D5661" s="4" t="s">
        <v>9</v>
      </c>
      <c r="E5661" s="4" t="s">
        <v>9</v>
      </c>
      <c r="F5661" s="6">
        <v>0</v>
      </c>
      <c r="G5661" s="6">
        <v>0</v>
      </c>
      <c r="H5661" s="4" t="s">
        <v>9</v>
      </c>
      <c r="I5661" s="4" t="s">
        <v>3</v>
      </c>
      <c r="J5661" s="4" t="s">
        <v>9</v>
      </c>
      <c r="K5661" s="4" t="s">
        <v>9</v>
      </c>
      <c r="L5661" s="4" t="s">
        <v>9</v>
      </c>
      <c r="M5661" s="4" t="s">
        <v>9</v>
      </c>
      <c r="N5661" s="5"/>
    </row>
    <row r="5662" spans="1:14" x14ac:dyDescent="0.25">
      <c r="A5662" t="s">
        <v>671</v>
      </c>
      <c r="B5662" s="2">
        <v>46173</v>
      </c>
      <c r="C5662" t="s">
        <v>671</v>
      </c>
      <c r="D5662" t="s">
        <v>112</v>
      </c>
      <c r="E5662" t="s">
        <v>9</v>
      </c>
      <c r="F5662" s="3">
        <v>-15400</v>
      </c>
      <c r="G5662" s="3">
        <v>-15400</v>
      </c>
      <c r="H5662" t="s">
        <v>3</v>
      </c>
      <c r="I5662" t="s">
        <v>3</v>
      </c>
      <c r="J5662" t="s">
        <v>313</v>
      </c>
      <c r="K5662" t="s">
        <v>13</v>
      </c>
      <c r="L5662" t="s">
        <v>19</v>
      </c>
      <c r="M5662" t="s">
        <v>114</v>
      </c>
      <c r="N5662" s="2">
        <v>46174</v>
      </c>
    </row>
    <row r="5663" spans="1:14" x14ac:dyDescent="0.25">
      <c r="A5663" t="s">
        <v>671</v>
      </c>
      <c r="B5663" s="2">
        <v>46203</v>
      </c>
      <c r="C5663" t="s">
        <v>671</v>
      </c>
      <c r="D5663" t="s">
        <v>112</v>
      </c>
      <c r="E5663" t="s">
        <v>9</v>
      </c>
      <c r="F5663" s="3">
        <v>15400</v>
      </c>
      <c r="G5663" s="3">
        <v>15400</v>
      </c>
      <c r="H5663" t="s">
        <v>3</v>
      </c>
      <c r="I5663" t="s">
        <v>3</v>
      </c>
      <c r="J5663" t="s">
        <v>316</v>
      </c>
      <c r="K5663" t="s">
        <v>13</v>
      </c>
      <c r="L5663" t="s">
        <v>19</v>
      </c>
      <c r="M5663" t="s">
        <v>114</v>
      </c>
      <c r="N5663" s="2">
        <v>46203</v>
      </c>
    </row>
    <row r="5664" spans="1:14" x14ac:dyDescent="0.25">
      <c r="A5664" s="4" t="s">
        <v>224</v>
      </c>
      <c r="B5664" s="5"/>
      <c r="C5664" s="4" t="s">
        <v>9</v>
      </c>
      <c r="D5664" s="4" t="s">
        <v>9</v>
      </c>
      <c r="E5664" s="4" t="s">
        <v>9</v>
      </c>
      <c r="F5664" s="6">
        <v>0</v>
      </c>
      <c r="G5664" s="6">
        <v>0</v>
      </c>
      <c r="H5664" s="4" t="s">
        <v>9</v>
      </c>
      <c r="I5664" s="4" t="s">
        <v>3</v>
      </c>
      <c r="J5664" s="4" t="s">
        <v>9</v>
      </c>
      <c r="K5664" s="4" t="s">
        <v>9</v>
      </c>
      <c r="L5664" s="4" t="s">
        <v>9</v>
      </c>
      <c r="M5664" s="4" t="s">
        <v>9</v>
      </c>
      <c r="N5664" s="5"/>
    </row>
    <row r="5665" spans="1:14" x14ac:dyDescent="0.25">
      <c r="A5665" t="s">
        <v>671</v>
      </c>
      <c r="B5665" s="2">
        <v>46239</v>
      </c>
      <c r="C5665" t="s">
        <v>671</v>
      </c>
      <c r="D5665" t="s">
        <v>112</v>
      </c>
      <c r="E5665" t="s">
        <v>9</v>
      </c>
      <c r="F5665" s="3">
        <v>-7500</v>
      </c>
      <c r="G5665" s="3">
        <v>-7500</v>
      </c>
      <c r="H5665" t="s">
        <v>3</v>
      </c>
      <c r="I5665" t="s">
        <v>3</v>
      </c>
      <c r="J5665" t="s">
        <v>9</v>
      </c>
      <c r="K5665" t="s">
        <v>9</v>
      </c>
      <c r="L5665" t="s">
        <v>21</v>
      </c>
      <c r="M5665" t="s">
        <v>114</v>
      </c>
      <c r="N5665" s="2">
        <v>46234</v>
      </c>
    </row>
    <row r="5666" spans="1:14" x14ac:dyDescent="0.25">
      <c r="A5666" t="s">
        <v>671</v>
      </c>
      <c r="B5666" s="2">
        <v>46239</v>
      </c>
      <c r="C5666" t="s">
        <v>671</v>
      </c>
      <c r="D5666" t="s">
        <v>301</v>
      </c>
      <c r="E5666" t="s">
        <v>9</v>
      </c>
      <c r="F5666" s="3">
        <v>7500</v>
      </c>
      <c r="G5666" s="3">
        <v>7500</v>
      </c>
      <c r="H5666" t="s">
        <v>3</v>
      </c>
      <c r="I5666" t="s">
        <v>3</v>
      </c>
      <c r="J5666" t="s">
        <v>9</v>
      </c>
      <c r="K5666" t="s">
        <v>9</v>
      </c>
      <c r="L5666" t="s">
        <v>21</v>
      </c>
      <c r="M5666" t="s">
        <v>302</v>
      </c>
      <c r="N5666" s="2">
        <v>46234</v>
      </c>
    </row>
    <row r="5667" spans="1:14" x14ac:dyDescent="0.25">
      <c r="A5667" t="s">
        <v>671</v>
      </c>
      <c r="B5667" s="2">
        <v>46203</v>
      </c>
      <c r="C5667" t="s">
        <v>671</v>
      </c>
      <c r="D5667" t="s">
        <v>112</v>
      </c>
      <c r="E5667" t="s">
        <v>9</v>
      </c>
      <c r="F5667" s="3">
        <v>-15400</v>
      </c>
      <c r="G5667" s="3">
        <v>-15400</v>
      </c>
      <c r="H5667" t="s">
        <v>3</v>
      </c>
      <c r="I5667" t="s">
        <v>3</v>
      </c>
      <c r="J5667" t="s">
        <v>316</v>
      </c>
      <c r="K5667" t="s">
        <v>13</v>
      </c>
      <c r="L5667" t="s">
        <v>21</v>
      </c>
      <c r="M5667" t="s">
        <v>114</v>
      </c>
      <c r="N5667" s="2">
        <v>46204</v>
      </c>
    </row>
    <row r="5668" spans="1:14" x14ac:dyDescent="0.25">
      <c r="A5668" t="s">
        <v>671</v>
      </c>
      <c r="B5668" s="2">
        <v>46234</v>
      </c>
      <c r="C5668" t="s">
        <v>671</v>
      </c>
      <c r="D5668" t="s">
        <v>301</v>
      </c>
      <c r="E5668" t="s">
        <v>9</v>
      </c>
      <c r="F5668" s="3">
        <v>-7500</v>
      </c>
      <c r="G5668" s="3">
        <v>-7500</v>
      </c>
      <c r="H5668" t="s">
        <v>3</v>
      </c>
      <c r="I5668" t="s">
        <v>3</v>
      </c>
      <c r="J5668" t="s">
        <v>10</v>
      </c>
      <c r="K5668" t="s">
        <v>13</v>
      </c>
      <c r="L5668" t="s">
        <v>21</v>
      </c>
      <c r="M5668" t="s">
        <v>302</v>
      </c>
      <c r="N5668" s="2">
        <v>46234</v>
      </c>
    </row>
    <row r="5669" spans="1:14" x14ac:dyDescent="0.25">
      <c r="A5669" t="s">
        <v>671</v>
      </c>
      <c r="B5669" s="2">
        <v>46234</v>
      </c>
      <c r="C5669" t="s">
        <v>671</v>
      </c>
      <c r="D5669" t="s">
        <v>112</v>
      </c>
      <c r="E5669" t="s">
        <v>9</v>
      </c>
      <c r="F5669" s="3">
        <v>22900</v>
      </c>
      <c r="G5669" s="3">
        <v>22900</v>
      </c>
      <c r="H5669" t="s">
        <v>3</v>
      </c>
      <c r="I5669" t="s">
        <v>3</v>
      </c>
      <c r="J5669" t="s">
        <v>319</v>
      </c>
      <c r="K5669" t="s">
        <v>13</v>
      </c>
      <c r="L5669" t="s">
        <v>21</v>
      </c>
      <c r="M5669" t="s">
        <v>114</v>
      </c>
      <c r="N5669" s="2">
        <v>46234</v>
      </c>
    </row>
    <row r="5670" spans="1:14" x14ac:dyDescent="0.25">
      <c r="A5670" s="4" t="s">
        <v>262</v>
      </c>
      <c r="B5670" s="5"/>
      <c r="C5670" s="4" t="s">
        <v>9</v>
      </c>
      <c r="D5670" s="4" t="s">
        <v>9</v>
      </c>
      <c r="E5670" s="4" t="s">
        <v>9</v>
      </c>
      <c r="F5670" s="6">
        <v>0</v>
      </c>
      <c r="G5670" s="6">
        <v>0</v>
      </c>
      <c r="H5670" s="4" t="s">
        <v>9</v>
      </c>
      <c r="I5670" s="4" t="s">
        <v>3</v>
      </c>
      <c r="J5670" s="4" t="s">
        <v>9</v>
      </c>
      <c r="K5670" s="4" t="s">
        <v>9</v>
      </c>
      <c r="L5670" s="4" t="s">
        <v>9</v>
      </c>
      <c r="M5670" s="4" t="s">
        <v>9</v>
      </c>
      <c r="N5670" s="5"/>
    </row>
    <row r="5671" spans="1:14" x14ac:dyDescent="0.25">
      <c r="A5671" t="s">
        <v>671</v>
      </c>
      <c r="B5671" s="2">
        <v>46267</v>
      </c>
      <c r="C5671" t="s">
        <v>671</v>
      </c>
      <c r="D5671" t="s">
        <v>112</v>
      </c>
      <c r="E5671" t="s">
        <v>9</v>
      </c>
      <c r="F5671" s="3">
        <v>-6555</v>
      </c>
      <c r="G5671" s="3">
        <v>-6555</v>
      </c>
      <c r="H5671" t="s">
        <v>3</v>
      </c>
      <c r="I5671" t="s">
        <v>3</v>
      </c>
      <c r="J5671" t="s">
        <v>9</v>
      </c>
      <c r="K5671" t="s">
        <v>9</v>
      </c>
      <c r="L5671" t="s">
        <v>22</v>
      </c>
      <c r="M5671" t="s">
        <v>114</v>
      </c>
      <c r="N5671" s="2">
        <v>46265</v>
      </c>
    </row>
    <row r="5672" spans="1:14" x14ac:dyDescent="0.25">
      <c r="A5672" t="s">
        <v>671</v>
      </c>
      <c r="B5672" s="2">
        <v>46267</v>
      </c>
      <c r="C5672" t="s">
        <v>671</v>
      </c>
      <c r="D5672" t="s">
        <v>301</v>
      </c>
      <c r="E5672" t="s">
        <v>9</v>
      </c>
      <c r="F5672" s="3">
        <v>6555</v>
      </c>
      <c r="G5672" s="3">
        <v>6555</v>
      </c>
      <c r="H5672" t="s">
        <v>3</v>
      </c>
      <c r="I5672" t="s">
        <v>3</v>
      </c>
      <c r="J5672" t="s">
        <v>9</v>
      </c>
      <c r="K5672" t="s">
        <v>9</v>
      </c>
      <c r="L5672" t="s">
        <v>22</v>
      </c>
      <c r="M5672" t="s">
        <v>302</v>
      </c>
      <c r="N5672" s="2">
        <v>46265</v>
      </c>
    </row>
    <row r="5673" spans="1:14" x14ac:dyDescent="0.25">
      <c r="A5673" t="s">
        <v>671</v>
      </c>
      <c r="B5673" s="2">
        <v>46234</v>
      </c>
      <c r="C5673" t="s">
        <v>671</v>
      </c>
      <c r="D5673" t="s">
        <v>112</v>
      </c>
      <c r="E5673" t="s">
        <v>9</v>
      </c>
      <c r="F5673" s="3">
        <v>-22900</v>
      </c>
      <c r="G5673" s="3">
        <v>-22900</v>
      </c>
      <c r="H5673" t="s">
        <v>3</v>
      </c>
      <c r="I5673" t="s">
        <v>3</v>
      </c>
      <c r="J5673" t="s">
        <v>319</v>
      </c>
      <c r="K5673" t="s">
        <v>13</v>
      </c>
      <c r="L5673" t="s">
        <v>22</v>
      </c>
      <c r="M5673" t="s">
        <v>114</v>
      </c>
      <c r="N5673" s="2">
        <v>46235</v>
      </c>
    </row>
    <row r="5674" spans="1:14" x14ac:dyDescent="0.25">
      <c r="A5674" t="s">
        <v>671</v>
      </c>
      <c r="B5674" s="2">
        <v>46265</v>
      </c>
      <c r="C5674" t="s">
        <v>671</v>
      </c>
      <c r="D5674" t="s">
        <v>112</v>
      </c>
      <c r="E5674" t="s">
        <v>9</v>
      </c>
      <c r="F5674" s="3">
        <v>23200</v>
      </c>
      <c r="G5674" s="3">
        <v>23200</v>
      </c>
      <c r="H5674" t="s">
        <v>3</v>
      </c>
      <c r="I5674" t="s">
        <v>3</v>
      </c>
      <c r="J5674" t="s">
        <v>322</v>
      </c>
      <c r="K5674" t="s">
        <v>13</v>
      </c>
      <c r="L5674" t="s">
        <v>22</v>
      </c>
      <c r="M5674" t="s">
        <v>114</v>
      </c>
      <c r="N5674" s="2">
        <v>46265</v>
      </c>
    </row>
    <row r="5675" spans="1:14" x14ac:dyDescent="0.25">
      <c r="A5675" t="s">
        <v>671</v>
      </c>
      <c r="B5675" s="2">
        <v>46265</v>
      </c>
      <c r="C5675" t="s">
        <v>671</v>
      </c>
      <c r="D5675" t="s">
        <v>112</v>
      </c>
      <c r="E5675" t="s">
        <v>9</v>
      </c>
      <c r="F5675" s="3">
        <v>6255</v>
      </c>
      <c r="G5675" s="3">
        <v>6255</v>
      </c>
      <c r="H5675" t="s">
        <v>3</v>
      </c>
      <c r="I5675" t="s">
        <v>3</v>
      </c>
      <c r="J5675" t="s">
        <v>511</v>
      </c>
      <c r="K5675" t="s">
        <v>13</v>
      </c>
      <c r="L5675" t="s">
        <v>22</v>
      </c>
      <c r="M5675" t="s">
        <v>114</v>
      </c>
      <c r="N5675" s="2">
        <v>46265</v>
      </c>
    </row>
    <row r="5676" spans="1:14" x14ac:dyDescent="0.25">
      <c r="A5676" t="s">
        <v>671</v>
      </c>
      <c r="B5676" s="2">
        <v>46265</v>
      </c>
      <c r="C5676" t="s">
        <v>671</v>
      </c>
      <c r="D5676" t="s">
        <v>301</v>
      </c>
      <c r="E5676" t="s">
        <v>9</v>
      </c>
      <c r="F5676" s="3">
        <v>-6555</v>
      </c>
      <c r="G5676" s="3">
        <v>-6555</v>
      </c>
      <c r="H5676" t="s">
        <v>3</v>
      </c>
      <c r="I5676" t="s">
        <v>3</v>
      </c>
      <c r="J5676" t="s">
        <v>10</v>
      </c>
      <c r="K5676" t="s">
        <v>13</v>
      </c>
      <c r="L5676" t="s">
        <v>22</v>
      </c>
      <c r="M5676" t="s">
        <v>302</v>
      </c>
      <c r="N5676" s="2">
        <v>46265</v>
      </c>
    </row>
    <row r="5677" spans="1:14" x14ac:dyDescent="0.25">
      <c r="A5677" s="4" t="s">
        <v>267</v>
      </c>
      <c r="B5677" s="5"/>
      <c r="C5677" s="4" t="s">
        <v>9</v>
      </c>
      <c r="D5677" s="4" t="s">
        <v>9</v>
      </c>
      <c r="E5677" s="4" t="s">
        <v>9</v>
      </c>
      <c r="F5677" s="6">
        <v>0</v>
      </c>
      <c r="G5677" s="6">
        <v>0</v>
      </c>
      <c r="H5677" s="4" t="s">
        <v>9</v>
      </c>
      <c r="I5677" s="4" t="s">
        <v>3</v>
      </c>
      <c r="J5677" s="4" t="s">
        <v>9</v>
      </c>
      <c r="K5677" s="4" t="s">
        <v>9</v>
      </c>
      <c r="L5677" s="4" t="s">
        <v>9</v>
      </c>
      <c r="M5677" s="4" t="s">
        <v>9</v>
      </c>
      <c r="N5677" s="5"/>
    </row>
    <row r="5678" spans="1:14" x14ac:dyDescent="0.25">
      <c r="A5678" s="4" t="s">
        <v>671</v>
      </c>
      <c r="B5678" s="5"/>
      <c r="C5678" s="4" t="s">
        <v>9</v>
      </c>
      <c r="D5678" s="4" t="s">
        <v>9</v>
      </c>
      <c r="E5678" s="4" t="s">
        <v>9</v>
      </c>
      <c r="F5678" s="6">
        <v>0</v>
      </c>
      <c r="G5678" s="6">
        <v>0</v>
      </c>
      <c r="H5678" s="4" t="s">
        <v>9</v>
      </c>
      <c r="I5678" s="4" t="s">
        <v>3</v>
      </c>
      <c r="J5678" s="4" t="s">
        <v>9</v>
      </c>
      <c r="K5678" s="4" t="s">
        <v>9</v>
      </c>
      <c r="L5678" s="4" t="s">
        <v>9</v>
      </c>
      <c r="M5678" s="4" t="s">
        <v>9</v>
      </c>
      <c r="N5678" s="5"/>
    </row>
    <row r="5679" spans="1:14" x14ac:dyDescent="0.25">
      <c r="A5679" t="s">
        <v>672</v>
      </c>
      <c r="B5679" s="2">
        <v>46084</v>
      </c>
      <c r="C5679" t="s">
        <v>672</v>
      </c>
      <c r="D5679" t="s">
        <v>112</v>
      </c>
      <c r="E5679" t="s">
        <v>9</v>
      </c>
      <c r="F5679" s="3">
        <v>-2600</v>
      </c>
      <c r="G5679" s="3">
        <v>-2600</v>
      </c>
      <c r="H5679" t="s">
        <v>3</v>
      </c>
      <c r="I5679" t="s">
        <v>3</v>
      </c>
      <c r="J5679" t="s">
        <v>9</v>
      </c>
      <c r="K5679" t="s">
        <v>9</v>
      </c>
      <c r="L5679" t="s">
        <v>15</v>
      </c>
      <c r="M5679" t="s">
        <v>114</v>
      </c>
      <c r="N5679" s="2">
        <v>46081</v>
      </c>
    </row>
    <row r="5680" spans="1:14" x14ac:dyDescent="0.25">
      <c r="A5680" t="s">
        <v>672</v>
      </c>
      <c r="B5680" s="2">
        <v>46081</v>
      </c>
      <c r="C5680" t="s">
        <v>672</v>
      </c>
      <c r="D5680" t="s">
        <v>112</v>
      </c>
      <c r="E5680" t="s">
        <v>9</v>
      </c>
      <c r="F5680" s="3">
        <v>2600</v>
      </c>
      <c r="G5680" s="3">
        <v>2600</v>
      </c>
      <c r="H5680" t="s">
        <v>3</v>
      </c>
      <c r="I5680" t="s">
        <v>3</v>
      </c>
      <c r="J5680" t="s">
        <v>304</v>
      </c>
      <c r="K5680" t="s">
        <v>13</v>
      </c>
      <c r="L5680" t="s">
        <v>15</v>
      </c>
      <c r="M5680" t="s">
        <v>114</v>
      </c>
      <c r="N5680" s="2">
        <v>46081</v>
      </c>
    </row>
    <row r="5681" spans="1:14" x14ac:dyDescent="0.25">
      <c r="A5681" s="4" t="s">
        <v>239</v>
      </c>
      <c r="B5681" s="5"/>
      <c r="C5681" s="4" t="s">
        <v>9</v>
      </c>
      <c r="D5681" s="4" t="s">
        <v>9</v>
      </c>
      <c r="E5681" s="4" t="s">
        <v>9</v>
      </c>
      <c r="F5681" s="6">
        <v>0</v>
      </c>
      <c r="G5681" s="6">
        <v>0</v>
      </c>
      <c r="H5681" s="4" t="s">
        <v>9</v>
      </c>
      <c r="I5681" s="4" t="s">
        <v>3</v>
      </c>
      <c r="J5681" s="4" t="s">
        <v>9</v>
      </c>
      <c r="K5681" s="4" t="s">
        <v>9</v>
      </c>
      <c r="L5681" s="4" t="s">
        <v>9</v>
      </c>
      <c r="M5681" s="4" t="s">
        <v>9</v>
      </c>
      <c r="N5681" s="5"/>
    </row>
    <row r="5682" spans="1:14" x14ac:dyDescent="0.25">
      <c r="A5682" t="s">
        <v>672</v>
      </c>
      <c r="B5682" s="2">
        <v>46115</v>
      </c>
      <c r="C5682" t="s">
        <v>672</v>
      </c>
      <c r="D5682" t="s">
        <v>112</v>
      </c>
      <c r="E5682" t="s">
        <v>9</v>
      </c>
      <c r="F5682" s="3">
        <v>-3300</v>
      </c>
      <c r="G5682" s="3">
        <v>-3300</v>
      </c>
      <c r="H5682" t="s">
        <v>3</v>
      </c>
      <c r="I5682" t="s">
        <v>3</v>
      </c>
      <c r="J5682" t="s">
        <v>9</v>
      </c>
      <c r="K5682" t="s">
        <v>9</v>
      </c>
      <c r="L5682" t="s">
        <v>16</v>
      </c>
      <c r="M5682" t="s">
        <v>114</v>
      </c>
      <c r="N5682" s="2">
        <v>46112</v>
      </c>
    </row>
    <row r="5683" spans="1:14" x14ac:dyDescent="0.25">
      <c r="A5683" t="s">
        <v>672</v>
      </c>
      <c r="B5683" s="2">
        <v>46081</v>
      </c>
      <c r="C5683" t="s">
        <v>672</v>
      </c>
      <c r="D5683" t="s">
        <v>112</v>
      </c>
      <c r="E5683" t="s">
        <v>9</v>
      </c>
      <c r="F5683" s="3">
        <v>-2600</v>
      </c>
      <c r="G5683" s="3">
        <v>-2600</v>
      </c>
      <c r="H5683" t="s">
        <v>3</v>
      </c>
      <c r="I5683" t="s">
        <v>3</v>
      </c>
      <c r="J5683" t="s">
        <v>304</v>
      </c>
      <c r="K5683" t="s">
        <v>13</v>
      </c>
      <c r="L5683" t="s">
        <v>16</v>
      </c>
      <c r="M5683" t="s">
        <v>114</v>
      </c>
      <c r="N5683" s="2">
        <v>46082</v>
      </c>
    </row>
    <row r="5684" spans="1:14" x14ac:dyDescent="0.25">
      <c r="A5684" t="s">
        <v>672</v>
      </c>
      <c r="B5684" s="2">
        <v>46112</v>
      </c>
      <c r="C5684" t="s">
        <v>672</v>
      </c>
      <c r="D5684" t="s">
        <v>112</v>
      </c>
      <c r="E5684" t="s">
        <v>9</v>
      </c>
      <c r="F5684" s="3">
        <v>5900</v>
      </c>
      <c r="G5684" s="3">
        <v>5900</v>
      </c>
      <c r="H5684" t="s">
        <v>3</v>
      </c>
      <c r="I5684" t="s">
        <v>3</v>
      </c>
      <c r="J5684" t="s">
        <v>307</v>
      </c>
      <c r="K5684" t="s">
        <v>13</v>
      </c>
      <c r="L5684" t="s">
        <v>16</v>
      </c>
      <c r="M5684" t="s">
        <v>114</v>
      </c>
      <c r="N5684" s="2">
        <v>46112</v>
      </c>
    </row>
    <row r="5685" spans="1:14" x14ac:dyDescent="0.25">
      <c r="A5685" s="4" t="s">
        <v>244</v>
      </c>
      <c r="B5685" s="5"/>
      <c r="C5685" s="4" t="s">
        <v>9</v>
      </c>
      <c r="D5685" s="4" t="s">
        <v>9</v>
      </c>
      <c r="E5685" s="4" t="s">
        <v>9</v>
      </c>
      <c r="F5685" s="6">
        <v>0</v>
      </c>
      <c r="G5685" s="6">
        <v>0</v>
      </c>
      <c r="H5685" s="4" t="s">
        <v>9</v>
      </c>
      <c r="I5685" s="4" t="s">
        <v>3</v>
      </c>
      <c r="J5685" s="4" t="s">
        <v>9</v>
      </c>
      <c r="K5685" s="4" t="s">
        <v>9</v>
      </c>
      <c r="L5685" s="4" t="s">
        <v>9</v>
      </c>
      <c r="M5685" s="4" t="s">
        <v>9</v>
      </c>
      <c r="N5685" s="5"/>
    </row>
    <row r="5686" spans="1:14" x14ac:dyDescent="0.25">
      <c r="A5686" t="s">
        <v>672</v>
      </c>
      <c r="B5686" s="2">
        <v>46147</v>
      </c>
      <c r="C5686" t="s">
        <v>672</v>
      </c>
      <c r="D5686" t="s">
        <v>112</v>
      </c>
      <c r="E5686" t="s">
        <v>9</v>
      </c>
      <c r="F5686" s="3">
        <v>-3200</v>
      </c>
      <c r="G5686" s="3">
        <v>-3200</v>
      </c>
      <c r="H5686" t="s">
        <v>3</v>
      </c>
      <c r="I5686" t="s">
        <v>3</v>
      </c>
      <c r="J5686" t="s">
        <v>9</v>
      </c>
      <c r="K5686" t="s">
        <v>9</v>
      </c>
      <c r="L5686" t="s">
        <v>17</v>
      </c>
      <c r="M5686" t="s">
        <v>114</v>
      </c>
      <c r="N5686" s="2">
        <v>46142</v>
      </c>
    </row>
    <row r="5687" spans="1:14" x14ac:dyDescent="0.25">
      <c r="A5687" t="s">
        <v>672</v>
      </c>
      <c r="B5687" s="2">
        <v>46112</v>
      </c>
      <c r="C5687" t="s">
        <v>672</v>
      </c>
      <c r="D5687" t="s">
        <v>112</v>
      </c>
      <c r="E5687" t="s">
        <v>9</v>
      </c>
      <c r="F5687" s="3">
        <v>-5900</v>
      </c>
      <c r="G5687" s="3">
        <v>-5900</v>
      </c>
      <c r="H5687" t="s">
        <v>3</v>
      </c>
      <c r="I5687" t="s">
        <v>3</v>
      </c>
      <c r="J5687" t="s">
        <v>307</v>
      </c>
      <c r="K5687" t="s">
        <v>13</v>
      </c>
      <c r="L5687" t="s">
        <v>17</v>
      </c>
      <c r="M5687" t="s">
        <v>114</v>
      </c>
      <c r="N5687" s="2">
        <v>46113</v>
      </c>
    </row>
    <row r="5688" spans="1:14" x14ac:dyDescent="0.25">
      <c r="A5688" t="s">
        <v>672</v>
      </c>
      <c r="B5688" s="2">
        <v>46142</v>
      </c>
      <c r="C5688" t="s">
        <v>672</v>
      </c>
      <c r="D5688" t="s">
        <v>112</v>
      </c>
      <c r="E5688" t="s">
        <v>9</v>
      </c>
      <c r="F5688" s="3">
        <v>9100</v>
      </c>
      <c r="G5688" s="3">
        <v>9100</v>
      </c>
      <c r="H5688" t="s">
        <v>3</v>
      </c>
      <c r="I5688" t="s">
        <v>3</v>
      </c>
      <c r="J5688" t="s">
        <v>310</v>
      </c>
      <c r="K5688" t="s">
        <v>13</v>
      </c>
      <c r="L5688" t="s">
        <v>17</v>
      </c>
      <c r="M5688" t="s">
        <v>114</v>
      </c>
      <c r="N5688" s="2">
        <v>46142</v>
      </c>
    </row>
    <row r="5689" spans="1:14" x14ac:dyDescent="0.25">
      <c r="A5689" s="4" t="s">
        <v>249</v>
      </c>
      <c r="B5689" s="5"/>
      <c r="C5689" s="4" t="s">
        <v>9</v>
      </c>
      <c r="D5689" s="4" t="s">
        <v>9</v>
      </c>
      <c r="E5689" s="4" t="s">
        <v>9</v>
      </c>
      <c r="F5689" s="6">
        <v>0</v>
      </c>
      <c r="G5689" s="6">
        <v>0</v>
      </c>
      <c r="H5689" s="4" t="s">
        <v>9</v>
      </c>
      <c r="I5689" s="4" t="s">
        <v>3</v>
      </c>
      <c r="J5689" s="4" t="s">
        <v>9</v>
      </c>
      <c r="K5689" s="4" t="s">
        <v>9</v>
      </c>
      <c r="L5689" s="4" t="s">
        <v>9</v>
      </c>
      <c r="M5689" s="4" t="s">
        <v>9</v>
      </c>
      <c r="N5689" s="5"/>
    </row>
    <row r="5690" spans="1:14" x14ac:dyDescent="0.25">
      <c r="A5690" t="s">
        <v>672</v>
      </c>
      <c r="B5690" s="2">
        <v>46175</v>
      </c>
      <c r="C5690" t="s">
        <v>672</v>
      </c>
      <c r="D5690" t="s">
        <v>112</v>
      </c>
      <c r="E5690" t="s">
        <v>9</v>
      </c>
      <c r="F5690" s="3">
        <v>-2700</v>
      </c>
      <c r="G5690" s="3">
        <v>-2700</v>
      </c>
      <c r="H5690" t="s">
        <v>3</v>
      </c>
      <c r="I5690" t="s">
        <v>3</v>
      </c>
      <c r="J5690" t="s">
        <v>9</v>
      </c>
      <c r="K5690" t="s">
        <v>9</v>
      </c>
      <c r="L5690" t="s">
        <v>18</v>
      </c>
      <c r="M5690" t="s">
        <v>114</v>
      </c>
      <c r="N5690" s="2">
        <v>46173</v>
      </c>
    </row>
    <row r="5691" spans="1:14" x14ac:dyDescent="0.25">
      <c r="A5691" t="s">
        <v>672</v>
      </c>
      <c r="B5691" s="2">
        <v>46142</v>
      </c>
      <c r="C5691" t="s">
        <v>672</v>
      </c>
      <c r="D5691" t="s">
        <v>112</v>
      </c>
      <c r="E5691" t="s">
        <v>9</v>
      </c>
      <c r="F5691" s="3">
        <v>-9100</v>
      </c>
      <c r="G5691" s="3">
        <v>-9100</v>
      </c>
      <c r="H5691" t="s">
        <v>3</v>
      </c>
      <c r="I5691" t="s">
        <v>3</v>
      </c>
      <c r="J5691" t="s">
        <v>310</v>
      </c>
      <c r="K5691" t="s">
        <v>13</v>
      </c>
      <c r="L5691" t="s">
        <v>18</v>
      </c>
      <c r="M5691" t="s">
        <v>114</v>
      </c>
      <c r="N5691" s="2">
        <v>46143</v>
      </c>
    </row>
    <row r="5692" spans="1:14" x14ac:dyDescent="0.25">
      <c r="A5692" t="s">
        <v>672</v>
      </c>
      <c r="B5692" s="2">
        <v>46173</v>
      </c>
      <c r="C5692" t="s">
        <v>672</v>
      </c>
      <c r="D5692" t="s">
        <v>112</v>
      </c>
      <c r="E5692" t="s">
        <v>9</v>
      </c>
      <c r="F5692" s="3">
        <v>11800</v>
      </c>
      <c r="G5692" s="3">
        <v>11800</v>
      </c>
      <c r="H5692" t="s">
        <v>3</v>
      </c>
      <c r="I5692" t="s">
        <v>3</v>
      </c>
      <c r="J5692" t="s">
        <v>313</v>
      </c>
      <c r="K5692" t="s">
        <v>13</v>
      </c>
      <c r="L5692" t="s">
        <v>18</v>
      </c>
      <c r="M5692" t="s">
        <v>114</v>
      </c>
      <c r="N5692" s="2">
        <v>46173</v>
      </c>
    </row>
    <row r="5693" spans="1:14" x14ac:dyDescent="0.25">
      <c r="A5693" s="4" t="s">
        <v>223</v>
      </c>
      <c r="B5693" s="5"/>
      <c r="C5693" s="4" t="s">
        <v>9</v>
      </c>
      <c r="D5693" s="4" t="s">
        <v>9</v>
      </c>
      <c r="E5693" s="4" t="s">
        <v>9</v>
      </c>
      <c r="F5693" s="6">
        <v>0</v>
      </c>
      <c r="G5693" s="6">
        <v>0</v>
      </c>
      <c r="H5693" s="4" t="s">
        <v>9</v>
      </c>
      <c r="I5693" s="4" t="s">
        <v>3</v>
      </c>
      <c r="J5693" s="4" t="s">
        <v>9</v>
      </c>
      <c r="K5693" s="4" t="s">
        <v>9</v>
      </c>
      <c r="L5693" s="4" t="s">
        <v>9</v>
      </c>
      <c r="M5693" s="4" t="s">
        <v>9</v>
      </c>
      <c r="N5693" s="5"/>
    </row>
    <row r="5694" spans="1:14" x14ac:dyDescent="0.25">
      <c r="A5694" t="s">
        <v>672</v>
      </c>
      <c r="B5694" s="2">
        <v>46173</v>
      </c>
      <c r="C5694" t="s">
        <v>672</v>
      </c>
      <c r="D5694" t="s">
        <v>112</v>
      </c>
      <c r="E5694" t="s">
        <v>9</v>
      </c>
      <c r="F5694" s="3">
        <v>-11800</v>
      </c>
      <c r="G5694" s="3">
        <v>-11800</v>
      </c>
      <c r="H5694" t="s">
        <v>3</v>
      </c>
      <c r="I5694" t="s">
        <v>3</v>
      </c>
      <c r="J5694" t="s">
        <v>313</v>
      </c>
      <c r="K5694" t="s">
        <v>13</v>
      </c>
      <c r="L5694" t="s">
        <v>19</v>
      </c>
      <c r="M5694" t="s">
        <v>114</v>
      </c>
      <c r="N5694" s="2">
        <v>46174</v>
      </c>
    </row>
    <row r="5695" spans="1:14" x14ac:dyDescent="0.25">
      <c r="A5695" t="s">
        <v>672</v>
      </c>
      <c r="B5695" s="2">
        <v>46203</v>
      </c>
      <c r="C5695" t="s">
        <v>672</v>
      </c>
      <c r="D5695" t="s">
        <v>112</v>
      </c>
      <c r="E5695" t="s">
        <v>9</v>
      </c>
      <c r="F5695" s="3">
        <v>11800</v>
      </c>
      <c r="G5695" s="3">
        <v>11800</v>
      </c>
      <c r="H5695" t="s">
        <v>3</v>
      </c>
      <c r="I5695" t="s">
        <v>3</v>
      </c>
      <c r="J5695" t="s">
        <v>316</v>
      </c>
      <c r="K5695" t="s">
        <v>13</v>
      </c>
      <c r="L5695" t="s">
        <v>19</v>
      </c>
      <c r="M5695" t="s">
        <v>114</v>
      </c>
      <c r="N5695" s="2">
        <v>46203</v>
      </c>
    </row>
    <row r="5696" spans="1:14" x14ac:dyDescent="0.25">
      <c r="A5696" s="4" t="s">
        <v>224</v>
      </c>
      <c r="B5696" s="5"/>
      <c r="C5696" s="4" t="s">
        <v>9</v>
      </c>
      <c r="D5696" s="4" t="s">
        <v>9</v>
      </c>
      <c r="E5696" s="4" t="s">
        <v>9</v>
      </c>
      <c r="F5696" s="6">
        <v>0</v>
      </c>
      <c r="G5696" s="6">
        <v>0</v>
      </c>
      <c r="H5696" s="4" t="s">
        <v>9</v>
      </c>
      <c r="I5696" s="4" t="s">
        <v>3</v>
      </c>
      <c r="J5696" s="4" t="s">
        <v>9</v>
      </c>
      <c r="K5696" s="4" t="s">
        <v>9</v>
      </c>
      <c r="L5696" s="4" t="s">
        <v>9</v>
      </c>
      <c r="M5696" s="4" t="s">
        <v>9</v>
      </c>
      <c r="N5696" s="5"/>
    </row>
    <row r="5697" spans="1:14" x14ac:dyDescent="0.25">
      <c r="A5697" t="s">
        <v>672</v>
      </c>
      <c r="B5697" s="2">
        <v>46239</v>
      </c>
      <c r="C5697" t="s">
        <v>672</v>
      </c>
      <c r="D5697" t="s">
        <v>112</v>
      </c>
      <c r="E5697" t="s">
        <v>9</v>
      </c>
      <c r="F5697" s="3">
        <v>-7400</v>
      </c>
      <c r="G5697" s="3">
        <v>-7400</v>
      </c>
      <c r="H5697" t="s">
        <v>3</v>
      </c>
      <c r="I5697" t="s">
        <v>3</v>
      </c>
      <c r="J5697" t="s">
        <v>9</v>
      </c>
      <c r="K5697" t="s">
        <v>9</v>
      </c>
      <c r="L5697" t="s">
        <v>21</v>
      </c>
      <c r="M5697" t="s">
        <v>114</v>
      </c>
      <c r="N5697" s="2">
        <v>46234</v>
      </c>
    </row>
    <row r="5698" spans="1:14" x14ac:dyDescent="0.25">
      <c r="A5698" t="s">
        <v>672</v>
      </c>
      <c r="B5698" s="2">
        <v>46203</v>
      </c>
      <c r="C5698" t="s">
        <v>672</v>
      </c>
      <c r="D5698" t="s">
        <v>112</v>
      </c>
      <c r="E5698" t="s">
        <v>9</v>
      </c>
      <c r="F5698" s="3">
        <v>-11800</v>
      </c>
      <c r="G5698" s="3">
        <v>-11800</v>
      </c>
      <c r="H5698" t="s">
        <v>3</v>
      </c>
      <c r="I5698" t="s">
        <v>3</v>
      </c>
      <c r="J5698" t="s">
        <v>316</v>
      </c>
      <c r="K5698" t="s">
        <v>13</v>
      </c>
      <c r="L5698" t="s">
        <v>21</v>
      </c>
      <c r="M5698" t="s">
        <v>114</v>
      </c>
      <c r="N5698" s="2">
        <v>46204</v>
      </c>
    </row>
    <row r="5699" spans="1:14" x14ac:dyDescent="0.25">
      <c r="A5699" t="s">
        <v>672</v>
      </c>
      <c r="B5699" s="2">
        <v>46234</v>
      </c>
      <c r="C5699" t="s">
        <v>672</v>
      </c>
      <c r="D5699" t="s">
        <v>112</v>
      </c>
      <c r="E5699" t="s">
        <v>9</v>
      </c>
      <c r="F5699" s="3">
        <v>19200</v>
      </c>
      <c r="G5699" s="3">
        <v>19200</v>
      </c>
      <c r="H5699" t="s">
        <v>3</v>
      </c>
      <c r="I5699" t="s">
        <v>3</v>
      </c>
      <c r="J5699" t="s">
        <v>319</v>
      </c>
      <c r="K5699" t="s">
        <v>13</v>
      </c>
      <c r="L5699" t="s">
        <v>21</v>
      </c>
      <c r="M5699" t="s">
        <v>114</v>
      </c>
      <c r="N5699" s="2">
        <v>46234</v>
      </c>
    </row>
    <row r="5700" spans="1:14" x14ac:dyDescent="0.25">
      <c r="A5700" s="4" t="s">
        <v>262</v>
      </c>
      <c r="B5700" s="5"/>
      <c r="C5700" s="4" t="s">
        <v>9</v>
      </c>
      <c r="D5700" s="4" t="s">
        <v>9</v>
      </c>
      <c r="E5700" s="4" t="s">
        <v>9</v>
      </c>
      <c r="F5700" s="6">
        <v>0</v>
      </c>
      <c r="G5700" s="6">
        <v>0</v>
      </c>
      <c r="H5700" s="4" t="s">
        <v>9</v>
      </c>
      <c r="I5700" s="4" t="s">
        <v>3</v>
      </c>
      <c r="J5700" s="4" t="s">
        <v>9</v>
      </c>
      <c r="K5700" s="4" t="s">
        <v>9</v>
      </c>
      <c r="L5700" s="4" t="s">
        <v>9</v>
      </c>
      <c r="M5700" s="4" t="s">
        <v>9</v>
      </c>
      <c r="N5700" s="5"/>
    </row>
    <row r="5701" spans="1:14" x14ac:dyDescent="0.25">
      <c r="A5701" t="s">
        <v>672</v>
      </c>
      <c r="B5701" s="2">
        <v>46267</v>
      </c>
      <c r="C5701" t="s">
        <v>672</v>
      </c>
      <c r="D5701" t="s">
        <v>112</v>
      </c>
      <c r="E5701" t="s">
        <v>9</v>
      </c>
      <c r="F5701" s="3">
        <v>-4100</v>
      </c>
      <c r="G5701" s="3">
        <v>-4100</v>
      </c>
      <c r="H5701" t="s">
        <v>3</v>
      </c>
      <c r="I5701" t="s">
        <v>3</v>
      </c>
      <c r="J5701" t="s">
        <v>9</v>
      </c>
      <c r="K5701" t="s">
        <v>9</v>
      </c>
      <c r="L5701" t="s">
        <v>22</v>
      </c>
      <c r="M5701" t="s">
        <v>114</v>
      </c>
      <c r="N5701" s="2">
        <v>46265</v>
      </c>
    </row>
    <row r="5702" spans="1:14" x14ac:dyDescent="0.25">
      <c r="A5702" t="s">
        <v>672</v>
      </c>
      <c r="B5702" s="2">
        <v>46234</v>
      </c>
      <c r="C5702" t="s">
        <v>672</v>
      </c>
      <c r="D5702" t="s">
        <v>112</v>
      </c>
      <c r="E5702" t="s">
        <v>9</v>
      </c>
      <c r="F5702" s="3">
        <v>-19200</v>
      </c>
      <c r="G5702" s="3">
        <v>-19200</v>
      </c>
      <c r="H5702" t="s">
        <v>3</v>
      </c>
      <c r="I5702" t="s">
        <v>3</v>
      </c>
      <c r="J5702" t="s">
        <v>319</v>
      </c>
      <c r="K5702" t="s">
        <v>13</v>
      </c>
      <c r="L5702" t="s">
        <v>22</v>
      </c>
      <c r="M5702" t="s">
        <v>114</v>
      </c>
      <c r="N5702" s="2">
        <v>46235</v>
      </c>
    </row>
    <row r="5703" spans="1:14" x14ac:dyDescent="0.25">
      <c r="A5703" t="s">
        <v>672</v>
      </c>
      <c r="B5703" s="2">
        <v>46265</v>
      </c>
      <c r="C5703" t="s">
        <v>672</v>
      </c>
      <c r="D5703" t="s">
        <v>112</v>
      </c>
      <c r="E5703" t="s">
        <v>9</v>
      </c>
      <c r="F5703" s="3">
        <v>21100</v>
      </c>
      <c r="G5703" s="3">
        <v>21100</v>
      </c>
      <c r="H5703" t="s">
        <v>3</v>
      </c>
      <c r="I5703" t="s">
        <v>3</v>
      </c>
      <c r="J5703" t="s">
        <v>322</v>
      </c>
      <c r="K5703" t="s">
        <v>13</v>
      </c>
      <c r="L5703" t="s">
        <v>22</v>
      </c>
      <c r="M5703" t="s">
        <v>114</v>
      </c>
      <c r="N5703" s="2">
        <v>46265</v>
      </c>
    </row>
    <row r="5704" spans="1:14" x14ac:dyDescent="0.25">
      <c r="A5704" t="s">
        <v>672</v>
      </c>
      <c r="B5704" s="2">
        <v>46265</v>
      </c>
      <c r="C5704" t="s">
        <v>672</v>
      </c>
      <c r="D5704" t="s">
        <v>112</v>
      </c>
      <c r="E5704" t="s">
        <v>9</v>
      </c>
      <c r="F5704" s="3">
        <v>2200</v>
      </c>
      <c r="G5704" s="3">
        <v>2200</v>
      </c>
      <c r="H5704" t="s">
        <v>3</v>
      </c>
      <c r="I5704" t="s">
        <v>3</v>
      </c>
      <c r="J5704" t="s">
        <v>431</v>
      </c>
      <c r="K5704" t="s">
        <v>13</v>
      </c>
      <c r="L5704" t="s">
        <v>22</v>
      </c>
      <c r="M5704" t="s">
        <v>114</v>
      </c>
      <c r="N5704" s="2">
        <v>46265</v>
      </c>
    </row>
    <row r="5705" spans="1:14" x14ac:dyDescent="0.25">
      <c r="A5705" s="4" t="s">
        <v>267</v>
      </c>
      <c r="B5705" s="5"/>
      <c r="C5705" s="4" t="s">
        <v>9</v>
      </c>
      <c r="D5705" s="4" t="s">
        <v>9</v>
      </c>
      <c r="E5705" s="4" t="s">
        <v>9</v>
      </c>
      <c r="F5705" s="6">
        <v>0</v>
      </c>
      <c r="G5705" s="6">
        <v>0</v>
      </c>
      <c r="H5705" s="4" t="s">
        <v>9</v>
      </c>
      <c r="I5705" s="4" t="s">
        <v>3</v>
      </c>
      <c r="J5705" s="4" t="s">
        <v>9</v>
      </c>
      <c r="K5705" s="4" t="s">
        <v>9</v>
      </c>
      <c r="L5705" s="4" t="s">
        <v>9</v>
      </c>
      <c r="M5705" s="4" t="s">
        <v>9</v>
      </c>
      <c r="N5705" s="5"/>
    </row>
    <row r="5706" spans="1:14" x14ac:dyDescent="0.25">
      <c r="A5706" s="4" t="s">
        <v>672</v>
      </c>
      <c r="B5706" s="5"/>
      <c r="C5706" s="4" t="s">
        <v>9</v>
      </c>
      <c r="D5706" s="4" t="s">
        <v>9</v>
      </c>
      <c r="E5706" s="4" t="s">
        <v>9</v>
      </c>
      <c r="F5706" s="6">
        <v>0</v>
      </c>
      <c r="G5706" s="6">
        <v>0</v>
      </c>
      <c r="H5706" s="4" t="s">
        <v>9</v>
      </c>
      <c r="I5706" s="4" t="s">
        <v>3</v>
      </c>
      <c r="J5706" s="4" t="s">
        <v>9</v>
      </c>
      <c r="K5706" s="4" t="s">
        <v>9</v>
      </c>
      <c r="L5706" s="4" t="s">
        <v>9</v>
      </c>
      <c r="M5706" s="4" t="s">
        <v>9</v>
      </c>
      <c r="N5706" s="5"/>
    </row>
    <row r="5707" spans="1:14" x14ac:dyDescent="0.25">
      <c r="A5707" t="s">
        <v>673</v>
      </c>
      <c r="B5707" s="2">
        <v>46147</v>
      </c>
      <c r="C5707" t="s">
        <v>673</v>
      </c>
      <c r="D5707" t="s">
        <v>33</v>
      </c>
      <c r="E5707" t="s">
        <v>9</v>
      </c>
      <c r="F5707" s="3">
        <v>5040</v>
      </c>
      <c r="G5707" s="3">
        <v>5040</v>
      </c>
      <c r="H5707" t="s">
        <v>3</v>
      </c>
      <c r="I5707" t="s">
        <v>3</v>
      </c>
      <c r="J5707" t="s">
        <v>9</v>
      </c>
      <c r="K5707" t="s">
        <v>9</v>
      </c>
      <c r="L5707" t="s">
        <v>17</v>
      </c>
      <c r="M5707" t="s">
        <v>35</v>
      </c>
      <c r="N5707" s="2">
        <v>46142</v>
      </c>
    </row>
    <row r="5708" spans="1:14" x14ac:dyDescent="0.25">
      <c r="A5708" t="s">
        <v>673</v>
      </c>
      <c r="B5708" s="2">
        <v>46142</v>
      </c>
      <c r="C5708" t="s">
        <v>673</v>
      </c>
      <c r="D5708" t="s">
        <v>33</v>
      </c>
      <c r="E5708" t="s">
        <v>9</v>
      </c>
      <c r="F5708" s="3">
        <v>-5040</v>
      </c>
      <c r="G5708" s="3">
        <v>-5040</v>
      </c>
      <c r="H5708" t="s">
        <v>3</v>
      </c>
      <c r="I5708" t="s">
        <v>3</v>
      </c>
      <c r="J5708" t="s">
        <v>45</v>
      </c>
      <c r="K5708" t="s">
        <v>13</v>
      </c>
      <c r="L5708" t="s">
        <v>17</v>
      </c>
      <c r="M5708" t="s">
        <v>35</v>
      </c>
      <c r="N5708" s="2">
        <v>46142</v>
      </c>
    </row>
    <row r="5709" spans="1:14" x14ac:dyDescent="0.25">
      <c r="A5709" s="4" t="s">
        <v>249</v>
      </c>
      <c r="B5709" s="5"/>
      <c r="C5709" s="4" t="s">
        <v>9</v>
      </c>
      <c r="D5709" s="4" t="s">
        <v>9</v>
      </c>
      <c r="E5709" s="4" t="s">
        <v>9</v>
      </c>
      <c r="F5709" s="6">
        <v>0</v>
      </c>
      <c r="G5709" s="6">
        <v>0</v>
      </c>
      <c r="H5709" s="4" t="s">
        <v>9</v>
      </c>
      <c r="I5709" s="4" t="s">
        <v>3</v>
      </c>
      <c r="J5709" s="4" t="s">
        <v>9</v>
      </c>
      <c r="K5709" s="4" t="s">
        <v>9</v>
      </c>
      <c r="L5709" s="4" t="s">
        <v>9</v>
      </c>
      <c r="M5709" s="4" t="s">
        <v>9</v>
      </c>
      <c r="N5709" s="5"/>
    </row>
    <row r="5710" spans="1:14" x14ac:dyDescent="0.25">
      <c r="A5710" t="s">
        <v>673</v>
      </c>
      <c r="B5710" s="2">
        <v>46175</v>
      </c>
      <c r="C5710" t="s">
        <v>673</v>
      </c>
      <c r="D5710" t="s">
        <v>33</v>
      </c>
      <c r="E5710" t="s">
        <v>9</v>
      </c>
      <c r="F5710" s="3">
        <v>1680</v>
      </c>
      <c r="G5710" s="3">
        <v>1680</v>
      </c>
      <c r="H5710" t="s">
        <v>3</v>
      </c>
      <c r="I5710" t="s">
        <v>3</v>
      </c>
      <c r="J5710" t="s">
        <v>9</v>
      </c>
      <c r="K5710" t="s">
        <v>9</v>
      </c>
      <c r="L5710" t="s">
        <v>18</v>
      </c>
      <c r="M5710" t="s">
        <v>35</v>
      </c>
      <c r="N5710" s="2">
        <v>46173</v>
      </c>
    </row>
    <row r="5711" spans="1:14" x14ac:dyDescent="0.25">
      <c r="A5711" t="s">
        <v>673</v>
      </c>
      <c r="B5711" s="2">
        <v>46161</v>
      </c>
      <c r="C5711" t="s">
        <v>673</v>
      </c>
      <c r="D5711" t="s">
        <v>33</v>
      </c>
      <c r="E5711" t="s">
        <v>9</v>
      </c>
      <c r="F5711" s="3">
        <v>-1680</v>
      </c>
      <c r="G5711" s="3">
        <v>-1680</v>
      </c>
      <c r="H5711" t="s">
        <v>3</v>
      </c>
      <c r="I5711" t="s">
        <v>3</v>
      </c>
      <c r="J5711" t="s">
        <v>9</v>
      </c>
      <c r="K5711" t="s">
        <v>13</v>
      </c>
      <c r="L5711" t="s">
        <v>18</v>
      </c>
      <c r="M5711" t="s">
        <v>35</v>
      </c>
      <c r="N5711" s="2">
        <v>46161</v>
      </c>
    </row>
    <row r="5712" spans="1:14" x14ac:dyDescent="0.25">
      <c r="A5712" s="4" t="s">
        <v>223</v>
      </c>
      <c r="B5712" s="5"/>
      <c r="C5712" s="4" t="s">
        <v>9</v>
      </c>
      <c r="D5712" s="4" t="s">
        <v>9</v>
      </c>
      <c r="E5712" s="4" t="s">
        <v>9</v>
      </c>
      <c r="F5712" s="6">
        <v>0</v>
      </c>
      <c r="G5712" s="6">
        <v>0</v>
      </c>
      <c r="H5712" s="4" t="s">
        <v>9</v>
      </c>
      <c r="I5712" s="4" t="s">
        <v>3</v>
      </c>
      <c r="J5712" s="4" t="s">
        <v>9</v>
      </c>
      <c r="K5712" s="4" t="s">
        <v>9</v>
      </c>
      <c r="L5712" s="4" t="s">
        <v>9</v>
      </c>
      <c r="M5712" s="4" t="s">
        <v>9</v>
      </c>
      <c r="N5712" s="5"/>
    </row>
    <row r="5713" spans="1:14" x14ac:dyDescent="0.25">
      <c r="A5713" t="s">
        <v>673</v>
      </c>
      <c r="B5713" s="2">
        <v>46205</v>
      </c>
      <c r="C5713" t="s">
        <v>673</v>
      </c>
      <c r="D5713" t="s">
        <v>33</v>
      </c>
      <c r="E5713" t="s">
        <v>9</v>
      </c>
      <c r="F5713" s="3">
        <v>12259</v>
      </c>
      <c r="G5713" s="3">
        <v>12259</v>
      </c>
      <c r="H5713" t="s">
        <v>3</v>
      </c>
      <c r="I5713" t="s">
        <v>3</v>
      </c>
      <c r="J5713" t="s">
        <v>9</v>
      </c>
      <c r="K5713" t="s">
        <v>9</v>
      </c>
      <c r="L5713" t="s">
        <v>19</v>
      </c>
      <c r="M5713" t="s">
        <v>35</v>
      </c>
      <c r="N5713" s="2">
        <v>46203</v>
      </c>
    </row>
    <row r="5714" spans="1:14" x14ac:dyDescent="0.25">
      <c r="A5714" t="s">
        <v>673</v>
      </c>
      <c r="B5714" s="2">
        <v>46192</v>
      </c>
      <c r="C5714" t="s">
        <v>673</v>
      </c>
      <c r="D5714" t="s">
        <v>33</v>
      </c>
      <c r="E5714" t="s">
        <v>9</v>
      </c>
      <c r="F5714" s="3">
        <v>-12259</v>
      </c>
      <c r="G5714" s="3">
        <v>-12259</v>
      </c>
      <c r="H5714" t="s">
        <v>3</v>
      </c>
      <c r="I5714" t="s">
        <v>3</v>
      </c>
      <c r="J5714" t="s">
        <v>9</v>
      </c>
      <c r="K5714" t="s">
        <v>13</v>
      </c>
      <c r="L5714" t="s">
        <v>19</v>
      </c>
      <c r="M5714" t="s">
        <v>35</v>
      </c>
      <c r="N5714" s="2">
        <v>46192</v>
      </c>
    </row>
    <row r="5715" spans="1:14" x14ac:dyDescent="0.25">
      <c r="A5715" s="4" t="s">
        <v>224</v>
      </c>
      <c r="B5715" s="5"/>
      <c r="C5715" s="4" t="s">
        <v>9</v>
      </c>
      <c r="D5715" s="4" t="s">
        <v>9</v>
      </c>
      <c r="E5715" s="4" t="s">
        <v>9</v>
      </c>
      <c r="F5715" s="6">
        <v>0</v>
      </c>
      <c r="G5715" s="6">
        <v>0</v>
      </c>
      <c r="H5715" s="4" t="s">
        <v>9</v>
      </c>
      <c r="I5715" s="4" t="s">
        <v>3</v>
      </c>
      <c r="J5715" s="4" t="s">
        <v>9</v>
      </c>
      <c r="K5715" s="4" t="s">
        <v>9</v>
      </c>
      <c r="L5715" s="4" t="s">
        <v>9</v>
      </c>
      <c r="M5715" s="4" t="s">
        <v>9</v>
      </c>
      <c r="N5715" s="5"/>
    </row>
    <row r="5716" spans="1:14" x14ac:dyDescent="0.25">
      <c r="A5716" t="s">
        <v>673</v>
      </c>
      <c r="B5716" s="2">
        <v>46239</v>
      </c>
      <c r="C5716" t="s">
        <v>673</v>
      </c>
      <c r="D5716" t="s">
        <v>33</v>
      </c>
      <c r="E5716" t="s">
        <v>9</v>
      </c>
      <c r="F5716" s="3">
        <v>2291</v>
      </c>
      <c r="G5716" s="3">
        <v>2291</v>
      </c>
      <c r="H5716" t="s">
        <v>3</v>
      </c>
      <c r="I5716" t="s">
        <v>3</v>
      </c>
      <c r="J5716" t="s">
        <v>9</v>
      </c>
      <c r="K5716" t="s">
        <v>9</v>
      </c>
      <c r="L5716" t="s">
        <v>21</v>
      </c>
      <c r="M5716" t="s">
        <v>35</v>
      </c>
      <c r="N5716" s="2">
        <v>46234</v>
      </c>
    </row>
    <row r="5717" spans="1:14" x14ac:dyDescent="0.25">
      <c r="A5717" t="s">
        <v>673</v>
      </c>
      <c r="B5717" s="2">
        <v>46218</v>
      </c>
      <c r="C5717" t="s">
        <v>673</v>
      </c>
      <c r="D5717" t="s">
        <v>33</v>
      </c>
      <c r="E5717" t="s">
        <v>9</v>
      </c>
      <c r="F5717" s="3">
        <v>-2291</v>
      </c>
      <c r="G5717" s="3">
        <v>-2291</v>
      </c>
      <c r="H5717" t="s">
        <v>3</v>
      </c>
      <c r="I5717" t="s">
        <v>3</v>
      </c>
      <c r="J5717" t="s">
        <v>9</v>
      </c>
      <c r="K5717" t="s">
        <v>13</v>
      </c>
      <c r="L5717" t="s">
        <v>21</v>
      </c>
      <c r="M5717" t="s">
        <v>35</v>
      </c>
      <c r="N5717" s="2">
        <v>46218</v>
      </c>
    </row>
    <row r="5718" spans="1:14" x14ac:dyDescent="0.25">
      <c r="A5718" s="4" t="s">
        <v>262</v>
      </c>
      <c r="B5718" s="5"/>
      <c r="C5718" s="4" t="s">
        <v>9</v>
      </c>
      <c r="D5718" s="4" t="s">
        <v>9</v>
      </c>
      <c r="E5718" s="4" t="s">
        <v>9</v>
      </c>
      <c r="F5718" s="6">
        <v>0</v>
      </c>
      <c r="G5718" s="6">
        <v>0</v>
      </c>
      <c r="H5718" s="4" t="s">
        <v>9</v>
      </c>
      <c r="I5718" s="4" t="s">
        <v>3</v>
      </c>
      <c r="J5718" s="4" t="s">
        <v>9</v>
      </c>
      <c r="K5718" s="4" t="s">
        <v>9</v>
      </c>
      <c r="L5718" s="4" t="s">
        <v>9</v>
      </c>
      <c r="M5718" s="4" t="s">
        <v>9</v>
      </c>
      <c r="N5718" s="5"/>
    </row>
    <row r="5719" spans="1:14" x14ac:dyDescent="0.25">
      <c r="A5719" t="s">
        <v>673</v>
      </c>
      <c r="B5719" s="2">
        <v>46267</v>
      </c>
      <c r="C5719" t="s">
        <v>673</v>
      </c>
      <c r="D5719" t="s">
        <v>33</v>
      </c>
      <c r="E5719" t="s">
        <v>9</v>
      </c>
      <c r="F5719" s="3">
        <v>2276</v>
      </c>
      <c r="G5719" s="3">
        <v>2276</v>
      </c>
      <c r="H5719" t="s">
        <v>3</v>
      </c>
      <c r="I5719" t="s">
        <v>3</v>
      </c>
      <c r="J5719" t="s">
        <v>9</v>
      </c>
      <c r="K5719" t="s">
        <v>9</v>
      </c>
      <c r="L5719" t="s">
        <v>22</v>
      </c>
      <c r="M5719" t="s">
        <v>35</v>
      </c>
      <c r="N5719" s="2">
        <v>46265</v>
      </c>
    </row>
    <row r="5720" spans="1:14" x14ac:dyDescent="0.25">
      <c r="A5720" t="s">
        <v>673</v>
      </c>
      <c r="B5720" s="2">
        <v>46254</v>
      </c>
      <c r="C5720" t="s">
        <v>673</v>
      </c>
      <c r="D5720" t="s">
        <v>33</v>
      </c>
      <c r="E5720" t="s">
        <v>9</v>
      </c>
      <c r="F5720" s="3">
        <v>-2276</v>
      </c>
      <c r="G5720" s="3">
        <v>-2276</v>
      </c>
      <c r="H5720" t="s">
        <v>3</v>
      </c>
      <c r="I5720" t="s">
        <v>3</v>
      </c>
      <c r="J5720" t="s">
        <v>9</v>
      </c>
      <c r="K5720" t="s">
        <v>13</v>
      </c>
      <c r="L5720" t="s">
        <v>22</v>
      </c>
      <c r="M5720" t="s">
        <v>35</v>
      </c>
      <c r="N5720" s="2">
        <v>46254</v>
      </c>
    </row>
    <row r="5721" spans="1:14" x14ac:dyDescent="0.25">
      <c r="A5721" s="4" t="s">
        <v>267</v>
      </c>
      <c r="B5721" s="5"/>
      <c r="C5721" s="4" t="s">
        <v>9</v>
      </c>
      <c r="D5721" s="4" t="s">
        <v>9</v>
      </c>
      <c r="E5721" s="4" t="s">
        <v>9</v>
      </c>
      <c r="F5721" s="6">
        <v>0</v>
      </c>
      <c r="G5721" s="6">
        <v>0</v>
      </c>
      <c r="H5721" s="4" t="s">
        <v>9</v>
      </c>
      <c r="I5721" s="4" t="s">
        <v>3</v>
      </c>
      <c r="J5721" s="4" t="s">
        <v>9</v>
      </c>
      <c r="K5721" s="4" t="s">
        <v>9</v>
      </c>
      <c r="L5721" s="4" t="s">
        <v>9</v>
      </c>
      <c r="M5721" s="4" t="s">
        <v>9</v>
      </c>
      <c r="N5721" s="5"/>
    </row>
    <row r="5722" spans="1:14" x14ac:dyDescent="0.25">
      <c r="A5722" s="4" t="s">
        <v>673</v>
      </c>
      <c r="B5722" s="5"/>
      <c r="C5722" s="4" t="s">
        <v>9</v>
      </c>
      <c r="D5722" s="4" t="s">
        <v>9</v>
      </c>
      <c r="E5722" s="4" t="s">
        <v>9</v>
      </c>
      <c r="F5722" s="6">
        <v>0</v>
      </c>
      <c r="G5722" s="6">
        <v>0</v>
      </c>
      <c r="H5722" s="4" t="s">
        <v>9</v>
      </c>
      <c r="I5722" s="4" t="s">
        <v>3</v>
      </c>
      <c r="J5722" s="4" t="s">
        <v>9</v>
      </c>
      <c r="K5722" s="4" t="s">
        <v>9</v>
      </c>
      <c r="L5722" s="4" t="s">
        <v>9</v>
      </c>
      <c r="M5722" s="4" t="s">
        <v>9</v>
      </c>
      <c r="N5722" s="5"/>
    </row>
    <row r="5723" spans="1:14" x14ac:dyDescent="0.25">
      <c r="A5723" t="s">
        <v>674</v>
      </c>
      <c r="B5723" s="2">
        <v>46115</v>
      </c>
      <c r="C5723" t="s">
        <v>674</v>
      </c>
      <c r="D5723" t="s">
        <v>112</v>
      </c>
      <c r="E5723" t="s">
        <v>9</v>
      </c>
      <c r="F5723" s="3">
        <v>-4800</v>
      </c>
      <c r="G5723" s="3">
        <v>-4800</v>
      </c>
      <c r="H5723" t="s">
        <v>3</v>
      </c>
      <c r="I5723" t="s">
        <v>3</v>
      </c>
      <c r="J5723" t="s">
        <v>9</v>
      </c>
      <c r="K5723" t="s">
        <v>9</v>
      </c>
      <c r="L5723" t="s">
        <v>16</v>
      </c>
      <c r="M5723" t="s">
        <v>114</v>
      </c>
      <c r="N5723" s="2">
        <v>46112</v>
      </c>
    </row>
    <row r="5724" spans="1:14" x14ac:dyDescent="0.25">
      <c r="A5724" t="s">
        <v>674</v>
      </c>
      <c r="B5724" s="2">
        <v>46112</v>
      </c>
      <c r="C5724" t="s">
        <v>674</v>
      </c>
      <c r="D5724" t="s">
        <v>112</v>
      </c>
      <c r="E5724" t="s">
        <v>9</v>
      </c>
      <c r="F5724" s="3">
        <v>4800</v>
      </c>
      <c r="G5724" s="3">
        <v>4800</v>
      </c>
      <c r="H5724" t="s">
        <v>3</v>
      </c>
      <c r="I5724" t="s">
        <v>3</v>
      </c>
      <c r="J5724" t="s">
        <v>307</v>
      </c>
      <c r="K5724" t="s">
        <v>13</v>
      </c>
      <c r="L5724" t="s">
        <v>16</v>
      </c>
      <c r="M5724" t="s">
        <v>114</v>
      </c>
      <c r="N5724" s="2">
        <v>46112</v>
      </c>
    </row>
    <row r="5725" spans="1:14" x14ac:dyDescent="0.25">
      <c r="A5725" s="4" t="s">
        <v>244</v>
      </c>
      <c r="B5725" s="5"/>
      <c r="C5725" s="4" t="s">
        <v>9</v>
      </c>
      <c r="D5725" s="4" t="s">
        <v>9</v>
      </c>
      <c r="E5725" s="4" t="s">
        <v>9</v>
      </c>
      <c r="F5725" s="6">
        <v>0</v>
      </c>
      <c r="G5725" s="6">
        <v>0</v>
      </c>
      <c r="H5725" s="4" t="s">
        <v>9</v>
      </c>
      <c r="I5725" s="4" t="s">
        <v>3</v>
      </c>
      <c r="J5725" s="4" t="s">
        <v>9</v>
      </c>
      <c r="K5725" s="4" t="s">
        <v>9</v>
      </c>
      <c r="L5725" s="4" t="s">
        <v>9</v>
      </c>
      <c r="M5725" s="4" t="s">
        <v>9</v>
      </c>
      <c r="N5725" s="5"/>
    </row>
    <row r="5726" spans="1:14" x14ac:dyDescent="0.25">
      <c r="A5726" t="s">
        <v>674</v>
      </c>
      <c r="B5726" s="2">
        <v>46147</v>
      </c>
      <c r="C5726" t="s">
        <v>674</v>
      </c>
      <c r="D5726" t="s">
        <v>112</v>
      </c>
      <c r="E5726" t="s">
        <v>9</v>
      </c>
      <c r="F5726" s="3">
        <v>-1600</v>
      </c>
      <c r="G5726" s="3">
        <v>-1600</v>
      </c>
      <c r="H5726" t="s">
        <v>3</v>
      </c>
      <c r="I5726" t="s">
        <v>3</v>
      </c>
      <c r="J5726" t="s">
        <v>9</v>
      </c>
      <c r="K5726" t="s">
        <v>9</v>
      </c>
      <c r="L5726" t="s">
        <v>17</v>
      </c>
      <c r="M5726" t="s">
        <v>114</v>
      </c>
      <c r="N5726" s="2">
        <v>46142</v>
      </c>
    </row>
    <row r="5727" spans="1:14" x14ac:dyDescent="0.25">
      <c r="A5727" t="s">
        <v>674</v>
      </c>
      <c r="B5727" s="2">
        <v>46112</v>
      </c>
      <c r="C5727" t="s">
        <v>674</v>
      </c>
      <c r="D5727" t="s">
        <v>112</v>
      </c>
      <c r="E5727" t="s">
        <v>9</v>
      </c>
      <c r="F5727" s="3">
        <v>-4800</v>
      </c>
      <c r="G5727" s="3">
        <v>-4800</v>
      </c>
      <c r="H5727" t="s">
        <v>3</v>
      </c>
      <c r="I5727" t="s">
        <v>3</v>
      </c>
      <c r="J5727" t="s">
        <v>307</v>
      </c>
      <c r="K5727" t="s">
        <v>13</v>
      </c>
      <c r="L5727" t="s">
        <v>17</v>
      </c>
      <c r="M5727" t="s">
        <v>114</v>
      </c>
      <c r="N5727" s="2">
        <v>46113</v>
      </c>
    </row>
    <row r="5728" spans="1:14" x14ac:dyDescent="0.25">
      <c r="A5728" t="s">
        <v>674</v>
      </c>
      <c r="B5728" s="2">
        <v>46142</v>
      </c>
      <c r="C5728" t="s">
        <v>674</v>
      </c>
      <c r="D5728" t="s">
        <v>112</v>
      </c>
      <c r="E5728" t="s">
        <v>9</v>
      </c>
      <c r="F5728" s="3">
        <v>6400</v>
      </c>
      <c r="G5728" s="3">
        <v>6400</v>
      </c>
      <c r="H5728" t="s">
        <v>3</v>
      </c>
      <c r="I5728" t="s">
        <v>3</v>
      </c>
      <c r="J5728" t="s">
        <v>310</v>
      </c>
      <c r="K5728" t="s">
        <v>13</v>
      </c>
      <c r="L5728" t="s">
        <v>17</v>
      </c>
      <c r="M5728" t="s">
        <v>114</v>
      </c>
      <c r="N5728" s="2">
        <v>46142</v>
      </c>
    </row>
    <row r="5729" spans="1:14" x14ac:dyDescent="0.25">
      <c r="A5729" s="4" t="s">
        <v>249</v>
      </c>
      <c r="B5729" s="5"/>
      <c r="C5729" s="4" t="s">
        <v>9</v>
      </c>
      <c r="D5729" s="4" t="s">
        <v>9</v>
      </c>
      <c r="E5729" s="4" t="s">
        <v>9</v>
      </c>
      <c r="F5729" s="6">
        <v>0</v>
      </c>
      <c r="G5729" s="6">
        <v>0</v>
      </c>
      <c r="H5729" s="4" t="s">
        <v>9</v>
      </c>
      <c r="I5729" s="4" t="s">
        <v>3</v>
      </c>
      <c r="J5729" s="4" t="s">
        <v>9</v>
      </c>
      <c r="K5729" s="4" t="s">
        <v>9</v>
      </c>
      <c r="L5729" s="4" t="s">
        <v>9</v>
      </c>
      <c r="M5729" s="4" t="s">
        <v>9</v>
      </c>
      <c r="N5729" s="5"/>
    </row>
    <row r="5730" spans="1:14" x14ac:dyDescent="0.25">
      <c r="A5730" t="s">
        <v>674</v>
      </c>
      <c r="B5730" s="2">
        <v>46175</v>
      </c>
      <c r="C5730" t="s">
        <v>674</v>
      </c>
      <c r="D5730" t="s">
        <v>112</v>
      </c>
      <c r="E5730" t="s">
        <v>9</v>
      </c>
      <c r="F5730" s="3">
        <v>-11674.5</v>
      </c>
      <c r="G5730" s="3">
        <v>-11674.5</v>
      </c>
      <c r="H5730" t="s">
        <v>3</v>
      </c>
      <c r="I5730" t="s">
        <v>3</v>
      </c>
      <c r="J5730" t="s">
        <v>9</v>
      </c>
      <c r="K5730" t="s">
        <v>9</v>
      </c>
      <c r="L5730" t="s">
        <v>18</v>
      </c>
      <c r="M5730" t="s">
        <v>114</v>
      </c>
      <c r="N5730" s="2">
        <v>46173</v>
      </c>
    </row>
    <row r="5731" spans="1:14" x14ac:dyDescent="0.25">
      <c r="A5731" t="s">
        <v>674</v>
      </c>
      <c r="B5731" s="2">
        <v>46142</v>
      </c>
      <c r="C5731" t="s">
        <v>674</v>
      </c>
      <c r="D5731" t="s">
        <v>112</v>
      </c>
      <c r="E5731" t="s">
        <v>9</v>
      </c>
      <c r="F5731" s="3">
        <v>-6400</v>
      </c>
      <c r="G5731" s="3">
        <v>-6400</v>
      </c>
      <c r="H5731" t="s">
        <v>3</v>
      </c>
      <c r="I5731" t="s">
        <v>3</v>
      </c>
      <c r="J5731" t="s">
        <v>310</v>
      </c>
      <c r="K5731" t="s">
        <v>13</v>
      </c>
      <c r="L5731" t="s">
        <v>18</v>
      </c>
      <c r="M5731" t="s">
        <v>114</v>
      </c>
      <c r="N5731" s="2">
        <v>46143</v>
      </c>
    </row>
    <row r="5732" spans="1:14" x14ac:dyDescent="0.25">
      <c r="A5732" t="s">
        <v>674</v>
      </c>
      <c r="B5732" s="2">
        <v>46173</v>
      </c>
      <c r="C5732" t="s">
        <v>674</v>
      </c>
      <c r="D5732" t="s">
        <v>112</v>
      </c>
      <c r="E5732" t="s">
        <v>9</v>
      </c>
      <c r="F5732" s="3">
        <v>18074.5</v>
      </c>
      <c r="G5732" s="3">
        <v>18074.5</v>
      </c>
      <c r="H5732" t="s">
        <v>3</v>
      </c>
      <c r="I5732" t="s">
        <v>3</v>
      </c>
      <c r="J5732" t="s">
        <v>313</v>
      </c>
      <c r="K5732" t="s">
        <v>13</v>
      </c>
      <c r="L5732" t="s">
        <v>18</v>
      </c>
      <c r="M5732" t="s">
        <v>114</v>
      </c>
      <c r="N5732" s="2">
        <v>46173</v>
      </c>
    </row>
    <row r="5733" spans="1:14" x14ac:dyDescent="0.25">
      <c r="A5733" s="4" t="s">
        <v>223</v>
      </c>
      <c r="B5733" s="5"/>
      <c r="C5733" s="4" t="s">
        <v>9</v>
      </c>
      <c r="D5733" s="4" t="s">
        <v>9</v>
      </c>
      <c r="E5733" s="4" t="s">
        <v>9</v>
      </c>
      <c r="F5733" s="6">
        <v>0</v>
      </c>
      <c r="G5733" s="6">
        <v>0</v>
      </c>
      <c r="H5733" s="4" t="s">
        <v>9</v>
      </c>
      <c r="I5733" s="4" t="s">
        <v>3</v>
      </c>
      <c r="J5733" s="4" t="s">
        <v>9</v>
      </c>
      <c r="K5733" s="4" t="s">
        <v>9</v>
      </c>
      <c r="L5733" s="4" t="s">
        <v>9</v>
      </c>
      <c r="M5733" s="4" t="s">
        <v>9</v>
      </c>
      <c r="N5733" s="5"/>
    </row>
    <row r="5734" spans="1:14" x14ac:dyDescent="0.25">
      <c r="A5734" t="s">
        <v>674</v>
      </c>
      <c r="B5734" s="2">
        <v>46205</v>
      </c>
      <c r="C5734" t="s">
        <v>674</v>
      </c>
      <c r="D5734" t="s">
        <v>112</v>
      </c>
      <c r="E5734" t="s">
        <v>9</v>
      </c>
      <c r="F5734" s="3">
        <v>-2182.5500000000002</v>
      </c>
      <c r="G5734" s="3">
        <v>-2182.5500000000002</v>
      </c>
      <c r="H5734" t="s">
        <v>3</v>
      </c>
      <c r="I5734" t="s">
        <v>3</v>
      </c>
      <c r="J5734" t="s">
        <v>9</v>
      </c>
      <c r="K5734" t="s">
        <v>9</v>
      </c>
      <c r="L5734" t="s">
        <v>19</v>
      </c>
      <c r="M5734" t="s">
        <v>114</v>
      </c>
      <c r="N5734" s="2">
        <v>46203</v>
      </c>
    </row>
    <row r="5735" spans="1:14" x14ac:dyDescent="0.25">
      <c r="A5735" t="s">
        <v>674</v>
      </c>
      <c r="B5735" s="2">
        <v>46173</v>
      </c>
      <c r="C5735" t="s">
        <v>674</v>
      </c>
      <c r="D5735" t="s">
        <v>112</v>
      </c>
      <c r="E5735" t="s">
        <v>9</v>
      </c>
      <c r="F5735" s="3">
        <v>-18074.5</v>
      </c>
      <c r="G5735" s="3">
        <v>-18074.5</v>
      </c>
      <c r="H5735" t="s">
        <v>3</v>
      </c>
      <c r="I5735" t="s">
        <v>3</v>
      </c>
      <c r="J5735" t="s">
        <v>313</v>
      </c>
      <c r="K5735" t="s">
        <v>13</v>
      </c>
      <c r="L5735" t="s">
        <v>19</v>
      </c>
      <c r="M5735" t="s">
        <v>114</v>
      </c>
      <c r="N5735" s="2">
        <v>46174</v>
      </c>
    </row>
    <row r="5736" spans="1:14" x14ac:dyDescent="0.25">
      <c r="A5736" t="s">
        <v>674</v>
      </c>
      <c r="B5736" s="2">
        <v>46203</v>
      </c>
      <c r="C5736" t="s">
        <v>674</v>
      </c>
      <c r="D5736" t="s">
        <v>112</v>
      </c>
      <c r="E5736" t="s">
        <v>9</v>
      </c>
      <c r="F5736" s="3">
        <v>20257.05</v>
      </c>
      <c r="G5736" s="3">
        <v>20257.05</v>
      </c>
      <c r="H5736" t="s">
        <v>3</v>
      </c>
      <c r="I5736" t="s">
        <v>3</v>
      </c>
      <c r="J5736" t="s">
        <v>316</v>
      </c>
      <c r="K5736" t="s">
        <v>13</v>
      </c>
      <c r="L5736" t="s">
        <v>19</v>
      </c>
      <c r="M5736" t="s">
        <v>114</v>
      </c>
      <c r="N5736" s="2">
        <v>46203</v>
      </c>
    </row>
    <row r="5737" spans="1:14" x14ac:dyDescent="0.25">
      <c r="A5737" s="4" t="s">
        <v>224</v>
      </c>
      <c r="B5737" s="5"/>
      <c r="C5737" s="4" t="s">
        <v>9</v>
      </c>
      <c r="D5737" s="4" t="s">
        <v>9</v>
      </c>
      <c r="E5737" s="4" t="s">
        <v>9</v>
      </c>
      <c r="F5737" s="6">
        <v>0</v>
      </c>
      <c r="G5737" s="6">
        <v>0</v>
      </c>
      <c r="H5737" s="4" t="s">
        <v>9</v>
      </c>
      <c r="I5737" s="4" t="s">
        <v>3</v>
      </c>
      <c r="J5737" s="4" t="s">
        <v>9</v>
      </c>
      <c r="K5737" s="4" t="s">
        <v>9</v>
      </c>
      <c r="L5737" s="4" t="s">
        <v>9</v>
      </c>
      <c r="M5737" s="4" t="s">
        <v>9</v>
      </c>
      <c r="N5737" s="5"/>
    </row>
    <row r="5738" spans="1:14" x14ac:dyDescent="0.25">
      <c r="A5738" t="s">
        <v>674</v>
      </c>
      <c r="B5738" s="2">
        <v>46239</v>
      </c>
      <c r="C5738" t="s">
        <v>674</v>
      </c>
      <c r="D5738" t="s">
        <v>112</v>
      </c>
      <c r="E5738" t="s">
        <v>9</v>
      </c>
      <c r="F5738" s="3">
        <v>-2167.9499999999998</v>
      </c>
      <c r="G5738" s="3">
        <v>-2167.9499999999998</v>
      </c>
      <c r="H5738" t="s">
        <v>3</v>
      </c>
      <c r="I5738" t="s">
        <v>3</v>
      </c>
      <c r="J5738" t="s">
        <v>9</v>
      </c>
      <c r="K5738" t="s">
        <v>9</v>
      </c>
      <c r="L5738" t="s">
        <v>21</v>
      </c>
      <c r="M5738" t="s">
        <v>114</v>
      </c>
      <c r="N5738" s="2">
        <v>46234</v>
      </c>
    </row>
    <row r="5739" spans="1:14" x14ac:dyDescent="0.25">
      <c r="A5739" t="s">
        <v>674</v>
      </c>
      <c r="B5739" s="2">
        <v>46203</v>
      </c>
      <c r="C5739" t="s">
        <v>674</v>
      </c>
      <c r="D5739" t="s">
        <v>112</v>
      </c>
      <c r="E5739" t="s">
        <v>9</v>
      </c>
      <c r="F5739" s="3">
        <v>-20257.05</v>
      </c>
      <c r="G5739" s="3">
        <v>-20257.05</v>
      </c>
      <c r="H5739" t="s">
        <v>3</v>
      </c>
      <c r="I5739" t="s">
        <v>3</v>
      </c>
      <c r="J5739" t="s">
        <v>316</v>
      </c>
      <c r="K5739" t="s">
        <v>13</v>
      </c>
      <c r="L5739" t="s">
        <v>21</v>
      </c>
      <c r="M5739" t="s">
        <v>114</v>
      </c>
      <c r="N5739" s="2">
        <v>46204</v>
      </c>
    </row>
    <row r="5740" spans="1:14" x14ac:dyDescent="0.25">
      <c r="A5740" t="s">
        <v>674</v>
      </c>
      <c r="B5740" s="2">
        <v>46234</v>
      </c>
      <c r="C5740" t="s">
        <v>674</v>
      </c>
      <c r="D5740" t="s">
        <v>112</v>
      </c>
      <c r="E5740" t="s">
        <v>9</v>
      </c>
      <c r="F5740" s="3">
        <v>22425</v>
      </c>
      <c r="G5740" s="3">
        <v>22425</v>
      </c>
      <c r="H5740" t="s">
        <v>3</v>
      </c>
      <c r="I5740" t="s">
        <v>3</v>
      </c>
      <c r="J5740" t="s">
        <v>319</v>
      </c>
      <c r="K5740" t="s">
        <v>13</v>
      </c>
      <c r="L5740" t="s">
        <v>21</v>
      </c>
      <c r="M5740" t="s">
        <v>114</v>
      </c>
      <c r="N5740" s="2">
        <v>46234</v>
      </c>
    </row>
    <row r="5741" spans="1:14" x14ac:dyDescent="0.25">
      <c r="A5741" s="4" t="s">
        <v>262</v>
      </c>
      <c r="B5741" s="5"/>
      <c r="C5741" s="4" t="s">
        <v>9</v>
      </c>
      <c r="D5741" s="4" t="s">
        <v>9</v>
      </c>
      <c r="E5741" s="4" t="s">
        <v>9</v>
      </c>
      <c r="F5741" s="6">
        <v>0</v>
      </c>
      <c r="G5741" s="6">
        <v>0</v>
      </c>
      <c r="H5741" s="4" t="s">
        <v>9</v>
      </c>
      <c r="I5741" s="4" t="s">
        <v>3</v>
      </c>
      <c r="J5741" s="4" t="s">
        <v>9</v>
      </c>
      <c r="K5741" s="4" t="s">
        <v>9</v>
      </c>
      <c r="L5741" s="4" t="s">
        <v>9</v>
      </c>
      <c r="M5741" s="4" t="s">
        <v>9</v>
      </c>
      <c r="N5741" s="5"/>
    </row>
    <row r="5742" spans="1:14" x14ac:dyDescent="0.25">
      <c r="A5742" t="s">
        <v>674</v>
      </c>
      <c r="B5742" s="2">
        <v>46267</v>
      </c>
      <c r="C5742" t="s">
        <v>674</v>
      </c>
      <c r="D5742" t="s">
        <v>112</v>
      </c>
      <c r="E5742" t="s">
        <v>9</v>
      </c>
      <c r="F5742" s="3">
        <v>-59748</v>
      </c>
      <c r="G5742" s="3">
        <v>-59748</v>
      </c>
      <c r="H5742" t="s">
        <v>3</v>
      </c>
      <c r="I5742" t="s">
        <v>3</v>
      </c>
      <c r="J5742" t="s">
        <v>9</v>
      </c>
      <c r="K5742" t="s">
        <v>9</v>
      </c>
      <c r="L5742" t="s">
        <v>22</v>
      </c>
      <c r="M5742" t="s">
        <v>114</v>
      </c>
      <c r="N5742" s="2">
        <v>46265</v>
      </c>
    </row>
    <row r="5743" spans="1:14" x14ac:dyDescent="0.25">
      <c r="A5743" t="s">
        <v>674</v>
      </c>
      <c r="B5743" s="2">
        <v>46234</v>
      </c>
      <c r="C5743" t="s">
        <v>674</v>
      </c>
      <c r="D5743" t="s">
        <v>112</v>
      </c>
      <c r="E5743" t="s">
        <v>9</v>
      </c>
      <c r="F5743" s="3">
        <v>-22425</v>
      </c>
      <c r="G5743" s="3">
        <v>-22425</v>
      </c>
      <c r="H5743" t="s">
        <v>3</v>
      </c>
      <c r="I5743" t="s">
        <v>3</v>
      </c>
      <c r="J5743" t="s">
        <v>319</v>
      </c>
      <c r="K5743" t="s">
        <v>13</v>
      </c>
      <c r="L5743" t="s">
        <v>22</v>
      </c>
      <c r="M5743" t="s">
        <v>114</v>
      </c>
      <c r="N5743" s="2">
        <v>46235</v>
      </c>
    </row>
    <row r="5744" spans="1:14" x14ac:dyDescent="0.25">
      <c r="A5744" t="s">
        <v>674</v>
      </c>
      <c r="B5744" s="2">
        <v>46265</v>
      </c>
      <c r="C5744" t="s">
        <v>674</v>
      </c>
      <c r="D5744" t="s">
        <v>112</v>
      </c>
      <c r="E5744" t="s">
        <v>9</v>
      </c>
      <c r="F5744" s="3">
        <v>82173</v>
      </c>
      <c r="G5744" s="3">
        <v>82173</v>
      </c>
      <c r="H5744" t="s">
        <v>3</v>
      </c>
      <c r="I5744" t="s">
        <v>3</v>
      </c>
      <c r="J5744" t="s">
        <v>322</v>
      </c>
      <c r="K5744" t="s">
        <v>13</v>
      </c>
      <c r="L5744" t="s">
        <v>22</v>
      </c>
      <c r="M5744" t="s">
        <v>114</v>
      </c>
      <c r="N5744" s="2">
        <v>46265</v>
      </c>
    </row>
    <row r="5745" spans="1:14" x14ac:dyDescent="0.25">
      <c r="A5745" s="4" t="s">
        <v>267</v>
      </c>
      <c r="B5745" s="5"/>
      <c r="C5745" s="4" t="s">
        <v>9</v>
      </c>
      <c r="D5745" s="4" t="s">
        <v>9</v>
      </c>
      <c r="E5745" s="4" t="s">
        <v>9</v>
      </c>
      <c r="F5745" s="6">
        <v>0</v>
      </c>
      <c r="G5745" s="6">
        <v>0</v>
      </c>
      <c r="H5745" s="4" t="s">
        <v>9</v>
      </c>
      <c r="I5745" s="4" t="s">
        <v>3</v>
      </c>
      <c r="J5745" s="4" t="s">
        <v>9</v>
      </c>
      <c r="K5745" s="4" t="s">
        <v>9</v>
      </c>
      <c r="L5745" s="4" t="s">
        <v>9</v>
      </c>
      <c r="M5745" s="4" t="s">
        <v>9</v>
      </c>
      <c r="N5745" s="5"/>
    </row>
    <row r="5746" spans="1:14" x14ac:dyDescent="0.25">
      <c r="A5746" s="4" t="s">
        <v>674</v>
      </c>
      <c r="B5746" s="5"/>
      <c r="C5746" s="4" t="s">
        <v>9</v>
      </c>
      <c r="D5746" s="4" t="s">
        <v>9</v>
      </c>
      <c r="E5746" s="4" t="s">
        <v>9</v>
      </c>
      <c r="F5746" s="6">
        <v>0</v>
      </c>
      <c r="G5746" s="6">
        <v>0</v>
      </c>
      <c r="H5746" s="4" t="s">
        <v>9</v>
      </c>
      <c r="I5746" s="4" t="s">
        <v>3</v>
      </c>
      <c r="J5746" s="4" t="s">
        <v>9</v>
      </c>
      <c r="K5746" s="4" t="s">
        <v>9</v>
      </c>
      <c r="L5746" s="4" t="s">
        <v>9</v>
      </c>
      <c r="M5746" s="4" t="s">
        <v>9</v>
      </c>
      <c r="N5746" s="5"/>
    </row>
    <row r="5747" spans="1:14" x14ac:dyDescent="0.25">
      <c r="A5747" t="s">
        <v>675</v>
      </c>
      <c r="B5747" s="2">
        <v>46147</v>
      </c>
      <c r="C5747" t="s">
        <v>675</v>
      </c>
      <c r="D5747" t="s">
        <v>33</v>
      </c>
      <c r="E5747" t="s">
        <v>9</v>
      </c>
      <c r="F5747" s="3">
        <v>8815</v>
      </c>
      <c r="G5747" s="3">
        <v>8815</v>
      </c>
      <c r="H5747" t="s">
        <v>3</v>
      </c>
      <c r="I5747" t="s">
        <v>3</v>
      </c>
      <c r="J5747" t="s">
        <v>9</v>
      </c>
      <c r="K5747" t="s">
        <v>9</v>
      </c>
      <c r="L5747" t="s">
        <v>17</v>
      </c>
      <c r="M5747" t="s">
        <v>35</v>
      </c>
      <c r="N5747" s="2">
        <v>46142</v>
      </c>
    </row>
    <row r="5748" spans="1:14" x14ac:dyDescent="0.25">
      <c r="A5748" t="s">
        <v>675</v>
      </c>
      <c r="B5748" s="2">
        <v>46142</v>
      </c>
      <c r="C5748" t="s">
        <v>675</v>
      </c>
      <c r="D5748" t="s">
        <v>33</v>
      </c>
      <c r="E5748" t="s">
        <v>9</v>
      </c>
      <c r="F5748" s="3">
        <v>-8815</v>
      </c>
      <c r="G5748" s="3">
        <v>-8815</v>
      </c>
      <c r="H5748" t="s">
        <v>3</v>
      </c>
      <c r="I5748" t="s">
        <v>3</v>
      </c>
      <c r="J5748" t="s">
        <v>45</v>
      </c>
      <c r="K5748" t="s">
        <v>13</v>
      </c>
      <c r="L5748" t="s">
        <v>17</v>
      </c>
      <c r="M5748" t="s">
        <v>35</v>
      </c>
      <c r="N5748" s="2">
        <v>46142</v>
      </c>
    </row>
    <row r="5749" spans="1:14" x14ac:dyDescent="0.25">
      <c r="A5749" s="4" t="s">
        <v>249</v>
      </c>
      <c r="B5749" s="5"/>
      <c r="C5749" s="4" t="s">
        <v>9</v>
      </c>
      <c r="D5749" s="4" t="s">
        <v>9</v>
      </c>
      <c r="E5749" s="4" t="s">
        <v>9</v>
      </c>
      <c r="F5749" s="6">
        <v>0</v>
      </c>
      <c r="G5749" s="6">
        <v>0</v>
      </c>
      <c r="H5749" s="4" t="s">
        <v>9</v>
      </c>
      <c r="I5749" s="4" t="s">
        <v>3</v>
      </c>
      <c r="J5749" s="4" t="s">
        <v>9</v>
      </c>
      <c r="K5749" s="4" t="s">
        <v>9</v>
      </c>
      <c r="L5749" s="4" t="s">
        <v>9</v>
      </c>
      <c r="M5749" s="4" t="s">
        <v>9</v>
      </c>
      <c r="N5749" s="5"/>
    </row>
    <row r="5750" spans="1:14" x14ac:dyDescent="0.25">
      <c r="A5750" t="s">
        <v>675</v>
      </c>
      <c r="B5750" s="2">
        <v>46175</v>
      </c>
      <c r="C5750" t="s">
        <v>675</v>
      </c>
      <c r="D5750" t="s">
        <v>33</v>
      </c>
      <c r="E5750" t="s">
        <v>9</v>
      </c>
      <c r="F5750" s="3">
        <v>6400</v>
      </c>
      <c r="G5750" s="3">
        <v>6400</v>
      </c>
      <c r="H5750" t="s">
        <v>3</v>
      </c>
      <c r="I5750" t="s">
        <v>3</v>
      </c>
      <c r="J5750" t="s">
        <v>9</v>
      </c>
      <c r="K5750" t="s">
        <v>9</v>
      </c>
      <c r="L5750" t="s">
        <v>18</v>
      </c>
      <c r="M5750" t="s">
        <v>35</v>
      </c>
      <c r="N5750" s="2">
        <v>46173</v>
      </c>
    </row>
    <row r="5751" spans="1:14" x14ac:dyDescent="0.25">
      <c r="A5751" t="s">
        <v>675</v>
      </c>
      <c r="B5751" s="2">
        <v>46161</v>
      </c>
      <c r="C5751" t="s">
        <v>675</v>
      </c>
      <c r="D5751" t="s">
        <v>33</v>
      </c>
      <c r="E5751" t="s">
        <v>9</v>
      </c>
      <c r="F5751" s="3">
        <v>-6400</v>
      </c>
      <c r="G5751" s="3">
        <v>-6400</v>
      </c>
      <c r="H5751" t="s">
        <v>3</v>
      </c>
      <c r="I5751" t="s">
        <v>3</v>
      </c>
      <c r="J5751" t="s">
        <v>9</v>
      </c>
      <c r="K5751" t="s">
        <v>13</v>
      </c>
      <c r="L5751" t="s">
        <v>18</v>
      </c>
      <c r="M5751" t="s">
        <v>35</v>
      </c>
      <c r="N5751" s="2">
        <v>46161</v>
      </c>
    </row>
    <row r="5752" spans="1:14" x14ac:dyDescent="0.25">
      <c r="A5752" s="4" t="s">
        <v>223</v>
      </c>
      <c r="B5752" s="5"/>
      <c r="C5752" s="4" t="s">
        <v>9</v>
      </c>
      <c r="D5752" s="4" t="s">
        <v>9</v>
      </c>
      <c r="E5752" s="4" t="s">
        <v>9</v>
      </c>
      <c r="F5752" s="6">
        <v>0</v>
      </c>
      <c r="G5752" s="6">
        <v>0</v>
      </c>
      <c r="H5752" s="4" t="s">
        <v>9</v>
      </c>
      <c r="I5752" s="4" t="s">
        <v>3</v>
      </c>
      <c r="J5752" s="4" t="s">
        <v>9</v>
      </c>
      <c r="K5752" s="4" t="s">
        <v>9</v>
      </c>
      <c r="L5752" s="4" t="s">
        <v>9</v>
      </c>
      <c r="M5752" s="4" t="s">
        <v>9</v>
      </c>
      <c r="N5752" s="5"/>
    </row>
    <row r="5753" spans="1:14" x14ac:dyDescent="0.25">
      <c r="A5753" t="s">
        <v>675</v>
      </c>
      <c r="B5753" s="2">
        <v>46205</v>
      </c>
      <c r="C5753" t="s">
        <v>675</v>
      </c>
      <c r="D5753" t="s">
        <v>33</v>
      </c>
      <c r="E5753" t="s">
        <v>9</v>
      </c>
      <c r="F5753" s="3">
        <v>2468</v>
      </c>
      <c r="G5753" s="3">
        <v>2468</v>
      </c>
      <c r="H5753" t="s">
        <v>3</v>
      </c>
      <c r="I5753" t="s">
        <v>3</v>
      </c>
      <c r="J5753" t="s">
        <v>9</v>
      </c>
      <c r="K5753" t="s">
        <v>9</v>
      </c>
      <c r="L5753" t="s">
        <v>19</v>
      </c>
      <c r="M5753" t="s">
        <v>35</v>
      </c>
      <c r="N5753" s="2">
        <v>46203</v>
      </c>
    </row>
    <row r="5754" spans="1:14" x14ac:dyDescent="0.25">
      <c r="A5754" t="s">
        <v>675</v>
      </c>
      <c r="B5754" s="2">
        <v>46192</v>
      </c>
      <c r="C5754" t="s">
        <v>675</v>
      </c>
      <c r="D5754" t="s">
        <v>33</v>
      </c>
      <c r="E5754" t="s">
        <v>9</v>
      </c>
      <c r="F5754" s="3">
        <v>-2468</v>
      </c>
      <c r="G5754" s="3">
        <v>-2468</v>
      </c>
      <c r="H5754" t="s">
        <v>3</v>
      </c>
      <c r="I5754" t="s">
        <v>3</v>
      </c>
      <c r="J5754" t="s">
        <v>9</v>
      </c>
      <c r="K5754" t="s">
        <v>13</v>
      </c>
      <c r="L5754" t="s">
        <v>19</v>
      </c>
      <c r="M5754" t="s">
        <v>35</v>
      </c>
      <c r="N5754" s="2">
        <v>46192</v>
      </c>
    </row>
    <row r="5755" spans="1:14" x14ac:dyDescent="0.25">
      <c r="A5755" s="4" t="s">
        <v>224</v>
      </c>
      <c r="B5755" s="5"/>
      <c r="C5755" s="4" t="s">
        <v>9</v>
      </c>
      <c r="D5755" s="4" t="s">
        <v>9</v>
      </c>
      <c r="E5755" s="4" t="s">
        <v>9</v>
      </c>
      <c r="F5755" s="6">
        <v>0</v>
      </c>
      <c r="G5755" s="6">
        <v>0</v>
      </c>
      <c r="H5755" s="4" t="s">
        <v>9</v>
      </c>
      <c r="I5755" s="4" t="s">
        <v>3</v>
      </c>
      <c r="J5755" s="4" t="s">
        <v>9</v>
      </c>
      <c r="K5755" s="4" t="s">
        <v>9</v>
      </c>
      <c r="L5755" s="4" t="s">
        <v>9</v>
      </c>
      <c r="M5755" s="4" t="s">
        <v>9</v>
      </c>
      <c r="N5755" s="5"/>
    </row>
    <row r="5756" spans="1:14" x14ac:dyDescent="0.25">
      <c r="A5756" t="s">
        <v>675</v>
      </c>
      <c r="B5756" s="2">
        <v>46239</v>
      </c>
      <c r="C5756" t="s">
        <v>675</v>
      </c>
      <c r="D5756" t="s">
        <v>33</v>
      </c>
      <c r="E5756" t="s">
        <v>9</v>
      </c>
      <c r="F5756" s="3">
        <v>6070</v>
      </c>
      <c r="G5756" s="3">
        <v>6070</v>
      </c>
      <c r="H5756" t="s">
        <v>3</v>
      </c>
      <c r="I5756" t="s">
        <v>3</v>
      </c>
      <c r="J5756" t="s">
        <v>9</v>
      </c>
      <c r="K5756" t="s">
        <v>9</v>
      </c>
      <c r="L5756" t="s">
        <v>21</v>
      </c>
      <c r="M5756" t="s">
        <v>35</v>
      </c>
      <c r="N5756" s="2">
        <v>46234</v>
      </c>
    </row>
    <row r="5757" spans="1:14" x14ac:dyDescent="0.25">
      <c r="A5757" t="s">
        <v>675</v>
      </c>
      <c r="B5757" s="2">
        <v>46218</v>
      </c>
      <c r="C5757" t="s">
        <v>675</v>
      </c>
      <c r="D5757" t="s">
        <v>33</v>
      </c>
      <c r="E5757" t="s">
        <v>9</v>
      </c>
      <c r="F5757" s="3">
        <v>-6070</v>
      </c>
      <c r="G5757" s="3">
        <v>-6070</v>
      </c>
      <c r="H5757" t="s">
        <v>3</v>
      </c>
      <c r="I5757" t="s">
        <v>3</v>
      </c>
      <c r="J5757" t="s">
        <v>9</v>
      </c>
      <c r="K5757" t="s">
        <v>13</v>
      </c>
      <c r="L5757" t="s">
        <v>21</v>
      </c>
      <c r="M5757" t="s">
        <v>35</v>
      </c>
      <c r="N5757" s="2">
        <v>46218</v>
      </c>
    </row>
    <row r="5758" spans="1:14" x14ac:dyDescent="0.25">
      <c r="A5758" s="4" t="s">
        <v>262</v>
      </c>
      <c r="B5758" s="5"/>
      <c r="C5758" s="4" t="s">
        <v>9</v>
      </c>
      <c r="D5758" s="4" t="s">
        <v>9</v>
      </c>
      <c r="E5758" s="4" t="s">
        <v>9</v>
      </c>
      <c r="F5758" s="6">
        <v>0</v>
      </c>
      <c r="G5758" s="6">
        <v>0</v>
      </c>
      <c r="H5758" s="4" t="s">
        <v>9</v>
      </c>
      <c r="I5758" s="4" t="s">
        <v>3</v>
      </c>
      <c r="J5758" s="4" t="s">
        <v>9</v>
      </c>
      <c r="K5758" s="4" t="s">
        <v>9</v>
      </c>
      <c r="L5758" s="4" t="s">
        <v>9</v>
      </c>
      <c r="M5758" s="4" t="s">
        <v>9</v>
      </c>
      <c r="N5758" s="5"/>
    </row>
    <row r="5759" spans="1:14" x14ac:dyDescent="0.25">
      <c r="A5759" t="s">
        <v>675</v>
      </c>
      <c r="B5759" s="2">
        <v>46267</v>
      </c>
      <c r="C5759" t="s">
        <v>675</v>
      </c>
      <c r="D5759" t="s">
        <v>33</v>
      </c>
      <c r="E5759" t="s">
        <v>9</v>
      </c>
      <c r="F5759" s="3">
        <v>1448</v>
      </c>
      <c r="G5759" s="3">
        <v>1448</v>
      </c>
      <c r="H5759" t="s">
        <v>3</v>
      </c>
      <c r="I5759" t="s">
        <v>3</v>
      </c>
      <c r="J5759" t="s">
        <v>9</v>
      </c>
      <c r="K5759" t="s">
        <v>9</v>
      </c>
      <c r="L5759" t="s">
        <v>22</v>
      </c>
      <c r="M5759" t="s">
        <v>35</v>
      </c>
      <c r="N5759" s="2">
        <v>46265</v>
      </c>
    </row>
    <row r="5760" spans="1:14" x14ac:dyDescent="0.25">
      <c r="A5760" t="s">
        <v>675</v>
      </c>
      <c r="B5760" s="2">
        <v>46254</v>
      </c>
      <c r="C5760" t="s">
        <v>675</v>
      </c>
      <c r="D5760" t="s">
        <v>33</v>
      </c>
      <c r="E5760" t="s">
        <v>9</v>
      </c>
      <c r="F5760" s="3">
        <v>-1448</v>
      </c>
      <c r="G5760" s="3">
        <v>-1448</v>
      </c>
      <c r="H5760" t="s">
        <v>3</v>
      </c>
      <c r="I5760" t="s">
        <v>3</v>
      </c>
      <c r="J5760" t="s">
        <v>9</v>
      </c>
      <c r="K5760" t="s">
        <v>13</v>
      </c>
      <c r="L5760" t="s">
        <v>22</v>
      </c>
      <c r="M5760" t="s">
        <v>35</v>
      </c>
      <c r="N5760" s="2">
        <v>46254</v>
      </c>
    </row>
    <row r="5761" spans="1:14" x14ac:dyDescent="0.25">
      <c r="A5761" s="4" t="s">
        <v>267</v>
      </c>
      <c r="B5761" s="5"/>
      <c r="C5761" s="4" t="s">
        <v>9</v>
      </c>
      <c r="D5761" s="4" t="s">
        <v>9</v>
      </c>
      <c r="E5761" s="4" t="s">
        <v>9</v>
      </c>
      <c r="F5761" s="6">
        <v>0</v>
      </c>
      <c r="G5761" s="6">
        <v>0</v>
      </c>
      <c r="H5761" s="4" t="s">
        <v>9</v>
      </c>
      <c r="I5761" s="4" t="s">
        <v>3</v>
      </c>
      <c r="J5761" s="4" t="s">
        <v>9</v>
      </c>
      <c r="K5761" s="4" t="s">
        <v>9</v>
      </c>
      <c r="L5761" s="4" t="s">
        <v>9</v>
      </c>
      <c r="M5761" s="4" t="s">
        <v>9</v>
      </c>
      <c r="N5761" s="5"/>
    </row>
    <row r="5762" spans="1:14" x14ac:dyDescent="0.25">
      <c r="A5762" s="4" t="s">
        <v>675</v>
      </c>
      <c r="B5762" s="5"/>
      <c r="C5762" s="4" t="s">
        <v>9</v>
      </c>
      <c r="D5762" s="4" t="s">
        <v>9</v>
      </c>
      <c r="E5762" s="4" t="s">
        <v>9</v>
      </c>
      <c r="F5762" s="6">
        <v>0</v>
      </c>
      <c r="G5762" s="6">
        <v>0</v>
      </c>
      <c r="H5762" s="4" t="s">
        <v>9</v>
      </c>
      <c r="I5762" s="4" t="s">
        <v>3</v>
      </c>
      <c r="J5762" s="4" t="s">
        <v>9</v>
      </c>
      <c r="K5762" s="4" t="s">
        <v>9</v>
      </c>
      <c r="L5762" s="4" t="s">
        <v>9</v>
      </c>
      <c r="M5762" s="4" t="s">
        <v>9</v>
      </c>
      <c r="N5762" s="5"/>
    </row>
    <row r="5763" spans="1:14" x14ac:dyDescent="0.25">
      <c r="A5763" t="s">
        <v>676</v>
      </c>
      <c r="B5763" s="2">
        <v>46084</v>
      </c>
      <c r="C5763" t="s">
        <v>676</v>
      </c>
      <c r="D5763" t="s">
        <v>112</v>
      </c>
      <c r="E5763" t="s">
        <v>9</v>
      </c>
      <c r="F5763" s="3">
        <v>-345</v>
      </c>
      <c r="G5763" s="3">
        <v>-345</v>
      </c>
      <c r="H5763" t="s">
        <v>3</v>
      </c>
      <c r="I5763" t="s">
        <v>3</v>
      </c>
      <c r="J5763" t="s">
        <v>9</v>
      </c>
      <c r="K5763" t="s">
        <v>9</v>
      </c>
      <c r="L5763" t="s">
        <v>15</v>
      </c>
      <c r="M5763" t="s">
        <v>114</v>
      </c>
      <c r="N5763" s="2">
        <v>46081</v>
      </c>
    </row>
    <row r="5764" spans="1:14" x14ac:dyDescent="0.25">
      <c r="A5764" t="s">
        <v>676</v>
      </c>
      <c r="B5764" s="2">
        <v>46081</v>
      </c>
      <c r="C5764" t="s">
        <v>676</v>
      </c>
      <c r="D5764" t="s">
        <v>112</v>
      </c>
      <c r="E5764" t="s">
        <v>9</v>
      </c>
      <c r="F5764" s="3">
        <v>345</v>
      </c>
      <c r="G5764" s="3">
        <v>345</v>
      </c>
      <c r="H5764" t="s">
        <v>3</v>
      </c>
      <c r="I5764" t="s">
        <v>3</v>
      </c>
      <c r="J5764" t="s">
        <v>368</v>
      </c>
      <c r="K5764" t="s">
        <v>13</v>
      </c>
      <c r="L5764" t="s">
        <v>15</v>
      </c>
      <c r="M5764" t="s">
        <v>114</v>
      </c>
      <c r="N5764" s="2">
        <v>46081</v>
      </c>
    </row>
    <row r="5765" spans="1:14" x14ac:dyDescent="0.25">
      <c r="A5765" s="4" t="s">
        <v>239</v>
      </c>
      <c r="B5765" s="5"/>
      <c r="C5765" s="4" t="s">
        <v>9</v>
      </c>
      <c r="D5765" s="4" t="s">
        <v>9</v>
      </c>
      <c r="E5765" s="4" t="s">
        <v>9</v>
      </c>
      <c r="F5765" s="6">
        <v>0</v>
      </c>
      <c r="G5765" s="6">
        <v>0</v>
      </c>
      <c r="H5765" s="4" t="s">
        <v>9</v>
      </c>
      <c r="I5765" s="4" t="s">
        <v>3</v>
      </c>
      <c r="J5765" s="4" t="s">
        <v>9</v>
      </c>
      <c r="K5765" s="4" t="s">
        <v>9</v>
      </c>
      <c r="L5765" s="4" t="s">
        <v>9</v>
      </c>
      <c r="M5765" s="4" t="s">
        <v>9</v>
      </c>
      <c r="N5765" s="5"/>
    </row>
    <row r="5766" spans="1:14" x14ac:dyDescent="0.25">
      <c r="A5766" t="s">
        <v>676</v>
      </c>
      <c r="B5766" s="2">
        <v>46115</v>
      </c>
      <c r="C5766" t="s">
        <v>676</v>
      </c>
      <c r="D5766" t="s">
        <v>112</v>
      </c>
      <c r="E5766" t="s">
        <v>9</v>
      </c>
      <c r="F5766" s="3">
        <v>-8050</v>
      </c>
      <c r="G5766" s="3">
        <v>-8050</v>
      </c>
      <c r="H5766" t="s">
        <v>3</v>
      </c>
      <c r="I5766" t="s">
        <v>3</v>
      </c>
      <c r="J5766" t="s">
        <v>9</v>
      </c>
      <c r="K5766" t="s">
        <v>9</v>
      </c>
      <c r="L5766" t="s">
        <v>16</v>
      </c>
      <c r="M5766" t="s">
        <v>114</v>
      </c>
      <c r="N5766" s="2">
        <v>46112</v>
      </c>
    </row>
    <row r="5767" spans="1:14" x14ac:dyDescent="0.25">
      <c r="A5767" t="s">
        <v>676</v>
      </c>
      <c r="B5767" s="2">
        <v>46081</v>
      </c>
      <c r="C5767" t="s">
        <v>676</v>
      </c>
      <c r="D5767" t="s">
        <v>112</v>
      </c>
      <c r="E5767" t="s">
        <v>9</v>
      </c>
      <c r="F5767" s="3">
        <v>-345</v>
      </c>
      <c r="G5767" s="3">
        <v>-345</v>
      </c>
      <c r="H5767" t="s">
        <v>3</v>
      </c>
      <c r="I5767" t="s">
        <v>3</v>
      </c>
      <c r="J5767" t="s">
        <v>368</v>
      </c>
      <c r="K5767" t="s">
        <v>13</v>
      </c>
      <c r="L5767" t="s">
        <v>16</v>
      </c>
      <c r="M5767" t="s">
        <v>114</v>
      </c>
      <c r="N5767" s="2">
        <v>46082</v>
      </c>
    </row>
    <row r="5768" spans="1:14" x14ac:dyDescent="0.25">
      <c r="A5768" t="s">
        <v>676</v>
      </c>
      <c r="B5768" s="2">
        <v>46112</v>
      </c>
      <c r="C5768" t="s">
        <v>676</v>
      </c>
      <c r="D5768" t="s">
        <v>112</v>
      </c>
      <c r="E5768" t="s">
        <v>9</v>
      </c>
      <c r="F5768" s="3">
        <v>8395</v>
      </c>
      <c r="G5768" s="3">
        <v>8395</v>
      </c>
      <c r="H5768" t="s">
        <v>3</v>
      </c>
      <c r="I5768" t="s">
        <v>3</v>
      </c>
      <c r="J5768" t="s">
        <v>369</v>
      </c>
      <c r="K5768" t="s">
        <v>13</v>
      </c>
      <c r="L5768" t="s">
        <v>16</v>
      </c>
      <c r="M5768" t="s">
        <v>114</v>
      </c>
      <c r="N5768" s="2">
        <v>46112</v>
      </c>
    </row>
    <row r="5769" spans="1:14" x14ac:dyDescent="0.25">
      <c r="A5769" s="4" t="s">
        <v>244</v>
      </c>
      <c r="B5769" s="5"/>
      <c r="C5769" s="4" t="s">
        <v>9</v>
      </c>
      <c r="D5769" s="4" t="s">
        <v>9</v>
      </c>
      <c r="E5769" s="4" t="s">
        <v>9</v>
      </c>
      <c r="F5769" s="6">
        <v>0</v>
      </c>
      <c r="G5769" s="6">
        <v>0</v>
      </c>
      <c r="H5769" s="4" t="s">
        <v>9</v>
      </c>
      <c r="I5769" s="4" t="s">
        <v>3</v>
      </c>
      <c r="J5769" s="4" t="s">
        <v>9</v>
      </c>
      <c r="K5769" s="4" t="s">
        <v>9</v>
      </c>
      <c r="L5769" s="4" t="s">
        <v>9</v>
      </c>
      <c r="M5769" s="4" t="s">
        <v>9</v>
      </c>
      <c r="N5769" s="5"/>
    </row>
    <row r="5770" spans="1:14" x14ac:dyDescent="0.25">
      <c r="A5770" t="s">
        <v>676</v>
      </c>
      <c r="B5770" s="2">
        <v>46147</v>
      </c>
      <c r="C5770" t="s">
        <v>676</v>
      </c>
      <c r="D5770" t="s">
        <v>112</v>
      </c>
      <c r="E5770" t="s">
        <v>9</v>
      </c>
      <c r="F5770" s="3">
        <v>-6095</v>
      </c>
      <c r="G5770" s="3">
        <v>-6095</v>
      </c>
      <c r="H5770" t="s">
        <v>3</v>
      </c>
      <c r="I5770" t="s">
        <v>3</v>
      </c>
      <c r="J5770" t="s">
        <v>9</v>
      </c>
      <c r="K5770" t="s">
        <v>9</v>
      </c>
      <c r="L5770" t="s">
        <v>17</v>
      </c>
      <c r="M5770" t="s">
        <v>114</v>
      </c>
      <c r="N5770" s="2">
        <v>46142</v>
      </c>
    </row>
    <row r="5771" spans="1:14" x14ac:dyDescent="0.25">
      <c r="A5771" t="s">
        <v>676</v>
      </c>
      <c r="B5771" s="2">
        <v>46112</v>
      </c>
      <c r="C5771" t="s">
        <v>676</v>
      </c>
      <c r="D5771" t="s">
        <v>112</v>
      </c>
      <c r="E5771" t="s">
        <v>9</v>
      </c>
      <c r="F5771" s="3">
        <v>-8395</v>
      </c>
      <c r="G5771" s="3">
        <v>-8395</v>
      </c>
      <c r="H5771" t="s">
        <v>3</v>
      </c>
      <c r="I5771" t="s">
        <v>3</v>
      </c>
      <c r="J5771" t="s">
        <v>369</v>
      </c>
      <c r="K5771" t="s">
        <v>13</v>
      </c>
      <c r="L5771" t="s">
        <v>17</v>
      </c>
      <c r="M5771" t="s">
        <v>114</v>
      </c>
      <c r="N5771" s="2">
        <v>46113</v>
      </c>
    </row>
    <row r="5772" spans="1:14" x14ac:dyDescent="0.25">
      <c r="A5772" t="s">
        <v>676</v>
      </c>
      <c r="B5772" s="2">
        <v>46142</v>
      </c>
      <c r="C5772" t="s">
        <v>676</v>
      </c>
      <c r="D5772" t="s">
        <v>112</v>
      </c>
      <c r="E5772" t="s">
        <v>9</v>
      </c>
      <c r="F5772" s="3">
        <v>14490</v>
      </c>
      <c r="G5772" s="3">
        <v>14490</v>
      </c>
      <c r="H5772" t="s">
        <v>3</v>
      </c>
      <c r="I5772" t="s">
        <v>3</v>
      </c>
      <c r="J5772" t="s">
        <v>370</v>
      </c>
      <c r="K5772" t="s">
        <v>13</v>
      </c>
      <c r="L5772" t="s">
        <v>17</v>
      </c>
      <c r="M5772" t="s">
        <v>114</v>
      </c>
      <c r="N5772" s="2">
        <v>46142</v>
      </c>
    </row>
    <row r="5773" spans="1:14" x14ac:dyDescent="0.25">
      <c r="A5773" s="4" t="s">
        <v>249</v>
      </c>
      <c r="B5773" s="5"/>
      <c r="C5773" s="4" t="s">
        <v>9</v>
      </c>
      <c r="D5773" s="4" t="s">
        <v>9</v>
      </c>
      <c r="E5773" s="4" t="s">
        <v>9</v>
      </c>
      <c r="F5773" s="6">
        <v>0</v>
      </c>
      <c r="G5773" s="6">
        <v>0</v>
      </c>
      <c r="H5773" s="4" t="s">
        <v>9</v>
      </c>
      <c r="I5773" s="4" t="s">
        <v>3</v>
      </c>
      <c r="J5773" s="4" t="s">
        <v>9</v>
      </c>
      <c r="K5773" s="4" t="s">
        <v>9</v>
      </c>
      <c r="L5773" s="4" t="s">
        <v>9</v>
      </c>
      <c r="M5773" s="4" t="s">
        <v>9</v>
      </c>
      <c r="N5773" s="5"/>
    </row>
    <row r="5774" spans="1:14" x14ac:dyDescent="0.25">
      <c r="A5774" t="s">
        <v>676</v>
      </c>
      <c r="B5774" s="2">
        <v>46175</v>
      </c>
      <c r="C5774" t="s">
        <v>676</v>
      </c>
      <c r="D5774" t="s">
        <v>112</v>
      </c>
      <c r="E5774" t="s">
        <v>9</v>
      </c>
      <c r="F5774" s="3">
        <v>-2350</v>
      </c>
      <c r="G5774" s="3">
        <v>-2350</v>
      </c>
      <c r="H5774" t="s">
        <v>3</v>
      </c>
      <c r="I5774" t="s">
        <v>3</v>
      </c>
      <c r="J5774" t="s">
        <v>9</v>
      </c>
      <c r="K5774" t="s">
        <v>9</v>
      </c>
      <c r="L5774" t="s">
        <v>18</v>
      </c>
      <c r="M5774" t="s">
        <v>114</v>
      </c>
      <c r="N5774" s="2">
        <v>46173</v>
      </c>
    </row>
    <row r="5775" spans="1:14" x14ac:dyDescent="0.25">
      <c r="A5775" t="s">
        <v>676</v>
      </c>
      <c r="B5775" s="2">
        <v>46142</v>
      </c>
      <c r="C5775" t="s">
        <v>676</v>
      </c>
      <c r="D5775" t="s">
        <v>112</v>
      </c>
      <c r="E5775" t="s">
        <v>9</v>
      </c>
      <c r="F5775" s="3">
        <v>-14490</v>
      </c>
      <c r="G5775" s="3">
        <v>-14490</v>
      </c>
      <c r="H5775" t="s">
        <v>3</v>
      </c>
      <c r="I5775" t="s">
        <v>3</v>
      </c>
      <c r="J5775" t="s">
        <v>370</v>
      </c>
      <c r="K5775" t="s">
        <v>13</v>
      </c>
      <c r="L5775" t="s">
        <v>18</v>
      </c>
      <c r="M5775" t="s">
        <v>114</v>
      </c>
      <c r="N5775" s="2">
        <v>46143</v>
      </c>
    </row>
    <row r="5776" spans="1:14" x14ac:dyDescent="0.25">
      <c r="A5776" t="s">
        <v>676</v>
      </c>
      <c r="B5776" s="2">
        <v>46173</v>
      </c>
      <c r="C5776" t="s">
        <v>676</v>
      </c>
      <c r="D5776" t="s">
        <v>112</v>
      </c>
      <c r="E5776" t="s">
        <v>9</v>
      </c>
      <c r="F5776" s="3">
        <v>16840</v>
      </c>
      <c r="G5776" s="3">
        <v>16840</v>
      </c>
      <c r="H5776" t="s">
        <v>3</v>
      </c>
      <c r="I5776" t="s">
        <v>3</v>
      </c>
      <c r="J5776" t="s">
        <v>371</v>
      </c>
      <c r="K5776" t="s">
        <v>13</v>
      </c>
      <c r="L5776" t="s">
        <v>18</v>
      </c>
      <c r="M5776" t="s">
        <v>114</v>
      </c>
      <c r="N5776" s="2">
        <v>46173</v>
      </c>
    </row>
    <row r="5777" spans="1:14" x14ac:dyDescent="0.25">
      <c r="A5777" s="4" t="s">
        <v>223</v>
      </c>
      <c r="B5777" s="5"/>
      <c r="C5777" s="4" t="s">
        <v>9</v>
      </c>
      <c r="D5777" s="4" t="s">
        <v>9</v>
      </c>
      <c r="E5777" s="4" t="s">
        <v>9</v>
      </c>
      <c r="F5777" s="6">
        <v>0</v>
      </c>
      <c r="G5777" s="6">
        <v>0</v>
      </c>
      <c r="H5777" s="4" t="s">
        <v>9</v>
      </c>
      <c r="I5777" s="4" t="s">
        <v>3</v>
      </c>
      <c r="J5777" s="4" t="s">
        <v>9</v>
      </c>
      <c r="K5777" s="4" t="s">
        <v>9</v>
      </c>
      <c r="L5777" s="4" t="s">
        <v>9</v>
      </c>
      <c r="M5777" s="4" t="s">
        <v>9</v>
      </c>
      <c r="N5777" s="5"/>
    </row>
    <row r="5778" spans="1:14" x14ac:dyDescent="0.25">
      <c r="A5778" t="s">
        <v>676</v>
      </c>
      <c r="B5778" s="2">
        <v>46205</v>
      </c>
      <c r="C5778" t="s">
        <v>676</v>
      </c>
      <c r="D5778" t="s">
        <v>112</v>
      </c>
      <c r="E5778" t="s">
        <v>9</v>
      </c>
      <c r="F5778" s="3">
        <v>-5781.46</v>
      </c>
      <c r="G5778" s="3">
        <v>-5781.46</v>
      </c>
      <c r="H5778" t="s">
        <v>3</v>
      </c>
      <c r="I5778" t="s">
        <v>3</v>
      </c>
      <c r="J5778" t="s">
        <v>9</v>
      </c>
      <c r="K5778" t="s">
        <v>9</v>
      </c>
      <c r="L5778" t="s">
        <v>19</v>
      </c>
      <c r="M5778" t="s">
        <v>114</v>
      </c>
      <c r="N5778" s="2">
        <v>46203</v>
      </c>
    </row>
    <row r="5779" spans="1:14" x14ac:dyDescent="0.25">
      <c r="A5779" t="s">
        <v>676</v>
      </c>
      <c r="B5779" s="2">
        <v>46173</v>
      </c>
      <c r="C5779" t="s">
        <v>676</v>
      </c>
      <c r="D5779" t="s">
        <v>112</v>
      </c>
      <c r="E5779" t="s">
        <v>9</v>
      </c>
      <c r="F5779" s="3">
        <v>-16840</v>
      </c>
      <c r="G5779" s="3">
        <v>-16840</v>
      </c>
      <c r="H5779" t="s">
        <v>3</v>
      </c>
      <c r="I5779" t="s">
        <v>3</v>
      </c>
      <c r="J5779" t="s">
        <v>371</v>
      </c>
      <c r="K5779" t="s">
        <v>13</v>
      </c>
      <c r="L5779" t="s">
        <v>19</v>
      </c>
      <c r="M5779" t="s">
        <v>114</v>
      </c>
      <c r="N5779" s="2">
        <v>46174</v>
      </c>
    </row>
    <row r="5780" spans="1:14" x14ac:dyDescent="0.25">
      <c r="A5780" t="s">
        <v>676</v>
      </c>
      <c r="B5780" s="2">
        <v>46203</v>
      </c>
      <c r="C5780" t="s">
        <v>676</v>
      </c>
      <c r="D5780" t="s">
        <v>112</v>
      </c>
      <c r="E5780" t="s">
        <v>9</v>
      </c>
      <c r="F5780" s="3">
        <v>22621.46</v>
      </c>
      <c r="G5780" s="3">
        <v>22621.46</v>
      </c>
      <c r="H5780" t="s">
        <v>3</v>
      </c>
      <c r="I5780" t="s">
        <v>3</v>
      </c>
      <c r="J5780" t="s">
        <v>372</v>
      </c>
      <c r="K5780" t="s">
        <v>13</v>
      </c>
      <c r="L5780" t="s">
        <v>19</v>
      </c>
      <c r="M5780" t="s">
        <v>114</v>
      </c>
      <c r="N5780" s="2">
        <v>46203</v>
      </c>
    </row>
    <row r="5781" spans="1:14" x14ac:dyDescent="0.25">
      <c r="A5781" s="4" t="s">
        <v>224</v>
      </c>
      <c r="B5781" s="5"/>
      <c r="C5781" s="4" t="s">
        <v>9</v>
      </c>
      <c r="D5781" s="4" t="s">
        <v>9</v>
      </c>
      <c r="E5781" s="4" t="s">
        <v>9</v>
      </c>
      <c r="F5781" s="6">
        <v>0</v>
      </c>
      <c r="G5781" s="6">
        <v>0</v>
      </c>
      <c r="H5781" s="4" t="s">
        <v>9</v>
      </c>
      <c r="I5781" s="4" t="s">
        <v>3</v>
      </c>
      <c r="J5781" s="4" t="s">
        <v>9</v>
      </c>
      <c r="K5781" s="4" t="s">
        <v>9</v>
      </c>
      <c r="L5781" s="4" t="s">
        <v>9</v>
      </c>
      <c r="M5781" s="4" t="s">
        <v>9</v>
      </c>
      <c r="N5781" s="5"/>
    </row>
    <row r="5782" spans="1:14" x14ac:dyDescent="0.25">
      <c r="A5782" t="s">
        <v>676</v>
      </c>
      <c r="B5782" s="2">
        <v>46239</v>
      </c>
      <c r="C5782" t="s">
        <v>676</v>
      </c>
      <c r="D5782" t="s">
        <v>112</v>
      </c>
      <c r="E5782" t="s">
        <v>9</v>
      </c>
      <c r="F5782" s="3">
        <v>-1718.54</v>
      </c>
      <c r="G5782" s="3">
        <v>-1718.54</v>
      </c>
      <c r="H5782" t="s">
        <v>3</v>
      </c>
      <c r="I5782" t="s">
        <v>3</v>
      </c>
      <c r="J5782" t="s">
        <v>9</v>
      </c>
      <c r="K5782" t="s">
        <v>9</v>
      </c>
      <c r="L5782" t="s">
        <v>21</v>
      </c>
      <c r="M5782" t="s">
        <v>114</v>
      </c>
      <c r="N5782" s="2">
        <v>46234</v>
      </c>
    </row>
    <row r="5783" spans="1:14" x14ac:dyDescent="0.25">
      <c r="A5783" t="s">
        <v>676</v>
      </c>
      <c r="B5783" s="2">
        <v>46203</v>
      </c>
      <c r="C5783" t="s">
        <v>676</v>
      </c>
      <c r="D5783" t="s">
        <v>112</v>
      </c>
      <c r="E5783" t="s">
        <v>9</v>
      </c>
      <c r="F5783" s="3">
        <v>-22621.46</v>
      </c>
      <c r="G5783" s="3">
        <v>-22621.46</v>
      </c>
      <c r="H5783" t="s">
        <v>3</v>
      </c>
      <c r="I5783" t="s">
        <v>3</v>
      </c>
      <c r="J5783" t="s">
        <v>372</v>
      </c>
      <c r="K5783" t="s">
        <v>13</v>
      </c>
      <c r="L5783" t="s">
        <v>21</v>
      </c>
      <c r="M5783" t="s">
        <v>114</v>
      </c>
      <c r="N5783" s="2">
        <v>46204</v>
      </c>
    </row>
    <row r="5784" spans="1:14" x14ac:dyDescent="0.25">
      <c r="A5784" t="s">
        <v>676</v>
      </c>
      <c r="B5784" s="2">
        <v>46234</v>
      </c>
      <c r="C5784" t="s">
        <v>676</v>
      </c>
      <c r="D5784" t="s">
        <v>112</v>
      </c>
      <c r="E5784" t="s">
        <v>9</v>
      </c>
      <c r="F5784" s="3">
        <v>24340</v>
      </c>
      <c r="G5784" s="3">
        <v>24340</v>
      </c>
      <c r="H5784" t="s">
        <v>3</v>
      </c>
      <c r="I5784" t="s">
        <v>3</v>
      </c>
      <c r="J5784" t="s">
        <v>373</v>
      </c>
      <c r="K5784" t="s">
        <v>13</v>
      </c>
      <c r="L5784" t="s">
        <v>21</v>
      </c>
      <c r="M5784" t="s">
        <v>114</v>
      </c>
      <c r="N5784" s="2">
        <v>46234</v>
      </c>
    </row>
    <row r="5785" spans="1:14" x14ac:dyDescent="0.25">
      <c r="A5785" s="4" t="s">
        <v>262</v>
      </c>
      <c r="B5785" s="5"/>
      <c r="C5785" s="4" t="s">
        <v>9</v>
      </c>
      <c r="D5785" s="4" t="s">
        <v>9</v>
      </c>
      <c r="E5785" s="4" t="s">
        <v>9</v>
      </c>
      <c r="F5785" s="6">
        <v>0</v>
      </c>
      <c r="G5785" s="6">
        <v>0</v>
      </c>
      <c r="H5785" s="4" t="s">
        <v>9</v>
      </c>
      <c r="I5785" s="4" t="s">
        <v>3</v>
      </c>
      <c r="J5785" s="4" t="s">
        <v>9</v>
      </c>
      <c r="K5785" s="4" t="s">
        <v>9</v>
      </c>
      <c r="L5785" s="4" t="s">
        <v>9</v>
      </c>
      <c r="M5785" s="4" t="s">
        <v>9</v>
      </c>
      <c r="N5785" s="5"/>
    </row>
    <row r="5786" spans="1:14" x14ac:dyDescent="0.25">
      <c r="A5786" t="s">
        <v>676</v>
      </c>
      <c r="B5786" s="2">
        <v>46267</v>
      </c>
      <c r="C5786" t="s">
        <v>676</v>
      </c>
      <c r="D5786" t="s">
        <v>112</v>
      </c>
      <c r="E5786" t="s">
        <v>9</v>
      </c>
      <c r="F5786" s="3">
        <v>-945</v>
      </c>
      <c r="G5786" s="3">
        <v>-945</v>
      </c>
      <c r="H5786" t="s">
        <v>3</v>
      </c>
      <c r="I5786" t="s">
        <v>3</v>
      </c>
      <c r="J5786" t="s">
        <v>9</v>
      </c>
      <c r="K5786" t="s">
        <v>9</v>
      </c>
      <c r="L5786" t="s">
        <v>22</v>
      </c>
      <c r="M5786" t="s">
        <v>114</v>
      </c>
      <c r="N5786" s="2">
        <v>46265</v>
      </c>
    </row>
    <row r="5787" spans="1:14" x14ac:dyDescent="0.25">
      <c r="A5787" t="s">
        <v>676</v>
      </c>
      <c r="B5787" s="2">
        <v>46234</v>
      </c>
      <c r="C5787" t="s">
        <v>676</v>
      </c>
      <c r="D5787" t="s">
        <v>112</v>
      </c>
      <c r="E5787" t="s">
        <v>9</v>
      </c>
      <c r="F5787" s="3">
        <v>-24340</v>
      </c>
      <c r="G5787" s="3">
        <v>-24340</v>
      </c>
      <c r="H5787" t="s">
        <v>3</v>
      </c>
      <c r="I5787" t="s">
        <v>3</v>
      </c>
      <c r="J5787" t="s">
        <v>373</v>
      </c>
      <c r="K5787" t="s">
        <v>13</v>
      </c>
      <c r="L5787" t="s">
        <v>22</v>
      </c>
      <c r="M5787" t="s">
        <v>114</v>
      </c>
      <c r="N5787" s="2">
        <v>46235</v>
      </c>
    </row>
    <row r="5788" spans="1:14" x14ac:dyDescent="0.25">
      <c r="A5788" t="s">
        <v>676</v>
      </c>
      <c r="B5788" s="2">
        <v>46265</v>
      </c>
      <c r="C5788" t="s">
        <v>676</v>
      </c>
      <c r="D5788" t="s">
        <v>112</v>
      </c>
      <c r="E5788" t="s">
        <v>9</v>
      </c>
      <c r="F5788" s="3">
        <v>24340</v>
      </c>
      <c r="G5788" s="3">
        <v>24340</v>
      </c>
      <c r="H5788" t="s">
        <v>3</v>
      </c>
      <c r="I5788" t="s">
        <v>3</v>
      </c>
      <c r="J5788" t="s">
        <v>430</v>
      </c>
      <c r="K5788" t="s">
        <v>13</v>
      </c>
      <c r="L5788" t="s">
        <v>22</v>
      </c>
      <c r="M5788" t="s">
        <v>114</v>
      </c>
      <c r="N5788" s="2">
        <v>46265</v>
      </c>
    </row>
    <row r="5789" spans="1:14" x14ac:dyDescent="0.25">
      <c r="A5789" t="s">
        <v>676</v>
      </c>
      <c r="B5789" s="2">
        <v>46265</v>
      </c>
      <c r="C5789" t="s">
        <v>676</v>
      </c>
      <c r="D5789" t="s">
        <v>112</v>
      </c>
      <c r="E5789" t="s">
        <v>9</v>
      </c>
      <c r="F5789" s="3">
        <v>945</v>
      </c>
      <c r="G5789" s="3">
        <v>945</v>
      </c>
      <c r="H5789" t="s">
        <v>3</v>
      </c>
      <c r="I5789" t="s">
        <v>3</v>
      </c>
      <c r="J5789" t="s">
        <v>511</v>
      </c>
      <c r="K5789" t="s">
        <v>13</v>
      </c>
      <c r="L5789" t="s">
        <v>22</v>
      </c>
      <c r="M5789" t="s">
        <v>114</v>
      </c>
      <c r="N5789" s="2">
        <v>46265</v>
      </c>
    </row>
    <row r="5790" spans="1:14" x14ac:dyDescent="0.25">
      <c r="A5790" s="4" t="s">
        <v>267</v>
      </c>
      <c r="B5790" s="5"/>
      <c r="C5790" s="4" t="s">
        <v>9</v>
      </c>
      <c r="D5790" s="4" t="s">
        <v>9</v>
      </c>
      <c r="E5790" s="4" t="s">
        <v>9</v>
      </c>
      <c r="F5790" s="6">
        <v>0</v>
      </c>
      <c r="G5790" s="6">
        <v>0</v>
      </c>
      <c r="H5790" s="4" t="s">
        <v>9</v>
      </c>
      <c r="I5790" s="4" t="s">
        <v>3</v>
      </c>
      <c r="J5790" s="4" t="s">
        <v>9</v>
      </c>
      <c r="K5790" s="4" t="s">
        <v>9</v>
      </c>
      <c r="L5790" s="4" t="s">
        <v>9</v>
      </c>
      <c r="M5790" s="4" t="s">
        <v>9</v>
      </c>
      <c r="N5790" s="5"/>
    </row>
    <row r="5791" spans="1:14" x14ac:dyDescent="0.25">
      <c r="A5791" s="4" t="s">
        <v>676</v>
      </c>
      <c r="B5791" s="5"/>
      <c r="C5791" s="4" t="s">
        <v>9</v>
      </c>
      <c r="D5791" s="4" t="s">
        <v>9</v>
      </c>
      <c r="E5791" s="4" t="s">
        <v>9</v>
      </c>
      <c r="F5791" s="6">
        <v>0</v>
      </c>
      <c r="G5791" s="6">
        <v>0</v>
      </c>
      <c r="H5791" s="4" t="s">
        <v>9</v>
      </c>
      <c r="I5791" s="4" t="s">
        <v>3</v>
      </c>
      <c r="J5791" s="4" t="s">
        <v>9</v>
      </c>
      <c r="K5791" s="4" t="s">
        <v>9</v>
      </c>
      <c r="L5791" s="4" t="s">
        <v>9</v>
      </c>
      <c r="M5791" s="4" t="s">
        <v>9</v>
      </c>
      <c r="N5791" s="5"/>
    </row>
    <row r="5792" spans="1:14" x14ac:dyDescent="0.25">
      <c r="A5792" t="s">
        <v>677</v>
      </c>
      <c r="B5792" s="2">
        <v>46115</v>
      </c>
      <c r="C5792" t="s">
        <v>677</v>
      </c>
      <c r="D5792" t="s">
        <v>112</v>
      </c>
      <c r="E5792" t="s">
        <v>9</v>
      </c>
      <c r="F5792" s="3">
        <v>-125592</v>
      </c>
      <c r="G5792" s="3">
        <v>-125592</v>
      </c>
      <c r="H5792" t="s">
        <v>3</v>
      </c>
      <c r="I5792" t="s">
        <v>3</v>
      </c>
      <c r="J5792" t="s">
        <v>9</v>
      </c>
      <c r="K5792" t="s">
        <v>9</v>
      </c>
      <c r="L5792" t="s">
        <v>16</v>
      </c>
      <c r="M5792" t="s">
        <v>114</v>
      </c>
      <c r="N5792" s="2">
        <v>46112</v>
      </c>
    </row>
    <row r="5793" spans="1:14" x14ac:dyDescent="0.25">
      <c r="A5793" t="s">
        <v>677</v>
      </c>
      <c r="B5793" s="2">
        <v>46115</v>
      </c>
      <c r="C5793" t="s">
        <v>677</v>
      </c>
      <c r="D5793" t="s">
        <v>301</v>
      </c>
      <c r="E5793" t="s">
        <v>9</v>
      </c>
      <c r="F5793" s="3">
        <v>125592</v>
      </c>
      <c r="G5793" s="3">
        <v>125592</v>
      </c>
      <c r="H5793" t="s">
        <v>3</v>
      </c>
      <c r="I5793" t="s">
        <v>3</v>
      </c>
      <c r="J5793" t="s">
        <v>9</v>
      </c>
      <c r="K5793" t="s">
        <v>9</v>
      </c>
      <c r="L5793" t="s">
        <v>16</v>
      </c>
      <c r="M5793" t="s">
        <v>302</v>
      </c>
      <c r="N5793" s="2">
        <v>46112</v>
      </c>
    </row>
    <row r="5794" spans="1:14" x14ac:dyDescent="0.25">
      <c r="A5794" t="s">
        <v>677</v>
      </c>
      <c r="B5794" s="2">
        <v>46112</v>
      </c>
      <c r="C5794" t="s">
        <v>677</v>
      </c>
      <c r="D5794" t="s">
        <v>112</v>
      </c>
      <c r="E5794" t="s">
        <v>9</v>
      </c>
      <c r="F5794" s="3">
        <v>2500</v>
      </c>
      <c r="G5794" s="3">
        <v>2500</v>
      </c>
      <c r="H5794" t="s">
        <v>3</v>
      </c>
      <c r="I5794" t="s">
        <v>3</v>
      </c>
      <c r="J5794" t="s">
        <v>307</v>
      </c>
      <c r="K5794" t="s">
        <v>13</v>
      </c>
      <c r="L5794" t="s">
        <v>16</v>
      </c>
      <c r="M5794" t="s">
        <v>114</v>
      </c>
      <c r="N5794" s="2">
        <v>46112</v>
      </c>
    </row>
    <row r="5795" spans="1:14" x14ac:dyDescent="0.25">
      <c r="A5795" t="s">
        <v>677</v>
      </c>
      <c r="B5795" s="2">
        <v>46112</v>
      </c>
      <c r="C5795" t="s">
        <v>677</v>
      </c>
      <c r="D5795" t="s">
        <v>112</v>
      </c>
      <c r="E5795" t="s">
        <v>9</v>
      </c>
      <c r="F5795" s="3">
        <v>123092</v>
      </c>
      <c r="G5795" s="3">
        <v>123092</v>
      </c>
      <c r="H5795" t="s">
        <v>3</v>
      </c>
      <c r="I5795" t="s">
        <v>3</v>
      </c>
      <c r="J5795" t="s">
        <v>395</v>
      </c>
      <c r="K5795" t="s">
        <v>13</v>
      </c>
      <c r="L5795" t="s">
        <v>16</v>
      </c>
      <c r="M5795" t="s">
        <v>114</v>
      </c>
      <c r="N5795" s="2">
        <v>46112</v>
      </c>
    </row>
    <row r="5796" spans="1:14" x14ac:dyDescent="0.25">
      <c r="A5796" t="s">
        <v>677</v>
      </c>
      <c r="B5796" s="2">
        <v>46112</v>
      </c>
      <c r="C5796" t="s">
        <v>677</v>
      </c>
      <c r="D5796" t="s">
        <v>301</v>
      </c>
      <c r="E5796" t="s">
        <v>9</v>
      </c>
      <c r="F5796" s="3">
        <v>-125592</v>
      </c>
      <c r="G5796" s="3">
        <v>-125592</v>
      </c>
      <c r="H5796" t="s">
        <v>3</v>
      </c>
      <c r="I5796" t="s">
        <v>3</v>
      </c>
      <c r="J5796" t="s">
        <v>10</v>
      </c>
      <c r="K5796" t="s">
        <v>13</v>
      </c>
      <c r="L5796" t="s">
        <v>16</v>
      </c>
      <c r="M5796" t="s">
        <v>302</v>
      </c>
      <c r="N5796" s="2">
        <v>46112</v>
      </c>
    </row>
    <row r="5797" spans="1:14" x14ac:dyDescent="0.25">
      <c r="A5797" s="4" t="s">
        <v>244</v>
      </c>
      <c r="B5797" s="5"/>
      <c r="C5797" s="4" t="s">
        <v>9</v>
      </c>
      <c r="D5797" s="4" t="s">
        <v>9</v>
      </c>
      <c r="E5797" s="4" t="s">
        <v>9</v>
      </c>
      <c r="F5797" s="6">
        <v>0</v>
      </c>
      <c r="G5797" s="6">
        <v>0</v>
      </c>
      <c r="H5797" s="4" t="s">
        <v>9</v>
      </c>
      <c r="I5797" s="4" t="s">
        <v>3</v>
      </c>
      <c r="J5797" s="4" t="s">
        <v>9</v>
      </c>
      <c r="K5797" s="4" t="s">
        <v>9</v>
      </c>
      <c r="L5797" s="4" t="s">
        <v>9</v>
      </c>
      <c r="M5797" s="4" t="s">
        <v>9</v>
      </c>
      <c r="N5797" s="5"/>
    </row>
    <row r="5798" spans="1:14" x14ac:dyDescent="0.25">
      <c r="A5798" t="s">
        <v>677</v>
      </c>
      <c r="B5798" s="2">
        <v>46147</v>
      </c>
      <c r="C5798" t="s">
        <v>677</v>
      </c>
      <c r="D5798" t="s">
        <v>112</v>
      </c>
      <c r="E5798" t="s">
        <v>9</v>
      </c>
      <c r="F5798" s="3">
        <v>-42045</v>
      </c>
      <c r="G5798" s="3">
        <v>-42045</v>
      </c>
      <c r="H5798" t="s">
        <v>3</v>
      </c>
      <c r="I5798" t="s">
        <v>3</v>
      </c>
      <c r="J5798" t="s">
        <v>9</v>
      </c>
      <c r="K5798" t="s">
        <v>9</v>
      </c>
      <c r="L5798" t="s">
        <v>17</v>
      </c>
      <c r="M5798" t="s">
        <v>114</v>
      </c>
      <c r="N5798" s="2">
        <v>46142</v>
      </c>
    </row>
    <row r="5799" spans="1:14" x14ac:dyDescent="0.25">
      <c r="A5799" t="s">
        <v>677</v>
      </c>
      <c r="B5799" s="2">
        <v>46147</v>
      </c>
      <c r="C5799" t="s">
        <v>677</v>
      </c>
      <c r="D5799" t="s">
        <v>301</v>
      </c>
      <c r="E5799" t="s">
        <v>9</v>
      </c>
      <c r="F5799" s="3">
        <v>42045</v>
      </c>
      <c r="G5799" s="3">
        <v>42045</v>
      </c>
      <c r="H5799" t="s">
        <v>3</v>
      </c>
      <c r="I5799" t="s">
        <v>3</v>
      </c>
      <c r="J5799" t="s">
        <v>9</v>
      </c>
      <c r="K5799" t="s">
        <v>9</v>
      </c>
      <c r="L5799" t="s">
        <v>17</v>
      </c>
      <c r="M5799" t="s">
        <v>302</v>
      </c>
      <c r="N5799" s="2">
        <v>46142</v>
      </c>
    </row>
    <row r="5800" spans="1:14" x14ac:dyDescent="0.25">
      <c r="A5800" t="s">
        <v>677</v>
      </c>
      <c r="B5800" s="2">
        <v>46112</v>
      </c>
      <c r="C5800" t="s">
        <v>677</v>
      </c>
      <c r="D5800" t="s">
        <v>112</v>
      </c>
      <c r="E5800" t="s">
        <v>9</v>
      </c>
      <c r="F5800" s="3">
        <v>-2500</v>
      </c>
      <c r="G5800" s="3">
        <v>-2500</v>
      </c>
      <c r="H5800" t="s">
        <v>3</v>
      </c>
      <c r="I5800" t="s">
        <v>3</v>
      </c>
      <c r="J5800" t="s">
        <v>307</v>
      </c>
      <c r="K5800" t="s">
        <v>13</v>
      </c>
      <c r="L5800" t="s">
        <v>17</v>
      </c>
      <c r="M5800" t="s">
        <v>114</v>
      </c>
      <c r="N5800" s="2">
        <v>46113</v>
      </c>
    </row>
    <row r="5801" spans="1:14" x14ac:dyDescent="0.25">
      <c r="A5801" t="s">
        <v>677</v>
      </c>
      <c r="B5801" s="2">
        <v>46112</v>
      </c>
      <c r="C5801" t="s">
        <v>677</v>
      </c>
      <c r="D5801" t="s">
        <v>112</v>
      </c>
      <c r="E5801" t="s">
        <v>9</v>
      </c>
      <c r="F5801" s="3">
        <v>-123092</v>
      </c>
      <c r="G5801" s="3">
        <v>-123092</v>
      </c>
      <c r="H5801" t="s">
        <v>3</v>
      </c>
      <c r="I5801" t="s">
        <v>3</v>
      </c>
      <c r="J5801" t="s">
        <v>395</v>
      </c>
      <c r="K5801" t="s">
        <v>13</v>
      </c>
      <c r="L5801" t="s">
        <v>17</v>
      </c>
      <c r="M5801" t="s">
        <v>114</v>
      </c>
      <c r="N5801" s="2">
        <v>46113</v>
      </c>
    </row>
    <row r="5802" spans="1:14" x14ac:dyDescent="0.25">
      <c r="A5802" t="s">
        <v>677</v>
      </c>
      <c r="B5802" s="2">
        <v>46142</v>
      </c>
      <c r="C5802" t="s">
        <v>677</v>
      </c>
      <c r="D5802" t="s">
        <v>112</v>
      </c>
      <c r="E5802" t="s">
        <v>9</v>
      </c>
      <c r="F5802" s="3">
        <v>3400</v>
      </c>
      <c r="G5802" s="3">
        <v>3400</v>
      </c>
      <c r="H5802" t="s">
        <v>3</v>
      </c>
      <c r="I5802" t="s">
        <v>3</v>
      </c>
      <c r="J5802" t="s">
        <v>310</v>
      </c>
      <c r="K5802" t="s">
        <v>13</v>
      </c>
      <c r="L5802" t="s">
        <v>17</v>
      </c>
      <c r="M5802" t="s">
        <v>114</v>
      </c>
      <c r="N5802" s="2">
        <v>46142</v>
      </c>
    </row>
    <row r="5803" spans="1:14" x14ac:dyDescent="0.25">
      <c r="A5803" t="s">
        <v>677</v>
      </c>
      <c r="B5803" s="2">
        <v>46142</v>
      </c>
      <c r="C5803" t="s">
        <v>677</v>
      </c>
      <c r="D5803" t="s">
        <v>112</v>
      </c>
      <c r="E5803" t="s">
        <v>9</v>
      </c>
      <c r="F5803" s="3">
        <v>164237</v>
      </c>
      <c r="G5803" s="3">
        <v>164237</v>
      </c>
      <c r="H5803" t="s">
        <v>3</v>
      </c>
      <c r="I5803" t="s">
        <v>3</v>
      </c>
      <c r="J5803" t="s">
        <v>423</v>
      </c>
      <c r="K5803" t="s">
        <v>13</v>
      </c>
      <c r="L5803" t="s">
        <v>17</v>
      </c>
      <c r="M5803" t="s">
        <v>114</v>
      </c>
      <c r="N5803" s="2">
        <v>46142</v>
      </c>
    </row>
    <row r="5804" spans="1:14" x14ac:dyDescent="0.25">
      <c r="A5804" t="s">
        <v>677</v>
      </c>
      <c r="B5804" s="2">
        <v>46142</v>
      </c>
      <c r="C5804" t="s">
        <v>677</v>
      </c>
      <c r="D5804" t="s">
        <v>301</v>
      </c>
      <c r="E5804" t="s">
        <v>9</v>
      </c>
      <c r="F5804" s="3">
        <v>-42045</v>
      </c>
      <c r="G5804" s="3">
        <v>-42045</v>
      </c>
      <c r="H5804" t="s">
        <v>3</v>
      </c>
      <c r="I5804" t="s">
        <v>3</v>
      </c>
      <c r="J5804" t="s">
        <v>10</v>
      </c>
      <c r="K5804" t="s">
        <v>13</v>
      </c>
      <c r="L5804" t="s">
        <v>17</v>
      </c>
      <c r="M5804" t="s">
        <v>302</v>
      </c>
      <c r="N5804" s="2">
        <v>46142</v>
      </c>
    </row>
    <row r="5805" spans="1:14" x14ac:dyDescent="0.25">
      <c r="A5805" s="4" t="s">
        <v>249</v>
      </c>
      <c r="B5805" s="5"/>
      <c r="C5805" s="4" t="s">
        <v>9</v>
      </c>
      <c r="D5805" s="4" t="s">
        <v>9</v>
      </c>
      <c r="E5805" s="4" t="s">
        <v>9</v>
      </c>
      <c r="F5805" s="6">
        <v>0</v>
      </c>
      <c r="G5805" s="6">
        <v>0</v>
      </c>
      <c r="H5805" s="4" t="s">
        <v>9</v>
      </c>
      <c r="I5805" s="4" t="s">
        <v>3</v>
      </c>
      <c r="J5805" s="4" t="s">
        <v>9</v>
      </c>
      <c r="K5805" s="4" t="s">
        <v>9</v>
      </c>
      <c r="L5805" s="4" t="s">
        <v>9</v>
      </c>
      <c r="M5805" s="4" t="s">
        <v>9</v>
      </c>
      <c r="N5805" s="5"/>
    </row>
    <row r="5806" spans="1:14" x14ac:dyDescent="0.25">
      <c r="A5806" t="s">
        <v>677</v>
      </c>
      <c r="B5806" s="2">
        <v>46175</v>
      </c>
      <c r="C5806" t="s">
        <v>677</v>
      </c>
      <c r="D5806" t="s">
        <v>112</v>
      </c>
      <c r="E5806" t="s">
        <v>9</v>
      </c>
      <c r="F5806" s="3">
        <v>-59520</v>
      </c>
      <c r="G5806" s="3">
        <v>-59520</v>
      </c>
      <c r="H5806" t="s">
        <v>3</v>
      </c>
      <c r="I5806" t="s">
        <v>3</v>
      </c>
      <c r="J5806" t="s">
        <v>9</v>
      </c>
      <c r="K5806" t="s">
        <v>9</v>
      </c>
      <c r="L5806" t="s">
        <v>18</v>
      </c>
      <c r="M5806" t="s">
        <v>114</v>
      </c>
      <c r="N5806" s="2">
        <v>46173</v>
      </c>
    </row>
    <row r="5807" spans="1:14" x14ac:dyDescent="0.25">
      <c r="A5807" t="s">
        <v>677</v>
      </c>
      <c r="B5807" s="2">
        <v>46175</v>
      </c>
      <c r="C5807" t="s">
        <v>677</v>
      </c>
      <c r="D5807" t="s">
        <v>301</v>
      </c>
      <c r="E5807" t="s">
        <v>9</v>
      </c>
      <c r="F5807" s="3">
        <v>59520</v>
      </c>
      <c r="G5807" s="3">
        <v>59520</v>
      </c>
      <c r="H5807" t="s">
        <v>3</v>
      </c>
      <c r="I5807" t="s">
        <v>3</v>
      </c>
      <c r="J5807" t="s">
        <v>9</v>
      </c>
      <c r="K5807" t="s">
        <v>9</v>
      </c>
      <c r="L5807" t="s">
        <v>18</v>
      </c>
      <c r="M5807" t="s">
        <v>302</v>
      </c>
      <c r="N5807" s="2">
        <v>46173</v>
      </c>
    </row>
    <row r="5808" spans="1:14" x14ac:dyDescent="0.25">
      <c r="A5808" t="s">
        <v>677</v>
      </c>
      <c r="B5808" s="2">
        <v>46142</v>
      </c>
      <c r="C5808" t="s">
        <v>677</v>
      </c>
      <c r="D5808" t="s">
        <v>112</v>
      </c>
      <c r="E5808" t="s">
        <v>9</v>
      </c>
      <c r="F5808" s="3">
        <v>-3400</v>
      </c>
      <c r="G5808" s="3">
        <v>-3400</v>
      </c>
      <c r="H5808" t="s">
        <v>3</v>
      </c>
      <c r="I5808" t="s">
        <v>3</v>
      </c>
      <c r="J5808" t="s">
        <v>310</v>
      </c>
      <c r="K5808" t="s">
        <v>13</v>
      </c>
      <c r="L5808" t="s">
        <v>18</v>
      </c>
      <c r="M5808" t="s">
        <v>114</v>
      </c>
      <c r="N5808" s="2">
        <v>46143</v>
      </c>
    </row>
    <row r="5809" spans="1:14" x14ac:dyDescent="0.25">
      <c r="A5809" t="s">
        <v>677</v>
      </c>
      <c r="B5809" s="2">
        <v>46142</v>
      </c>
      <c r="C5809" t="s">
        <v>677</v>
      </c>
      <c r="D5809" t="s">
        <v>112</v>
      </c>
      <c r="E5809" t="s">
        <v>9</v>
      </c>
      <c r="F5809" s="3">
        <v>-164237</v>
      </c>
      <c r="G5809" s="3">
        <v>-164237</v>
      </c>
      <c r="H5809" t="s">
        <v>3</v>
      </c>
      <c r="I5809" t="s">
        <v>3</v>
      </c>
      <c r="J5809" t="s">
        <v>423</v>
      </c>
      <c r="K5809" t="s">
        <v>13</v>
      </c>
      <c r="L5809" t="s">
        <v>18</v>
      </c>
      <c r="M5809" t="s">
        <v>114</v>
      </c>
      <c r="N5809" s="2">
        <v>46143</v>
      </c>
    </row>
    <row r="5810" spans="1:14" x14ac:dyDescent="0.25">
      <c r="A5810" t="s">
        <v>677</v>
      </c>
      <c r="B5810" s="2">
        <v>46173</v>
      </c>
      <c r="C5810" t="s">
        <v>677</v>
      </c>
      <c r="D5810" t="s">
        <v>112</v>
      </c>
      <c r="E5810" t="s">
        <v>9</v>
      </c>
      <c r="F5810" s="3">
        <v>4400</v>
      </c>
      <c r="G5810" s="3">
        <v>4400</v>
      </c>
      <c r="H5810" t="s">
        <v>3</v>
      </c>
      <c r="I5810" t="s">
        <v>3</v>
      </c>
      <c r="J5810" t="s">
        <v>313</v>
      </c>
      <c r="K5810" t="s">
        <v>13</v>
      </c>
      <c r="L5810" t="s">
        <v>18</v>
      </c>
      <c r="M5810" t="s">
        <v>114</v>
      </c>
      <c r="N5810" s="2">
        <v>46173</v>
      </c>
    </row>
    <row r="5811" spans="1:14" x14ac:dyDescent="0.25">
      <c r="A5811" t="s">
        <v>677</v>
      </c>
      <c r="B5811" s="2">
        <v>46173</v>
      </c>
      <c r="C5811" t="s">
        <v>677</v>
      </c>
      <c r="D5811" t="s">
        <v>112</v>
      </c>
      <c r="E5811" t="s">
        <v>9</v>
      </c>
      <c r="F5811" s="3">
        <v>222757</v>
      </c>
      <c r="G5811" s="3">
        <v>222757</v>
      </c>
      <c r="H5811" t="s">
        <v>3</v>
      </c>
      <c r="I5811" t="s">
        <v>3</v>
      </c>
      <c r="J5811" t="s">
        <v>427</v>
      </c>
      <c r="K5811" t="s">
        <v>13</v>
      </c>
      <c r="L5811" t="s">
        <v>18</v>
      </c>
      <c r="M5811" t="s">
        <v>114</v>
      </c>
      <c r="N5811" s="2">
        <v>46173</v>
      </c>
    </row>
    <row r="5812" spans="1:14" x14ac:dyDescent="0.25">
      <c r="A5812" t="s">
        <v>677</v>
      </c>
      <c r="B5812" s="2">
        <v>46173</v>
      </c>
      <c r="C5812" t="s">
        <v>677</v>
      </c>
      <c r="D5812" t="s">
        <v>301</v>
      </c>
      <c r="E5812" t="s">
        <v>9</v>
      </c>
      <c r="F5812" s="3">
        <v>-59520</v>
      </c>
      <c r="G5812" s="3">
        <v>-59520</v>
      </c>
      <c r="H5812" t="s">
        <v>3</v>
      </c>
      <c r="I5812" t="s">
        <v>3</v>
      </c>
      <c r="J5812" t="s">
        <v>10</v>
      </c>
      <c r="K5812" t="s">
        <v>13</v>
      </c>
      <c r="L5812" t="s">
        <v>18</v>
      </c>
      <c r="M5812" t="s">
        <v>302</v>
      </c>
      <c r="N5812" s="2">
        <v>46173</v>
      </c>
    </row>
    <row r="5813" spans="1:14" x14ac:dyDescent="0.25">
      <c r="A5813" s="4" t="s">
        <v>223</v>
      </c>
      <c r="B5813" s="5"/>
      <c r="C5813" s="4" t="s">
        <v>9</v>
      </c>
      <c r="D5813" s="4" t="s">
        <v>9</v>
      </c>
      <c r="E5813" s="4" t="s">
        <v>9</v>
      </c>
      <c r="F5813" s="6">
        <v>0</v>
      </c>
      <c r="G5813" s="6">
        <v>0</v>
      </c>
      <c r="H5813" s="4" t="s">
        <v>9</v>
      </c>
      <c r="I5813" s="4" t="s">
        <v>3</v>
      </c>
      <c r="J5813" s="4" t="s">
        <v>9</v>
      </c>
      <c r="K5813" s="4" t="s">
        <v>9</v>
      </c>
      <c r="L5813" s="4" t="s">
        <v>9</v>
      </c>
      <c r="M5813" s="4" t="s">
        <v>9</v>
      </c>
      <c r="N5813" s="5"/>
    </row>
    <row r="5814" spans="1:14" x14ac:dyDescent="0.25">
      <c r="A5814" t="s">
        <v>677</v>
      </c>
      <c r="B5814" s="2">
        <v>46205</v>
      </c>
      <c r="C5814" t="s">
        <v>677</v>
      </c>
      <c r="D5814" t="s">
        <v>112</v>
      </c>
      <c r="E5814" t="s">
        <v>9</v>
      </c>
      <c r="F5814" s="3">
        <v>-33430.400000000001</v>
      </c>
      <c r="G5814" s="3">
        <v>-33430.400000000001</v>
      </c>
      <c r="H5814" t="s">
        <v>3</v>
      </c>
      <c r="I5814" t="s">
        <v>3</v>
      </c>
      <c r="J5814" t="s">
        <v>9</v>
      </c>
      <c r="K5814" t="s">
        <v>9</v>
      </c>
      <c r="L5814" t="s">
        <v>19</v>
      </c>
      <c r="M5814" t="s">
        <v>114</v>
      </c>
      <c r="N5814" s="2">
        <v>46203</v>
      </c>
    </row>
    <row r="5815" spans="1:14" x14ac:dyDescent="0.25">
      <c r="A5815" t="s">
        <v>677</v>
      </c>
      <c r="B5815" s="2">
        <v>46205</v>
      </c>
      <c r="C5815" t="s">
        <v>677</v>
      </c>
      <c r="D5815" t="s">
        <v>301</v>
      </c>
      <c r="E5815" t="s">
        <v>9</v>
      </c>
      <c r="F5815" s="3">
        <v>33430.400000000001</v>
      </c>
      <c r="G5815" s="3">
        <v>33430.400000000001</v>
      </c>
      <c r="H5815" t="s">
        <v>3</v>
      </c>
      <c r="I5815" t="s">
        <v>3</v>
      </c>
      <c r="J5815" t="s">
        <v>9</v>
      </c>
      <c r="K5815" t="s">
        <v>9</v>
      </c>
      <c r="L5815" t="s">
        <v>19</v>
      </c>
      <c r="M5815" t="s">
        <v>302</v>
      </c>
      <c r="N5815" s="2">
        <v>46203</v>
      </c>
    </row>
    <row r="5816" spans="1:14" x14ac:dyDescent="0.25">
      <c r="A5816" t="s">
        <v>677</v>
      </c>
      <c r="B5816" s="2">
        <v>46173</v>
      </c>
      <c r="C5816" t="s">
        <v>677</v>
      </c>
      <c r="D5816" t="s">
        <v>112</v>
      </c>
      <c r="E5816" t="s">
        <v>9</v>
      </c>
      <c r="F5816" s="3">
        <v>-4400</v>
      </c>
      <c r="G5816" s="3">
        <v>-4400</v>
      </c>
      <c r="H5816" t="s">
        <v>3</v>
      </c>
      <c r="I5816" t="s">
        <v>3</v>
      </c>
      <c r="J5816" t="s">
        <v>313</v>
      </c>
      <c r="K5816" t="s">
        <v>13</v>
      </c>
      <c r="L5816" t="s">
        <v>19</v>
      </c>
      <c r="M5816" t="s">
        <v>114</v>
      </c>
      <c r="N5816" s="2">
        <v>46174</v>
      </c>
    </row>
    <row r="5817" spans="1:14" x14ac:dyDescent="0.25">
      <c r="A5817" t="s">
        <v>677</v>
      </c>
      <c r="B5817" s="2">
        <v>46173</v>
      </c>
      <c r="C5817" t="s">
        <v>677</v>
      </c>
      <c r="D5817" t="s">
        <v>112</v>
      </c>
      <c r="E5817" t="s">
        <v>9</v>
      </c>
      <c r="F5817" s="3">
        <v>-222757</v>
      </c>
      <c r="G5817" s="3">
        <v>-222757</v>
      </c>
      <c r="H5817" t="s">
        <v>3</v>
      </c>
      <c r="I5817" t="s">
        <v>3</v>
      </c>
      <c r="J5817" t="s">
        <v>427</v>
      </c>
      <c r="K5817" t="s">
        <v>13</v>
      </c>
      <c r="L5817" t="s">
        <v>19</v>
      </c>
      <c r="M5817" t="s">
        <v>114</v>
      </c>
      <c r="N5817" s="2">
        <v>46174</v>
      </c>
    </row>
    <row r="5818" spans="1:14" x14ac:dyDescent="0.25">
      <c r="A5818" t="s">
        <v>677</v>
      </c>
      <c r="B5818" s="2">
        <v>46203</v>
      </c>
      <c r="C5818" t="s">
        <v>677</v>
      </c>
      <c r="D5818" t="s">
        <v>112</v>
      </c>
      <c r="E5818" t="s">
        <v>9</v>
      </c>
      <c r="F5818" s="3">
        <v>34050.400000000001</v>
      </c>
      <c r="G5818" s="3">
        <v>34050.400000000001</v>
      </c>
      <c r="H5818" t="s">
        <v>3</v>
      </c>
      <c r="I5818" t="s">
        <v>3</v>
      </c>
      <c r="J5818" t="s">
        <v>316</v>
      </c>
      <c r="K5818" t="s">
        <v>13</v>
      </c>
      <c r="L5818" t="s">
        <v>19</v>
      </c>
      <c r="M5818" t="s">
        <v>114</v>
      </c>
      <c r="N5818" s="2">
        <v>46203</v>
      </c>
    </row>
    <row r="5819" spans="1:14" x14ac:dyDescent="0.25">
      <c r="A5819" t="s">
        <v>677</v>
      </c>
      <c r="B5819" s="2">
        <v>46203</v>
      </c>
      <c r="C5819" t="s">
        <v>677</v>
      </c>
      <c r="D5819" t="s">
        <v>112</v>
      </c>
      <c r="E5819" t="s">
        <v>9</v>
      </c>
      <c r="F5819" s="3">
        <v>226537</v>
      </c>
      <c r="G5819" s="3">
        <v>226537</v>
      </c>
      <c r="H5819" t="s">
        <v>3</v>
      </c>
      <c r="I5819" t="s">
        <v>3</v>
      </c>
      <c r="J5819" t="s">
        <v>428</v>
      </c>
      <c r="K5819" t="s">
        <v>13</v>
      </c>
      <c r="L5819" t="s">
        <v>19</v>
      </c>
      <c r="M5819" t="s">
        <v>114</v>
      </c>
      <c r="N5819" s="2">
        <v>46203</v>
      </c>
    </row>
    <row r="5820" spans="1:14" x14ac:dyDescent="0.25">
      <c r="A5820" t="s">
        <v>677</v>
      </c>
      <c r="B5820" s="2">
        <v>46203</v>
      </c>
      <c r="C5820" t="s">
        <v>677</v>
      </c>
      <c r="D5820" t="s">
        <v>301</v>
      </c>
      <c r="E5820" t="s">
        <v>9</v>
      </c>
      <c r="F5820" s="3">
        <v>-33430.400000000001</v>
      </c>
      <c r="G5820" s="3">
        <v>-33430.400000000001</v>
      </c>
      <c r="H5820" t="s">
        <v>3</v>
      </c>
      <c r="I5820" t="s">
        <v>3</v>
      </c>
      <c r="J5820" t="s">
        <v>10</v>
      </c>
      <c r="K5820" t="s">
        <v>13</v>
      </c>
      <c r="L5820" t="s">
        <v>19</v>
      </c>
      <c r="M5820" t="s">
        <v>302</v>
      </c>
      <c r="N5820" s="2">
        <v>46203</v>
      </c>
    </row>
    <row r="5821" spans="1:14" x14ac:dyDescent="0.25">
      <c r="A5821" s="4" t="s">
        <v>224</v>
      </c>
      <c r="B5821" s="5"/>
      <c r="C5821" s="4" t="s">
        <v>9</v>
      </c>
      <c r="D5821" s="4" t="s">
        <v>9</v>
      </c>
      <c r="E5821" s="4" t="s">
        <v>9</v>
      </c>
      <c r="F5821" s="6">
        <v>0</v>
      </c>
      <c r="G5821" s="6">
        <v>0</v>
      </c>
      <c r="H5821" s="4" t="s">
        <v>9</v>
      </c>
      <c r="I5821" s="4" t="s">
        <v>3</v>
      </c>
      <c r="J5821" s="4" t="s">
        <v>9</v>
      </c>
      <c r="K5821" s="4" t="s">
        <v>9</v>
      </c>
      <c r="L5821" s="4" t="s">
        <v>9</v>
      </c>
      <c r="M5821" s="4" t="s">
        <v>9</v>
      </c>
      <c r="N5821" s="5"/>
    </row>
    <row r="5822" spans="1:14" x14ac:dyDescent="0.25">
      <c r="A5822" t="s">
        <v>677</v>
      </c>
      <c r="B5822" s="2">
        <v>46239</v>
      </c>
      <c r="C5822" t="s">
        <v>677</v>
      </c>
      <c r="D5822" t="s">
        <v>112</v>
      </c>
      <c r="E5822" t="s">
        <v>9</v>
      </c>
      <c r="F5822" s="3">
        <v>-57672.6</v>
      </c>
      <c r="G5822" s="3">
        <v>-57672.6</v>
      </c>
      <c r="H5822" t="s">
        <v>3</v>
      </c>
      <c r="I5822" t="s">
        <v>3</v>
      </c>
      <c r="J5822" t="s">
        <v>9</v>
      </c>
      <c r="K5822" t="s">
        <v>9</v>
      </c>
      <c r="L5822" t="s">
        <v>21</v>
      </c>
      <c r="M5822" t="s">
        <v>114</v>
      </c>
      <c r="N5822" s="2">
        <v>46234</v>
      </c>
    </row>
    <row r="5823" spans="1:14" x14ac:dyDescent="0.25">
      <c r="A5823" t="s">
        <v>677</v>
      </c>
      <c r="B5823" s="2">
        <v>46239</v>
      </c>
      <c r="C5823" t="s">
        <v>677</v>
      </c>
      <c r="D5823" t="s">
        <v>301</v>
      </c>
      <c r="E5823" t="s">
        <v>9</v>
      </c>
      <c r="F5823" s="3">
        <v>57672.6</v>
      </c>
      <c r="G5823" s="3">
        <v>57672.6</v>
      </c>
      <c r="H5823" t="s">
        <v>3</v>
      </c>
      <c r="I5823" t="s">
        <v>3</v>
      </c>
      <c r="J5823" t="s">
        <v>9</v>
      </c>
      <c r="K5823" t="s">
        <v>9</v>
      </c>
      <c r="L5823" t="s">
        <v>21</v>
      </c>
      <c r="M5823" t="s">
        <v>302</v>
      </c>
      <c r="N5823" s="2">
        <v>46234</v>
      </c>
    </row>
    <row r="5824" spans="1:14" x14ac:dyDescent="0.25">
      <c r="A5824" t="s">
        <v>677</v>
      </c>
      <c r="B5824" s="2">
        <v>46203</v>
      </c>
      <c r="C5824" t="s">
        <v>677</v>
      </c>
      <c r="D5824" t="s">
        <v>112</v>
      </c>
      <c r="E5824" t="s">
        <v>9</v>
      </c>
      <c r="F5824" s="3">
        <v>-34050.400000000001</v>
      </c>
      <c r="G5824" s="3">
        <v>-34050.400000000001</v>
      </c>
      <c r="H5824" t="s">
        <v>3</v>
      </c>
      <c r="I5824" t="s">
        <v>3</v>
      </c>
      <c r="J5824" t="s">
        <v>316</v>
      </c>
      <c r="K5824" t="s">
        <v>13</v>
      </c>
      <c r="L5824" t="s">
        <v>21</v>
      </c>
      <c r="M5824" t="s">
        <v>114</v>
      </c>
      <c r="N5824" s="2">
        <v>46204</v>
      </c>
    </row>
    <row r="5825" spans="1:14" x14ac:dyDescent="0.25">
      <c r="A5825" t="s">
        <v>677</v>
      </c>
      <c r="B5825" s="2">
        <v>46203</v>
      </c>
      <c r="C5825" t="s">
        <v>677</v>
      </c>
      <c r="D5825" t="s">
        <v>112</v>
      </c>
      <c r="E5825" t="s">
        <v>9</v>
      </c>
      <c r="F5825" s="3">
        <v>-226537</v>
      </c>
      <c r="G5825" s="3">
        <v>-226537</v>
      </c>
      <c r="H5825" t="s">
        <v>3</v>
      </c>
      <c r="I5825" t="s">
        <v>3</v>
      </c>
      <c r="J5825" t="s">
        <v>428</v>
      </c>
      <c r="K5825" t="s">
        <v>13</v>
      </c>
      <c r="L5825" t="s">
        <v>21</v>
      </c>
      <c r="M5825" t="s">
        <v>114</v>
      </c>
      <c r="N5825" s="2">
        <v>46204</v>
      </c>
    </row>
    <row r="5826" spans="1:14" x14ac:dyDescent="0.25">
      <c r="A5826" t="s">
        <v>677</v>
      </c>
      <c r="B5826" s="2">
        <v>46234</v>
      </c>
      <c r="C5826" t="s">
        <v>677</v>
      </c>
      <c r="D5826" t="s">
        <v>301</v>
      </c>
      <c r="E5826" t="s">
        <v>9</v>
      </c>
      <c r="F5826" s="3">
        <v>-57672.6</v>
      </c>
      <c r="G5826" s="3">
        <v>-57672.6</v>
      </c>
      <c r="H5826" t="s">
        <v>3</v>
      </c>
      <c r="I5826" t="s">
        <v>3</v>
      </c>
      <c r="J5826" t="s">
        <v>10</v>
      </c>
      <c r="K5826" t="s">
        <v>13</v>
      </c>
      <c r="L5826" t="s">
        <v>21</v>
      </c>
      <c r="M5826" t="s">
        <v>302</v>
      </c>
      <c r="N5826" s="2">
        <v>46234</v>
      </c>
    </row>
    <row r="5827" spans="1:14" x14ac:dyDescent="0.25">
      <c r="A5827" t="s">
        <v>677</v>
      </c>
      <c r="B5827" s="2">
        <v>46234</v>
      </c>
      <c r="C5827" t="s">
        <v>677</v>
      </c>
      <c r="D5827" t="s">
        <v>112</v>
      </c>
      <c r="E5827" t="s">
        <v>9</v>
      </c>
      <c r="F5827" s="3">
        <v>91723</v>
      </c>
      <c r="G5827" s="3">
        <v>91723</v>
      </c>
      <c r="H5827" t="s">
        <v>3</v>
      </c>
      <c r="I5827" t="s">
        <v>3</v>
      </c>
      <c r="J5827" t="s">
        <v>319</v>
      </c>
      <c r="K5827" t="s">
        <v>13</v>
      </c>
      <c r="L5827" t="s">
        <v>21</v>
      </c>
      <c r="M5827" t="s">
        <v>114</v>
      </c>
      <c r="N5827" s="2">
        <v>46234</v>
      </c>
    </row>
    <row r="5828" spans="1:14" x14ac:dyDescent="0.25">
      <c r="A5828" t="s">
        <v>677</v>
      </c>
      <c r="B5828" s="2">
        <v>46234</v>
      </c>
      <c r="C5828" t="s">
        <v>677</v>
      </c>
      <c r="D5828" t="s">
        <v>112</v>
      </c>
      <c r="E5828" t="s">
        <v>9</v>
      </c>
      <c r="F5828" s="3">
        <v>226537</v>
      </c>
      <c r="G5828" s="3">
        <v>226537</v>
      </c>
      <c r="H5828" t="s">
        <v>3</v>
      </c>
      <c r="I5828" t="s">
        <v>3</v>
      </c>
      <c r="J5828" t="s">
        <v>429</v>
      </c>
      <c r="K5828" t="s">
        <v>13</v>
      </c>
      <c r="L5828" t="s">
        <v>21</v>
      </c>
      <c r="M5828" t="s">
        <v>114</v>
      </c>
      <c r="N5828" s="2">
        <v>46234</v>
      </c>
    </row>
    <row r="5829" spans="1:14" x14ac:dyDescent="0.25">
      <c r="A5829" s="4" t="s">
        <v>262</v>
      </c>
      <c r="B5829" s="5"/>
      <c r="C5829" s="4" t="s">
        <v>9</v>
      </c>
      <c r="D5829" s="4" t="s">
        <v>9</v>
      </c>
      <c r="E5829" s="4" t="s">
        <v>9</v>
      </c>
      <c r="F5829" s="6">
        <v>0</v>
      </c>
      <c r="G5829" s="6">
        <v>0</v>
      </c>
      <c r="H5829" s="4" t="s">
        <v>9</v>
      </c>
      <c r="I5829" s="4" t="s">
        <v>3</v>
      </c>
      <c r="J5829" s="4" t="s">
        <v>9</v>
      </c>
      <c r="K5829" s="4" t="s">
        <v>9</v>
      </c>
      <c r="L5829" s="4" t="s">
        <v>9</v>
      </c>
      <c r="M5829" s="4" t="s">
        <v>9</v>
      </c>
      <c r="N5829" s="5"/>
    </row>
    <row r="5830" spans="1:14" x14ac:dyDescent="0.25">
      <c r="A5830" t="s">
        <v>677</v>
      </c>
      <c r="B5830" s="2">
        <v>46267</v>
      </c>
      <c r="C5830" t="s">
        <v>677</v>
      </c>
      <c r="D5830" t="s">
        <v>112</v>
      </c>
      <c r="E5830" t="s">
        <v>9</v>
      </c>
      <c r="F5830" s="3">
        <v>-10896</v>
      </c>
      <c r="G5830" s="3">
        <v>-10896</v>
      </c>
      <c r="H5830" t="s">
        <v>3</v>
      </c>
      <c r="I5830" t="s">
        <v>3</v>
      </c>
      <c r="J5830" t="s">
        <v>9</v>
      </c>
      <c r="K5830" t="s">
        <v>9</v>
      </c>
      <c r="L5830" t="s">
        <v>22</v>
      </c>
      <c r="M5830" t="s">
        <v>114</v>
      </c>
      <c r="N5830" s="2">
        <v>46265</v>
      </c>
    </row>
    <row r="5831" spans="1:14" x14ac:dyDescent="0.25">
      <c r="A5831" t="s">
        <v>677</v>
      </c>
      <c r="B5831" s="2">
        <v>46267</v>
      </c>
      <c r="C5831" t="s">
        <v>677</v>
      </c>
      <c r="D5831" t="s">
        <v>301</v>
      </c>
      <c r="E5831" t="s">
        <v>9</v>
      </c>
      <c r="F5831" s="3">
        <v>10896</v>
      </c>
      <c r="G5831" s="3">
        <v>10896</v>
      </c>
      <c r="H5831" t="s">
        <v>3</v>
      </c>
      <c r="I5831" t="s">
        <v>3</v>
      </c>
      <c r="J5831" t="s">
        <v>9</v>
      </c>
      <c r="K5831" t="s">
        <v>9</v>
      </c>
      <c r="L5831" t="s">
        <v>22</v>
      </c>
      <c r="M5831" t="s">
        <v>302</v>
      </c>
      <c r="N5831" s="2">
        <v>46265</v>
      </c>
    </row>
    <row r="5832" spans="1:14" x14ac:dyDescent="0.25">
      <c r="A5832" t="s">
        <v>677</v>
      </c>
      <c r="B5832" s="2">
        <v>46234</v>
      </c>
      <c r="C5832" t="s">
        <v>677</v>
      </c>
      <c r="D5832" t="s">
        <v>112</v>
      </c>
      <c r="E5832" t="s">
        <v>9</v>
      </c>
      <c r="F5832" s="3">
        <v>-91723</v>
      </c>
      <c r="G5832" s="3">
        <v>-91723</v>
      </c>
      <c r="H5832" t="s">
        <v>3</v>
      </c>
      <c r="I5832" t="s">
        <v>3</v>
      </c>
      <c r="J5832" t="s">
        <v>319</v>
      </c>
      <c r="K5832" t="s">
        <v>13</v>
      </c>
      <c r="L5832" t="s">
        <v>22</v>
      </c>
      <c r="M5832" t="s">
        <v>114</v>
      </c>
      <c r="N5832" s="2">
        <v>46235</v>
      </c>
    </row>
    <row r="5833" spans="1:14" x14ac:dyDescent="0.25">
      <c r="A5833" t="s">
        <v>677</v>
      </c>
      <c r="B5833" s="2">
        <v>46234</v>
      </c>
      <c r="C5833" t="s">
        <v>677</v>
      </c>
      <c r="D5833" t="s">
        <v>112</v>
      </c>
      <c r="E5833" t="s">
        <v>9</v>
      </c>
      <c r="F5833" s="3">
        <v>-226537</v>
      </c>
      <c r="G5833" s="3">
        <v>-226537</v>
      </c>
      <c r="H5833" t="s">
        <v>3</v>
      </c>
      <c r="I5833" t="s">
        <v>3</v>
      </c>
      <c r="J5833" t="s">
        <v>429</v>
      </c>
      <c r="K5833" t="s">
        <v>13</v>
      </c>
      <c r="L5833" t="s">
        <v>22</v>
      </c>
      <c r="M5833" t="s">
        <v>114</v>
      </c>
      <c r="N5833" s="2">
        <v>46235</v>
      </c>
    </row>
    <row r="5834" spans="1:14" x14ac:dyDescent="0.25">
      <c r="A5834" t="s">
        <v>677</v>
      </c>
      <c r="B5834" s="2">
        <v>46265</v>
      </c>
      <c r="C5834" t="s">
        <v>677</v>
      </c>
      <c r="D5834" t="s">
        <v>112</v>
      </c>
      <c r="E5834" t="s">
        <v>9</v>
      </c>
      <c r="F5834" s="3">
        <v>102619</v>
      </c>
      <c r="G5834" s="3">
        <v>102619</v>
      </c>
      <c r="H5834" t="s">
        <v>3</v>
      </c>
      <c r="I5834" t="s">
        <v>3</v>
      </c>
      <c r="J5834" t="s">
        <v>322</v>
      </c>
      <c r="K5834" t="s">
        <v>13</v>
      </c>
      <c r="L5834" t="s">
        <v>22</v>
      </c>
      <c r="M5834" t="s">
        <v>114</v>
      </c>
      <c r="N5834" s="2">
        <v>46265</v>
      </c>
    </row>
    <row r="5835" spans="1:14" x14ac:dyDescent="0.25">
      <c r="A5835" t="s">
        <v>677</v>
      </c>
      <c r="B5835" s="2">
        <v>46265</v>
      </c>
      <c r="C5835" t="s">
        <v>677</v>
      </c>
      <c r="D5835" t="s">
        <v>112</v>
      </c>
      <c r="E5835" t="s">
        <v>9</v>
      </c>
      <c r="F5835" s="3">
        <v>226537</v>
      </c>
      <c r="G5835" s="3">
        <v>226537</v>
      </c>
      <c r="H5835" t="s">
        <v>3</v>
      </c>
      <c r="I5835" t="s">
        <v>3</v>
      </c>
      <c r="J5835" t="s">
        <v>431</v>
      </c>
      <c r="K5835" t="s">
        <v>13</v>
      </c>
      <c r="L5835" t="s">
        <v>22</v>
      </c>
      <c r="M5835" t="s">
        <v>114</v>
      </c>
      <c r="N5835" s="2">
        <v>46265</v>
      </c>
    </row>
    <row r="5836" spans="1:14" x14ac:dyDescent="0.25">
      <c r="A5836" t="s">
        <v>677</v>
      </c>
      <c r="B5836" s="2">
        <v>46265</v>
      </c>
      <c r="C5836" t="s">
        <v>677</v>
      </c>
      <c r="D5836" t="s">
        <v>301</v>
      </c>
      <c r="E5836" t="s">
        <v>9</v>
      </c>
      <c r="F5836" s="3">
        <v>-10896</v>
      </c>
      <c r="G5836" s="3">
        <v>-10896</v>
      </c>
      <c r="H5836" t="s">
        <v>3</v>
      </c>
      <c r="I5836" t="s">
        <v>3</v>
      </c>
      <c r="J5836" t="s">
        <v>10</v>
      </c>
      <c r="K5836" t="s">
        <v>13</v>
      </c>
      <c r="L5836" t="s">
        <v>22</v>
      </c>
      <c r="M5836" t="s">
        <v>302</v>
      </c>
      <c r="N5836" s="2">
        <v>46265</v>
      </c>
    </row>
    <row r="5837" spans="1:14" x14ac:dyDescent="0.25">
      <c r="A5837" s="4" t="s">
        <v>267</v>
      </c>
      <c r="B5837" s="5"/>
      <c r="C5837" s="4" t="s">
        <v>9</v>
      </c>
      <c r="D5837" s="4" t="s">
        <v>9</v>
      </c>
      <c r="E5837" s="4" t="s">
        <v>9</v>
      </c>
      <c r="F5837" s="6">
        <v>0</v>
      </c>
      <c r="G5837" s="6">
        <v>0</v>
      </c>
      <c r="H5837" s="4" t="s">
        <v>9</v>
      </c>
      <c r="I5837" s="4" t="s">
        <v>3</v>
      </c>
      <c r="J5837" s="4" t="s">
        <v>9</v>
      </c>
      <c r="K5837" s="4" t="s">
        <v>9</v>
      </c>
      <c r="L5837" s="4" t="s">
        <v>9</v>
      </c>
      <c r="M5837" s="4" t="s">
        <v>9</v>
      </c>
      <c r="N5837" s="5"/>
    </row>
    <row r="5838" spans="1:14" x14ac:dyDescent="0.25">
      <c r="A5838" s="4" t="s">
        <v>677</v>
      </c>
      <c r="B5838" s="5"/>
      <c r="C5838" s="4" t="s">
        <v>9</v>
      </c>
      <c r="D5838" s="4" t="s">
        <v>9</v>
      </c>
      <c r="E5838" s="4" t="s">
        <v>9</v>
      </c>
      <c r="F5838" s="6">
        <v>0</v>
      </c>
      <c r="G5838" s="6">
        <v>0</v>
      </c>
      <c r="H5838" s="4" t="s">
        <v>9</v>
      </c>
      <c r="I5838" s="4" t="s">
        <v>3</v>
      </c>
      <c r="J5838" s="4" t="s">
        <v>9</v>
      </c>
      <c r="K5838" s="4" t="s">
        <v>9</v>
      </c>
      <c r="L5838" s="4" t="s">
        <v>9</v>
      </c>
      <c r="M5838" s="4" t="s">
        <v>9</v>
      </c>
      <c r="N5838" s="5"/>
    </row>
    <row r="5839" spans="1:14" x14ac:dyDescent="0.25">
      <c r="A5839" t="s">
        <v>678</v>
      </c>
      <c r="B5839" s="2">
        <v>46267</v>
      </c>
      <c r="C5839" t="s">
        <v>678</v>
      </c>
      <c r="D5839" t="s">
        <v>112</v>
      </c>
      <c r="E5839" t="s">
        <v>9</v>
      </c>
      <c r="F5839" s="3">
        <v>-7800</v>
      </c>
      <c r="G5839" s="3">
        <v>-7800</v>
      </c>
      <c r="H5839" t="s">
        <v>3</v>
      </c>
      <c r="I5839" t="s">
        <v>3</v>
      </c>
      <c r="J5839" t="s">
        <v>9</v>
      </c>
      <c r="K5839" t="s">
        <v>9</v>
      </c>
      <c r="L5839" t="s">
        <v>22</v>
      </c>
      <c r="M5839" t="s">
        <v>114</v>
      </c>
      <c r="N5839" s="2">
        <v>46265</v>
      </c>
    </row>
    <row r="5840" spans="1:14" x14ac:dyDescent="0.25">
      <c r="A5840" t="s">
        <v>678</v>
      </c>
      <c r="B5840" s="2">
        <v>46265</v>
      </c>
      <c r="C5840" t="s">
        <v>678</v>
      </c>
      <c r="D5840" t="s">
        <v>112</v>
      </c>
      <c r="E5840" t="s">
        <v>9</v>
      </c>
      <c r="F5840" s="3">
        <v>7800</v>
      </c>
      <c r="G5840" s="3">
        <v>7800</v>
      </c>
      <c r="H5840" t="s">
        <v>3</v>
      </c>
      <c r="I5840" t="s">
        <v>3</v>
      </c>
      <c r="J5840" t="s">
        <v>322</v>
      </c>
      <c r="K5840" t="s">
        <v>13</v>
      </c>
      <c r="L5840" t="s">
        <v>22</v>
      </c>
      <c r="M5840" t="s">
        <v>114</v>
      </c>
      <c r="N5840" s="2">
        <v>46265</v>
      </c>
    </row>
    <row r="5841" spans="1:14" x14ac:dyDescent="0.25">
      <c r="A5841" s="4" t="s">
        <v>267</v>
      </c>
      <c r="B5841" s="5"/>
      <c r="C5841" s="4" t="s">
        <v>9</v>
      </c>
      <c r="D5841" s="4" t="s">
        <v>9</v>
      </c>
      <c r="E5841" s="4" t="s">
        <v>9</v>
      </c>
      <c r="F5841" s="6">
        <v>0</v>
      </c>
      <c r="G5841" s="6">
        <v>0</v>
      </c>
      <c r="H5841" s="4" t="s">
        <v>9</v>
      </c>
      <c r="I5841" s="4" t="s">
        <v>3</v>
      </c>
      <c r="J5841" s="4" t="s">
        <v>9</v>
      </c>
      <c r="K5841" s="4" t="s">
        <v>9</v>
      </c>
      <c r="L5841" s="4" t="s">
        <v>9</v>
      </c>
      <c r="M5841" s="4" t="s">
        <v>9</v>
      </c>
      <c r="N5841" s="5"/>
    </row>
    <row r="5842" spans="1:14" x14ac:dyDescent="0.25">
      <c r="A5842" s="4" t="s">
        <v>678</v>
      </c>
      <c r="B5842" s="5"/>
      <c r="C5842" s="4" t="s">
        <v>9</v>
      </c>
      <c r="D5842" s="4" t="s">
        <v>9</v>
      </c>
      <c r="E5842" s="4" t="s">
        <v>9</v>
      </c>
      <c r="F5842" s="6">
        <v>0</v>
      </c>
      <c r="G5842" s="6">
        <v>0</v>
      </c>
      <c r="H5842" s="4" t="s">
        <v>9</v>
      </c>
      <c r="I5842" s="4" t="s">
        <v>3</v>
      </c>
      <c r="J5842" s="4" t="s">
        <v>9</v>
      </c>
      <c r="K5842" s="4" t="s">
        <v>9</v>
      </c>
      <c r="L5842" s="4" t="s">
        <v>9</v>
      </c>
      <c r="M5842" s="4" t="s">
        <v>9</v>
      </c>
      <c r="N5842" s="5"/>
    </row>
    <row r="5843" spans="1:14" x14ac:dyDescent="0.25">
      <c r="A5843" t="s">
        <v>679</v>
      </c>
      <c r="B5843" s="2">
        <v>46175</v>
      </c>
      <c r="C5843" t="s">
        <v>679</v>
      </c>
      <c r="D5843" t="s">
        <v>33</v>
      </c>
      <c r="E5843" t="s">
        <v>9</v>
      </c>
      <c r="F5843" s="3">
        <v>1050</v>
      </c>
      <c r="G5843" s="3">
        <v>1050</v>
      </c>
      <c r="H5843" t="s">
        <v>3</v>
      </c>
      <c r="I5843" t="s">
        <v>3</v>
      </c>
      <c r="J5843" t="s">
        <v>9</v>
      </c>
      <c r="K5843" t="s">
        <v>9</v>
      </c>
      <c r="L5843" t="s">
        <v>18</v>
      </c>
      <c r="M5843" t="s">
        <v>35</v>
      </c>
      <c r="N5843" s="2">
        <v>46173</v>
      </c>
    </row>
    <row r="5844" spans="1:14" x14ac:dyDescent="0.25">
      <c r="A5844" t="s">
        <v>679</v>
      </c>
      <c r="B5844" s="2">
        <v>46155</v>
      </c>
      <c r="C5844" t="s">
        <v>679</v>
      </c>
      <c r="D5844" t="s">
        <v>33</v>
      </c>
      <c r="E5844" t="s">
        <v>9</v>
      </c>
      <c r="F5844" s="3">
        <v>-1050</v>
      </c>
      <c r="G5844" s="3">
        <v>-1050</v>
      </c>
      <c r="H5844" t="s">
        <v>3</v>
      </c>
      <c r="I5844" t="s">
        <v>3</v>
      </c>
      <c r="J5844" t="s">
        <v>9</v>
      </c>
      <c r="K5844" t="s">
        <v>13</v>
      </c>
      <c r="L5844" t="s">
        <v>18</v>
      </c>
      <c r="M5844" t="s">
        <v>35</v>
      </c>
      <c r="N5844" s="2">
        <v>46155</v>
      </c>
    </row>
    <row r="5845" spans="1:14" x14ac:dyDescent="0.25">
      <c r="A5845" s="4" t="s">
        <v>223</v>
      </c>
      <c r="B5845" s="5"/>
      <c r="C5845" s="4" t="s">
        <v>9</v>
      </c>
      <c r="D5845" s="4" t="s">
        <v>9</v>
      </c>
      <c r="E5845" s="4" t="s">
        <v>9</v>
      </c>
      <c r="F5845" s="6">
        <v>0</v>
      </c>
      <c r="G5845" s="6">
        <v>0</v>
      </c>
      <c r="H5845" s="4" t="s">
        <v>9</v>
      </c>
      <c r="I5845" s="4" t="s">
        <v>3</v>
      </c>
      <c r="J5845" s="4" t="s">
        <v>9</v>
      </c>
      <c r="K5845" s="4" t="s">
        <v>9</v>
      </c>
      <c r="L5845" s="4" t="s">
        <v>9</v>
      </c>
      <c r="M5845" s="4" t="s">
        <v>9</v>
      </c>
      <c r="N5845" s="5"/>
    </row>
    <row r="5846" spans="1:14" x14ac:dyDescent="0.25">
      <c r="A5846" t="s">
        <v>679</v>
      </c>
      <c r="B5846" s="2">
        <v>46205</v>
      </c>
      <c r="C5846" t="s">
        <v>679</v>
      </c>
      <c r="D5846" t="s">
        <v>33</v>
      </c>
      <c r="E5846" t="s">
        <v>9</v>
      </c>
      <c r="F5846" s="3">
        <v>3885</v>
      </c>
      <c r="G5846" s="3">
        <v>3885</v>
      </c>
      <c r="H5846" t="s">
        <v>3</v>
      </c>
      <c r="I5846" t="s">
        <v>3</v>
      </c>
      <c r="J5846" t="s">
        <v>9</v>
      </c>
      <c r="K5846" t="s">
        <v>9</v>
      </c>
      <c r="L5846" t="s">
        <v>19</v>
      </c>
      <c r="M5846" t="s">
        <v>35</v>
      </c>
      <c r="N5846" s="2">
        <v>46203</v>
      </c>
    </row>
    <row r="5847" spans="1:14" x14ac:dyDescent="0.25">
      <c r="A5847" t="s">
        <v>679</v>
      </c>
      <c r="B5847" s="2">
        <v>46191</v>
      </c>
      <c r="C5847" t="s">
        <v>679</v>
      </c>
      <c r="D5847" t="s">
        <v>33</v>
      </c>
      <c r="E5847" t="s">
        <v>9</v>
      </c>
      <c r="F5847" s="3">
        <v>-3885</v>
      </c>
      <c r="G5847" s="3">
        <v>-3885</v>
      </c>
      <c r="H5847" t="s">
        <v>3</v>
      </c>
      <c r="I5847" t="s">
        <v>3</v>
      </c>
      <c r="J5847" t="s">
        <v>9</v>
      </c>
      <c r="K5847" t="s">
        <v>13</v>
      </c>
      <c r="L5847" t="s">
        <v>19</v>
      </c>
      <c r="M5847" t="s">
        <v>35</v>
      </c>
      <c r="N5847" s="2">
        <v>46191</v>
      </c>
    </row>
    <row r="5848" spans="1:14" x14ac:dyDescent="0.25">
      <c r="A5848" s="4" t="s">
        <v>224</v>
      </c>
      <c r="B5848" s="5"/>
      <c r="C5848" s="4" t="s">
        <v>9</v>
      </c>
      <c r="D5848" s="4" t="s">
        <v>9</v>
      </c>
      <c r="E5848" s="4" t="s">
        <v>9</v>
      </c>
      <c r="F5848" s="6">
        <v>0</v>
      </c>
      <c r="G5848" s="6">
        <v>0</v>
      </c>
      <c r="H5848" s="4" t="s">
        <v>9</v>
      </c>
      <c r="I5848" s="4" t="s">
        <v>3</v>
      </c>
      <c r="J5848" s="4" t="s">
        <v>9</v>
      </c>
      <c r="K5848" s="4" t="s">
        <v>9</v>
      </c>
      <c r="L5848" s="4" t="s">
        <v>9</v>
      </c>
      <c r="M5848" s="4" t="s">
        <v>9</v>
      </c>
      <c r="N5848" s="5"/>
    </row>
    <row r="5849" spans="1:14" x14ac:dyDescent="0.25">
      <c r="A5849" t="s">
        <v>679</v>
      </c>
      <c r="B5849" s="2">
        <v>46239</v>
      </c>
      <c r="C5849" t="s">
        <v>679</v>
      </c>
      <c r="D5849" t="s">
        <v>33</v>
      </c>
      <c r="E5849" t="s">
        <v>9</v>
      </c>
      <c r="F5849" s="3">
        <v>5762</v>
      </c>
      <c r="G5849" s="3">
        <v>5762</v>
      </c>
      <c r="H5849" t="s">
        <v>3</v>
      </c>
      <c r="I5849" t="s">
        <v>3</v>
      </c>
      <c r="J5849" t="s">
        <v>9</v>
      </c>
      <c r="K5849" t="s">
        <v>9</v>
      </c>
      <c r="L5849" t="s">
        <v>21</v>
      </c>
      <c r="M5849" t="s">
        <v>35</v>
      </c>
      <c r="N5849" s="2">
        <v>46234</v>
      </c>
    </row>
    <row r="5850" spans="1:14" x14ac:dyDescent="0.25">
      <c r="A5850" t="s">
        <v>679</v>
      </c>
      <c r="B5850" s="2">
        <v>46217</v>
      </c>
      <c r="C5850" t="s">
        <v>679</v>
      </c>
      <c r="D5850" t="s">
        <v>33</v>
      </c>
      <c r="E5850" t="s">
        <v>9</v>
      </c>
      <c r="F5850" s="3">
        <v>-5762</v>
      </c>
      <c r="G5850" s="3">
        <v>-5762</v>
      </c>
      <c r="H5850" t="s">
        <v>3</v>
      </c>
      <c r="I5850" t="s">
        <v>3</v>
      </c>
      <c r="J5850" t="s">
        <v>9</v>
      </c>
      <c r="K5850" t="s">
        <v>13</v>
      </c>
      <c r="L5850" t="s">
        <v>21</v>
      </c>
      <c r="M5850" t="s">
        <v>35</v>
      </c>
      <c r="N5850" s="2">
        <v>46217</v>
      </c>
    </row>
    <row r="5851" spans="1:14" x14ac:dyDescent="0.25">
      <c r="A5851" s="4" t="s">
        <v>262</v>
      </c>
      <c r="B5851" s="5"/>
      <c r="C5851" s="4" t="s">
        <v>9</v>
      </c>
      <c r="D5851" s="4" t="s">
        <v>9</v>
      </c>
      <c r="E5851" s="4" t="s">
        <v>9</v>
      </c>
      <c r="F5851" s="6">
        <v>0</v>
      </c>
      <c r="G5851" s="6">
        <v>0</v>
      </c>
      <c r="H5851" s="4" t="s">
        <v>9</v>
      </c>
      <c r="I5851" s="4" t="s">
        <v>3</v>
      </c>
      <c r="J5851" s="4" t="s">
        <v>9</v>
      </c>
      <c r="K5851" s="4" t="s">
        <v>9</v>
      </c>
      <c r="L5851" s="4" t="s">
        <v>9</v>
      </c>
      <c r="M5851" s="4" t="s">
        <v>9</v>
      </c>
      <c r="N5851" s="5"/>
    </row>
    <row r="5852" spans="1:14" x14ac:dyDescent="0.25">
      <c r="A5852" t="s">
        <v>679</v>
      </c>
      <c r="B5852" s="2">
        <v>46267</v>
      </c>
      <c r="C5852" t="s">
        <v>679</v>
      </c>
      <c r="D5852" t="s">
        <v>33</v>
      </c>
      <c r="E5852" t="s">
        <v>9</v>
      </c>
      <c r="F5852" s="3">
        <v>12727</v>
      </c>
      <c r="G5852" s="3">
        <v>12727</v>
      </c>
      <c r="H5852" t="s">
        <v>3</v>
      </c>
      <c r="I5852" t="s">
        <v>3</v>
      </c>
      <c r="J5852" t="s">
        <v>9</v>
      </c>
      <c r="K5852" t="s">
        <v>9</v>
      </c>
      <c r="L5852" t="s">
        <v>22</v>
      </c>
      <c r="M5852" t="s">
        <v>35</v>
      </c>
      <c r="N5852" s="2">
        <v>46265</v>
      </c>
    </row>
    <row r="5853" spans="1:14" x14ac:dyDescent="0.25">
      <c r="A5853" t="s">
        <v>679</v>
      </c>
      <c r="B5853" s="2">
        <v>46254</v>
      </c>
      <c r="C5853" t="s">
        <v>679</v>
      </c>
      <c r="D5853" t="s">
        <v>33</v>
      </c>
      <c r="E5853" t="s">
        <v>9</v>
      </c>
      <c r="F5853" s="3">
        <v>-10404</v>
      </c>
      <c r="G5853" s="3">
        <v>-10404</v>
      </c>
      <c r="H5853" t="s">
        <v>3</v>
      </c>
      <c r="I5853" t="s">
        <v>3</v>
      </c>
      <c r="J5853" t="s">
        <v>9</v>
      </c>
      <c r="K5853" t="s">
        <v>13</v>
      </c>
      <c r="L5853" t="s">
        <v>22</v>
      </c>
      <c r="M5853" t="s">
        <v>35</v>
      </c>
      <c r="N5853" s="2">
        <v>46254</v>
      </c>
    </row>
    <row r="5854" spans="1:14" x14ac:dyDescent="0.25">
      <c r="A5854" t="s">
        <v>679</v>
      </c>
      <c r="B5854" s="2">
        <v>46254</v>
      </c>
      <c r="C5854" t="s">
        <v>679</v>
      </c>
      <c r="D5854" t="s">
        <v>33</v>
      </c>
      <c r="E5854" t="s">
        <v>9</v>
      </c>
      <c r="F5854" s="3">
        <v>-2323</v>
      </c>
      <c r="G5854" s="3">
        <v>-2323</v>
      </c>
      <c r="H5854" t="s">
        <v>3</v>
      </c>
      <c r="I5854" t="s">
        <v>3</v>
      </c>
      <c r="J5854" t="s">
        <v>9</v>
      </c>
      <c r="K5854" t="s">
        <v>13</v>
      </c>
      <c r="L5854" t="s">
        <v>22</v>
      </c>
      <c r="M5854" t="s">
        <v>35</v>
      </c>
      <c r="N5854" s="2">
        <v>46254</v>
      </c>
    </row>
    <row r="5855" spans="1:14" x14ac:dyDescent="0.25">
      <c r="A5855" s="4" t="s">
        <v>267</v>
      </c>
      <c r="B5855" s="5"/>
      <c r="C5855" s="4" t="s">
        <v>9</v>
      </c>
      <c r="D5855" s="4" t="s">
        <v>9</v>
      </c>
      <c r="E5855" s="4" t="s">
        <v>9</v>
      </c>
      <c r="F5855" s="6">
        <v>0</v>
      </c>
      <c r="G5855" s="6">
        <v>0</v>
      </c>
      <c r="H5855" s="4" t="s">
        <v>9</v>
      </c>
      <c r="I5855" s="4" t="s">
        <v>3</v>
      </c>
      <c r="J5855" s="4" t="s">
        <v>9</v>
      </c>
      <c r="K5855" s="4" t="s">
        <v>9</v>
      </c>
      <c r="L5855" s="4" t="s">
        <v>9</v>
      </c>
      <c r="M5855" s="4" t="s">
        <v>9</v>
      </c>
      <c r="N5855" s="5"/>
    </row>
    <row r="5856" spans="1:14" x14ac:dyDescent="0.25">
      <c r="A5856" s="4" t="s">
        <v>679</v>
      </c>
      <c r="B5856" s="5"/>
      <c r="C5856" s="4" t="s">
        <v>9</v>
      </c>
      <c r="D5856" s="4" t="s">
        <v>9</v>
      </c>
      <c r="E5856" s="4" t="s">
        <v>9</v>
      </c>
      <c r="F5856" s="6">
        <v>0</v>
      </c>
      <c r="G5856" s="6">
        <v>0</v>
      </c>
      <c r="H5856" s="4" t="s">
        <v>9</v>
      </c>
      <c r="I5856" s="4" t="s">
        <v>3</v>
      </c>
      <c r="J5856" s="4" t="s">
        <v>9</v>
      </c>
      <c r="K5856" s="4" t="s">
        <v>9</v>
      </c>
      <c r="L5856" s="4" t="s">
        <v>9</v>
      </c>
      <c r="M5856" s="4" t="s">
        <v>9</v>
      </c>
      <c r="N5856" s="5"/>
    </row>
    <row r="5857" spans="1:14" x14ac:dyDescent="0.25">
      <c r="A5857" t="s">
        <v>680</v>
      </c>
      <c r="B5857" s="2">
        <v>46147</v>
      </c>
      <c r="C5857" t="s">
        <v>680</v>
      </c>
      <c r="D5857" t="s">
        <v>112</v>
      </c>
      <c r="E5857" t="s">
        <v>9</v>
      </c>
      <c r="F5857" s="3">
        <v>-1000</v>
      </c>
      <c r="G5857" s="3">
        <v>-1000</v>
      </c>
      <c r="H5857" t="s">
        <v>3</v>
      </c>
      <c r="I5857" t="s">
        <v>3</v>
      </c>
      <c r="J5857" t="s">
        <v>9</v>
      </c>
      <c r="K5857" t="s">
        <v>9</v>
      </c>
      <c r="L5857" t="s">
        <v>17</v>
      </c>
      <c r="M5857" t="s">
        <v>114</v>
      </c>
      <c r="N5857" s="2">
        <v>46142</v>
      </c>
    </row>
    <row r="5858" spans="1:14" x14ac:dyDescent="0.25">
      <c r="A5858" t="s">
        <v>680</v>
      </c>
      <c r="B5858" s="2">
        <v>46142</v>
      </c>
      <c r="C5858" t="s">
        <v>680</v>
      </c>
      <c r="D5858" t="s">
        <v>112</v>
      </c>
      <c r="E5858" t="s">
        <v>9</v>
      </c>
      <c r="F5858" s="3">
        <v>1000</v>
      </c>
      <c r="G5858" s="3">
        <v>1000</v>
      </c>
      <c r="H5858" t="s">
        <v>3</v>
      </c>
      <c r="I5858" t="s">
        <v>3</v>
      </c>
      <c r="J5858" t="s">
        <v>310</v>
      </c>
      <c r="K5858" t="s">
        <v>13</v>
      </c>
      <c r="L5858" t="s">
        <v>17</v>
      </c>
      <c r="M5858" t="s">
        <v>114</v>
      </c>
      <c r="N5858" s="2">
        <v>46142</v>
      </c>
    </row>
    <row r="5859" spans="1:14" x14ac:dyDescent="0.25">
      <c r="A5859" s="4" t="s">
        <v>249</v>
      </c>
      <c r="B5859" s="5"/>
      <c r="C5859" s="4" t="s">
        <v>9</v>
      </c>
      <c r="D5859" s="4" t="s">
        <v>9</v>
      </c>
      <c r="E5859" s="4" t="s">
        <v>9</v>
      </c>
      <c r="F5859" s="6">
        <v>0</v>
      </c>
      <c r="G5859" s="6">
        <v>0</v>
      </c>
      <c r="H5859" s="4" t="s">
        <v>9</v>
      </c>
      <c r="I5859" s="4" t="s">
        <v>3</v>
      </c>
      <c r="J5859" s="4" t="s">
        <v>9</v>
      </c>
      <c r="K5859" s="4" t="s">
        <v>9</v>
      </c>
      <c r="L5859" s="4" t="s">
        <v>9</v>
      </c>
      <c r="M5859" s="4" t="s">
        <v>9</v>
      </c>
      <c r="N5859" s="5"/>
    </row>
    <row r="5860" spans="1:14" x14ac:dyDescent="0.25">
      <c r="A5860" t="s">
        <v>680</v>
      </c>
      <c r="B5860" s="2">
        <v>46175</v>
      </c>
      <c r="C5860" t="s">
        <v>680</v>
      </c>
      <c r="D5860" t="s">
        <v>112</v>
      </c>
      <c r="E5860" t="s">
        <v>9</v>
      </c>
      <c r="F5860" s="3">
        <v>-3700</v>
      </c>
      <c r="G5860" s="3">
        <v>-3700</v>
      </c>
      <c r="H5860" t="s">
        <v>3</v>
      </c>
      <c r="I5860" t="s">
        <v>3</v>
      </c>
      <c r="J5860" t="s">
        <v>9</v>
      </c>
      <c r="K5860" t="s">
        <v>9</v>
      </c>
      <c r="L5860" t="s">
        <v>18</v>
      </c>
      <c r="M5860" t="s">
        <v>114</v>
      </c>
      <c r="N5860" s="2">
        <v>46173</v>
      </c>
    </row>
    <row r="5861" spans="1:14" x14ac:dyDescent="0.25">
      <c r="A5861" t="s">
        <v>680</v>
      </c>
      <c r="B5861" s="2">
        <v>46142</v>
      </c>
      <c r="C5861" t="s">
        <v>680</v>
      </c>
      <c r="D5861" t="s">
        <v>112</v>
      </c>
      <c r="E5861" t="s">
        <v>9</v>
      </c>
      <c r="F5861" s="3">
        <v>-1000</v>
      </c>
      <c r="G5861" s="3">
        <v>-1000</v>
      </c>
      <c r="H5861" t="s">
        <v>3</v>
      </c>
      <c r="I5861" t="s">
        <v>3</v>
      </c>
      <c r="J5861" t="s">
        <v>310</v>
      </c>
      <c r="K5861" t="s">
        <v>13</v>
      </c>
      <c r="L5861" t="s">
        <v>18</v>
      </c>
      <c r="M5861" t="s">
        <v>114</v>
      </c>
      <c r="N5861" s="2">
        <v>46143</v>
      </c>
    </row>
    <row r="5862" spans="1:14" x14ac:dyDescent="0.25">
      <c r="A5862" t="s">
        <v>680</v>
      </c>
      <c r="B5862" s="2">
        <v>46173</v>
      </c>
      <c r="C5862" t="s">
        <v>680</v>
      </c>
      <c r="D5862" t="s">
        <v>112</v>
      </c>
      <c r="E5862" t="s">
        <v>9</v>
      </c>
      <c r="F5862" s="3">
        <v>4700</v>
      </c>
      <c r="G5862" s="3">
        <v>4700</v>
      </c>
      <c r="H5862" t="s">
        <v>3</v>
      </c>
      <c r="I5862" t="s">
        <v>3</v>
      </c>
      <c r="J5862" t="s">
        <v>313</v>
      </c>
      <c r="K5862" t="s">
        <v>13</v>
      </c>
      <c r="L5862" t="s">
        <v>18</v>
      </c>
      <c r="M5862" t="s">
        <v>114</v>
      </c>
      <c r="N5862" s="2">
        <v>46173</v>
      </c>
    </row>
    <row r="5863" spans="1:14" x14ac:dyDescent="0.25">
      <c r="A5863" s="4" t="s">
        <v>223</v>
      </c>
      <c r="B5863" s="5"/>
      <c r="C5863" s="4" t="s">
        <v>9</v>
      </c>
      <c r="D5863" s="4" t="s">
        <v>9</v>
      </c>
      <c r="E5863" s="4" t="s">
        <v>9</v>
      </c>
      <c r="F5863" s="6">
        <v>0</v>
      </c>
      <c r="G5863" s="6">
        <v>0</v>
      </c>
      <c r="H5863" s="4" t="s">
        <v>9</v>
      </c>
      <c r="I5863" s="4" t="s">
        <v>3</v>
      </c>
      <c r="J5863" s="4" t="s">
        <v>9</v>
      </c>
      <c r="K5863" s="4" t="s">
        <v>9</v>
      </c>
      <c r="L5863" s="4" t="s">
        <v>9</v>
      </c>
      <c r="M5863" s="4" t="s">
        <v>9</v>
      </c>
      <c r="N5863" s="5"/>
    </row>
    <row r="5864" spans="1:14" x14ac:dyDescent="0.25">
      <c r="A5864" t="s">
        <v>680</v>
      </c>
      <c r="B5864" s="2">
        <v>46205</v>
      </c>
      <c r="C5864" t="s">
        <v>680</v>
      </c>
      <c r="D5864" t="s">
        <v>112</v>
      </c>
      <c r="E5864" t="s">
        <v>9</v>
      </c>
      <c r="F5864" s="3">
        <v>-5487.64</v>
      </c>
      <c r="G5864" s="3">
        <v>-5487.64</v>
      </c>
      <c r="H5864" t="s">
        <v>3</v>
      </c>
      <c r="I5864" t="s">
        <v>3</v>
      </c>
      <c r="J5864" t="s">
        <v>9</v>
      </c>
      <c r="K5864" t="s">
        <v>9</v>
      </c>
      <c r="L5864" t="s">
        <v>19</v>
      </c>
      <c r="M5864" t="s">
        <v>114</v>
      </c>
      <c r="N5864" s="2">
        <v>46203</v>
      </c>
    </row>
    <row r="5865" spans="1:14" x14ac:dyDescent="0.25">
      <c r="A5865" t="s">
        <v>680</v>
      </c>
      <c r="B5865" s="2">
        <v>46173</v>
      </c>
      <c r="C5865" t="s">
        <v>680</v>
      </c>
      <c r="D5865" t="s">
        <v>112</v>
      </c>
      <c r="E5865" t="s">
        <v>9</v>
      </c>
      <c r="F5865" s="3">
        <v>-4700</v>
      </c>
      <c r="G5865" s="3">
        <v>-4700</v>
      </c>
      <c r="H5865" t="s">
        <v>3</v>
      </c>
      <c r="I5865" t="s">
        <v>3</v>
      </c>
      <c r="J5865" t="s">
        <v>313</v>
      </c>
      <c r="K5865" t="s">
        <v>13</v>
      </c>
      <c r="L5865" t="s">
        <v>19</v>
      </c>
      <c r="M5865" t="s">
        <v>114</v>
      </c>
      <c r="N5865" s="2">
        <v>46174</v>
      </c>
    </row>
    <row r="5866" spans="1:14" x14ac:dyDescent="0.25">
      <c r="A5866" t="s">
        <v>680</v>
      </c>
      <c r="B5866" s="2">
        <v>46203</v>
      </c>
      <c r="C5866" t="s">
        <v>680</v>
      </c>
      <c r="D5866" t="s">
        <v>112</v>
      </c>
      <c r="E5866" t="s">
        <v>9</v>
      </c>
      <c r="F5866" s="3">
        <v>10187.64</v>
      </c>
      <c r="G5866" s="3">
        <v>10187.64</v>
      </c>
      <c r="H5866" t="s">
        <v>3</v>
      </c>
      <c r="I5866" t="s">
        <v>3</v>
      </c>
      <c r="J5866" t="s">
        <v>316</v>
      </c>
      <c r="K5866" t="s">
        <v>13</v>
      </c>
      <c r="L5866" t="s">
        <v>19</v>
      </c>
      <c r="M5866" t="s">
        <v>114</v>
      </c>
      <c r="N5866" s="2">
        <v>46203</v>
      </c>
    </row>
    <row r="5867" spans="1:14" x14ac:dyDescent="0.25">
      <c r="A5867" s="4" t="s">
        <v>224</v>
      </c>
      <c r="B5867" s="5"/>
      <c r="C5867" s="4" t="s">
        <v>9</v>
      </c>
      <c r="D5867" s="4" t="s">
        <v>9</v>
      </c>
      <c r="E5867" s="4" t="s">
        <v>9</v>
      </c>
      <c r="F5867" s="6">
        <v>0</v>
      </c>
      <c r="G5867" s="6">
        <v>0</v>
      </c>
      <c r="H5867" s="4" t="s">
        <v>9</v>
      </c>
      <c r="I5867" s="4" t="s">
        <v>3</v>
      </c>
      <c r="J5867" s="4" t="s">
        <v>9</v>
      </c>
      <c r="K5867" s="4" t="s">
        <v>9</v>
      </c>
      <c r="L5867" s="4" t="s">
        <v>9</v>
      </c>
      <c r="M5867" s="4" t="s">
        <v>9</v>
      </c>
      <c r="N5867" s="5"/>
    </row>
    <row r="5868" spans="1:14" x14ac:dyDescent="0.25">
      <c r="A5868" t="s">
        <v>680</v>
      </c>
      <c r="B5868" s="2">
        <v>46239</v>
      </c>
      <c r="C5868" t="s">
        <v>680</v>
      </c>
      <c r="D5868" t="s">
        <v>112</v>
      </c>
      <c r="E5868" t="s">
        <v>9</v>
      </c>
      <c r="F5868" s="3">
        <v>-2212.36</v>
      </c>
      <c r="G5868" s="3">
        <v>-2212.36</v>
      </c>
      <c r="H5868" t="s">
        <v>3</v>
      </c>
      <c r="I5868" t="s">
        <v>3</v>
      </c>
      <c r="J5868" t="s">
        <v>9</v>
      </c>
      <c r="K5868" t="s">
        <v>9</v>
      </c>
      <c r="L5868" t="s">
        <v>21</v>
      </c>
      <c r="M5868" t="s">
        <v>114</v>
      </c>
      <c r="N5868" s="2">
        <v>46234</v>
      </c>
    </row>
    <row r="5869" spans="1:14" x14ac:dyDescent="0.25">
      <c r="A5869" t="s">
        <v>680</v>
      </c>
      <c r="B5869" s="2">
        <v>46203</v>
      </c>
      <c r="C5869" t="s">
        <v>680</v>
      </c>
      <c r="D5869" t="s">
        <v>112</v>
      </c>
      <c r="E5869" t="s">
        <v>9</v>
      </c>
      <c r="F5869" s="3">
        <v>-10187.64</v>
      </c>
      <c r="G5869" s="3">
        <v>-10187.64</v>
      </c>
      <c r="H5869" t="s">
        <v>3</v>
      </c>
      <c r="I5869" t="s">
        <v>3</v>
      </c>
      <c r="J5869" t="s">
        <v>316</v>
      </c>
      <c r="K5869" t="s">
        <v>13</v>
      </c>
      <c r="L5869" t="s">
        <v>21</v>
      </c>
      <c r="M5869" t="s">
        <v>114</v>
      </c>
      <c r="N5869" s="2">
        <v>46204</v>
      </c>
    </row>
    <row r="5870" spans="1:14" x14ac:dyDescent="0.25">
      <c r="A5870" t="s">
        <v>680</v>
      </c>
      <c r="B5870" s="2">
        <v>46234</v>
      </c>
      <c r="C5870" t="s">
        <v>680</v>
      </c>
      <c r="D5870" t="s">
        <v>112</v>
      </c>
      <c r="E5870" t="s">
        <v>9</v>
      </c>
      <c r="F5870" s="3">
        <v>12400</v>
      </c>
      <c r="G5870" s="3">
        <v>12400</v>
      </c>
      <c r="H5870" t="s">
        <v>3</v>
      </c>
      <c r="I5870" t="s">
        <v>3</v>
      </c>
      <c r="J5870" t="s">
        <v>319</v>
      </c>
      <c r="K5870" t="s">
        <v>13</v>
      </c>
      <c r="L5870" t="s">
        <v>21</v>
      </c>
      <c r="M5870" t="s">
        <v>114</v>
      </c>
      <c r="N5870" s="2">
        <v>46234</v>
      </c>
    </row>
    <row r="5871" spans="1:14" x14ac:dyDescent="0.25">
      <c r="A5871" s="4" t="s">
        <v>262</v>
      </c>
      <c r="B5871" s="5"/>
      <c r="C5871" s="4" t="s">
        <v>9</v>
      </c>
      <c r="D5871" s="4" t="s">
        <v>9</v>
      </c>
      <c r="E5871" s="4" t="s">
        <v>9</v>
      </c>
      <c r="F5871" s="6">
        <v>0</v>
      </c>
      <c r="G5871" s="6">
        <v>0</v>
      </c>
      <c r="H5871" s="4" t="s">
        <v>9</v>
      </c>
      <c r="I5871" s="4" t="s">
        <v>3</v>
      </c>
      <c r="J5871" s="4" t="s">
        <v>9</v>
      </c>
      <c r="K5871" s="4" t="s">
        <v>9</v>
      </c>
      <c r="L5871" s="4" t="s">
        <v>9</v>
      </c>
      <c r="M5871" s="4" t="s">
        <v>9</v>
      </c>
      <c r="N5871" s="5"/>
    </row>
    <row r="5872" spans="1:14" x14ac:dyDescent="0.25">
      <c r="A5872" t="s">
        <v>680</v>
      </c>
      <c r="B5872" s="2">
        <v>46267</v>
      </c>
      <c r="C5872" t="s">
        <v>680</v>
      </c>
      <c r="D5872" t="s">
        <v>112</v>
      </c>
      <c r="E5872" t="s">
        <v>9</v>
      </c>
      <c r="F5872" s="3">
        <v>-200</v>
      </c>
      <c r="G5872" s="3">
        <v>-200</v>
      </c>
      <c r="H5872" t="s">
        <v>3</v>
      </c>
      <c r="I5872" t="s">
        <v>3</v>
      </c>
      <c r="J5872" t="s">
        <v>9</v>
      </c>
      <c r="K5872" t="s">
        <v>9</v>
      </c>
      <c r="L5872" t="s">
        <v>22</v>
      </c>
      <c r="M5872" t="s">
        <v>114</v>
      </c>
      <c r="N5872" s="2">
        <v>46265</v>
      </c>
    </row>
    <row r="5873" spans="1:14" x14ac:dyDescent="0.25">
      <c r="A5873" t="s">
        <v>680</v>
      </c>
      <c r="B5873" s="2">
        <v>46234</v>
      </c>
      <c r="C5873" t="s">
        <v>680</v>
      </c>
      <c r="D5873" t="s">
        <v>112</v>
      </c>
      <c r="E5873" t="s">
        <v>9</v>
      </c>
      <c r="F5873" s="3">
        <v>-12400</v>
      </c>
      <c r="G5873" s="3">
        <v>-12400</v>
      </c>
      <c r="H5873" t="s">
        <v>3</v>
      </c>
      <c r="I5873" t="s">
        <v>3</v>
      </c>
      <c r="J5873" t="s">
        <v>319</v>
      </c>
      <c r="K5873" t="s">
        <v>13</v>
      </c>
      <c r="L5873" t="s">
        <v>22</v>
      </c>
      <c r="M5873" t="s">
        <v>114</v>
      </c>
      <c r="N5873" s="2">
        <v>46235</v>
      </c>
    </row>
    <row r="5874" spans="1:14" x14ac:dyDescent="0.25">
      <c r="A5874" t="s">
        <v>680</v>
      </c>
      <c r="B5874" s="2">
        <v>46265</v>
      </c>
      <c r="C5874" t="s">
        <v>680</v>
      </c>
      <c r="D5874" t="s">
        <v>112</v>
      </c>
      <c r="E5874" t="s">
        <v>9</v>
      </c>
      <c r="F5874" s="3">
        <v>12600</v>
      </c>
      <c r="G5874" s="3">
        <v>12600</v>
      </c>
      <c r="H5874" t="s">
        <v>3</v>
      </c>
      <c r="I5874" t="s">
        <v>3</v>
      </c>
      <c r="J5874" t="s">
        <v>322</v>
      </c>
      <c r="K5874" t="s">
        <v>13</v>
      </c>
      <c r="L5874" t="s">
        <v>22</v>
      </c>
      <c r="M5874" t="s">
        <v>114</v>
      </c>
      <c r="N5874" s="2">
        <v>46265</v>
      </c>
    </row>
    <row r="5875" spans="1:14" x14ac:dyDescent="0.25">
      <c r="A5875" s="4" t="s">
        <v>267</v>
      </c>
      <c r="B5875" s="5"/>
      <c r="C5875" s="4" t="s">
        <v>9</v>
      </c>
      <c r="D5875" s="4" t="s">
        <v>9</v>
      </c>
      <c r="E5875" s="4" t="s">
        <v>9</v>
      </c>
      <c r="F5875" s="6">
        <v>0</v>
      </c>
      <c r="G5875" s="6">
        <v>0</v>
      </c>
      <c r="H5875" s="4" t="s">
        <v>9</v>
      </c>
      <c r="I5875" s="4" t="s">
        <v>3</v>
      </c>
      <c r="J5875" s="4" t="s">
        <v>9</v>
      </c>
      <c r="K5875" s="4" t="s">
        <v>9</v>
      </c>
      <c r="L5875" s="4" t="s">
        <v>9</v>
      </c>
      <c r="M5875" s="4" t="s">
        <v>9</v>
      </c>
      <c r="N5875" s="5"/>
    </row>
    <row r="5876" spans="1:14" x14ac:dyDescent="0.25">
      <c r="A5876" s="4" t="s">
        <v>680</v>
      </c>
      <c r="B5876" s="5"/>
      <c r="C5876" s="4" t="s">
        <v>9</v>
      </c>
      <c r="D5876" s="4" t="s">
        <v>9</v>
      </c>
      <c r="E5876" s="4" t="s">
        <v>9</v>
      </c>
      <c r="F5876" s="6">
        <v>0</v>
      </c>
      <c r="G5876" s="6">
        <v>0</v>
      </c>
      <c r="H5876" s="4" t="s">
        <v>9</v>
      </c>
      <c r="I5876" s="4" t="s">
        <v>3</v>
      </c>
      <c r="J5876" s="4" t="s">
        <v>9</v>
      </c>
      <c r="K5876" s="4" t="s">
        <v>9</v>
      </c>
      <c r="L5876" s="4" t="s">
        <v>9</v>
      </c>
      <c r="M5876" s="4" t="s">
        <v>9</v>
      </c>
      <c r="N5876" s="5"/>
    </row>
    <row r="5877" spans="1:14" x14ac:dyDescent="0.25">
      <c r="A5877" t="s">
        <v>681</v>
      </c>
      <c r="B5877" s="2">
        <v>46239</v>
      </c>
      <c r="C5877" t="s">
        <v>681</v>
      </c>
      <c r="D5877" t="s">
        <v>51</v>
      </c>
      <c r="E5877" t="s">
        <v>9</v>
      </c>
      <c r="F5877" s="3">
        <v>-10200</v>
      </c>
      <c r="G5877" s="3">
        <v>-10200</v>
      </c>
      <c r="H5877" t="s">
        <v>3</v>
      </c>
      <c r="I5877" t="s">
        <v>3</v>
      </c>
      <c r="J5877" t="s">
        <v>9</v>
      </c>
      <c r="K5877" t="s">
        <v>9</v>
      </c>
      <c r="L5877" t="s">
        <v>21</v>
      </c>
      <c r="M5877" t="s">
        <v>53</v>
      </c>
      <c r="N5877" s="2">
        <v>46234</v>
      </c>
    </row>
    <row r="5878" spans="1:14" x14ac:dyDescent="0.25">
      <c r="A5878" t="s">
        <v>681</v>
      </c>
      <c r="B5878" s="2">
        <v>46204</v>
      </c>
      <c r="C5878" t="s">
        <v>681</v>
      </c>
      <c r="D5878" t="s">
        <v>51</v>
      </c>
      <c r="E5878" t="s">
        <v>9</v>
      </c>
      <c r="F5878" s="3">
        <v>10200</v>
      </c>
      <c r="G5878" s="3">
        <v>10200</v>
      </c>
      <c r="H5878" t="s">
        <v>3</v>
      </c>
      <c r="I5878" t="s">
        <v>3</v>
      </c>
      <c r="J5878" t="s">
        <v>405</v>
      </c>
      <c r="K5878" t="s">
        <v>13</v>
      </c>
      <c r="L5878" t="s">
        <v>21</v>
      </c>
      <c r="M5878" t="s">
        <v>53</v>
      </c>
      <c r="N5878" s="2">
        <v>46204</v>
      </c>
    </row>
    <row r="5879" spans="1:14" x14ac:dyDescent="0.25">
      <c r="A5879" s="4" t="s">
        <v>262</v>
      </c>
      <c r="B5879" s="5"/>
      <c r="C5879" s="4" t="s">
        <v>9</v>
      </c>
      <c r="D5879" s="4" t="s">
        <v>9</v>
      </c>
      <c r="E5879" s="4" t="s">
        <v>9</v>
      </c>
      <c r="F5879" s="6">
        <v>0</v>
      </c>
      <c r="G5879" s="6">
        <v>0</v>
      </c>
      <c r="H5879" s="4" t="s">
        <v>9</v>
      </c>
      <c r="I5879" s="4" t="s">
        <v>3</v>
      </c>
      <c r="J5879" s="4" t="s">
        <v>9</v>
      </c>
      <c r="K5879" s="4" t="s">
        <v>9</v>
      </c>
      <c r="L5879" s="4" t="s">
        <v>9</v>
      </c>
      <c r="M5879" s="4" t="s">
        <v>9</v>
      </c>
      <c r="N5879" s="5"/>
    </row>
    <row r="5880" spans="1:14" x14ac:dyDescent="0.25">
      <c r="A5880" s="4" t="s">
        <v>681</v>
      </c>
      <c r="B5880" s="5"/>
      <c r="C5880" s="4" t="s">
        <v>9</v>
      </c>
      <c r="D5880" s="4" t="s">
        <v>9</v>
      </c>
      <c r="E5880" s="4" t="s">
        <v>9</v>
      </c>
      <c r="F5880" s="6">
        <v>0</v>
      </c>
      <c r="G5880" s="6">
        <v>0</v>
      </c>
      <c r="H5880" s="4" t="s">
        <v>9</v>
      </c>
      <c r="I5880" s="4" t="s">
        <v>3</v>
      </c>
      <c r="J5880" s="4" t="s">
        <v>9</v>
      </c>
      <c r="K5880" s="4" t="s">
        <v>9</v>
      </c>
      <c r="L5880" s="4" t="s">
        <v>9</v>
      </c>
      <c r="M5880" s="4" t="s">
        <v>9</v>
      </c>
      <c r="N5880" s="5"/>
    </row>
    <row r="5881" spans="1:14" x14ac:dyDescent="0.25">
      <c r="A5881" t="s">
        <v>682</v>
      </c>
      <c r="B5881" s="2">
        <v>46239</v>
      </c>
      <c r="C5881" t="s">
        <v>682</v>
      </c>
      <c r="D5881" t="s">
        <v>33</v>
      </c>
      <c r="E5881" t="s">
        <v>9</v>
      </c>
      <c r="F5881" s="3">
        <v>3846</v>
      </c>
      <c r="G5881" s="3">
        <v>3846</v>
      </c>
      <c r="H5881" t="s">
        <v>3</v>
      </c>
      <c r="I5881" t="s">
        <v>3</v>
      </c>
      <c r="J5881" t="s">
        <v>9</v>
      </c>
      <c r="K5881" t="s">
        <v>9</v>
      </c>
      <c r="L5881" t="s">
        <v>21</v>
      </c>
      <c r="M5881" t="s">
        <v>35</v>
      </c>
      <c r="N5881" s="2">
        <v>46234</v>
      </c>
    </row>
    <row r="5882" spans="1:14" x14ac:dyDescent="0.25">
      <c r="A5882" t="s">
        <v>682</v>
      </c>
      <c r="B5882" s="2">
        <v>46217</v>
      </c>
      <c r="C5882" t="s">
        <v>682</v>
      </c>
      <c r="D5882" t="s">
        <v>33</v>
      </c>
      <c r="E5882" t="s">
        <v>9</v>
      </c>
      <c r="F5882" s="3">
        <v>-3846</v>
      </c>
      <c r="G5882" s="3">
        <v>-3846</v>
      </c>
      <c r="H5882" t="s">
        <v>3</v>
      </c>
      <c r="I5882" t="s">
        <v>3</v>
      </c>
      <c r="J5882" t="s">
        <v>9</v>
      </c>
      <c r="K5882" t="s">
        <v>13</v>
      </c>
      <c r="L5882" t="s">
        <v>21</v>
      </c>
      <c r="M5882" t="s">
        <v>35</v>
      </c>
      <c r="N5882" s="2">
        <v>46217</v>
      </c>
    </row>
    <row r="5883" spans="1:14" x14ac:dyDescent="0.25">
      <c r="A5883" s="4" t="s">
        <v>262</v>
      </c>
      <c r="B5883" s="5"/>
      <c r="C5883" s="4" t="s">
        <v>9</v>
      </c>
      <c r="D5883" s="4" t="s">
        <v>9</v>
      </c>
      <c r="E5883" s="4" t="s">
        <v>9</v>
      </c>
      <c r="F5883" s="6">
        <v>0</v>
      </c>
      <c r="G5883" s="6">
        <v>0</v>
      </c>
      <c r="H5883" s="4" t="s">
        <v>9</v>
      </c>
      <c r="I5883" s="4" t="s">
        <v>3</v>
      </c>
      <c r="J5883" s="4" t="s">
        <v>9</v>
      </c>
      <c r="K5883" s="4" t="s">
        <v>9</v>
      </c>
      <c r="L5883" s="4" t="s">
        <v>9</v>
      </c>
      <c r="M5883" s="4" t="s">
        <v>9</v>
      </c>
      <c r="N5883" s="5"/>
    </row>
    <row r="5884" spans="1:14" x14ac:dyDescent="0.25">
      <c r="A5884" t="s">
        <v>682</v>
      </c>
      <c r="B5884" s="2">
        <v>46267</v>
      </c>
      <c r="C5884" t="s">
        <v>682</v>
      </c>
      <c r="D5884" t="s">
        <v>33</v>
      </c>
      <c r="E5884" t="s">
        <v>9</v>
      </c>
      <c r="F5884" s="3">
        <v>7599</v>
      </c>
      <c r="G5884" s="3">
        <v>7599</v>
      </c>
      <c r="H5884" t="s">
        <v>3</v>
      </c>
      <c r="I5884" t="s">
        <v>3</v>
      </c>
      <c r="J5884" t="s">
        <v>9</v>
      </c>
      <c r="K5884" t="s">
        <v>9</v>
      </c>
      <c r="L5884" t="s">
        <v>22</v>
      </c>
      <c r="M5884" t="s">
        <v>35</v>
      </c>
      <c r="N5884" s="2">
        <v>46265</v>
      </c>
    </row>
    <row r="5885" spans="1:14" x14ac:dyDescent="0.25">
      <c r="A5885" t="s">
        <v>682</v>
      </c>
      <c r="B5885" s="2">
        <v>46254</v>
      </c>
      <c r="C5885" t="s">
        <v>682</v>
      </c>
      <c r="D5885" t="s">
        <v>33</v>
      </c>
      <c r="E5885" t="s">
        <v>9</v>
      </c>
      <c r="F5885" s="3">
        <v>-7599</v>
      </c>
      <c r="G5885" s="3">
        <v>-7599</v>
      </c>
      <c r="H5885" t="s">
        <v>3</v>
      </c>
      <c r="I5885" t="s">
        <v>3</v>
      </c>
      <c r="J5885" t="s">
        <v>9</v>
      </c>
      <c r="K5885" t="s">
        <v>13</v>
      </c>
      <c r="L5885" t="s">
        <v>22</v>
      </c>
      <c r="M5885" t="s">
        <v>35</v>
      </c>
      <c r="N5885" s="2">
        <v>46254</v>
      </c>
    </row>
    <row r="5886" spans="1:14" x14ac:dyDescent="0.25">
      <c r="A5886" s="4" t="s">
        <v>267</v>
      </c>
      <c r="B5886" s="5"/>
      <c r="C5886" s="4" t="s">
        <v>9</v>
      </c>
      <c r="D5886" s="4" t="s">
        <v>9</v>
      </c>
      <c r="E5886" s="4" t="s">
        <v>9</v>
      </c>
      <c r="F5886" s="6">
        <v>0</v>
      </c>
      <c r="G5886" s="6">
        <v>0</v>
      </c>
      <c r="H5886" s="4" t="s">
        <v>9</v>
      </c>
      <c r="I5886" s="4" t="s">
        <v>3</v>
      </c>
      <c r="J5886" s="4" t="s">
        <v>9</v>
      </c>
      <c r="K5886" s="4" t="s">
        <v>9</v>
      </c>
      <c r="L5886" s="4" t="s">
        <v>9</v>
      </c>
      <c r="M5886" s="4" t="s">
        <v>9</v>
      </c>
      <c r="N5886" s="5"/>
    </row>
    <row r="5887" spans="1:14" x14ac:dyDescent="0.25">
      <c r="A5887" s="4" t="s">
        <v>682</v>
      </c>
      <c r="B5887" s="5"/>
      <c r="C5887" s="4" t="s">
        <v>9</v>
      </c>
      <c r="D5887" s="4" t="s">
        <v>9</v>
      </c>
      <c r="E5887" s="4" t="s">
        <v>9</v>
      </c>
      <c r="F5887" s="6">
        <v>0</v>
      </c>
      <c r="G5887" s="6">
        <v>0</v>
      </c>
      <c r="H5887" s="4" t="s">
        <v>9</v>
      </c>
      <c r="I5887" s="4" t="s">
        <v>3</v>
      </c>
      <c r="J5887" s="4" t="s">
        <v>9</v>
      </c>
      <c r="K5887" s="4" t="s">
        <v>9</v>
      </c>
      <c r="L5887" s="4" t="s">
        <v>9</v>
      </c>
      <c r="M5887" s="4" t="s">
        <v>9</v>
      </c>
      <c r="N5887" s="5"/>
    </row>
    <row r="5888" spans="1:14" x14ac:dyDescent="0.25">
      <c r="A5888" t="s">
        <v>683</v>
      </c>
      <c r="B5888" s="2">
        <v>46175</v>
      </c>
      <c r="C5888" t="s">
        <v>683</v>
      </c>
      <c r="D5888" t="s">
        <v>112</v>
      </c>
      <c r="E5888" t="s">
        <v>9</v>
      </c>
      <c r="F5888" s="3">
        <v>-100</v>
      </c>
      <c r="G5888" s="3">
        <v>-100</v>
      </c>
      <c r="H5888" t="s">
        <v>3</v>
      </c>
      <c r="I5888" t="s">
        <v>3</v>
      </c>
      <c r="J5888" t="s">
        <v>9</v>
      </c>
      <c r="K5888" t="s">
        <v>9</v>
      </c>
      <c r="L5888" t="s">
        <v>18</v>
      </c>
      <c r="M5888" t="s">
        <v>114</v>
      </c>
      <c r="N5888" s="2">
        <v>46173</v>
      </c>
    </row>
    <row r="5889" spans="1:14" x14ac:dyDescent="0.25">
      <c r="A5889" t="s">
        <v>683</v>
      </c>
      <c r="B5889" s="2">
        <v>46173</v>
      </c>
      <c r="C5889" t="s">
        <v>683</v>
      </c>
      <c r="D5889" t="s">
        <v>112</v>
      </c>
      <c r="E5889" t="s">
        <v>9</v>
      </c>
      <c r="F5889" s="3">
        <v>100</v>
      </c>
      <c r="G5889" s="3">
        <v>100</v>
      </c>
      <c r="H5889" t="s">
        <v>3</v>
      </c>
      <c r="I5889" t="s">
        <v>3</v>
      </c>
      <c r="J5889" t="s">
        <v>313</v>
      </c>
      <c r="K5889" t="s">
        <v>13</v>
      </c>
      <c r="L5889" t="s">
        <v>18</v>
      </c>
      <c r="M5889" t="s">
        <v>114</v>
      </c>
      <c r="N5889" s="2">
        <v>46173</v>
      </c>
    </row>
    <row r="5890" spans="1:14" x14ac:dyDescent="0.25">
      <c r="A5890" s="4" t="s">
        <v>223</v>
      </c>
      <c r="B5890" s="5"/>
      <c r="C5890" s="4" t="s">
        <v>9</v>
      </c>
      <c r="D5890" s="4" t="s">
        <v>9</v>
      </c>
      <c r="E5890" s="4" t="s">
        <v>9</v>
      </c>
      <c r="F5890" s="6">
        <v>0</v>
      </c>
      <c r="G5890" s="6">
        <v>0</v>
      </c>
      <c r="H5890" s="4" t="s">
        <v>9</v>
      </c>
      <c r="I5890" s="4" t="s">
        <v>3</v>
      </c>
      <c r="J5890" s="4" t="s">
        <v>9</v>
      </c>
      <c r="K5890" s="4" t="s">
        <v>9</v>
      </c>
      <c r="L5890" s="4" t="s">
        <v>9</v>
      </c>
      <c r="M5890" s="4" t="s">
        <v>9</v>
      </c>
      <c r="N5890" s="5"/>
    </row>
    <row r="5891" spans="1:14" x14ac:dyDescent="0.25">
      <c r="A5891" t="s">
        <v>683</v>
      </c>
      <c r="B5891" s="2">
        <v>46205</v>
      </c>
      <c r="C5891" t="s">
        <v>683</v>
      </c>
      <c r="D5891" t="s">
        <v>112</v>
      </c>
      <c r="E5891" t="s">
        <v>9</v>
      </c>
      <c r="F5891" s="3">
        <v>-3562.92</v>
      </c>
      <c r="G5891" s="3">
        <v>-3562.92</v>
      </c>
      <c r="H5891" t="s">
        <v>3</v>
      </c>
      <c r="I5891" t="s">
        <v>3</v>
      </c>
      <c r="J5891" t="s">
        <v>9</v>
      </c>
      <c r="K5891" t="s">
        <v>9</v>
      </c>
      <c r="L5891" t="s">
        <v>19</v>
      </c>
      <c r="M5891" t="s">
        <v>114</v>
      </c>
      <c r="N5891" s="2">
        <v>46203</v>
      </c>
    </row>
    <row r="5892" spans="1:14" x14ac:dyDescent="0.25">
      <c r="A5892" t="s">
        <v>683</v>
      </c>
      <c r="B5892" s="2">
        <v>46173</v>
      </c>
      <c r="C5892" t="s">
        <v>683</v>
      </c>
      <c r="D5892" t="s">
        <v>112</v>
      </c>
      <c r="E5892" t="s">
        <v>9</v>
      </c>
      <c r="F5892" s="3">
        <v>-100</v>
      </c>
      <c r="G5892" s="3">
        <v>-100</v>
      </c>
      <c r="H5892" t="s">
        <v>3</v>
      </c>
      <c r="I5892" t="s">
        <v>3</v>
      </c>
      <c r="J5892" t="s">
        <v>313</v>
      </c>
      <c r="K5892" t="s">
        <v>13</v>
      </c>
      <c r="L5892" t="s">
        <v>19</v>
      </c>
      <c r="M5892" t="s">
        <v>114</v>
      </c>
      <c r="N5892" s="2">
        <v>46174</v>
      </c>
    </row>
    <row r="5893" spans="1:14" x14ac:dyDescent="0.25">
      <c r="A5893" t="s">
        <v>683</v>
      </c>
      <c r="B5893" s="2">
        <v>46203</v>
      </c>
      <c r="C5893" t="s">
        <v>683</v>
      </c>
      <c r="D5893" t="s">
        <v>112</v>
      </c>
      <c r="E5893" t="s">
        <v>9</v>
      </c>
      <c r="F5893" s="3">
        <v>3662.92</v>
      </c>
      <c r="G5893" s="3">
        <v>3662.92</v>
      </c>
      <c r="H5893" t="s">
        <v>3</v>
      </c>
      <c r="I5893" t="s">
        <v>3</v>
      </c>
      <c r="J5893" t="s">
        <v>316</v>
      </c>
      <c r="K5893" t="s">
        <v>13</v>
      </c>
      <c r="L5893" t="s">
        <v>19</v>
      </c>
      <c r="M5893" t="s">
        <v>114</v>
      </c>
      <c r="N5893" s="2">
        <v>46203</v>
      </c>
    </row>
    <row r="5894" spans="1:14" x14ac:dyDescent="0.25">
      <c r="A5894" s="4" t="s">
        <v>224</v>
      </c>
      <c r="B5894" s="5"/>
      <c r="C5894" s="4" t="s">
        <v>9</v>
      </c>
      <c r="D5894" s="4" t="s">
        <v>9</v>
      </c>
      <c r="E5894" s="4" t="s">
        <v>9</v>
      </c>
      <c r="F5894" s="6">
        <v>0</v>
      </c>
      <c r="G5894" s="6">
        <v>0</v>
      </c>
      <c r="H5894" s="4" t="s">
        <v>9</v>
      </c>
      <c r="I5894" s="4" t="s">
        <v>3</v>
      </c>
      <c r="J5894" s="4" t="s">
        <v>9</v>
      </c>
      <c r="K5894" s="4" t="s">
        <v>9</v>
      </c>
      <c r="L5894" s="4" t="s">
        <v>9</v>
      </c>
      <c r="M5894" s="4" t="s">
        <v>9</v>
      </c>
      <c r="N5894" s="5"/>
    </row>
    <row r="5895" spans="1:14" x14ac:dyDescent="0.25">
      <c r="A5895" t="s">
        <v>683</v>
      </c>
      <c r="B5895" s="2">
        <v>46239</v>
      </c>
      <c r="C5895" t="s">
        <v>683</v>
      </c>
      <c r="D5895" t="s">
        <v>112</v>
      </c>
      <c r="E5895" t="s">
        <v>9</v>
      </c>
      <c r="F5895" s="3">
        <v>-7237.08</v>
      </c>
      <c r="G5895" s="3">
        <v>-7237.08</v>
      </c>
      <c r="H5895" t="s">
        <v>3</v>
      </c>
      <c r="I5895" t="s">
        <v>3</v>
      </c>
      <c r="J5895" t="s">
        <v>9</v>
      </c>
      <c r="K5895" t="s">
        <v>9</v>
      </c>
      <c r="L5895" t="s">
        <v>21</v>
      </c>
      <c r="M5895" t="s">
        <v>114</v>
      </c>
      <c r="N5895" s="2">
        <v>46234</v>
      </c>
    </row>
    <row r="5896" spans="1:14" x14ac:dyDescent="0.25">
      <c r="A5896" t="s">
        <v>683</v>
      </c>
      <c r="B5896" s="2">
        <v>46203</v>
      </c>
      <c r="C5896" t="s">
        <v>683</v>
      </c>
      <c r="D5896" t="s">
        <v>112</v>
      </c>
      <c r="E5896" t="s">
        <v>9</v>
      </c>
      <c r="F5896" s="3">
        <v>-3662.92</v>
      </c>
      <c r="G5896" s="3">
        <v>-3662.92</v>
      </c>
      <c r="H5896" t="s">
        <v>3</v>
      </c>
      <c r="I5896" t="s">
        <v>3</v>
      </c>
      <c r="J5896" t="s">
        <v>316</v>
      </c>
      <c r="K5896" t="s">
        <v>13</v>
      </c>
      <c r="L5896" t="s">
        <v>21</v>
      </c>
      <c r="M5896" t="s">
        <v>114</v>
      </c>
      <c r="N5896" s="2">
        <v>46204</v>
      </c>
    </row>
    <row r="5897" spans="1:14" x14ac:dyDescent="0.25">
      <c r="A5897" t="s">
        <v>683</v>
      </c>
      <c r="B5897" s="2">
        <v>46234</v>
      </c>
      <c r="C5897" t="s">
        <v>683</v>
      </c>
      <c r="D5897" t="s">
        <v>112</v>
      </c>
      <c r="E5897" t="s">
        <v>9</v>
      </c>
      <c r="F5897" s="3">
        <v>10900</v>
      </c>
      <c r="G5897" s="3">
        <v>10900</v>
      </c>
      <c r="H5897" t="s">
        <v>3</v>
      </c>
      <c r="I5897" t="s">
        <v>3</v>
      </c>
      <c r="J5897" t="s">
        <v>319</v>
      </c>
      <c r="K5897" t="s">
        <v>13</v>
      </c>
      <c r="L5897" t="s">
        <v>21</v>
      </c>
      <c r="M5897" t="s">
        <v>114</v>
      </c>
      <c r="N5897" s="2">
        <v>46234</v>
      </c>
    </row>
    <row r="5898" spans="1:14" x14ac:dyDescent="0.25">
      <c r="A5898" s="4" t="s">
        <v>262</v>
      </c>
      <c r="B5898" s="5"/>
      <c r="C5898" s="4" t="s">
        <v>9</v>
      </c>
      <c r="D5898" s="4" t="s">
        <v>9</v>
      </c>
      <c r="E5898" s="4" t="s">
        <v>9</v>
      </c>
      <c r="F5898" s="6">
        <v>0</v>
      </c>
      <c r="G5898" s="6">
        <v>0</v>
      </c>
      <c r="H5898" s="4" t="s">
        <v>9</v>
      </c>
      <c r="I5898" s="4" t="s">
        <v>3</v>
      </c>
      <c r="J5898" s="4" t="s">
        <v>9</v>
      </c>
      <c r="K5898" s="4" t="s">
        <v>9</v>
      </c>
      <c r="L5898" s="4" t="s">
        <v>9</v>
      </c>
      <c r="M5898" s="4" t="s">
        <v>9</v>
      </c>
      <c r="N5898" s="5"/>
    </row>
    <row r="5899" spans="1:14" x14ac:dyDescent="0.25">
      <c r="A5899" t="s">
        <v>683</v>
      </c>
      <c r="B5899" s="2">
        <v>46267</v>
      </c>
      <c r="C5899" t="s">
        <v>683</v>
      </c>
      <c r="D5899" t="s">
        <v>112</v>
      </c>
      <c r="E5899" t="s">
        <v>9</v>
      </c>
      <c r="F5899" s="3">
        <v>-5367</v>
      </c>
      <c r="G5899" s="3">
        <v>-5367</v>
      </c>
      <c r="H5899" t="s">
        <v>3</v>
      </c>
      <c r="I5899" t="s">
        <v>3</v>
      </c>
      <c r="J5899" t="s">
        <v>9</v>
      </c>
      <c r="K5899" t="s">
        <v>9</v>
      </c>
      <c r="L5899" t="s">
        <v>22</v>
      </c>
      <c r="M5899" t="s">
        <v>114</v>
      </c>
      <c r="N5899" s="2">
        <v>46265</v>
      </c>
    </row>
    <row r="5900" spans="1:14" x14ac:dyDescent="0.25">
      <c r="A5900" t="s">
        <v>683</v>
      </c>
      <c r="B5900" s="2">
        <v>46234</v>
      </c>
      <c r="C5900" t="s">
        <v>683</v>
      </c>
      <c r="D5900" t="s">
        <v>112</v>
      </c>
      <c r="E5900" t="s">
        <v>9</v>
      </c>
      <c r="F5900" s="3">
        <v>-10900</v>
      </c>
      <c r="G5900" s="3">
        <v>-10900</v>
      </c>
      <c r="H5900" t="s">
        <v>3</v>
      </c>
      <c r="I5900" t="s">
        <v>3</v>
      </c>
      <c r="J5900" t="s">
        <v>319</v>
      </c>
      <c r="K5900" t="s">
        <v>13</v>
      </c>
      <c r="L5900" t="s">
        <v>22</v>
      </c>
      <c r="M5900" t="s">
        <v>114</v>
      </c>
      <c r="N5900" s="2">
        <v>46235</v>
      </c>
    </row>
    <row r="5901" spans="1:14" x14ac:dyDescent="0.25">
      <c r="A5901" t="s">
        <v>683</v>
      </c>
      <c r="B5901" s="2">
        <v>46265</v>
      </c>
      <c r="C5901" t="s">
        <v>683</v>
      </c>
      <c r="D5901" t="s">
        <v>112</v>
      </c>
      <c r="E5901" t="s">
        <v>9</v>
      </c>
      <c r="F5901" s="3">
        <v>13300</v>
      </c>
      <c r="G5901" s="3">
        <v>13300</v>
      </c>
      <c r="H5901" t="s">
        <v>3</v>
      </c>
      <c r="I5901" t="s">
        <v>3</v>
      </c>
      <c r="J5901" t="s">
        <v>322</v>
      </c>
      <c r="K5901" t="s">
        <v>13</v>
      </c>
      <c r="L5901" t="s">
        <v>22</v>
      </c>
      <c r="M5901" t="s">
        <v>114</v>
      </c>
      <c r="N5901" s="2">
        <v>46265</v>
      </c>
    </row>
    <row r="5902" spans="1:14" x14ac:dyDescent="0.25">
      <c r="A5902" t="s">
        <v>683</v>
      </c>
      <c r="B5902" s="2">
        <v>46265</v>
      </c>
      <c r="C5902" t="s">
        <v>683</v>
      </c>
      <c r="D5902" t="s">
        <v>112</v>
      </c>
      <c r="E5902" t="s">
        <v>9</v>
      </c>
      <c r="F5902" s="3">
        <v>2967</v>
      </c>
      <c r="G5902" s="3">
        <v>2967</v>
      </c>
      <c r="H5902" t="s">
        <v>3</v>
      </c>
      <c r="I5902" t="s">
        <v>3</v>
      </c>
      <c r="J5902" t="s">
        <v>506</v>
      </c>
      <c r="K5902" t="s">
        <v>13</v>
      </c>
      <c r="L5902" t="s">
        <v>22</v>
      </c>
      <c r="M5902" t="s">
        <v>114</v>
      </c>
      <c r="N5902" s="2">
        <v>46265</v>
      </c>
    </row>
    <row r="5903" spans="1:14" x14ac:dyDescent="0.25">
      <c r="A5903" s="4" t="s">
        <v>267</v>
      </c>
      <c r="B5903" s="5"/>
      <c r="C5903" s="4" t="s">
        <v>9</v>
      </c>
      <c r="D5903" s="4" t="s">
        <v>9</v>
      </c>
      <c r="E5903" s="4" t="s">
        <v>9</v>
      </c>
      <c r="F5903" s="6">
        <v>0</v>
      </c>
      <c r="G5903" s="6">
        <v>0</v>
      </c>
      <c r="H5903" s="4" t="s">
        <v>9</v>
      </c>
      <c r="I5903" s="4" t="s">
        <v>3</v>
      </c>
      <c r="J5903" s="4" t="s">
        <v>9</v>
      </c>
      <c r="K5903" s="4" t="s">
        <v>9</v>
      </c>
      <c r="L5903" s="4" t="s">
        <v>9</v>
      </c>
      <c r="M5903" s="4" t="s">
        <v>9</v>
      </c>
      <c r="N5903" s="5"/>
    </row>
    <row r="5904" spans="1:14" x14ac:dyDescent="0.25">
      <c r="A5904" s="4" t="s">
        <v>683</v>
      </c>
      <c r="B5904" s="5"/>
      <c r="C5904" s="4" t="s">
        <v>9</v>
      </c>
      <c r="D5904" s="4" t="s">
        <v>9</v>
      </c>
      <c r="E5904" s="4" t="s">
        <v>9</v>
      </c>
      <c r="F5904" s="6">
        <v>0</v>
      </c>
      <c r="G5904" s="6">
        <v>0</v>
      </c>
      <c r="H5904" s="4" t="s">
        <v>9</v>
      </c>
      <c r="I5904" s="4" t="s">
        <v>3</v>
      </c>
      <c r="J5904" s="4" t="s">
        <v>9</v>
      </c>
      <c r="K5904" s="4" t="s">
        <v>9</v>
      </c>
      <c r="L5904" s="4" t="s">
        <v>9</v>
      </c>
      <c r="M5904" s="4" t="s">
        <v>9</v>
      </c>
      <c r="N5904" s="5"/>
    </row>
    <row r="5905" spans="1:14" x14ac:dyDescent="0.25">
      <c r="A5905" t="s">
        <v>684</v>
      </c>
      <c r="B5905" s="2">
        <v>46115</v>
      </c>
      <c r="C5905" t="s">
        <v>684</v>
      </c>
      <c r="D5905" t="s">
        <v>112</v>
      </c>
      <c r="E5905" t="s">
        <v>9</v>
      </c>
      <c r="F5905" s="3">
        <v>-55184</v>
      </c>
      <c r="G5905" s="3">
        <v>-55184</v>
      </c>
      <c r="H5905" t="s">
        <v>3</v>
      </c>
      <c r="I5905" t="s">
        <v>3</v>
      </c>
      <c r="J5905" t="s">
        <v>9</v>
      </c>
      <c r="K5905" t="s">
        <v>9</v>
      </c>
      <c r="L5905" t="s">
        <v>16</v>
      </c>
      <c r="M5905" t="s">
        <v>114</v>
      </c>
      <c r="N5905" s="2">
        <v>46112</v>
      </c>
    </row>
    <row r="5906" spans="1:14" x14ac:dyDescent="0.25">
      <c r="A5906" t="s">
        <v>684</v>
      </c>
      <c r="B5906" s="2">
        <v>46115</v>
      </c>
      <c r="C5906" t="s">
        <v>684</v>
      </c>
      <c r="D5906" t="s">
        <v>301</v>
      </c>
      <c r="E5906" t="s">
        <v>9</v>
      </c>
      <c r="F5906" s="3">
        <v>55184</v>
      </c>
      <c r="G5906" s="3">
        <v>55184</v>
      </c>
      <c r="H5906" t="s">
        <v>3</v>
      </c>
      <c r="I5906" t="s">
        <v>3</v>
      </c>
      <c r="J5906" t="s">
        <v>9</v>
      </c>
      <c r="K5906" t="s">
        <v>9</v>
      </c>
      <c r="L5906" t="s">
        <v>16</v>
      </c>
      <c r="M5906" t="s">
        <v>302</v>
      </c>
      <c r="N5906" s="2">
        <v>46112</v>
      </c>
    </row>
    <row r="5907" spans="1:14" x14ac:dyDescent="0.25">
      <c r="A5907" t="s">
        <v>684</v>
      </c>
      <c r="B5907" s="2">
        <v>46112</v>
      </c>
      <c r="C5907" t="s">
        <v>684</v>
      </c>
      <c r="D5907" t="s">
        <v>112</v>
      </c>
      <c r="E5907" t="s">
        <v>9</v>
      </c>
      <c r="F5907" s="3">
        <v>55184</v>
      </c>
      <c r="G5907" s="3">
        <v>55184</v>
      </c>
      <c r="H5907" t="s">
        <v>3</v>
      </c>
      <c r="I5907" t="s">
        <v>3</v>
      </c>
      <c r="J5907" t="s">
        <v>395</v>
      </c>
      <c r="K5907" t="s">
        <v>13</v>
      </c>
      <c r="L5907" t="s">
        <v>16</v>
      </c>
      <c r="M5907" t="s">
        <v>114</v>
      </c>
      <c r="N5907" s="2">
        <v>46112</v>
      </c>
    </row>
    <row r="5908" spans="1:14" x14ac:dyDescent="0.25">
      <c r="A5908" t="s">
        <v>684</v>
      </c>
      <c r="B5908" s="2">
        <v>46112</v>
      </c>
      <c r="C5908" t="s">
        <v>684</v>
      </c>
      <c r="D5908" t="s">
        <v>301</v>
      </c>
      <c r="E5908" t="s">
        <v>9</v>
      </c>
      <c r="F5908" s="3">
        <v>-55184</v>
      </c>
      <c r="G5908" s="3">
        <v>-55184</v>
      </c>
      <c r="H5908" t="s">
        <v>3</v>
      </c>
      <c r="I5908" t="s">
        <v>3</v>
      </c>
      <c r="J5908" t="s">
        <v>10</v>
      </c>
      <c r="K5908" t="s">
        <v>13</v>
      </c>
      <c r="L5908" t="s">
        <v>16</v>
      </c>
      <c r="M5908" t="s">
        <v>302</v>
      </c>
      <c r="N5908" s="2">
        <v>46112</v>
      </c>
    </row>
    <row r="5909" spans="1:14" x14ac:dyDescent="0.25">
      <c r="A5909" s="4" t="s">
        <v>244</v>
      </c>
      <c r="B5909" s="5"/>
      <c r="C5909" s="4" t="s">
        <v>9</v>
      </c>
      <c r="D5909" s="4" t="s">
        <v>9</v>
      </c>
      <c r="E5909" s="4" t="s">
        <v>9</v>
      </c>
      <c r="F5909" s="6">
        <v>0</v>
      </c>
      <c r="G5909" s="6">
        <v>0</v>
      </c>
      <c r="H5909" s="4" t="s">
        <v>9</v>
      </c>
      <c r="I5909" s="4" t="s">
        <v>3</v>
      </c>
      <c r="J5909" s="4" t="s">
        <v>9</v>
      </c>
      <c r="K5909" s="4" t="s">
        <v>9</v>
      </c>
      <c r="L5909" s="4" t="s">
        <v>9</v>
      </c>
      <c r="M5909" s="4" t="s">
        <v>9</v>
      </c>
      <c r="N5909" s="5"/>
    </row>
    <row r="5910" spans="1:14" x14ac:dyDescent="0.25">
      <c r="A5910" t="s">
        <v>684</v>
      </c>
      <c r="B5910" s="2">
        <v>46147</v>
      </c>
      <c r="C5910" t="s">
        <v>684</v>
      </c>
      <c r="D5910" t="s">
        <v>112</v>
      </c>
      <c r="E5910" t="s">
        <v>9</v>
      </c>
      <c r="F5910" s="3">
        <v>-1144</v>
      </c>
      <c r="G5910" s="3">
        <v>-1144</v>
      </c>
      <c r="H5910" t="s">
        <v>3</v>
      </c>
      <c r="I5910" t="s">
        <v>3</v>
      </c>
      <c r="J5910" t="s">
        <v>9</v>
      </c>
      <c r="K5910" t="s">
        <v>9</v>
      </c>
      <c r="L5910" t="s">
        <v>17</v>
      </c>
      <c r="M5910" t="s">
        <v>114</v>
      </c>
      <c r="N5910" s="2">
        <v>46142</v>
      </c>
    </row>
    <row r="5911" spans="1:14" x14ac:dyDescent="0.25">
      <c r="A5911" t="s">
        <v>684</v>
      </c>
      <c r="B5911" s="2">
        <v>46147</v>
      </c>
      <c r="C5911" t="s">
        <v>684</v>
      </c>
      <c r="D5911" t="s">
        <v>301</v>
      </c>
      <c r="E5911" t="s">
        <v>9</v>
      </c>
      <c r="F5911" s="3">
        <v>1144</v>
      </c>
      <c r="G5911" s="3">
        <v>1144</v>
      </c>
      <c r="H5911" t="s">
        <v>3</v>
      </c>
      <c r="I5911" t="s">
        <v>3</v>
      </c>
      <c r="J5911" t="s">
        <v>9</v>
      </c>
      <c r="K5911" t="s">
        <v>9</v>
      </c>
      <c r="L5911" t="s">
        <v>17</v>
      </c>
      <c r="M5911" t="s">
        <v>302</v>
      </c>
      <c r="N5911" s="2">
        <v>46142</v>
      </c>
    </row>
    <row r="5912" spans="1:14" x14ac:dyDescent="0.25">
      <c r="A5912" t="s">
        <v>684</v>
      </c>
      <c r="B5912" s="2">
        <v>46112</v>
      </c>
      <c r="C5912" t="s">
        <v>684</v>
      </c>
      <c r="D5912" t="s">
        <v>112</v>
      </c>
      <c r="E5912" t="s">
        <v>9</v>
      </c>
      <c r="F5912" s="3">
        <v>-55184</v>
      </c>
      <c r="G5912" s="3">
        <v>-55184</v>
      </c>
      <c r="H5912" t="s">
        <v>3</v>
      </c>
      <c r="I5912" t="s">
        <v>3</v>
      </c>
      <c r="J5912" t="s">
        <v>395</v>
      </c>
      <c r="K5912" t="s">
        <v>13</v>
      </c>
      <c r="L5912" t="s">
        <v>17</v>
      </c>
      <c r="M5912" t="s">
        <v>114</v>
      </c>
      <c r="N5912" s="2">
        <v>46113</v>
      </c>
    </row>
    <row r="5913" spans="1:14" x14ac:dyDescent="0.25">
      <c r="A5913" t="s">
        <v>684</v>
      </c>
      <c r="B5913" s="2">
        <v>46142</v>
      </c>
      <c r="C5913" t="s">
        <v>684</v>
      </c>
      <c r="D5913" t="s">
        <v>112</v>
      </c>
      <c r="E5913" t="s">
        <v>9</v>
      </c>
      <c r="F5913" s="3">
        <v>56328</v>
      </c>
      <c r="G5913" s="3">
        <v>56328</v>
      </c>
      <c r="H5913" t="s">
        <v>3</v>
      </c>
      <c r="I5913" t="s">
        <v>3</v>
      </c>
      <c r="J5913" t="s">
        <v>423</v>
      </c>
      <c r="K5913" t="s">
        <v>13</v>
      </c>
      <c r="L5913" t="s">
        <v>17</v>
      </c>
      <c r="M5913" t="s">
        <v>114</v>
      </c>
      <c r="N5913" s="2">
        <v>46142</v>
      </c>
    </row>
    <row r="5914" spans="1:14" x14ac:dyDescent="0.25">
      <c r="A5914" t="s">
        <v>684</v>
      </c>
      <c r="B5914" s="2">
        <v>46142</v>
      </c>
      <c r="C5914" t="s">
        <v>684</v>
      </c>
      <c r="D5914" t="s">
        <v>301</v>
      </c>
      <c r="E5914" t="s">
        <v>9</v>
      </c>
      <c r="F5914" s="3">
        <v>-1144</v>
      </c>
      <c r="G5914" s="3">
        <v>-1144</v>
      </c>
      <c r="H5914" t="s">
        <v>3</v>
      </c>
      <c r="I5914" t="s">
        <v>3</v>
      </c>
      <c r="J5914" t="s">
        <v>10</v>
      </c>
      <c r="K5914" t="s">
        <v>13</v>
      </c>
      <c r="L5914" t="s">
        <v>17</v>
      </c>
      <c r="M5914" t="s">
        <v>302</v>
      </c>
      <c r="N5914" s="2">
        <v>46142</v>
      </c>
    </row>
    <row r="5915" spans="1:14" x14ac:dyDescent="0.25">
      <c r="A5915" s="4" t="s">
        <v>249</v>
      </c>
      <c r="B5915" s="5"/>
      <c r="C5915" s="4" t="s">
        <v>9</v>
      </c>
      <c r="D5915" s="4" t="s">
        <v>9</v>
      </c>
      <c r="E5915" s="4" t="s">
        <v>9</v>
      </c>
      <c r="F5915" s="6">
        <v>0</v>
      </c>
      <c r="G5915" s="6">
        <v>0</v>
      </c>
      <c r="H5915" s="4" t="s">
        <v>9</v>
      </c>
      <c r="I5915" s="4" t="s">
        <v>3</v>
      </c>
      <c r="J5915" s="4" t="s">
        <v>9</v>
      </c>
      <c r="K5915" s="4" t="s">
        <v>9</v>
      </c>
      <c r="L5915" s="4" t="s">
        <v>9</v>
      </c>
      <c r="M5915" s="4" t="s">
        <v>9</v>
      </c>
      <c r="N5915" s="5"/>
    </row>
    <row r="5916" spans="1:14" x14ac:dyDescent="0.25">
      <c r="A5916" t="s">
        <v>684</v>
      </c>
      <c r="B5916" s="2">
        <v>46175</v>
      </c>
      <c r="C5916" t="s">
        <v>684</v>
      </c>
      <c r="D5916" t="s">
        <v>112</v>
      </c>
      <c r="E5916" t="s">
        <v>9</v>
      </c>
      <c r="F5916" s="3">
        <v>-36961.599999999999</v>
      </c>
      <c r="G5916" s="3">
        <v>-36961.599999999999</v>
      </c>
      <c r="H5916" t="s">
        <v>3</v>
      </c>
      <c r="I5916" t="s">
        <v>3</v>
      </c>
      <c r="J5916" t="s">
        <v>9</v>
      </c>
      <c r="K5916" t="s">
        <v>9</v>
      </c>
      <c r="L5916" t="s">
        <v>18</v>
      </c>
      <c r="M5916" t="s">
        <v>114</v>
      </c>
      <c r="N5916" s="2">
        <v>46173</v>
      </c>
    </row>
    <row r="5917" spans="1:14" x14ac:dyDescent="0.25">
      <c r="A5917" t="s">
        <v>684</v>
      </c>
      <c r="B5917" s="2">
        <v>46175</v>
      </c>
      <c r="C5917" t="s">
        <v>684</v>
      </c>
      <c r="D5917" t="s">
        <v>301</v>
      </c>
      <c r="E5917" t="s">
        <v>9</v>
      </c>
      <c r="F5917" s="3">
        <v>36961.599999999999</v>
      </c>
      <c r="G5917" s="3">
        <v>36961.599999999999</v>
      </c>
      <c r="H5917" t="s">
        <v>3</v>
      </c>
      <c r="I5917" t="s">
        <v>3</v>
      </c>
      <c r="J5917" t="s">
        <v>9</v>
      </c>
      <c r="K5917" t="s">
        <v>9</v>
      </c>
      <c r="L5917" t="s">
        <v>18</v>
      </c>
      <c r="M5917" t="s">
        <v>302</v>
      </c>
      <c r="N5917" s="2">
        <v>46173</v>
      </c>
    </row>
    <row r="5918" spans="1:14" x14ac:dyDescent="0.25">
      <c r="A5918" t="s">
        <v>684</v>
      </c>
      <c r="B5918" s="2">
        <v>46142</v>
      </c>
      <c r="C5918" t="s">
        <v>684</v>
      </c>
      <c r="D5918" t="s">
        <v>112</v>
      </c>
      <c r="E5918" t="s">
        <v>9</v>
      </c>
      <c r="F5918" s="3">
        <v>-56328</v>
      </c>
      <c r="G5918" s="3">
        <v>-56328</v>
      </c>
      <c r="H5918" t="s">
        <v>3</v>
      </c>
      <c r="I5918" t="s">
        <v>3</v>
      </c>
      <c r="J5918" t="s">
        <v>423</v>
      </c>
      <c r="K5918" t="s">
        <v>13</v>
      </c>
      <c r="L5918" t="s">
        <v>18</v>
      </c>
      <c r="M5918" t="s">
        <v>114</v>
      </c>
      <c r="N5918" s="2">
        <v>46143</v>
      </c>
    </row>
    <row r="5919" spans="1:14" x14ac:dyDescent="0.25">
      <c r="A5919" t="s">
        <v>684</v>
      </c>
      <c r="B5919" s="2">
        <v>46173</v>
      </c>
      <c r="C5919" t="s">
        <v>684</v>
      </c>
      <c r="D5919" t="s">
        <v>112</v>
      </c>
      <c r="E5919" t="s">
        <v>9</v>
      </c>
      <c r="F5919" s="3">
        <v>93289.600000000006</v>
      </c>
      <c r="G5919" s="3">
        <v>93289.600000000006</v>
      </c>
      <c r="H5919" t="s">
        <v>3</v>
      </c>
      <c r="I5919" t="s">
        <v>3</v>
      </c>
      <c r="J5919" t="s">
        <v>427</v>
      </c>
      <c r="K5919" t="s">
        <v>13</v>
      </c>
      <c r="L5919" t="s">
        <v>18</v>
      </c>
      <c r="M5919" t="s">
        <v>114</v>
      </c>
      <c r="N5919" s="2">
        <v>46173</v>
      </c>
    </row>
    <row r="5920" spans="1:14" x14ac:dyDescent="0.25">
      <c r="A5920" t="s">
        <v>684</v>
      </c>
      <c r="B5920" s="2">
        <v>46173</v>
      </c>
      <c r="C5920" t="s">
        <v>684</v>
      </c>
      <c r="D5920" t="s">
        <v>301</v>
      </c>
      <c r="E5920" t="s">
        <v>9</v>
      </c>
      <c r="F5920" s="3">
        <v>-36961.599999999999</v>
      </c>
      <c r="G5920" s="3">
        <v>-36961.599999999999</v>
      </c>
      <c r="H5920" t="s">
        <v>3</v>
      </c>
      <c r="I5920" t="s">
        <v>3</v>
      </c>
      <c r="J5920" t="s">
        <v>10</v>
      </c>
      <c r="K5920" t="s">
        <v>13</v>
      </c>
      <c r="L5920" t="s">
        <v>18</v>
      </c>
      <c r="M5920" t="s">
        <v>302</v>
      </c>
      <c r="N5920" s="2">
        <v>46173</v>
      </c>
    </row>
    <row r="5921" spans="1:14" x14ac:dyDescent="0.25">
      <c r="A5921" s="4" t="s">
        <v>223</v>
      </c>
      <c r="B5921" s="5"/>
      <c r="C5921" s="4" t="s">
        <v>9</v>
      </c>
      <c r="D5921" s="4" t="s">
        <v>9</v>
      </c>
      <c r="E5921" s="4" t="s">
        <v>9</v>
      </c>
      <c r="F5921" s="6">
        <v>0</v>
      </c>
      <c r="G5921" s="6">
        <v>0</v>
      </c>
      <c r="H5921" s="4" t="s">
        <v>9</v>
      </c>
      <c r="I5921" s="4" t="s">
        <v>3</v>
      </c>
      <c r="J5921" s="4" t="s">
        <v>9</v>
      </c>
      <c r="K5921" s="4" t="s">
        <v>9</v>
      </c>
      <c r="L5921" s="4" t="s">
        <v>9</v>
      </c>
      <c r="M5921" s="4" t="s">
        <v>9</v>
      </c>
      <c r="N5921" s="5"/>
    </row>
    <row r="5922" spans="1:14" x14ac:dyDescent="0.25">
      <c r="A5922" t="s">
        <v>684</v>
      </c>
      <c r="B5922" s="2">
        <v>46205</v>
      </c>
      <c r="C5922" t="s">
        <v>684</v>
      </c>
      <c r="D5922" t="s">
        <v>112</v>
      </c>
      <c r="E5922" t="s">
        <v>9</v>
      </c>
      <c r="F5922" s="3">
        <v>-54779.06</v>
      </c>
      <c r="G5922" s="3">
        <v>-54779.06</v>
      </c>
      <c r="H5922" t="s">
        <v>3</v>
      </c>
      <c r="I5922" t="s">
        <v>3</v>
      </c>
      <c r="J5922" t="s">
        <v>9</v>
      </c>
      <c r="K5922" t="s">
        <v>9</v>
      </c>
      <c r="L5922" t="s">
        <v>19</v>
      </c>
      <c r="M5922" t="s">
        <v>114</v>
      </c>
      <c r="N5922" s="2">
        <v>46203</v>
      </c>
    </row>
    <row r="5923" spans="1:14" x14ac:dyDescent="0.25">
      <c r="A5923" t="s">
        <v>684</v>
      </c>
      <c r="B5923" s="2">
        <v>46205</v>
      </c>
      <c r="C5923" t="s">
        <v>684</v>
      </c>
      <c r="D5923" t="s">
        <v>301</v>
      </c>
      <c r="E5923" t="s">
        <v>9</v>
      </c>
      <c r="F5923" s="3">
        <v>54778.66</v>
      </c>
      <c r="G5923" s="3">
        <v>54778.66</v>
      </c>
      <c r="H5923" t="s">
        <v>3</v>
      </c>
      <c r="I5923" t="s">
        <v>3</v>
      </c>
      <c r="J5923" t="s">
        <v>9</v>
      </c>
      <c r="K5923" t="s">
        <v>9</v>
      </c>
      <c r="L5923" t="s">
        <v>19</v>
      </c>
      <c r="M5923" t="s">
        <v>302</v>
      </c>
      <c r="N5923" s="2">
        <v>46203</v>
      </c>
    </row>
    <row r="5924" spans="1:14" x14ac:dyDescent="0.25">
      <c r="A5924" t="s">
        <v>684</v>
      </c>
      <c r="B5924" s="2">
        <v>46173</v>
      </c>
      <c r="C5924" t="s">
        <v>684</v>
      </c>
      <c r="D5924" t="s">
        <v>112</v>
      </c>
      <c r="E5924" t="s">
        <v>9</v>
      </c>
      <c r="F5924" s="3">
        <v>-93289.600000000006</v>
      </c>
      <c r="G5924" s="3">
        <v>-93289.600000000006</v>
      </c>
      <c r="H5924" t="s">
        <v>3</v>
      </c>
      <c r="I5924" t="s">
        <v>3</v>
      </c>
      <c r="J5924" t="s">
        <v>427</v>
      </c>
      <c r="K5924" t="s">
        <v>13</v>
      </c>
      <c r="L5924" t="s">
        <v>19</v>
      </c>
      <c r="M5924" t="s">
        <v>114</v>
      </c>
      <c r="N5924" s="2">
        <v>46174</v>
      </c>
    </row>
    <row r="5925" spans="1:14" x14ac:dyDescent="0.25">
      <c r="A5925" t="s">
        <v>684</v>
      </c>
      <c r="B5925" s="2">
        <v>46203</v>
      </c>
      <c r="C5925" t="s">
        <v>684</v>
      </c>
      <c r="D5925" t="s">
        <v>112</v>
      </c>
      <c r="E5925" t="s">
        <v>9</v>
      </c>
      <c r="F5925" s="3">
        <v>148068.66</v>
      </c>
      <c r="G5925" s="3">
        <v>148068.66</v>
      </c>
      <c r="H5925" t="s">
        <v>3</v>
      </c>
      <c r="I5925" t="s">
        <v>3</v>
      </c>
      <c r="J5925" t="s">
        <v>428</v>
      </c>
      <c r="K5925" t="s">
        <v>13</v>
      </c>
      <c r="L5925" t="s">
        <v>19</v>
      </c>
      <c r="M5925" t="s">
        <v>114</v>
      </c>
      <c r="N5925" s="2">
        <v>46203</v>
      </c>
    </row>
    <row r="5926" spans="1:14" x14ac:dyDescent="0.25">
      <c r="A5926" t="s">
        <v>684</v>
      </c>
      <c r="B5926" s="2">
        <v>46203</v>
      </c>
      <c r="C5926" t="s">
        <v>684</v>
      </c>
      <c r="D5926" t="s">
        <v>301</v>
      </c>
      <c r="E5926" t="s">
        <v>9</v>
      </c>
      <c r="F5926" s="3">
        <v>-54778.66</v>
      </c>
      <c r="G5926" s="3">
        <v>-54778.66</v>
      </c>
      <c r="H5926" t="s">
        <v>3</v>
      </c>
      <c r="I5926" t="s">
        <v>3</v>
      </c>
      <c r="J5926" t="s">
        <v>10</v>
      </c>
      <c r="K5926" t="s">
        <v>13</v>
      </c>
      <c r="L5926" t="s">
        <v>19</v>
      </c>
      <c r="M5926" t="s">
        <v>302</v>
      </c>
      <c r="N5926" s="2">
        <v>46203</v>
      </c>
    </row>
    <row r="5927" spans="1:14" x14ac:dyDescent="0.25">
      <c r="A5927" s="4" t="s">
        <v>224</v>
      </c>
      <c r="B5927" s="5"/>
      <c r="C5927" s="4" t="s">
        <v>9</v>
      </c>
      <c r="D5927" s="4" t="s">
        <v>9</v>
      </c>
      <c r="E5927" s="4" t="s">
        <v>9</v>
      </c>
      <c r="F5927" s="6">
        <v>0</v>
      </c>
      <c r="G5927" s="6">
        <v>0</v>
      </c>
      <c r="H5927" s="4" t="s">
        <v>9</v>
      </c>
      <c r="I5927" s="4" t="s">
        <v>3</v>
      </c>
      <c r="J5927" s="4" t="s">
        <v>9</v>
      </c>
      <c r="K5927" s="4" t="s">
        <v>9</v>
      </c>
      <c r="L5927" s="4" t="s">
        <v>9</v>
      </c>
      <c r="M5927" s="4" t="s">
        <v>9</v>
      </c>
      <c r="N5927" s="5"/>
    </row>
    <row r="5928" spans="1:14" x14ac:dyDescent="0.25">
      <c r="A5928" t="s">
        <v>684</v>
      </c>
      <c r="B5928" s="2">
        <v>46239</v>
      </c>
      <c r="C5928" t="s">
        <v>684</v>
      </c>
      <c r="D5928" t="s">
        <v>112</v>
      </c>
      <c r="E5928" t="s">
        <v>9</v>
      </c>
      <c r="F5928" s="3">
        <v>-19239.34</v>
      </c>
      <c r="G5928" s="3">
        <v>-19239.34</v>
      </c>
      <c r="H5928" t="s">
        <v>3</v>
      </c>
      <c r="I5928" t="s">
        <v>3</v>
      </c>
      <c r="J5928" t="s">
        <v>9</v>
      </c>
      <c r="K5928" t="s">
        <v>9</v>
      </c>
      <c r="L5928" t="s">
        <v>21</v>
      </c>
      <c r="M5928" t="s">
        <v>114</v>
      </c>
      <c r="N5928" s="2">
        <v>46234</v>
      </c>
    </row>
    <row r="5929" spans="1:14" x14ac:dyDescent="0.25">
      <c r="A5929" t="s">
        <v>684</v>
      </c>
      <c r="B5929" s="2">
        <v>46239</v>
      </c>
      <c r="C5929" t="s">
        <v>684</v>
      </c>
      <c r="D5929" t="s">
        <v>301</v>
      </c>
      <c r="E5929" t="s">
        <v>9</v>
      </c>
      <c r="F5929" s="3">
        <v>19239.34</v>
      </c>
      <c r="G5929" s="3">
        <v>19239.34</v>
      </c>
      <c r="H5929" t="s">
        <v>3</v>
      </c>
      <c r="I5929" t="s">
        <v>3</v>
      </c>
      <c r="J5929" t="s">
        <v>9</v>
      </c>
      <c r="K5929" t="s">
        <v>9</v>
      </c>
      <c r="L5929" t="s">
        <v>21</v>
      </c>
      <c r="M5929" t="s">
        <v>302</v>
      </c>
      <c r="N5929" s="2">
        <v>46234</v>
      </c>
    </row>
    <row r="5930" spans="1:14" x14ac:dyDescent="0.25">
      <c r="A5930" t="s">
        <v>684</v>
      </c>
      <c r="B5930" s="2">
        <v>46203</v>
      </c>
      <c r="C5930" t="s">
        <v>684</v>
      </c>
      <c r="D5930" t="s">
        <v>112</v>
      </c>
      <c r="E5930" t="s">
        <v>9</v>
      </c>
      <c r="F5930" s="3">
        <v>-148068.66</v>
      </c>
      <c r="G5930" s="3">
        <v>-148068.66</v>
      </c>
      <c r="H5930" t="s">
        <v>3</v>
      </c>
      <c r="I5930" t="s">
        <v>3</v>
      </c>
      <c r="J5930" t="s">
        <v>428</v>
      </c>
      <c r="K5930" t="s">
        <v>13</v>
      </c>
      <c r="L5930" t="s">
        <v>21</v>
      </c>
      <c r="M5930" t="s">
        <v>114</v>
      </c>
      <c r="N5930" s="2">
        <v>46204</v>
      </c>
    </row>
    <row r="5931" spans="1:14" x14ac:dyDescent="0.25">
      <c r="A5931" t="s">
        <v>684</v>
      </c>
      <c r="B5931" s="2">
        <v>46234</v>
      </c>
      <c r="C5931" t="s">
        <v>684</v>
      </c>
      <c r="D5931" t="s">
        <v>301</v>
      </c>
      <c r="E5931" t="s">
        <v>9</v>
      </c>
      <c r="F5931" s="3">
        <v>-19239.34</v>
      </c>
      <c r="G5931" s="3">
        <v>-19239.34</v>
      </c>
      <c r="H5931" t="s">
        <v>3</v>
      </c>
      <c r="I5931" t="s">
        <v>3</v>
      </c>
      <c r="J5931" t="s">
        <v>10</v>
      </c>
      <c r="K5931" t="s">
        <v>13</v>
      </c>
      <c r="L5931" t="s">
        <v>21</v>
      </c>
      <c r="M5931" t="s">
        <v>302</v>
      </c>
      <c r="N5931" s="2">
        <v>46234</v>
      </c>
    </row>
    <row r="5932" spans="1:14" x14ac:dyDescent="0.25">
      <c r="A5932" t="s">
        <v>684</v>
      </c>
      <c r="B5932" s="2">
        <v>46234</v>
      </c>
      <c r="C5932" t="s">
        <v>684</v>
      </c>
      <c r="D5932" t="s">
        <v>112</v>
      </c>
      <c r="E5932" t="s">
        <v>9</v>
      </c>
      <c r="F5932" s="3">
        <v>167308</v>
      </c>
      <c r="G5932" s="3">
        <v>167308</v>
      </c>
      <c r="H5932" t="s">
        <v>3</v>
      </c>
      <c r="I5932" t="s">
        <v>3</v>
      </c>
      <c r="J5932" t="s">
        <v>429</v>
      </c>
      <c r="K5932" t="s">
        <v>13</v>
      </c>
      <c r="L5932" t="s">
        <v>21</v>
      </c>
      <c r="M5932" t="s">
        <v>114</v>
      </c>
      <c r="N5932" s="2">
        <v>46234</v>
      </c>
    </row>
    <row r="5933" spans="1:14" x14ac:dyDescent="0.25">
      <c r="A5933" s="4" t="s">
        <v>262</v>
      </c>
      <c r="B5933" s="5"/>
      <c r="C5933" s="4" t="s">
        <v>9</v>
      </c>
      <c r="D5933" s="4" t="s">
        <v>9</v>
      </c>
      <c r="E5933" s="4" t="s">
        <v>9</v>
      </c>
      <c r="F5933" s="6">
        <v>0</v>
      </c>
      <c r="G5933" s="6">
        <v>0</v>
      </c>
      <c r="H5933" s="4" t="s">
        <v>9</v>
      </c>
      <c r="I5933" s="4" t="s">
        <v>3</v>
      </c>
      <c r="J5933" s="4" t="s">
        <v>9</v>
      </c>
      <c r="K5933" s="4" t="s">
        <v>9</v>
      </c>
      <c r="L5933" s="4" t="s">
        <v>9</v>
      </c>
      <c r="M5933" s="4" t="s">
        <v>9</v>
      </c>
      <c r="N5933" s="5"/>
    </row>
    <row r="5934" spans="1:14" x14ac:dyDescent="0.25">
      <c r="A5934" t="s">
        <v>684</v>
      </c>
      <c r="B5934" s="2">
        <v>46267</v>
      </c>
      <c r="C5934" t="s">
        <v>684</v>
      </c>
      <c r="D5934" t="s">
        <v>112</v>
      </c>
      <c r="E5934" t="s">
        <v>9</v>
      </c>
      <c r="F5934" s="3">
        <v>-12640</v>
      </c>
      <c r="G5934" s="3">
        <v>-12640</v>
      </c>
      <c r="H5934" t="s">
        <v>3</v>
      </c>
      <c r="I5934" t="s">
        <v>3</v>
      </c>
      <c r="J5934" t="s">
        <v>9</v>
      </c>
      <c r="K5934" t="s">
        <v>9</v>
      </c>
      <c r="L5934" t="s">
        <v>22</v>
      </c>
      <c r="M5934" t="s">
        <v>114</v>
      </c>
      <c r="N5934" s="2">
        <v>46265</v>
      </c>
    </row>
    <row r="5935" spans="1:14" x14ac:dyDescent="0.25">
      <c r="A5935" t="s">
        <v>684</v>
      </c>
      <c r="B5935" s="2">
        <v>46267</v>
      </c>
      <c r="C5935" t="s">
        <v>684</v>
      </c>
      <c r="D5935" t="s">
        <v>301</v>
      </c>
      <c r="E5935" t="s">
        <v>9</v>
      </c>
      <c r="F5935" s="3">
        <v>12640</v>
      </c>
      <c r="G5935" s="3">
        <v>12640</v>
      </c>
      <c r="H5935" t="s">
        <v>3</v>
      </c>
      <c r="I5935" t="s">
        <v>3</v>
      </c>
      <c r="J5935" t="s">
        <v>9</v>
      </c>
      <c r="K5935" t="s">
        <v>9</v>
      </c>
      <c r="L5935" t="s">
        <v>22</v>
      </c>
      <c r="M5935" t="s">
        <v>302</v>
      </c>
      <c r="N5935" s="2">
        <v>46265</v>
      </c>
    </row>
    <row r="5936" spans="1:14" x14ac:dyDescent="0.25">
      <c r="A5936" t="s">
        <v>684</v>
      </c>
      <c r="B5936" s="2">
        <v>46234</v>
      </c>
      <c r="C5936" t="s">
        <v>684</v>
      </c>
      <c r="D5936" t="s">
        <v>112</v>
      </c>
      <c r="E5936" t="s">
        <v>9</v>
      </c>
      <c r="F5936" s="3">
        <v>-167308</v>
      </c>
      <c r="G5936" s="3">
        <v>-167308</v>
      </c>
      <c r="H5936" t="s">
        <v>3</v>
      </c>
      <c r="I5936" t="s">
        <v>3</v>
      </c>
      <c r="J5936" t="s">
        <v>429</v>
      </c>
      <c r="K5936" t="s">
        <v>13</v>
      </c>
      <c r="L5936" t="s">
        <v>22</v>
      </c>
      <c r="M5936" t="s">
        <v>114</v>
      </c>
      <c r="N5936" s="2">
        <v>46235</v>
      </c>
    </row>
    <row r="5937" spans="1:14" x14ac:dyDescent="0.25">
      <c r="A5937" t="s">
        <v>684</v>
      </c>
      <c r="B5937" s="2">
        <v>46265</v>
      </c>
      <c r="C5937" t="s">
        <v>684</v>
      </c>
      <c r="D5937" t="s">
        <v>112</v>
      </c>
      <c r="E5937" t="s">
        <v>9</v>
      </c>
      <c r="F5937" s="3">
        <v>179948</v>
      </c>
      <c r="G5937" s="3">
        <v>179948</v>
      </c>
      <c r="H5937" t="s">
        <v>3</v>
      </c>
      <c r="I5937" t="s">
        <v>3</v>
      </c>
      <c r="J5937" t="s">
        <v>431</v>
      </c>
      <c r="K5937" t="s">
        <v>13</v>
      </c>
      <c r="L5937" t="s">
        <v>22</v>
      </c>
      <c r="M5937" t="s">
        <v>114</v>
      </c>
      <c r="N5937" s="2">
        <v>46265</v>
      </c>
    </row>
    <row r="5938" spans="1:14" x14ac:dyDescent="0.25">
      <c r="A5938" t="s">
        <v>684</v>
      </c>
      <c r="B5938" s="2">
        <v>46265</v>
      </c>
      <c r="C5938" t="s">
        <v>684</v>
      </c>
      <c r="D5938" t="s">
        <v>301</v>
      </c>
      <c r="E5938" t="s">
        <v>9</v>
      </c>
      <c r="F5938" s="3">
        <v>-12640</v>
      </c>
      <c r="G5938" s="3">
        <v>-12640</v>
      </c>
      <c r="H5938" t="s">
        <v>3</v>
      </c>
      <c r="I5938" t="s">
        <v>3</v>
      </c>
      <c r="J5938" t="s">
        <v>10</v>
      </c>
      <c r="K5938" t="s">
        <v>13</v>
      </c>
      <c r="L5938" t="s">
        <v>22</v>
      </c>
      <c r="M5938" t="s">
        <v>302</v>
      </c>
      <c r="N5938" s="2">
        <v>46265</v>
      </c>
    </row>
    <row r="5939" spans="1:14" x14ac:dyDescent="0.25">
      <c r="A5939" s="4" t="s">
        <v>267</v>
      </c>
      <c r="B5939" s="5"/>
      <c r="C5939" s="4" t="s">
        <v>9</v>
      </c>
      <c r="D5939" s="4" t="s">
        <v>9</v>
      </c>
      <c r="E5939" s="4" t="s">
        <v>9</v>
      </c>
      <c r="F5939" s="6">
        <v>0</v>
      </c>
      <c r="G5939" s="6">
        <v>0</v>
      </c>
      <c r="H5939" s="4" t="s">
        <v>9</v>
      </c>
      <c r="I5939" s="4" t="s">
        <v>3</v>
      </c>
      <c r="J5939" s="4" t="s">
        <v>9</v>
      </c>
      <c r="K5939" s="4" t="s">
        <v>9</v>
      </c>
      <c r="L5939" s="4" t="s">
        <v>9</v>
      </c>
      <c r="M5939" s="4" t="s">
        <v>9</v>
      </c>
      <c r="N5939" s="5"/>
    </row>
    <row r="5940" spans="1:14" x14ac:dyDescent="0.25">
      <c r="A5940" s="4" t="s">
        <v>684</v>
      </c>
      <c r="B5940" s="5"/>
      <c r="C5940" s="4" t="s">
        <v>9</v>
      </c>
      <c r="D5940" s="4" t="s">
        <v>9</v>
      </c>
      <c r="E5940" s="4" t="s">
        <v>9</v>
      </c>
      <c r="F5940" s="6">
        <v>0</v>
      </c>
      <c r="G5940" s="6">
        <v>0</v>
      </c>
      <c r="H5940" s="4" t="s">
        <v>9</v>
      </c>
      <c r="I5940" s="4" t="s">
        <v>3</v>
      </c>
      <c r="J5940" s="4" t="s">
        <v>9</v>
      </c>
      <c r="K5940" s="4" t="s">
        <v>9</v>
      </c>
      <c r="L5940" s="4" t="s">
        <v>9</v>
      </c>
      <c r="M5940" s="4" t="s">
        <v>9</v>
      </c>
      <c r="N5940" s="5"/>
    </row>
    <row r="5941" spans="1:14" x14ac:dyDescent="0.25">
      <c r="A5941" t="s">
        <v>685</v>
      </c>
      <c r="B5941" s="2">
        <v>46175</v>
      </c>
      <c r="C5941" t="s">
        <v>685</v>
      </c>
      <c r="D5941" t="s">
        <v>112</v>
      </c>
      <c r="E5941" t="s">
        <v>9</v>
      </c>
      <c r="F5941" s="3">
        <v>-11544</v>
      </c>
      <c r="G5941" s="3">
        <v>-11544</v>
      </c>
      <c r="H5941" t="s">
        <v>3</v>
      </c>
      <c r="I5941" t="s">
        <v>3</v>
      </c>
      <c r="J5941" t="s">
        <v>9</v>
      </c>
      <c r="K5941" t="s">
        <v>9</v>
      </c>
      <c r="L5941" t="s">
        <v>18</v>
      </c>
      <c r="M5941" t="s">
        <v>114</v>
      </c>
      <c r="N5941" s="2">
        <v>46173</v>
      </c>
    </row>
    <row r="5942" spans="1:14" x14ac:dyDescent="0.25">
      <c r="A5942" t="s">
        <v>685</v>
      </c>
      <c r="B5942" s="2">
        <v>46175</v>
      </c>
      <c r="C5942" t="s">
        <v>685</v>
      </c>
      <c r="D5942" t="s">
        <v>301</v>
      </c>
      <c r="E5942" t="s">
        <v>9</v>
      </c>
      <c r="F5942" s="3">
        <v>11544</v>
      </c>
      <c r="G5942" s="3">
        <v>11544</v>
      </c>
      <c r="H5942" t="s">
        <v>3</v>
      </c>
      <c r="I5942" t="s">
        <v>3</v>
      </c>
      <c r="J5942" t="s">
        <v>9</v>
      </c>
      <c r="K5942" t="s">
        <v>9</v>
      </c>
      <c r="L5942" t="s">
        <v>18</v>
      </c>
      <c r="M5942" t="s">
        <v>302</v>
      </c>
      <c r="N5942" s="2">
        <v>46173</v>
      </c>
    </row>
    <row r="5943" spans="1:14" x14ac:dyDescent="0.25">
      <c r="A5943" t="s">
        <v>685</v>
      </c>
      <c r="B5943" s="2">
        <v>46173</v>
      </c>
      <c r="C5943" t="s">
        <v>685</v>
      </c>
      <c r="D5943" t="s">
        <v>112</v>
      </c>
      <c r="E5943" t="s">
        <v>9</v>
      </c>
      <c r="F5943" s="3">
        <v>11544</v>
      </c>
      <c r="G5943" s="3">
        <v>11544</v>
      </c>
      <c r="H5943" t="s">
        <v>3</v>
      </c>
      <c r="I5943" t="s">
        <v>3</v>
      </c>
      <c r="J5943" t="s">
        <v>427</v>
      </c>
      <c r="K5943" t="s">
        <v>13</v>
      </c>
      <c r="L5943" t="s">
        <v>18</v>
      </c>
      <c r="M5943" t="s">
        <v>114</v>
      </c>
      <c r="N5943" s="2">
        <v>46173</v>
      </c>
    </row>
    <row r="5944" spans="1:14" x14ac:dyDescent="0.25">
      <c r="A5944" t="s">
        <v>685</v>
      </c>
      <c r="B5944" s="2">
        <v>46173</v>
      </c>
      <c r="C5944" t="s">
        <v>685</v>
      </c>
      <c r="D5944" t="s">
        <v>301</v>
      </c>
      <c r="E5944" t="s">
        <v>9</v>
      </c>
      <c r="F5944" s="3">
        <v>-11544</v>
      </c>
      <c r="G5944" s="3">
        <v>-11544</v>
      </c>
      <c r="H5944" t="s">
        <v>3</v>
      </c>
      <c r="I5944" t="s">
        <v>3</v>
      </c>
      <c r="J5944" t="s">
        <v>10</v>
      </c>
      <c r="K5944" t="s">
        <v>13</v>
      </c>
      <c r="L5944" t="s">
        <v>18</v>
      </c>
      <c r="M5944" t="s">
        <v>302</v>
      </c>
      <c r="N5944" s="2">
        <v>46173</v>
      </c>
    </row>
    <row r="5945" spans="1:14" x14ac:dyDescent="0.25">
      <c r="A5945" s="4" t="s">
        <v>223</v>
      </c>
      <c r="B5945" s="5"/>
      <c r="C5945" s="4" t="s">
        <v>9</v>
      </c>
      <c r="D5945" s="4" t="s">
        <v>9</v>
      </c>
      <c r="E5945" s="4" t="s">
        <v>9</v>
      </c>
      <c r="F5945" s="6">
        <v>0</v>
      </c>
      <c r="G5945" s="6">
        <v>0</v>
      </c>
      <c r="H5945" s="4" t="s">
        <v>9</v>
      </c>
      <c r="I5945" s="4" t="s">
        <v>3</v>
      </c>
      <c r="J5945" s="4" t="s">
        <v>9</v>
      </c>
      <c r="K5945" s="4" t="s">
        <v>9</v>
      </c>
      <c r="L5945" s="4" t="s">
        <v>9</v>
      </c>
      <c r="M5945" s="4" t="s">
        <v>9</v>
      </c>
      <c r="N5945" s="5"/>
    </row>
    <row r="5946" spans="1:14" x14ac:dyDescent="0.25">
      <c r="A5946" t="s">
        <v>685</v>
      </c>
      <c r="B5946" s="2">
        <v>46205</v>
      </c>
      <c r="C5946" t="s">
        <v>685</v>
      </c>
      <c r="D5946" t="s">
        <v>112</v>
      </c>
      <c r="E5946" t="s">
        <v>9</v>
      </c>
      <c r="F5946" s="3">
        <v>-19426.23</v>
      </c>
      <c r="G5946" s="3">
        <v>-19426.23</v>
      </c>
      <c r="H5946" t="s">
        <v>3</v>
      </c>
      <c r="I5946" t="s">
        <v>3</v>
      </c>
      <c r="J5946" t="s">
        <v>9</v>
      </c>
      <c r="K5946" t="s">
        <v>9</v>
      </c>
      <c r="L5946" t="s">
        <v>19</v>
      </c>
      <c r="M5946" t="s">
        <v>114</v>
      </c>
      <c r="N5946" s="2">
        <v>46203</v>
      </c>
    </row>
    <row r="5947" spans="1:14" x14ac:dyDescent="0.25">
      <c r="A5947" t="s">
        <v>685</v>
      </c>
      <c r="B5947" s="2">
        <v>46205</v>
      </c>
      <c r="C5947" t="s">
        <v>685</v>
      </c>
      <c r="D5947" t="s">
        <v>301</v>
      </c>
      <c r="E5947" t="s">
        <v>9</v>
      </c>
      <c r="F5947" s="3">
        <v>19426.23</v>
      </c>
      <c r="G5947" s="3">
        <v>19426.23</v>
      </c>
      <c r="H5947" t="s">
        <v>3</v>
      </c>
      <c r="I5947" t="s">
        <v>3</v>
      </c>
      <c r="J5947" t="s">
        <v>9</v>
      </c>
      <c r="K5947" t="s">
        <v>9</v>
      </c>
      <c r="L5947" t="s">
        <v>19</v>
      </c>
      <c r="M5947" t="s">
        <v>302</v>
      </c>
      <c r="N5947" s="2">
        <v>46203</v>
      </c>
    </row>
    <row r="5948" spans="1:14" x14ac:dyDescent="0.25">
      <c r="A5948" t="s">
        <v>685</v>
      </c>
      <c r="B5948" s="2">
        <v>46173</v>
      </c>
      <c r="C5948" t="s">
        <v>685</v>
      </c>
      <c r="D5948" t="s">
        <v>112</v>
      </c>
      <c r="E5948" t="s">
        <v>9</v>
      </c>
      <c r="F5948" s="3">
        <v>-11544</v>
      </c>
      <c r="G5948" s="3">
        <v>-11544</v>
      </c>
      <c r="H5948" t="s">
        <v>3</v>
      </c>
      <c r="I5948" t="s">
        <v>3</v>
      </c>
      <c r="J5948" t="s">
        <v>427</v>
      </c>
      <c r="K5948" t="s">
        <v>13</v>
      </c>
      <c r="L5948" t="s">
        <v>19</v>
      </c>
      <c r="M5948" t="s">
        <v>114</v>
      </c>
      <c r="N5948" s="2">
        <v>46174</v>
      </c>
    </row>
    <row r="5949" spans="1:14" x14ac:dyDescent="0.25">
      <c r="A5949" t="s">
        <v>685</v>
      </c>
      <c r="B5949" s="2">
        <v>46203</v>
      </c>
      <c r="C5949" t="s">
        <v>685</v>
      </c>
      <c r="D5949" t="s">
        <v>112</v>
      </c>
      <c r="E5949" t="s">
        <v>9</v>
      </c>
      <c r="F5949" s="3">
        <v>30970.23</v>
      </c>
      <c r="G5949" s="3">
        <v>30970.23</v>
      </c>
      <c r="H5949" t="s">
        <v>3</v>
      </c>
      <c r="I5949" t="s">
        <v>3</v>
      </c>
      <c r="J5949" t="s">
        <v>428</v>
      </c>
      <c r="K5949" t="s">
        <v>13</v>
      </c>
      <c r="L5949" t="s">
        <v>19</v>
      </c>
      <c r="M5949" t="s">
        <v>114</v>
      </c>
      <c r="N5949" s="2">
        <v>46203</v>
      </c>
    </row>
    <row r="5950" spans="1:14" x14ac:dyDescent="0.25">
      <c r="A5950" t="s">
        <v>685</v>
      </c>
      <c r="B5950" s="2">
        <v>46203</v>
      </c>
      <c r="C5950" t="s">
        <v>685</v>
      </c>
      <c r="D5950" t="s">
        <v>301</v>
      </c>
      <c r="E5950" t="s">
        <v>9</v>
      </c>
      <c r="F5950" s="3">
        <v>-19426.23</v>
      </c>
      <c r="G5950" s="3">
        <v>-19426.23</v>
      </c>
      <c r="H5950" t="s">
        <v>3</v>
      </c>
      <c r="I5950" t="s">
        <v>3</v>
      </c>
      <c r="J5950" t="s">
        <v>10</v>
      </c>
      <c r="K5950" t="s">
        <v>13</v>
      </c>
      <c r="L5950" t="s">
        <v>19</v>
      </c>
      <c r="M5950" t="s">
        <v>302</v>
      </c>
      <c r="N5950" s="2">
        <v>46203</v>
      </c>
    </row>
    <row r="5951" spans="1:14" x14ac:dyDescent="0.25">
      <c r="A5951" s="4" t="s">
        <v>224</v>
      </c>
      <c r="B5951" s="5"/>
      <c r="C5951" s="4" t="s">
        <v>9</v>
      </c>
      <c r="D5951" s="4" t="s">
        <v>9</v>
      </c>
      <c r="E5951" s="4" t="s">
        <v>9</v>
      </c>
      <c r="F5951" s="6">
        <v>0</v>
      </c>
      <c r="G5951" s="6">
        <v>0</v>
      </c>
      <c r="H5951" s="4" t="s">
        <v>9</v>
      </c>
      <c r="I5951" s="4" t="s">
        <v>3</v>
      </c>
      <c r="J5951" s="4" t="s">
        <v>9</v>
      </c>
      <c r="K5951" s="4" t="s">
        <v>9</v>
      </c>
      <c r="L5951" s="4" t="s">
        <v>9</v>
      </c>
      <c r="M5951" s="4" t="s">
        <v>9</v>
      </c>
      <c r="N5951" s="5"/>
    </row>
    <row r="5952" spans="1:14" x14ac:dyDescent="0.25">
      <c r="A5952" t="s">
        <v>685</v>
      </c>
      <c r="B5952" s="2">
        <v>46239</v>
      </c>
      <c r="C5952" t="s">
        <v>685</v>
      </c>
      <c r="D5952" t="s">
        <v>112</v>
      </c>
      <c r="E5952" t="s">
        <v>9</v>
      </c>
      <c r="F5952" s="3">
        <v>-3217.77</v>
      </c>
      <c r="G5952" s="3">
        <v>-3217.77</v>
      </c>
      <c r="H5952" t="s">
        <v>3</v>
      </c>
      <c r="I5952" t="s">
        <v>3</v>
      </c>
      <c r="J5952" t="s">
        <v>9</v>
      </c>
      <c r="K5952" t="s">
        <v>9</v>
      </c>
      <c r="L5952" t="s">
        <v>21</v>
      </c>
      <c r="M5952" t="s">
        <v>114</v>
      </c>
      <c r="N5952" s="2">
        <v>46234</v>
      </c>
    </row>
    <row r="5953" spans="1:14" x14ac:dyDescent="0.25">
      <c r="A5953" t="s">
        <v>685</v>
      </c>
      <c r="B5953" s="2">
        <v>46239</v>
      </c>
      <c r="C5953" t="s">
        <v>685</v>
      </c>
      <c r="D5953" t="s">
        <v>301</v>
      </c>
      <c r="E5953" t="s">
        <v>9</v>
      </c>
      <c r="F5953" s="3">
        <v>3217.77</v>
      </c>
      <c r="G5953" s="3">
        <v>3217.77</v>
      </c>
      <c r="H5953" t="s">
        <v>3</v>
      </c>
      <c r="I5953" t="s">
        <v>3</v>
      </c>
      <c r="J5953" t="s">
        <v>9</v>
      </c>
      <c r="K5953" t="s">
        <v>9</v>
      </c>
      <c r="L5953" t="s">
        <v>21</v>
      </c>
      <c r="M5953" t="s">
        <v>302</v>
      </c>
      <c r="N5953" s="2">
        <v>46234</v>
      </c>
    </row>
    <row r="5954" spans="1:14" x14ac:dyDescent="0.25">
      <c r="A5954" t="s">
        <v>685</v>
      </c>
      <c r="B5954" s="2">
        <v>46203</v>
      </c>
      <c r="C5954" t="s">
        <v>685</v>
      </c>
      <c r="D5954" t="s">
        <v>112</v>
      </c>
      <c r="E5954" t="s">
        <v>9</v>
      </c>
      <c r="F5954" s="3">
        <v>-30970.23</v>
      </c>
      <c r="G5954" s="3">
        <v>-30970.23</v>
      </c>
      <c r="H5954" t="s">
        <v>3</v>
      </c>
      <c r="I5954" t="s">
        <v>3</v>
      </c>
      <c r="J5954" t="s">
        <v>428</v>
      </c>
      <c r="K5954" t="s">
        <v>13</v>
      </c>
      <c r="L5954" t="s">
        <v>21</v>
      </c>
      <c r="M5954" t="s">
        <v>114</v>
      </c>
      <c r="N5954" s="2">
        <v>46204</v>
      </c>
    </row>
    <row r="5955" spans="1:14" x14ac:dyDescent="0.25">
      <c r="A5955" t="s">
        <v>685</v>
      </c>
      <c r="B5955" s="2">
        <v>46234</v>
      </c>
      <c r="C5955" t="s">
        <v>685</v>
      </c>
      <c r="D5955" t="s">
        <v>301</v>
      </c>
      <c r="E5955" t="s">
        <v>9</v>
      </c>
      <c r="F5955" s="3">
        <v>-3217.77</v>
      </c>
      <c r="G5955" s="3">
        <v>-3217.77</v>
      </c>
      <c r="H5955" t="s">
        <v>3</v>
      </c>
      <c r="I5955" t="s">
        <v>3</v>
      </c>
      <c r="J5955" t="s">
        <v>10</v>
      </c>
      <c r="K5955" t="s">
        <v>13</v>
      </c>
      <c r="L5955" t="s">
        <v>21</v>
      </c>
      <c r="M5955" t="s">
        <v>302</v>
      </c>
      <c r="N5955" s="2">
        <v>46234</v>
      </c>
    </row>
    <row r="5956" spans="1:14" x14ac:dyDescent="0.25">
      <c r="A5956" t="s">
        <v>685</v>
      </c>
      <c r="B5956" s="2">
        <v>46234</v>
      </c>
      <c r="C5956" t="s">
        <v>685</v>
      </c>
      <c r="D5956" t="s">
        <v>112</v>
      </c>
      <c r="E5956" t="s">
        <v>9</v>
      </c>
      <c r="F5956" s="3">
        <v>34188</v>
      </c>
      <c r="G5956" s="3">
        <v>34188</v>
      </c>
      <c r="H5956" t="s">
        <v>3</v>
      </c>
      <c r="I5956" t="s">
        <v>3</v>
      </c>
      <c r="J5956" t="s">
        <v>429</v>
      </c>
      <c r="K5956" t="s">
        <v>13</v>
      </c>
      <c r="L5956" t="s">
        <v>21</v>
      </c>
      <c r="M5956" t="s">
        <v>114</v>
      </c>
      <c r="N5956" s="2">
        <v>46234</v>
      </c>
    </row>
    <row r="5957" spans="1:14" x14ac:dyDescent="0.25">
      <c r="A5957" s="4" t="s">
        <v>262</v>
      </c>
      <c r="B5957" s="5"/>
      <c r="C5957" s="4" t="s">
        <v>9</v>
      </c>
      <c r="D5957" s="4" t="s">
        <v>9</v>
      </c>
      <c r="E5957" s="4" t="s">
        <v>9</v>
      </c>
      <c r="F5957" s="6">
        <v>0</v>
      </c>
      <c r="G5957" s="6">
        <v>0</v>
      </c>
      <c r="H5957" s="4" t="s">
        <v>9</v>
      </c>
      <c r="I5957" s="4" t="s">
        <v>3</v>
      </c>
      <c r="J5957" s="4" t="s">
        <v>9</v>
      </c>
      <c r="K5957" s="4" t="s">
        <v>9</v>
      </c>
      <c r="L5957" s="4" t="s">
        <v>9</v>
      </c>
      <c r="M5957" s="4" t="s">
        <v>9</v>
      </c>
      <c r="N5957" s="5"/>
    </row>
    <row r="5958" spans="1:14" x14ac:dyDescent="0.25">
      <c r="A5958" t="s">
        <v>685</v>
      </c>
      <c r="B5958" s="2">
        <v>46267</v>
      </c>
      <c r="C5958" t="s">
        <v>685</v>
      </c>
      <c r="D5958" t="s">
        <v>112</v>
      </c>
      <c r="E5958" t="s">
        <v>9</v>
      </c>
      <c r="F5958" s="3">
        <v>-4440</v>
      </c>
      <c r="G5958" s="3">
        <v>-4440</v>
      </c>
      <c r="H5958" t="s">
        <v>3</v>
      </c>
      <c r="I5958" t="s">
        <v>3</v>
      </c>
      <c r="J5958" t="s">
        <v>9</v>
      </c>
      <c r="K5958" t="s">
        <v>9</v>
      </c>
      <c r="L5958" t="s">
        <v>22</v>
      </c>
      <c r="M5958" t="s">
        <v>114</v>
      </c>
      <c r="N5958" s="2">
        <v>46265</v>
      </c>
    </row>
    <row r="5959" spans="1:14" x14ac:dyDescent="0.25">
      <c r="A5959" t="s">
        <v>685</v>
      </c>
      <c r="B5959" s="2">
        <v>46267</v>
      </c>
      <c r="C5959" t="s">
        <v>685</v>
      </c>
      <c r="D5959" t="s">
        <v>301</v>
      </c>
      <c r="E5959" t="s">
        <v>9</v>
      </c>
      <c r="F5959" s="3">
        <v>3927</v>
      </c>
      <c r="G5959" s="3">
        <v>3927</v>
      </c>
      <c r="H5959" t="s">
        <v>3</v>
      </c>
      <c r="I5959" t="s">
        <v>3</v>
      </c>
      <c r="J5959" t="s">
        <v>9</v>
      </c>
      <c r="K5959" t="s">
        <v>9</v>
      </c>
      <c r="L5959" t="s">
        <v>22</v>
      </c>
      <c r="M5959" t="s">
        <v>302</v>
      </c>
      <c r="N5959" s="2">
        <v>46265</v>
      </c>
    </row>
    <row r="5960" spans="1:14" x14ac:dyDescent="0.25">
      <c r="A5960" t="s">
        <v>685</v>
      </c>
      <c r="B5960" s="2">
        <v>46234</v>
      </c>
      <c r="C5960" t="s">
        <v>685</v>
      </c>
      <c r="D5960" t="s">
        <v>112</v>
      </c>
      <c r="E5960" t="s">
        <v>9</v>
      </c>
      <c r="F5960" s="3">
        <v>-34188</v>
      </c>
      <c r="G5960" s="3">
        <v>-34188</v>
      </c>
      <c r="H5960" t="s">
        <v>3</v>
      </c>
      <c r="I5960" t="s">
        <v>3</v>
      </c>
      <c r="J5960" t="s">
        <v>429</v>
      </c>
      <c r="K5960" t="s">
        <v>13</v>
      </c>
      <c r="L5960" t="s">
        <v>22</v>
      </c>
      <c r="M5960" t="s">
        <v>114</v>
      </c>
      <c r="N5960" s="2">
        <v>46235</v>
      </c>
    </row>
    <row r="5961" spans="1:14" x14ac:dyDescent="0.25">
      <c r="A5961" t="s">
        <v>685</v>
      </c>
      <c r="B5961" s="2">
        <v>46265</v>
      </c>
      <c r="C5961" t="s">
        <v>685</v>
      </c>
      <c r="D5961" t="s">
        <v>112</v>
      </c>
      <c r="E5961" t="s">
        <v>9</v>
      </c>
      <c r="F5961" s="3">
        <v>38628</v>
      </c>
      <c r="G5961" s="3">
        <v>38628</v>
      </c>
      <c r="H5961" t="s">
        <v>3</v>
      </c>
      <c r="I5961" t="s">
        <v>3</v>
      </c>
      <c r="J5961" t="s">
        <v>431</v>
      </c>
      <c r="K5961" t="s">
        <v>13</v>
      </c>
      <c r="L5961" t="s">
        <v>22</v>
      </c>
      <c r="M5961" t="s">
        <v>114</v>
      </c>
      <c r="N5961" s="2">
        <v>46265</v>
      </c>
    </row>
    <row r="5962" spans="1:14" x14ac:dyDescent="0.25">
      <c r="A5962" t="s">
        <v>685</v>
      </c>
      <c r="B5962" s="2">
        <v>46265</v>
      </c>
      <c r="C5962" t="s">
        <v>685</v>
      </c>
      <c r="D5962" t="s">
        <v>301</v>
      </c>
      <c r="E5962" t="s">
        <v>9</v>
      </c>
      <c r="F5962" s="3">
        <v>-3927</v>
      </c>
      <c r="G5962" s="3">
        <v>-3927</v>
      </c>
      <c r="H5962" t="s">
        <v>3</v>
      </c>
      <c r="I5962" t="s">
        <v>3</v>
      </c>
      <c r="J5962" t="s">
        <v>10</v>
      </c>
      <c r="K5962" t="s">
        <v>13</v>
      </c>
      <c r="L5962" t="s">
        <v>22</v>
      </c>
      <c r="M5962" t="s">
        <v>302</v>
      </c>
      <c r="N5962" s="2">
        <v>46265</v>
      </c>
    </row>
    <row r="5963" spans="1:14" x14ac:dyDescent="0.25">
      <c r="A5963" s="4" t="s">
        <v>267</v>
      </c>
      <c r="B5963" s="5"/>
      <c r="C5963" s="4" t="s">
        <v>9</v>
      </c>
      <c r="D5963" s="4" t="s">
        <v>9</v>
      </c>
      <c r="E5963" s="4" t="s">
        <v>9</v>
      </c>
      <c r="F5963" s="6">
        <v>0</v>
      </c>
      <c r="G5963" s="6">
        <v>0</v>
      </c>
      <c r="H5963" s="4" t="s">
        <v>9</v>
      </c>
      <c r="I5963" s="4" t="s">
        <v>3</v>
      </c>
      <c r="J5963" s="4" t="s">
        <v>9</v>
      </c>
      <c r="K5963" s="4" t="s">
        <v>9</v>
      </c>
      <c r="L5963" s="4" t="s">
        <v>9</v>
      </c>
      <c r="M5963" s="4" t="s">
        <v>9</v>
      </c>
      <c r="N5963" s="5"/>
    </row>
    <row r="5964" spans="1:14" x14ac:dyDescent="0.25">
      <c r="A5964" s="4" t="s">
        <v>685</v>
      </c>
      <c r="B5964" s="5"/>
      <c r="C5964" s="4" t="s">
        <v>9</v>
      </c>
      <c r="D5964" s="4" t="s">
        <v>9</v>
      </c>
      <c r="E5964" s="4" t="s">
        <v>9</v>
      </c>
      <c r="F5964" s="6">
        <v>0</v>
      </c>
      <c r="G5964" s="6">
        <v>0</v>
      </c>
      <c r="H5964" s="4" t="s">
        <v>9</v>
      </c>
      <c r="I5964" s="4" t="s">
        <v>3</v>
      </c>
      <c r="J5964" s="4" t="s">
        <v>9</v>
      </c>
      <c r="K5964" s="4" t="s">
        <v>9</v>
      </c>
      <c r="L5964" s="4" t="s">
        <v>9</v>
      </c>
      <c r="M5964" s="4" t="s">
        <v>9</v>
      </c>
      <c r="N5964" s="5"/>
    </row>
    <row r="5965" spans="1:14" x14ac:dyDescent="0.25">
      <c r="A5965" t="s">
        <v>686</v>
      </c>
      <c r="B5965" s="2">
        <v>46115</v>
      </c>
      <c r="C5965" t="s">
        <v>686</v>
      </c>
      <c r="D5965" t="s">
        <v>112</v>
      </c>
      <c r="E5965" t="s">
        <v>9</v>
      </c>
      <c r="F5965" s="3">
        <v>-7300</v>
      </c>
      <c r="G5965" s="3">
        <v>-7300</v>
      </c>
      <c r="H5965" t="s">
        <v>3</v>
      </c>
      <c r="I5965" t="s">
        <v>3</v>
      </c>
      <c r="J5965" t="s">
        <v>9</v>
      </c>
      <c r="K5965" t="s">
        <v>9</v>
      </c>
      <c r="L5965" t="s">
        <v>16</v>
      </c>
      <c r="M5965" t="s">
        <v>114</v>
      </c>
      <c r="N5965" s="2">
        <v>46112</v>
      </c>
    </row>
    <row r="5966" spans="1:14" x14ac:dyDescent="0.25">
      <c r="A5966" t="s">
        <v>686</v>
      </c>
      <c r="B5966" s="2">
        <v>46115</v>
      </c>
      <c r="C5966" t="s">
        <v>686</v>
      </c>
      <c r="D5966" t="s">
        <v>301</v>
      </c>
      <c r="E5966" t="s">
        <v>9</v>
      </c>
      <c r="F5966" s="3">
        <v>7300</v>
      </c>
      <c r="G5966" s="3">
        <v>7300</v>
      </c>
      <c r="H5966" t="s">
        <v>3</v>
      </c>
      <c r="I5966" t="s">
        <v>3</v>
      </c>
      <c r="J5966" t="s">
        <v>9</v>
      </c>
      <c r="K5966" t="s">
        <v>9</v>
      </c>
      <c r="L5966" t="s">
        <v>16</v>
      </c>
      <c r="M5966" t="s">
        <v>302</v>
      </c>
      <c r="N5966" s="2">
        <v>46112</v>
      </c>
    </row>
    <row r="5967" spans="1:14" x14ac:dyDescent="0.25">
      <c r="A5967" t="s">
        <v>686</v>
      </c>
      <c r="B5967" s="2">
        <v>46112</v>
      </c>
      <c r="C5967" t="s">
        <v>686</v>
      </c>
      <c r="D5967" t="s">
        <v>112</v>
      </c>
      <c r="E5967" t="s">
        <v>9</v>
      </c>
      <c r="F5967" s="3">
        <v>7300</v>
      </c>
      <c r="G5967" s="3">
        <v>7300</v>
      </c>
      <c r="H5967" t="s">
        <v>3</v>
      </c>
      <c r="I5967" t="s">
        <v>3</v>
      </c>
      <c r="J5967" t="s">
        <v>395</v>
      </c>
      <c r="K5967" t="s">
        <v>13</v>
      </c>
      <c r="L5967" t="s">
        <v>16</v>
      </c>
      <c r="M5967" t="s">
        <v>114</v>
      </c>
      <c r="N5967" s="2">
        <v>46112</v>
      </c>
    </row>
    <row r="5968" spans="1:14" x14ac:dyDescent="0.25">
      <c r="A5968" t="s">
        <v>686</v>
      </c>
      <c r="B5968" s="2">
        <v>46112</v>
      </c>
      <c r="C5968" t="s">
        <v>686</v>
      </c>
      <c r="D5968" t="s">
        <v>301</v>
      </c>
      <c r="E5968" t="s">
        <v>9</v>
      </c>
      <c r="F5968" s="3">
        <v>-7300</v>
      </c>
      <c r="G5968" s="3">
        <v>-7300</v>
      </c>
      <c r="H5968" t="s">
        <v>3</v>
      </c>
      <c r="I5968" t="s">
        <v>3</v>
      </c>
      <c r="J5968" t="s">
        <v>10</v>
      </c>
      <c r="K5968" t="s">
        <v>13</v>
      </c>
      <c r="L5968" t="s">
        <v>16</v>
      </c>
      <c r="M5968" t="s">
        <v>302</v>
      </c>
      <c r="N5968" s="2">
        <v>46112</v>
      </c>
    </row>
    <row r="5969" spans="1:14" x14ac:dyDescent="0.25">
      <c r="A5969" s="4" t="s">
        <v>244</v>
      </c>
      <c r="B5969" s="5"/>
      <c r="C5969" s="4" t="s">
        <v>9</v>
      </c>
      <c r="D5969" s="4" t="s">
        <v>9</v>
      </c>
      <c r="E5969" s="4" t="s">
        <v>9</v>
      </c>
      <c r="F5969" s="6">
        <v>0</v>
      </c>
      <c r="G5969" s="6">
        <v>0</v>
      </c>
      <c r="H5969" s="4" t="s">
        <v>9</v>
      </c>
      <c r="I5969" s="4" t="s">
        <v>3</v>
      </c>
      <c r="J5969" s="4" t="s">
        <v>9</v>
      </c>
      <c r="K5969" s="4" t="s">
        <v>9</v>
      </c>
      <c r="L5969" s="4" t="s">
        <v>9</v>
      </c>
      <c r="M5969" s="4" t="s">
        <v>9</v>
      </c>
      <c r="N5969" s="5"/>
    </row>
    <row r="5970" spans="1:14" x14ac:dyDescent="0.25">
      <c r="A5970" t="s">
        <v>686</v>
      </c>
      <c r="B5970" s="2">
        <v>46147</v>
      </c>
      <c r="C5970" t="s">
        <v>686</v>
      </c>
      <c r="D5970" t="s">
        <v>112</v>
      </c>
      <c r="E5970" t="s">
        <v>9</v>
      </c>
      <c r="F5970" s="3">
        <v>-48900</v>
      </c>
      <c r="G5970" s="3">
        <v>-48900</v>
      </c>
      <c r="H5970" t="s">
        <v>3</v>
      </c>
      <c r="I5970" t="s">
        <v>3</v>
      </c>
      <c r="J5970" t="s">
        <v>9</v>
      </c>
      <c r="K5970" t="s">
        <v>9</v>
      </c>
      <c r="L5970" t="s">
        <v>17</v>
      </c>
      <c r="M5970" t="s">
        <v>114</v>
      </c>
      <c r="N5970" s="2">
        <v>46142</v>
      </c>
    </row>
    <row r="5971" spans="1:14" x14ac:dyDescent="0.25">
      <c r="A5971" t="s">
        <v>686</v>
      </c>
      <c r="B5971" s="2">
        <v>46147</v>
      </c>
      <c r="C5971" t="s">
        <v>686</v>
      </c>
      <c r="D5971" t="s">
        <v>301</v>
      </c>
      <c r="E5971" t="s">
        <v>9</v>
      </c>
      <c r="F5971" s="3">
        <v>48900</v>
      </c>
      <c r="G5971" s="3">
        <v>48900</v>
      </c>
      <c r="H5971" t="s">
        <v>3</v>
      </c>
      <c r="I5971" t="s">
        <v>3</v>
      </c>
      <c r="J5971" t="s">
        <v>9</v>
      </c>
      <c r="K5971" t="s">
        <v>9</v>
      </c>
      <c r="L5971" t="s">
        <v>17</v>
      </c>
      <c r="M5971" t="s">
        <v>302</v>
      </c>
      <c r="N5971" s="2">
        <v>46142</v>
      </c>
    </row>
    <row r="5972" spans="1:14" x14ac:dyDescent="0.25">
      <c r="A5972" t="s">
        <v>686</v>
      </c>
      <c r="B5972" s="2">
        <v>46112</v>
      </c>
      <c r="C5972" t="s">
        <v>686</v>
      </c>
      <c r="D5972" t="s">
        <v>112</v>
      </c>
      <c r="E5972" t="s">
        <v>9</v>
      </c>
      <c r="F5972" s="3">
        <v>-7300</v>
      </c>
      <c r="G5972" s="3">
        <v>-7300</v>
      </c>
      <c r="H5972" t="s">
        <v>3</v>
      </c>
      <c r="I5972" t="s">
        <v>3</v>
      </c>
      <c r="J5972" t="s">
        <v>395</v>
      </c>
      <c r="K5972" t="s">
        <v>13</v>
      </c>
      <c r="L5972" t="s">
        <v>17</v>
      </c>
      <c r="M5972" t="s">
        <v>114</v>
      </c>
      <c r="N5972" s="2">
        <v>46113</v>
      </c>
    </row>
    <row r="5973" spans="1:14" x14ac:dyDescent="0.25">
      <c r="A5973" t="s">
        <v>686</v>
      </c>
      <c r="B5973" s="2">
        <v>46142</v>
      </c>
      <c r="C5973" t="s">
        <v>686</v>
      </c>
      <c r="D5973" t="s">
        <v>112</v>
      </c>
      <c r="E5973" t="s">
        <v>9</v>
      </c>
      <c r="F5973" s="3">
        <v>56200</v>
      </c>
      <c r="G5973" s="3">
        <v>56200</v>
      </c>
      <c r="H5973" t="s">
        <v>3</v>
      </c>
      <c r="I5973" t="s">
        <v>3</v>
      </c>
      <c r="J5973" t="s">
        <v>423</v>
      </c>
      <c r="K5973" t="s">
        <v>13</v>
      </c>
      <c r="L5973" t="s">
        <v>17</v>
      </c>
      <c r="M5973" t="s">
        <v>114</v>
      </c>
      <c r="N5973" s="2">
        <v>46142</v>
      </c>
    </row>
    <row r="5974" spans="1:14" x14ac:dyDescent="0.25">
      <c r="A5974" t="s">
        <v>686</v>
      </c>
      <c r="B5974" s="2">
        <v>46142</v>
      </c>
      <c r="C5974" t="s">
        <v>686</v>
      </c>
      <c r="D5974" t="s">
        <v>301</v>
      </c>
      <c r="E5974" t="s">
        <v>9</v>
      </c>
      <c r="F5974" s="3">
        <v>-48900</v>
      </c>
      <c r="G5974" s="3">
        <v>-48900</v>
      </c>
      <c r="H5974" t="s">
        <v>3</v>
      </c>
      <c r="I5974" t="s">
        <v>3</v>
      </c>
      <c r="J5974" t="s">
        <v>10</v>
      </c>
      <c r="K5974" t="s">
        <v>13</v>
      </c>
      <c r="L5974" t="s">
        <v>17</v>
      </c>
      <c r="M5974" t="s">
        <v>302</v>
      </c>
      <c r="N5974" s="2">
        <v>46142</v>
      </c>
    </row>
    <row r="5975" spans="1:14" x14ac:dyDescent="0.25">
      <c r="A5975" s="4" t="s">
        <v>249</v>
      </c>
      <c r="B5975" s="5"/>
      <c r="C5975" s="4" t="s">
        <v>9</v>
      </c>
      <c r="D5975" s="4" t="s">
        <v>9</v>
      </c>
      <c r="E5975" s="4" t="s">
        <v>9</v>
      </c>
      <c r="F5975" s="6">
        <v>0</v>
      </c>
      <c r="G5975" s="6">
        <v>0</v>
      </c>
      <c r="H5975" s="4" t="s">
        <v>9</v>
      </c>
      <c r="I5975" s="4" t="s">
        <v>3</v>
      </c>
      <c r="J5975" s="4" t="s">
        <v>9</v>
      </c>
      <c r="K5975" s="4" t="s">
        <v>9</v>
      </c>
      <c r="L5975" s="4" t="s">
        <v>9</v>
      </c>
      <c r="M5975" s="4" t="s">
        <v>9</v>
      </c>
      <c r="N5975" s="5"/>
    </row>
    <row r="5976" spans="1:14" x14ac:dyDescent="0.25">
      <c r="A5976" t="s">
        <v>686</v>
      </c>
      <c r="B5976" s="2">
        <v>46175</v>
      </c>
      <c r="C5976" t="s">
        <v>686</v>
      </c>
      <c r="D5976" t="s">
        <v>112</v>
      </c>
      <c r="E5976" t="s">
        <v>9</v>
      </c>
      <c r="F5976" s="3">
        <v>-11650</v>
      </c>
      <c r="G5976" s="3">
        <v>-11650</v>
      </c>
      <c r="H5976" t="s">
        <v>3</v>
      </c>
      <c r="I5976" t="s">
        <v>3</v>
      </c>
      <c r="J5976" t="s">
        <v>9</v>
      </c>
      <c r="K5976" t="s">
        <v>9</v>
      </c>
      <c r="L5976" t="s">
        <v>18</v>
      </c>
      <c r="M5976" t="s">
        <v>114</v>
      </c>
      <c r="N5976" s="2">
        <v>46173</v>
      </c>
    </row>
    <row r="5977" spans="1:14" x14ac:dyDescent="0.25">
      <c r="A5977" t="s">
        <v>686</v>
      </c>
      <c r="B5977" s="2">
        <v>46175</v>
      </c>
      <c r="C5977" t="s">
        <v>686</v>
      </c>
      <c r="D5977" t="s">
        <v>301</v>
      </c>
      <c r="E5977" t="s">
        <v>9</v>
      </c>
      <c r="F5977" s="3">
        <v>11650</v>
      </c>
      <c r="G5977" s="3">
        <v>11650</v>
      </c>
      <c r="H5977" t="s">
        <v>3</v>
      </c>
      <c r="I5977" t="s">
        <v>3</v>
      </c>
      <c r="J5977" t="s">
        <v>9</v>
      </c>
      <c r="K5977" t="s">
        <v>9</v>
      </c>
      <c r="L5977" t="s">
        <v>18</v>
      </c>
      <c r="M5977" t="s">
        <v>302</v>
      </c>
      <c r="N5977" s="2">
        <v>46173</v>
      </c>
    </row>
    <row r="5978" spans="1:14" x14ac:dyDescent="0.25">
      <c r="A5978" t="s">
        <v>686</v>
      </c>
      <c r="B5978" s="2">
        <v>46142</v>
      </c>
      <c r="C5978" t="s">
        <v>686</v>
      </c>
      <c r="D5978" t="s">
        <v>112</v>
      </c>
      <c r="E5978" t="s">
        <v>9</v>
      </c>
      <c r="F5978" s="3">
        <v>-56200</v>
      </c>
      <c r="G5978" s="3">
        <v>-56200</v>
      </c>
      <c r="H5978" t="s">
        <v>3</v>
      </c>
      <c r="I5978" t="s">
        <v>3</v>
      </c>
      <c r="J5978" t="s">
        <v>423</v>
      </c>
      <c r="K5978" t="s">
        <v>13</v>
      </c>
      <c r="L5978" t="s">
        <v>18</v>
      </c>
      <c r="M5978" t="s">
        <v>114</v>
      </c>
      <c r="N5978" s="2">
        <v>46143</v>
      </c>
    </row>
    <row r="5979" spans="1:14" x14ac:dyDescent="0.25">
      <c r="A5979" t="s">
        <v>686</v>
      </c>
      <c r="B5979" s="2">
        <v>46173</v>
      </c>
      <c r="C5979" t="s">
        <v>686</v>
      </c>
      <c r="D5979" t="s">
        <v>112</v>
      </c>
      <c r="E5979" t="s">
        <v>9</v>
      </c>
      <c r="F5979" s="3">
        <v>67850</v>
      </c>
      <c r="G5979" s="3">
        <v>67850</v>
      </c>
      <c r="H5979" t="s">
        <v>3</v>
      </c>
      <c r="I5979" t="s">
        <v>3</v>
      </c>
      <c r="J5979" t="s">
        <v>427</v>
      </c>
      <c r="K5979" t="s">
        <v>13</v>
      </c>
      <c r="L5979" t="s">
        <v>18</v>
      </c>
      <c r="M5979" t="s">
        <v>114</v>
      </c>
      <c r="N5979" s="2">
        <v>46173</v>
      </c>
    </row>
    <row r="5980" spans="1:14" x14ac:dyDescent="0.25">
      <c r="A5980" t="s">
        <v>686</v>
      </c>
      <c r="B5980" s="2">
        <v>46173</v>
      </c>
      <c r="C5980" t="s">
        <v>686</v>
      </c>
      <c r="D5980" t="s">
        <v>301</v>
      </c>
      <c r="E5980" t="s">
        <v>9</v>
      </c>
      <c r="F5980" s="3">
        <v>-11650</v>
      </c>
      <c r="G5980" s="3">
        <v>-11650</v>
      </c>
      <c r="H5980" t="s">
        <v>3</v>
      </c>
      <c r="I5980" t="s">
        <v>3</v>
      </c>
      <c r="J5980" t="s">
        <v>10</v>
      </c>
      <c r="K5980" t="s">
        <v>13</v>
      </c>
      <c r="L5980" t="s">
        <v>18</v>
      </c>
      <c r="M5980" t="s">
        <v>302</v>
      </c>
      <c r="N5980" s="2">
        <v>46173</v>
      </c>
    </row>
    <row r="5981" spans="1:14" x14ac:dyDescent="0.25">
      <c r="A5981" s="4" t="s">
        <v>223</v>
      </c>
      <c r="B5981" s="5"/>
      <c r="C5981" s="4" t="s">
        <v>9</v>
      </c>
      <c r="D5981" s="4" t="s">
        <v>9</v>
      </c>
      <c r="E5981" s="4" t="s">
        <v>9</v>
      </c>
      <c r="F5981" s="6">
        <v>0</v>
      </c>
      <c r="G5981" s="6">
        <v>0</v>
      </c>
      <c r="H5981" s="4" t="s">
        <v>9</v>
      </c>
      <c r="I5981" s="4" t="s">
        <v>3</v>
      </c>
      <c r="J5981" s="4" t="s">
        <v>9</v>
      </c>
      <c r="K5981" s="4" t="s">
        <v>9</v>
      </c>
      <c r="L5981" s="4" t="s">
        <v>9</v>
      </c>
      <c r="M5981" s="4" t="s">
        <v>9</v>
      </c>
      <c r="N5981" s="5"/>
    </row>
    <row r="5982" spans="1:14" x14ac:dyDescent="0.25">
      <c r="A5982" t="s">
        <v>686</v>
      </c>
      <c r="B5982" s="2">
        <v>46205</v>
      </c>
      <c r="C5982" t="s">
        <v>686</v>
      </c>
      <c r="D5982" t="s">
        <v>112</v>
      </c>
      <c r="E5982" t="s">
        <v>9</v>
      </c>
      <c r="F5982" s="3">
        <v>-26032.85</v>
      </c>
      <c r="G5982" s="3">
        <v>-26032.85</v>
      </c>
      <c r="H5982" t="s">
        <v>3</v>
      </c>
      <c r="I5982" t="s">
        <v>3</v>
      </c>
      <c r="J5982" t="s">
        <v>9</v>
      </c>
      <c r="K5982" t="s">
        <v>9</v>
      </c>
      <c r="L5982" t="s">
        <v>19</v>
      </c>
      <c r="M5982" t="s">
        <v>114</v>
      </c>
      <c r="N5982" s="2">
        <v>46203</v>
      </c>
    </row>
    <row r="5983" spans="1:14" x14ac:dyDescent="0.25">
      <c r="A5983" t="s">
        <v>686</v>
      </c>
      <c r="B5983" s="2">
        <v>46205</v>
      </c>
      <c r="C5983" t="s">
        <v>686</v>
      </c>
      <c r="D5983" t="s">
        <v>301</v>
      </c>
      <c r="E5983" t="s">
        <v>9</v>
      </c>
      <c r="F5983" s="3">
        <v>26632.85</v>
      </c>
      <c r="G5983" s="3">
        <v>26632.85</v>
      </c>
      <c r="H5983" t="s">
        <v>3</v>
      </c>
      <c r="I5983" t="s">
        <v>3</v>
      </c>
      <c r="J5983" t="s">
        <v>9</v>
      </c>
      <c r="K5983" t="s">
        <v>9</v>
      </c>
      <c r="L5983" t="s">
        <v>19</v>
      </c>
      <c r="M5983" t="s">
        <v>302</v>
      </c>
      <c r="N5983" s="2">
        <v>46203</v>
      </c>
    </row>
    <row r="5984" spans="1:14" x14ac:dyDescent="0.25">
      <c r="A5984" t="s">
        <v>686</v>
      </c>
      <c r="B5984" s="2">
        <v>46173</v>
      </c>
      <c r="C5984" t="s">
        <v>686</v>
      </c>
      <c r="D5984" t="s">
        <v>112</v>
      </c>
      <c r="E5984" t="s">
        <v>9</v>
      </c>
      <c r="F5984" s="3">
        <v>-67850</v>
      </c>
      <c r="G5984" s="3">
        <v>-67850</v>
      </c>
      <c r="H5984" t="s">
        <v>3</v>
      </c>
      <c r="I5984" t="s">
        <v>3</v>
      </c>
      <c r="J5984" t="s">
        <v>427</v>
      </c>
      <c r="K5984" t="s">
        <v>13</v>
      </c>
      <c r="L5984" t="s">
        <v>19</v>
      </c>
      <c r="M5984" t="s">
        <v>114</v>
      </c>
      <c r="N5984" s="2">
        <v>46174</v>
      </c>
    </row>
    <row r="5985" spans="1:14" x14ac:dyDescent="0.25">
      <c r="A5985" t="s">
        <v>686</v>
      </c>
      <c r="B5985" s="2">
        <v>46203</v>
      </c>
      <c r="C5985" t="s">
        <v>686</v>
      </c>
      <c r="D5985" t="s">
        <v>112</v>
      </c>
      <c r="E5985" t="s">
        <v>9</v>
      </c>
      <c r="F5985" s="3">
        <v>93882.85</v>
      </c>
      <c r="G5985" s="3">
        <v>93882.85</v>
      </c>
      <c r="H5985" t="s">
        <v>3</v>
      </c>
      <c r="I5985" t="s">
        <v>3</v>
      </c>
      <c r="J5985" t="s">
        <v>428</v>
      </c>
      <c r="K5985" t="s">
        <v>13</v>
      </c>
      <c r="L5985" t="s">
        <v>19</v>
      </c>
      <c r="M5985" t="s">
        <v>114</v>
      </c>
      <c r="N5985" s="2">
        <v>46203</v>
      </c>
    </row>
    <row r="5986" spans="1:14" x14ac:dyDescent="0.25">
      <c r="A5986" t="s">
        <v>686</v>
      </c>
      <c r="B5986" s="2">
        <v>46203</v>
      </c>
      <c r="C5986" t="s">
        <v>686</v>
      </c>
      <c r="D5986" t="s">
        <v>301</v>
      </c>
      <c r="E5986" t="s">
        <v>9</v>
      </c>
      <c r="F5986" s="3">
        <v>-26632.85</v>
      </c>
      <c r="G5986" s="3">
        <v>-26632.85</v>
      </c>
      <c r="H5986" t="s">
        <v>3</v>
      </c>
      <c r="I5986" t="s">
        <v>3</v>
      </c>
      <c r="J5986" t="s">
        <v>10</v>
      </c>
      <c r="K5986" t="s">
        <v>13</v>
      </c>
      <c r="L5986" t="s">
        <v>19</v>
      </c>
      <c r="M5986" t="s">
        <v>302</v>
      </c>
      <c r="N5986" s="2">
        <v>46203</v>
      </c>
    </row>
    <row r="5987" spans="1:14" x14ac:dyDescent="0.25">
      <c r="A5987" s="4" t="s">
        <v>224</v>
      </c>
      <c r="B5987" s="5"/>
      <c r="C5987" s="4" t="s">
        <v>9</v>
      </c>
      <c r="D5987" s="4" t="s">
        <v>9</v>
      </c>
      <c r="E5987" s="4" t="s">
        <v>9</v>
      </c>
      <c r="F5987" s="6">
        <v>0</v>
      </c>
      <c r="G5987" s="6">
        <v>0</v>
      </c>
      <c r="H5987" s="4" t="s">
        <v>9</v>
      </c>
      <c r="I5987" s="4" t="s">
        <v>3</v>
      </c>
      <c r="J5987" s="4" t="s">
        <v>9</v>
      </c>
      <c r="K5987" s="4" t="s">
        <v>9</v>
      </c>
      <c r="L5987" s="4" t="s">
        <v>9</v>
      </c>
      <c r="M5987" s="4" t="s">
        <v>9</v>
      </c>
      <c r="N5987" s="5"/>
    </row>
    <row r="5988" spans="1:14" x14ac:dyDescent="0.25">
      <c r="A5988" t="s">
        <v>686</v>
      </c>
      <c r="B5988" s="2">
        <v>46239</v>
      </c>
      <c r="C5988" t="s">
        <v>686</v>
      </c>
      <c r="D5988" t="s">
        <v>112</v>
      </c>
      <c r="E5988" t="s">
        <v>9</v>
      </c>
      <c r="F5988" s="3">
        <v>-31172.15</v>
      </c>
      <c r="G5988" s="3">
        <v>-31172.15</v>
      </c>
      <c r="H5988" t="s">
        <v>3</v>
      </c>
      <c r="I5988" t="s">
        <v>3</v>
      </c>
      <c r="J5988" t="s">
        <v>9</v>
      </c>
      <c r="K5988" t="s">
        <v>9</v>
      </c>
      <c r="L5988" t="s">
        <v>21</v>
      </c>
      <c r="M5988" t="s">
        <v>114</v>
      </c>
      <c r="N5988" s="2">
        <v>46234</v>
      </c>
    </row>
    <row r="5989" spans="1:14" x14ac:dyDescent="0.25">
      <c r="A5989" t="s">
        <v>686</v>
      </c>
      <c r="B5989" s="2">
        <v>46239</v>
      </c>
      <c r="C5989" t="s">
        <v>686</v>
      </c>
      <c r="D5989" t="s">
        <v>301</v>
      </c>
      <c r="E5989" t="s">
        <v>9</v>
      </c>
      <c r="F5989" s="3">
        <v>30572.15</v>
      </c>
      <c r="G5989" s="3">
        <v>30572.15</v>
      </c>
      <c r="H5989" t="s">
        <v>3</v>
      </c>
      <c r="I5989" t="s">
        <v>3</v>
      </c>
      <c r="J5989" t="s">
        <v>9</v>
      </c>
      <c r="K5989" t="s">
        <v>9</v>
      </c>
      <c r="L5989" t="s">
        <v>21</v>
      </c>
      <c r="M5989" t="s">
        <v>302</v>
      </c>
      <c r="N5989" s="2">
        <v>46234</v>
      </c>
    </row>
    <row r="5990" spans="1:14" x14ac:dyDescent="0.25">
      <c r="A5990" t="s">
        <v>686</v>
      </c>
      <c r="B5990" s="2">
        <v>46203</v>
      </c>
      <c r="C5990" t="s">
        <v>686</v>
      </c>
      <c r="D5990" t="s">
        <v>112</v>
      </c>
      <c r="E5990" t="s">
        <v>9</v>
      </c>
      <c r="F5990" s="3">
        <v>-93882.85</v>
      </c>
      <c r="G5990" s="3">
        <v>-93882.85</v>
      </c>
      <c r="H5990" t="s">
        <v>3</v>
      </c>
      <c r="I5990" t="s">
        <v>3</v>
      </c>
      <c r="J5990" t="s">
        <v>428</v>
      </c>
      <c r="K5990" t="s">
        <v>13</v>
      </c>
      <c r="L5990" t="s">
        <v>21</v>
      </c>
      <c r="M5990" t="s">
        <v>114</v>
      </c>
      <c r="N5990" s="2">
        <v>46204</v>
      </c>
    </row>
    <row r="5991" spans="1:14" x14ac:dyDescent="0.25">
      <c r="A5991" t="s">
        <v>686</v>
      </c>
      <c r="B5991" s="2">
        <v>46234</v>
      </c>
      <c r="C5991" t="s">
        <v>686</v>
      </c>
      <c r="D5991" t="s">
        <v>301</v>
      </c>
      <c r="E5991" t="s">
        <v>9</v>
      </c>
      <c r="F5991" s="3">
        <v>-30572.15</v>
      </c>
      <c r="G5991" s="3">
        <v>-30572.15</v>
      </c>
      <c r="H5991" t="s">
        <v>3</v>
      </c>
      <c r="I5991" t="s">
        <v>3</v>
      </c>
      <c r="J5991" t="s">
        <v>10</v>
      </c>
      <c r="K5991" t="s">
        <v>13</v>
      </c>
      <c r="L5991" t="s">
        <v>21</v>
      </c>
      <c r="M5991" t="s">
        <v>302</v>
      </c>
      <c r="N5991" s="2">
        <v>46234</v>
      </c>
    </row>
    <row r="5992" spans="1:14" x14ac:dyDescent="0.25">
      <c r="A5992" t="s">
        <v>686</v>
      </c>
      <c r="B5992" s="2">
        <v>46234</v>
      </c>
      <c r="C5992" t="s">
        <v>686</v>
      </c>
      <c r="D5992" t="s">
        <v>112</v>
      </c>
      <c r="E5992" t="s">
        <v>9</v>
      </c>
      <c r="F5992" s="3">
        <v>1200</v>
      </c>
      <c r="G5992" s="3">
        <v>1200</v>
      </c>
      <c r="H5992" t="s">
        <v>3</v>
      </c>
      <c r="I5992" t="s">
        <v>3</v>
      </c>
      <c r="J5992" t="s">
        <v>373</v>
      </c>
      <c r="K5992" t="s">
        <v>13</v>
      </c>
      <c r="L5992" t="s">
        <v>21</v>
      </c>
      <c r="M5992" t="s">
        <v>114</v>
      </c>
      <c r="N5992" s="2">
        <v>46234</v>
      </c>
    </row>
    <row r="5993" spans="1:14" x14ac:dyDescent="0.25">
      <c r="A5993" t="s">
        <v>686</v>
      </c>
      <c r="B5993" s="2">
        <v>46234</v>
      </c>
      <c r="C5993" t="s">
        <v>686</v>
      </c>
      <c r="D5993" t="s">
        <v>112</v>
      </c>
      <c r="E5993" t="s">
        <v>9</v>
      </c>
      <c r="F5993" s="3">
        <v>123855</v>
      </c>
      <c r="G5993" s="3">
        <v>123855</v>
      </c>
      <c r="H5993" t="s">
        <v>3</v>
      </c>
      <c r="I5993" t="s">
        <v>3</v>
      </c>
      <c r="J5993" t="s">
        <v>429</v>
      </c>
      <c r="K5993" t="s">
        <v>13</v>
      </c>
      <c r="L5993" t="s">
        <v>21</v>
      </c>
      <c r="M5993" t="s">
        <v>114</v>
      </c>
      <c r="N5993" s="2">
        <v>46234</v>
      </c>
    </row>
    <row r="5994" spans="1:14" x14ac:dyDescent="0.25">
      <c r="A5994" s="4" t="s">
        <v>262</v>
      </c>
      <c r="B5994" s="5"/>
      <c r="C5994" s="4" t="s">
        <v>9</v>
      </c>
      <c r="D5994" s="4" t="s">
        <v>9</v>
      </c>
      <c r="E5994" s="4" t="s">
        <v>9</v>
      </c>
      <c r="F5994" s="6">
        <v>0</v>
      </c>
      <c r="G5994" s="6">
        <v>0</v>
      </c>
      <c r="H5994" s="4" t="s">
        <v>9</v>
      </c>
      <c r="I5994" s="4" t="s">
        <v>3</v>
      </c>
      <c r="J5994" s="4" t="s">
        <v>9</v>
      </c>
      <c r="K5994" s="4" t="s">
        <v>9</v>
      </c>
      <c r="L5994" s="4" t="s">
        <v>9</v>
      </c>
      <c r="M5994" s="4" t="s">
        <v>9</v>
      </c>
      <c r="N5994" s="5"/>
    </row>
    <row r="5995" spans="1:14" x14ac:dyDescent="0.25">
      <c r="A5995" t="s">
        <v>686</v>
      </c>
      <c r="B5995" s="2">
        <v>46267</v>
      </c>
      <c r="C5995" t="s">
        <v>686</v>
      </c>
      <c r="D5995" t="s">
        <v>112</v>
      </c>
      <c r="E5995" t="s">
        <v>9</v>
      </c>
      <c r="F5995" s="3">
        <v>-10800</v>
      </c>
      <c r="G5995" s="3">
        <v>-10800</v>
      </c>
      <c r="H5995" t="s">
        <v>3</v>
      </c>
      <c r="I5995" t="s">
        <v>3</v>
      </c>
      <c r="J5995" t="s">
        <v>9</v>
      </c>
      <c r="K5995" t="s">
        <v>9</v>
      </c>
      <c r="L5995" t="s">
        <v>22</v>
      </c>
      <c r="M5995" t="s">
        <v>114</v>
      </c>
      <c r="N5995" s="2">
        <v>46265</v>
      </c>
    </row>
    <row r="5996" spans="1:14" x14ac:dyDescent="0.25">
      <c r="A5996" t="s">
        <v>686</v>
      </c>
      <c r="B5996" s="2">
        <v>46267</v>
      </c>
      <c r="C5996" t="s">
        <v>686</v>
      </c>
      <c r="D5996" t="s">
        <v>301</v>
      </c>
      <c r="E5996" t="s">
        <v>9</v>
      </c>
      <c r="F5996" s="3">
        <v>10800</v>
      </c>
      <c r="G5996" s="3">
        <v>10800</v>
      </c>
      <c r="H5996" t="s">
        <v>3</v>
      </c>
      <c r="I5996" t="s">
        <v>3</v>
      </c>
      <c r="J5996" t="s">
        <v>9</v>
      </c>
      <c r="K5996" t="s">
        <v>9</v>
      </c>
      <c r="L5996" t="s">
        <v>22</v>
      </c>
      <c r="M5996" t="s">
        <v>302</v>
      </c>
      <c r="N5996" s="2">
        <v>46265</v>
      </c>
    </row>
    <row r="5997" spans="1:14" x14ac:dyDescent="0.25">
      <c r="A5997" t="s">
        <v>686</v>
      </c>
      <c r="B5997" s="2">
        <v>46234</v>
      </c>
      <c r="C5997" t="s">
        <v>686</v>
      </c>
      <c r="D5997" t="s">
        <v>112</v>
      </c>
      <c r="E5997" t="s">
        <v>9</v>
      </c>
      <c r="F5997" s="3">
        <v>-1200</v>
      </c>
      <c r="G5997" s="3">
        <v>-1200</v>
      </c>
      <c r="H5997" t="s">
        <v>3</v>
      </c>
      <c r="I5997" t="s">
        <v>3</v>
      </c>
      <c r="J5997" t="s">
        <v>373</v>
      </c>
      <c r="K5997" t="s">
        <v>13</v>
      </c>
      <c r="L5997" t="s">
        <v>22</v>
      </c>
      <c r="M5997" t="s">
        <v>114</v>
      </c>
      <c r="N5997" s="2">
        <v>46235</v>
      </c>
    </row>
    <row r="5998" spans="1:14" x14ac:dyDescent="0.25">
      <c r="A5998" t="s">
        <v>686</v>
      </c>
      <c r="B5998" s="2">
        <v>46234</v>
      </c>
      <c r="C5998" t="s">
        <v>686</v>
      </c>
      <c r="D5998" t="s">
        <v>112</v>
      </c>
      <c r="E5998" t="s">
        <v>9</v>
      </c>
      <c r="F5998" s="3">
        <v>-123855</v>
      </c>
      <c r="G5998" s="3">
        <v>-123855</v>
      </c>
      <c r="H5998" t="s">
        <v>3</v>
      </c>
      <c r="I5998" t="s">
        <v>3</v>
      </c>
      <c r="J5998" t="s">
        <v>429</v>
      </c>
      <c r="K5998" t="s">
        <v>13</v>
      </c>
      <c r="L5998" t="s">
        <v>22</v>
      </c>
      <c r="M5998" t="s">
        <v>114</v>
      </c>
      <c r="N5998" s="2">
        <v>46235</v>
      </c>
    </row>
    <row r="5999" spans="1:14" x14ac:dyDescent="0.25">
      <c r="A5999" t="s">
        <v>686</v>
      </c>
      <c r="B5999" s="2">
        <v>46265</v>
      </c>
      <c r="C5999" t="s">
        <v>686</v>
      </c>
      <c r="D5999" t="s">
        <v>112</v>
      </c>
      <c r="E5999" t="s">
        <v>9</v>
      </c>
      <c r="F5999" s="3">
        <v>1600</v>
      </c>
      <c r="G5999" s="3">
        <v>1600</v>
      </c>
      <c r="H5999" t="s">
        <v>3</v>
      </c>
      <c r="I5999" t="s">
        <v>3</v>
      </c>
      <c r="J5999" t="s">
        <v>430</v>
      </c>
      <c r="K5999" t="s">
        <v>13</v>
      </c>
      <c r="L5999" t="s">
        <v>22</v>
      </c>
      <c r="M5999" t="s">
        <v>114</v>
      </c>
      <c r="N5999" s="2">
        <v>46265</v>
      </c>
    </row>
    <row r="6000" spans="1:14" x14ac:dyDescent="0.25">
      <c r="A6000" t="s">
        <v>686</v>
      </c>
      <c r="B6000" s="2">
        <v>46265</v>
      </c>
      <c r="C6000" t="s">
        <v>686</v>
      </c>
      <c r="D6000" t="s">
        <v>112</v>
      </c>
      <c r="E6000" t="s">
        <v>9</v>
      </c>
      <c r="F6000" s="3">
        <v>134255</v>
      </c>
      <c r="G6000" s="3">
        <v>134255</v>
      </c>
      <c r="H6000" t="s">
        <v>3</v>
      </c>
      <c r="I6000" t="s">
        <v>3</v>
      </c>
      <c r="J6000" t="s">
        <v>431</v>
      </c>
      <c r="K6000" t="s">
        <v>13</v>
      </c>
      <c r="L6000" t="s">
        <v>22</v>
      </c>
      <c r="M6000" t="s">
        <v>114</v>
      </c>
      <c r="N6000" s="2">
        <v>46265</v>
      </c>
    </row>
    <row r="6001" spans="1:14" x14ac:dyDescent="0.25">
      <c r="A6001" t="s">
        <v>686</v>
      </c>
      <c r="B6001" s="2">
        <v>46265</v>
      </c>
      <c r="C6001" t="s">
        <v>686</v>
      </c>
      <c r="D6001" t="s">
        <v>301</v>
      </c>
      <c r="E6001" t="s">
        <v>9</v>
      </c>
      <c r="F6001" s="3">
        <v>-10800</v>
      </c>
      <c r="G6001" s="3">
        <v>-10800</v>
      </c>
      <c r="H6001" t="s">
        <v>3</v>
      </c>
      <c r="I6001" t="s">
        <v>3</v>
      </c>
      <c r="J6001" t="s">
        <v>10</v>
      </c>
      <c r="K6001" t="s">
        <v>13</v>
      </c>
      <c r="L6001" t="s">
        <v>22</v>
      </c>
      <c r="M6001" t="s">
        <v>302</v>
      </c>
      <c r="N6001" s="2">
        <v>46265</v>
      </c>
    </row>
    <row r="6002" spans="1:14" x14ac:dyDescent="0.25">
      <c r="A6002" s="4" t="s">
        <v>267</v>
      </c>
      <c r="B6002" s="5"/>
      <c r="C6002" s="4" t="s">
        <v>9</v>
      </c>
      <c r="D6002" s="4" t="s">
        <v>9</v>
      </c>
      <c r="E6002" s="4" t="s">
        <v>9</v>
      </c>
      <c r="F6002" s="6">
        <v>0</v>
      </c>
      <c r="G6002" s="6">
        <v>0</v>
      </c>
      <c r="H6002" s="4" t="s">
        <v>9</v>
      </c>
      <c r="I6002" s="4" t="s">
        <v>3</v>
      </c>
      <c r="J6002" s="4" t="s">
        <v>9</v>
      </c>
      <c r="K6002" s="4" t="s">
        <v>9</v>
      </c>
      <c r="L6002" s="4" t="s">
        <v>9</v>
      </c>
      <c r="M6002" s="4" t="s">
        <v>9</v>
      </c>
      <c r="N6002" s="5"/>
    </row>
    <row r="6003" spans="1:14" x14ac:dyDescent="0.25">
      <c r="A6003" s="4" t="s">
        <v>686</v>
      </c>
      <c r="B6003" s="5"/>
      <c r="C6003" s="4" t="s">
        <v>9</v>
      </c>
      <c r="D6003" s="4" t="s">
        <v>9</v>
      </c>
      <c r="E6003" s="4" t="s">
        <v>9</v>
      </c>
      <c r="F6003" s="6">
        <v>0</v>
      </c>
      <c r="G6003" s="6">
        <v>0</v>
      </c>
      <c r="H6003" s="4" t="s">
        <v>9</v>
      </c>
      <c r="I6003" s="4" t="s">
        <v>3</v>
      </c>
      <c r="J6003" s="4" t="s">
        <v>9</v>
      </c>
      <c r="K6003" s="4" t="s">
        <v>9</v>
      </c>
      <c r="L6003" s="4" t="s">
        <v>9</v>
      </c>
      <c r="M6003" s="4" t="s">
        <v>9</v>
      </c>
      <c r="N6003" s="5"/>
    </row>
    <row r="6004" spans="1:14" x14ac:dyDescent="0.25">
      <c r="A6004" t="s">
        <v>687</v>
      </c>
      <c r="B6004" s="2">
        <v>46175</v>
      </c>
      <c r="C6004" t="s">
        <v>687</v>
      </c>
      <c r="D6004" t="s">
        <v>33</v>
      </c>
      <c r="E6004" t="s">
        <v>9</v>
      </c>
      <c r="F6004" s="3">
        <v>34650</v>
      </c>
      <c r="G6004" s="3">
        <v>34650</v>
      </c>
      <c r="H6004" t="s">
        <v>3</v>
      </c>
      <c r="I6004" t="s">
        <v>3</v>
      </c>
      <c r="J6004" t="s">
        <v>9</v>
      </c>
      <c r="K6004" t="s">
        <v>9</v>
      </c>
      <c r="L6004" t="s">
        <v>18</v>
      </c>
      <c r="M6004" t="s">
        <v>35</v>
      </c>
      <c r="N6004" s="2">
        <v>46173</v>
      </c>
    </row>
    <row r="6005" spans="1:14" x14ac:dyDescent="0.25">
      <c r="A6005" t="s">
        <v>687</v>
      </c>
      <c r="B6005" s="2">
        <v>46162</v>
      </c>
      <c r="C6005" t="s">
        <v>687</v>
      </c>
      <c r="D6005" t="s">
        <v>33</v>
      </c>
      <c r="E6005" t="s">
        <v>9</v>
      </c>
      <c r="F6005" s="3">
        <v>-34650</v>
      </c>
      <c r="G6005" s="3">
        <v>-34650</v>
      </c>
      <c r="H6005" t="s">
        <v>3</v>
      </c>
      <c r="I6005" t="s">
        <v>3</v>
      </c>
      <c r="J6005" t="s">
        <v>9</v>
      </c>
      <c r="K6005" t="s">
        <v>13</v>
      </c>
      <c r="L6005" t="s">
        <v>18</v>
      </c>
      <c r="M6005" t="s">
        <v>35</v>
      </c>
      <c r="N6005" s="2">
        <v>46162</v>
      </c>
    </row>
    <row r="6006" spans="1:14" x14ac:dyDescent="0.25">
      <c r="A6006" s="4" t="s">
        <v>223</v>
      </c>
      <c r="B6006" s="5"/>
      <c r="C6006" s="4" t="s">
        <v>9</v>
      </c>
      <c r="D6006" s="4" t="s">
        <v>9</v>
      </c>
      <c r="E6006" s="4" t="s">
        <v>9</v>
      </c>
      <c r="F6006" s="6">
        <v>0</v>
      </c>
      <c r="G6006" s="6">
        <v>0</v>
      </c>
      <c r="H6006" s="4" t="s">
        <v>9</v>
      </c>
      <c r="I6006" s="4" t="s">
        <v>3</v>
      </c>
      <c r="J6006" s="4" t="s">
        <v>9</v>
      </c>
      <c r="K6006" s="4" t="s">
        <v>9</v>
      </c>
      <c r="L6006" s="4" t="s">
        <v>9</v>
      </c>
      <c r="M6006" s="4" t="s">
        <v>9</v>
      </c>
      <c r="N6006" s="5"/>
    </row>
    <row r="6007" spans="1:14" x14ac:dyDescent="0.25">
      <c r="A6007" t="s">
        <v>687</v>
      </c>
      <c r="B6007" s="2">
        <v>46205</v>
      </c>
      <c r="C6007" t="s">
        <v>687</v>
      </c>
      <c r="D6007" t="s">
        <v>33</v>
      </c>
      <c r="E6007" t="s">
        <v>9</v>
      </c>
      <c r="F6007" s="3">
        <v>-4650</v>
      </c>
      <c r="G6007" s="3">
        <v>-4650</v>
      </c>
      <c r="H6007" t="s">
        <v>3</v>
      </c>
      <c r="I6007" t="s">
        <v>3</v>
      </c>
      <c r="J6007" t="s">
        <v>9</v>
      </c>
      <c r="K6007" t="s">
        <v>9</v>
      </c>
      <c r="L6007" t="s">
        <v>19</v>
      </c>
      <c r="M6007" t="s">
        <v>35</v>
      </c>
      <c r="N6007" s="2">
        <v>46203</v>
      </c>
    </row>
    <row r="6008" spans="1:14" x14ac:dyDescent="0.25">
      <c r="A6008" t="s">
        <v>687</v>
      </c>
      <c r="B6008" s="2">
        <v>46210</v>
      </c>
      <c r="C6008" t="s">
        <v>687</v>
      </c>
      <c r="D6008" t="s">
        <v>33</v>
      </c>
      <c r="E6008" t="s">
        <v>9</v>
      </c>
      <c r="F6008" s="3">
        <v>-1650</v>
      </c>
      <c r="G6008" s="3">
        <v>-1650</v>
      </c>
      <c r="H6008" t="s">
        <v>3</v>
      </c>
      <c r="I6008" t="s">
        <v>3</v>
      </c>
      <c r="J6008" t="s">
        <v>9</v>
      </c>
      <c r="K6008" t="s">
        <v>9</v>
      </c>
      <c r="L6008" t="s">
        <v>19</v>
      </c>
      <c r="M6008" t="s">
        <v>35</v>
      </c>
      <c r="N6008" s="2">
        <v>46203</v>
      </c>
    </row>
    <row r="6009" spans="1:14" x14ac:dyDescent="0.25">
      <c r="A6009" t="s">
        <v>687</v>
      </c>
      <c r="B6009" s="2">
        <v>46188</v>
      </c>
      <c r="C6009" t="s">
        <v>687</v>
      </c>
      <c r="D6009" t="s">
        <v>33</v>
      </c>
      <c r="E6009" t="s">
        <v>9</v>
      </c>
      <c r="F6009" s="3">
        <v>4650</v>
      </c>
      <c r="G6009" s="3">
        <v>4650</v>
      </c>
      <c r="H6009" t="s">
        <v>3</v>
      </c>
      <c r="I6009" t="s">
        <v>3</v>
      </c>
      <c r="J6009" t="s">
        <v>9</v>
      </c>
      <c r="K6009" t="s">
        <v>13</v>
      </c>
      <c r="L6009" t="s">
        <v>19</v>
      </c>
      <c r="M6009" t="s">
        <v>35</v>
      </c>
      <c r="N6009" s="2">
        <v>46188</v>
      </c>
    </row>
    <row r="6010" spans="1:14" x14ac:dyDescent="0.25">
      <c r="A6010" t="s">
        <v>687</v>
      </c>
      <c r="B6010" s="2">
        <v>46188</v>
      </c>
      <c r="C6010" t="s">
        <v>687</v>
      </c>
      <c r="D6010" t="s">
        <v>33</v>
      </c>
      <c r="E6010" t="s">
        <v>9</v>
      </c>
      <c r="F6010" s="3">
        <v>1650</v>
      </c>
      <c r="G6010" s="3">
        <v>1650</v>
      </c>
      <c r="H6010" t="s">
        <v>3</v>
      </c>
      <c r="I6010" t="s">
        <v>3</v>
      </c>
      <c r="J6010" t="s">
        <v>9</v>
      </c>
      <c r="K6010" t="s">
        <v>13</v>
      </c>
      <c r="L6010" t="s">
        <v>19</v>
      </c>
      <c r="M6010" t="s">
        <v>35</v>
      </c>
      <c r="N6010" s="2">
        <v>46188</v>
      </c>
    </row>
    <row r="6011" spans="1:14" x14ac:dyDescent="0.25">
      <c r="A6011" s="4" t="s">
        <v>224</v>
      </c>
      <c r="B6011" s="5"/>
      <c r="C6011" s="4" t="s">
        <v>9</v>
      </c>
      <c r="D6011" s="4" t="s">
        <v>9</v>
      </c>
      <c r="E6011" s="4" t="s">
        <v>9</v>
      </c>
      <c r="F6011" s="6">
        <v>0</v>
      </c>
      <c r="G6011" s="6">
        <v>0</v>
      </c>
      <c r="H6011" s="4" t="s">
        <v>9</v>
      </c>
      <c r="I6011" s="4" t="s">
        <v>3</v>
      </c>
      <c r="J6011" s="4" t="s">
        <v>9</v>
      </c>
      <c r="K6011" s="4" t="s">
        <v>9</v>
      </c>
      <c r="L6011" s="4" t="s">
        <v>9</v>
      </c>
      <c r="M6011" s="4" t="s">
        <v>9</v>
      </c>
      <c r="N6011" s="5"/>
    </row>
    <row r="6012" spans="1:14" x14ac:dyDescent="0.25">
      <c r="A6012" t="s">
        <v>687</v>
      </c>
      <c r="B6012" s="2">
        <v>46239</v>
      </c>
      <c r="C6012" t="s">
        <v>687</v>
      </c>
      <c r="D6012" t="s">
        <v>33</v>
      </c>
      <c r="E6012" t="s">
        <v>9</v>
      </c>
      <c r="F6012" s="3">
        <v>4650</v>
      </c>
      <c r="G6012" s="3">
        <v>4650</v>
      </c>
      <c r="H6012" t="s">
        <v>3</v>
      </c>
      <c r="I6012" t="s">
        <v>3</v>
      </c>
      <c r="J6012" t="s">
        <v>9</v>
      </c>
      <c r="K6012" t="s">
        <v>9</v>
      </c>
      <c r="L6012" t="s">
        <v>21</v>
      </c>
      <c r="M6012" t="s">
        <v>35</v>
      </c>
      <c r="N6012" s="2">
        <v>46234</v>
      </c>
    </row>
    <row r="6013" spans="1:14" x14ac:dyDescent="0.25">
      <c r="A6013" t="s">
        <v>687</v>
      </c>
      <c r="B6013" s="2">
        <v>46188</v>
      </c>
      <c r="C6013" t="s">
        <v>687</v>
      </c>
      <c r="D6013" t="s">
        <v>33</v>
      </c>
      <c r="E6013" t="s">
        <v>9</v>
      </c>
      <c r="F6013" s="3">
        <v>-4650</v>
      </c>
      <c r="G6013" s="3">
        <v>-4650</v>
      </c>
      <c r="H6013" t="s">
        <v>3</v>
      </c>
      <c r="I6013" t="s">
        <v>3</v>
      </c>
      <c r="J6013" t="s">
        <v>9</v>
      </c>
      <c r="K6013" t="s">
        <v>13</v>
      </c>
      <c r="L6013" t="s">
        <v>21</v>
      </c>
      <c r="M6013" t="s">
        <v>35</v>
      </c>
      <c r="N6013" s="2">
        <v>46206</v>
      </c>
    </row>
    <row r="6014" spans="1:14" x14ac:dyDescent="0.25">
      <c r="A6014" s="4" t="s">
        <v>262</v>
      </c>
      <c r="B6014" s="5"/>
      <c r="C6014" s="4" t="s">
        <v>9</v>
      </c>
      <c r="D6014" s="4" t="s">
        <v>9</v>
      </c>
      <c r="E6014" s="4" t="s">
        <v>9</v>
      </c>
      <c r="F6014" s="6">
        <v>0</v>
      </c>
      <c r="G6014" s="6">
        <v>0</v>
      </c>
      <c r="H6014" s="4" t="s">
        <v>9</v>
      </c>
      <c r="I6014" s="4" t="s">
        <v>3</v>
      </c>
      <c r="J6014" s="4" t="s">
        <v>9</v>
      </c>
      <c r="K6014" s="4" t="s">
        <v>9</v>
      </c>
      <c r="L6014" s="4" t="s">
        <v>9</v>
      </c>
      <c r="M6014" s="4" t="s">
        <v>9</v>
      </c>
      <c r="N6014" s="5"/>
    </row>
    <row r="6015" spans="1:14" x14ac:dyDescent="0.25">
      <c r="A6015" s="4" t="s">
        <v>687</v>
      </c>
      <c r="B6015" s="5"/>
      <c r="C6015" s="4" t="s">
        <v>9</v>
      </c>
      <c r="D6015" s="4" t="s">
        <v>9</v>
      </c>
      <c r="E6015" s="4" t="s">
        <v>9</v>
      </c>
      <c r="F6015" s="6">
        <v>0</v>
      </c>
      <c r="G6015" s="6">
        <v>0</v>
      </c>
      <c r="H6015" s="4" t="s">
        <v>9</v>
      </c>
      <c r="I6015" s="4" t="s">
        <v>3</v>
      </c>
      <c r="J6015" s="4" t="s">
        <v>9</v>
      </c>
      <c r="K6015" s="4" t="s">
        <v>9</v>
      </c>
      <c r="L6015" s="4" t="s">
        <v>9</v>
      </c>
      <c r="M6015" s="4" t="s">
        <v>9</v>
      </c>
      <c r="N6015" s="5"/>
    </row>
    <row r="6016" spans="1:14" x14ac:dyDescent="0.25">
      <c r="A6016" t="s">
        <v>688</v>
      </c>
      <c r="B6016" s="2">
        <v>46147</v>
      </c>
      <c r="C6016" t="s">
        <v>688</v>
      </c>
      <c r="D6016" t="s">
        <v>112</v>
      </c>
      <c r="E6016" t="s">
        <v>9</v>
      </c>
      <c r="F6016" s="3">
        <v>-1000</v>
      </c>
      <c r="G6016" s="3">
        <v>-1000</v>
      </c>
      <c r="H6016" t="s">
        <v>3</v>
      </c>
      <c r="I6016" t="s">
        <v>3</v>
      </c>
      <c r="J6016" t="s">
        <v>9</v>
      </c>
      <c r="K6016" t="s">
        <v>9</v>
      </c>
      <c r="L6016" t="s">
        <v>17</v>
      </c>
      <c r="M6016" t="s">
        <v>114</v>
      </c>
      <c r="N6016" s="2">
        <v>46142</v>
      </c>
    </row>
    <row r="6017" spans="1:14" x14ac:dyDescent="0.25">
      <c r="A6017" t="s">
        <v>688</v>
      </c>
      <c r="B6017" s="2">
        <v>46142</v>
      </c>
      <c r="C6017" t="s">
        <v>688</v>
      </c>
      <c r="D6017" t="s">
        <v>112</v>
      </c>
      <c r="E6017" t="s">
        <v>9</v>
      </c>
      <c r="F6017" s="3">
        <v>1000</v>
      </c>
      <c r="G6017" s="3">
        <v>1000</v>
      </c>
      <c r="H6017" t="s">
        <v>3</v>
      </c>
      <c r="I6017" t="s">
        <v>3</v>
      </c>
      <c r="J6017" t="s">
        <v>310</v>
      </c>
      <c r="K6017" t="s">
        <v>13</v>
      </c>
      <c r="L6017" t="s">
        <v>17</v>
      </c>
      <c r="M6017" t="s">
        <v>114</v>
      </c>
      <c r="N6017" s="2">
        <v>46142</v>
      </c>
    </row>
    <row r="6018" spans="1:14" x14ac:dyDescent="0.25">
      <c r="A6018" s="4" t="s">
        <v>249</v>
      </c>
      <c r="B6018" s="5"/>
      <c r="C6018" s="4" t="s">
        <v>9</v>
      </c>
      <c r="D6018" s="4" t="s">
        <v>9</v>
      </c>
      <c r="E6018" s="4" t="s">
        <v>9</v>
      </c>
      <c r="F6018" s="6">
        <v>0</v>
      </c>
      <c r="G6018" s="6">
        <v>0</v>
      </c>
      <c r="H6018" s="4" t="s">
        <v>9</v>
      </c>
      <c r="I6018" s="4" t="s">
        <v>3</v>
      </c>
      <c r="J6018" s="4" t="s">
        <v>9</v>
      </c>
      <c r="K6018" s="4" t="s">
        <v>9</v>
      </c>
      <c r="L6018" s="4" t="s">
        <v>9</v>
      </c>
      <c r="M6018" s="4" t="s">
        <v>9</v>
      </c>
      <c r="N6018" s="5"/>
    </row>
    <row r="6019" spans="1:14" x14ac:dyDescent="0.25">
      <c r="A6019" t="s">
        <v>688</v>
      </c>
      <c r="B6019" s="2">
        <v>46142</v>
      </c>
      <c r="C6019" t="s">
        <v>688</v>
      </c>
      <c r="D6019" t="s">
        <v>112</v>
      </c>
      <c r="E6019" t="s">
        <v>9</v>
      </c>
      <c r="F6019" s="3">
        <v>-1000</v>
      </c>
      <c r="G6019" s="3">
        <v>-1000</v>
      </c>
      <c r="H6019" t="s">
        <v>3</v>
      </c>
      <c r="I6019" t="s">
        <v>3</v>
      </c>
      <c r="J6019" t="s">
        <v>310</v>
      </c>
      <c r="K6019" t="s">
        <v>13</v>
      </c>
      <c r="L6019" t="s">
        <v>18</v>
      </c>
      <c r="M6019" t="s">
        <v>114</v>
      </c>
      <c r="N6019" s="2">
        <v>46143</v>
      </c>
    </row>
    <row r="6020" spans="1:14" x14ac:dyDescent="0.25">
      <c r="A6020" t="s">
        <v>688</v>
      </c>
      <c r="B6020" s="2">
        <v>46173</v>
      </c>
      <c r="C6020" t="s">
        <v>688</v>
      </c>
      <c r="D6020" t="s">
        <v>112</v>
      </c>
      <c r="E6020" t="s">
        <v>9</v>
      </c>
      <c r="F6020" s="3">
        <v>1000</v>
      </c>
      <c r="G6020" s="3">
        <v>1000</v>
      </c>
      <c r="H6020" t="s">
        <v>3</v>
      </c>
      <c r="I6020" t="s">
        <v>3</v>
      </c>
      <c r="J6020" t="s">
        <v>313</v>
      </c>
      <c r="K6020" t="s">
        <v>13</v>
      </c>
      <c r="L6020" t="s">
        <v>18</v>
      </c>
      <c r="M6020" t="s">
        <v>114</v>
      </c>
      <c r="N6020" s="2">
        <v>46173</v>
      </c>
    </row>
    <row r="6021" spans="1:14" x14ac:dyDescent="0.25">
      <c r="A6021" s="4" t="s">
        <v>223</v>
      </c>
      <c r="B6021" s="5"/>
      <c r="C6021" s="4" t="s">
        <v>9</v>
      </c>
      <c r="D6021" s="4" t="s">
        <v>9</v>
      </c>
      <c r="E6021" s="4" t="s">
        <v>9</v>
      </c>
      <c r="F6021" s="6">
        <v>0</v>
      </c>
      <c r="G6021" s="6">
        <v>0</v>
      </c>
      <c r="H6021" s="4" t="s">
        <v>9</v>
      </c>
      <c r="I6021" s="4" t="s">
        <v>3</v>
      </c>
      <c r="J6021" s="4" t="s">
        <v>9</v>
      </c>
      <c r="K6021" s="4" t="s">
        <v>9</v>
      </c>
      <c r="L6021" s="4" t="s">
        <v>9</v>
      </c>
      <c r="M6021" s="4" t="s">
        <v>9</v>
      </c>
      <c r="N6021" s="5"/>
    </row>
    <row r="6022" spans="1:14" x14ac:dyDescent="0.25">
      <c r="A6022" t="s">
        <v>688</v>
      </c>
      <c r="B6022" s="2">
        <v>46173</v>
      </c>
      <c r="C6022" t="s">
        <v>688</v>
      </c>
      <c r="D6022" t="s">
        <v>112</v>
      </c>
      <c r="E6022" t="s">
        <v>9</v>
      </c>
      <c r="F6022" s="3">
        <v>-1000</v>
      </c>
      <c r="G6022" s="3">
        <v>-1000</v>
      </c>
      <c r="H6022" t="s">
        <v>3</v>
      </c>
      <c r="I6022" t="s">
        <v>3</v>
      </c>
      <c r="J6022" t="s">
        <v>313</v>
      </c>
      <c r="K6022" t="s">
        <v>13</v>
      </c>
      <c r="L6022" t="s">
        <v>19</v>
      </c>
      <c r="M6022" t="s">
        <v>114</v>
      </c>
      <c r="N6022" s="2">
        <v>46174</v>
      </c>
    </row>
    <row r="6023" spans="1:14" x14ac:dyDescent="0.25">
      <c r="A6023" t="s">
        <v>688</v>
      </c>
      <c r="B6023" s="2">
        <v>46203</v>
      </c>
      <c r="C6023" t="s">
        <v>688</v>
      </c>
      <c r="D6023" t="s">
        <v>112</v>
      </c>
      <c r="E6023" t="s">
        <v>9</v>
      </c>
      <c r="F6023" s="3">
        <v>1000</v>
      </c>
      <c r="G6023" s="3">
        <v>1000</v>
      </c>
      <c r="H6023" t="s">
        <v>3</v>
      </c>
      <c r="I6023" t="s">
        <v>3</v>
      </c>
      <c r="J6023" t="s">
        <v>316</v>
      </c>
      <c r="K6023" t="s">
        <v>13</v>
      </c>
      <c r="L6023" t="s">
        <v>19</v>
      </c>
      <c r="M6023" t="s">
        <v>114</v>
      </c>
      <c r="N6023" s="2">
        <v>46203</v>
      </c>
    </row>
    <row r="6024" spans="1:14" x14ac:dyDescent="0.25">
      <c r="A6024" s="4" t="s">
        <v>224</v>
      </c>
      <c r="B6024" s="5"/>
      <c r="C6024" s="4" t="s">
        <v>9</v>
      </c>
      <c r="D6024" s="4" t="s">
        <v>9</v>
      </c>
      <c r="E6024" s="4" t="s">
        <v>9</v>
      </c>
      <c r="F6024" s="6">
        <v>0</v>
      </c>
      <c r="G6024" s="6">
        <v>0</v>
      </c>
      <c r="H6024" s="4" t="s">
        <v>9</v>
      </c>
      <c r="I6024" s="4" t="s">
        <v>3</v>
      </c>
      <c r="J6024" s="4" t="s">
        <v>9</v>
      </c>
      <c r="K6024" s="4" t="s">
        <v>9</v>
      </c>
      <c r="L6024" s="4" t="s">
        <v>9</v>
      </c>
      <c r="M6024" s="4" t="s">
        <v>9</v>
      </c>
      <c r="N6024" s="5"/>
    </row>
    <row r="6025" spans="1:14" x14ac:dyDescent="0.25">
      <c r="A6025" t="s">
        <v>688</v>
      </c>
      <c r="B6025" s="2">
        <v>46203</v>
      </c>
      <c r="C6025" t="s">
        <v>688</v>
      </c>
      <c r="D6025" t="s">
        <v>112</v>
      </c>
      <c r="E6025" t="s">
        <v>9</v>
      </c>
      <c r="F6025" s="3">
        <v>-1000</v>
      </c>
      <c r="G6025" s="3">
        <v>-1000</v>
      </c>
      <c r="H6025" t="s">
        <v>3</v>
      </c>
      <c r="I6025" t="s">
        <v>3</v>
      </c>
      <c r="J6025" t="s">
        <v>316</v>
      </c>
      <c r="K6025" t="s">
        <v>13</v>
      </c>
      <c r="L6025" t="s">
        <v>21</v>
      </c>
      <c r="M6025" t="s">
        <v>114</v>
      </c>
      <c r="N6025" s="2">
        <v>46204</v>
      </c>
    </row>
    <row r="6026" spans="1:14" x14ac:dyDescent="0.25">
      <c r="A6026" t="s">
        <v>688</v>
      </c>
      <c r="B6026" s="2">
        <v>46234</v>
      </c>
      <c r="C6026" t="s">
        <v>688</v>
      </c>
      <c r="D6026" t="s">
        <v>112</v>
      </c>
      <c r="E6026" t="s">
        <v>9</v>
      </c>
      <c r="F6026" s="3">
        <v>1000</v>
      </c>
      <c r="G6026" s="3">
        <v>1000</v>
      </c>
      <c r="H6026" t="s">
        <v>3</v>
      </c>
      <c r="I6026" t="s">
        <v>3</v>
      </c>
      <c r="J6026" t="s">
        <v>319</v>
      </c>
      <c r="K6026" t="s">
        <v>13</v>
      </c>
      <c r="L6026" t="s">
        <v>21</v>
      </c>
      <c r="M6026" t="s">
        <v>114</v>
      </c>
      <c r="N6026" s="2">
        <v>46234</v>
      </c>
    </row>
    <row r="6027" spans="1:14" x14ac:dyDescent="0.25">
      <c r="A6027" s="4" t="s">
        <v>262</v>
      </c>
      <c r="B6027" s="5"/>
      <c r="C6027" s="4" t="s">
        <v>9</v>
      </c>
      <c r="D6027" s="4" t="s">
        <v>9</v>
      </c>
      <c r="E6027" s="4" t="s">
        <v>9</v>
      </c>
      <c r="F6027" s="6">
        <v>0</v>
      </c>
      <c r="G6027" s="6">
        <v>0</v>
      </c>
      <c r="H6027" s="4" t="s">
        <v>9</v>
      </c>
      <c r="I6027" s="4" t="s">
        <v>3</v>
      </c>
      <c r="J6027" s="4" t="s">
        <v>9</v>
      </c>
      <c r="K6027" s="4" t="s">
        <v>9</v>
      </c>
      <c r="L6027" s="4" t="s">
        <v>9</v>
      </c>
      <c r="M6027" s="4" t="s">
        <v>9</v>
      </c>
      <c r="N6027" s="5"/>
    </row>
    <row r="6028" spans="1:14" x14ac:dyDescent="0.25">
      <c r="A6028" t="s">
        <v>688</v>
      </c>
      <c r="B6028" s="2">
        <v>46234</v>
      </c>
      <c r="C6028" t="s">
        <v>688</v>
      </c>
      <c r="D6028" t="s">
        <v>112</v>
      </c>
      <c r="E6028" t="s">
        <v>9</v>
      </c>
      <c r="F6028" s="3">
        <v>-1000</v>
      </c>
      <c r="G6028" s="3">
        <v>-1000</v>
      </c>
      <c r="H6028" t="s">
        <v>3</v>
      </c>
      <c r="I6028" t="s">
        <v>3</v>
      </c>
      <c r="J6028" t="s">
        <v>319</v>
      </c>
      <c r="K6028" t="s">
        <v>13</v>
      </c>
      <c r="L6028" t="s">
        <v>22</v>
      </c>
      <c r="M6028" t="s">
        <v>114</v>
      </c>
      <c r="N6028" s="2">
        <v>46235</v>
      </c>
    </row>
    <row r="6029" spans="1:14" x14ac:dyDescent="0.25">
      <c r="A6029" t="s">
        <v>688</v>
      </c>
      <c r="B6029" s="2">
        <v>46265</v>
      </c>
      <c r="C6029" t="s">
        <v>688</v>
      </c>
      <c r="D6029" t="s">
        <v>112</v>
      </c>
      <c r="E6029" t="s">
        <v>9</v>
      </c>
      <c r="F6029" s="3">
        <v>1000</v>
      </c>
      <c r="G6029" s="3">
        <v>1000</v>
      </c>
      <c r="H6029" t="s">
        <v>3</v>
      </c>
      <c r="I6029" t="s">
        <v>3</v>
      </c>
      <c r="J6029" t="s">
        <v>689</v>
      </c>
      <c r="K6029" t="s">
        <v>13</v>
      </c>
      <c r="L6029" t="s">
        <v>22</v>
      </c>
      <c r="M6029" t="s">
        <v>114</v>
      </c>
      <c r="N6029" s="2">
        <v>46265</v>
      </c>
    </row>
    <row r="6030" spans="1:14" x14ac:dyDescent="0.25">
      <c r="A6030" s="4" t="s">
        <v>267</v>
      </c>
      <c r="B6030" s="5"/>
      <c r="C6030" s="4" t="s">
        <v>9</v>
      </c>
      <c r="D6030" s="4" t="s">
        <v>9</v>
      </c>
      <c r="E6030" s="4" t="s">
        <v>9</v>
      </c>
      <c r="F6030" s="6">
        <v>0</v>
      </c>
      <c r="G6030" s="6">
        <v>0</v>
      </c>
      <c r="H6030" s="4" t="s">
        <v>9</v>
      </c>
      <c r="I6030" s="4" t="s">
        <v>3</v>
      </c>
      <c r="J6030" s="4" t="s">
        <v>9</v>
      </c>
      <c r="K6030" s="4" t="s">
        <v>9</v>
      </c>
      <c r="L6030" s="4" t="s">
        <v>9</v>
      </c>
      <c r="M6030" s="4" t="s">
        <v>9</v>
      </c>
      <c r="N6030" s="5"/>
    </row>
    <row r="6031" spans="1:14" x14ac:dyDescent="0.25">
      <c r="A6031" s="4" t="s">
        <v>688</v>
      </c>
      <c r="B6031" s="5"/>
      <c r="C6031" s="4" t="s">
        <v>9</v>
      </c>
      <c r="D6031" s="4" t="s">
        <v>9</v>
      </c>
      <c r="E6031" s="4" t="s">
        <v>9</v>
      </c>
      <c r="F6031" s="6">
        <v>0</v>
      </c>
      <c r="G6031" s="6">
        <v>0</v>
      </c>
      <c r="H6031" s="4" t="s">
        <v>9</v>
      </c>
      <c r="I6031" s="4" t="s">
        <v>3</v>
      </c>
      <c r="J6031" s="4" t="s">
        <v>9</v>
      </c>
      <c r="K6031" s="4" t="s">
        <v>9</v>
      </c>
      <c r="L6031" s="4" t="s">
        <v>9</v>
      </c>
      <c r="M6031" s="4" t="s">
        <v>9</v>
      </c>
      <c r="N6031" s="5"/>
    </row>
    <row r="6032" spans="1:14" x14ac:dyDescent="0.25">
      <c r="A6032" t="s">
        <v>690</v>
      </c>
      <c r="B6032" s="2">
        <v>46175</v>
      </c>
      <c r="C6032" t="s">
        <v>690</v>
      </c>
      <c r="D6032" t="s">
        <v>33</v>
      </c>
      <c r="E6032" t="s">
        <v>9</v>
      </c>
      <c r="F6032" s="3">
        <v>34650</v>
      </c>
      <c r="G6032" s="3">
        <v>34650</v>
      </c>
      <c r="H6032" t="s">
        <v>3</v>
      </c>
      <c r="I6032" t="s">
        <v>3</v>
      </c>
      <c r="J6032" t="s">
        <v>9</v>
      </c>
      <c r="K6032" t="s">
        <v>9</v>
      </c>
      <c r="L6032" t="s">
        <v>18</v>
      </c>
      <c r="M6032" t="s">
        <v>35</v>
      </c>
      <c r="N6032" s="2">
        <v>46173</v>
      </c>
    </row>
    <row r="6033" spans="1:14" x14ac:dyDescent="0.25">
      <c r="A6033" t="s">
        <v>690</v>
      </c>
      <c r="B6033" s="2">
        <v>46162</v>
      </c>
      <c r="C6033" t="s">
        <v>690</v>
      </c>
      <c r="D6033" t="s">
        <v>33</v>
      </c>
      <c r="E6033" t="s">
        <v>9</v>
      </c>
      <c r="F6033" s="3">
        <v>-34650</v>
      </c>
      <c r="G6033" s="3">
        <v>-34650</v>
      </c>
      <c r="H6033" t="s">
        <v>3</v>
      </c>
      <c r="I6033" t="s">
        <v>3</v>
      </c>
      <c r="J6033" t="s">
        <v>9</v>
      </c>
      <c r="K6033" t="s">
        <v>13</v>
      </c>
      <c r="L6033" t="s">
        <v>18</v>
      </c>
      <c r="M6033" t="s">
        <v>35</v>
      </c>
      <c r="N6033" s="2">
        <v>46162</v>
      </c>
    </row>
    <row r="6034" spans="1:14" x14ac:dyDescent="0.25">
      <c r="A6034" s="4" t="s">
        <v>223</v>
      </c>
      <c r="B6034" s="5"/>
      <c r="C6034" s="4" t="s">
        <v>9</v>
      </c>
      <c r="D6034" s="4" t="s">
        <v>9</v>
      </c>
      <c r="E6034" s="4" t="s">
        <v>9</v>
      </c>
      <c r="F6034" s="6">
        <v>0</v>
      </c>
      <c r="G6034" s="6">
        <v>0</v>
      </c>
      <c r="H6034" s="4" t="s">
        <v>9</v>
      </c>
      <c r="I6034" s="4" t="s">
        <v>3</v>
      </c>
      <c r="J6034" s="4" t="s">
        <v>9</v>
      </c>
      <c r="K6034" s="4" t="s">
        <v>9</v>
      </c>
      <c r="L6034" s="4" t="s">
        <v>9</v>
      </c>
      <c r="M6034" s="4" t="s">
        <v>9</v>
      </c>
      <c r="N6034" s="5"/>
    </row>
    <row r="6035" spans="1:14" x14ac:dyDescent="0.25">
      <c r="A6035" t="s">
        <v>690</v>
      </c>
      <c r="B6035" s="2">
        <v>46205</v>
      </c>
      <c r="C6035" t="s">
        <v>690</v>
      </c>
      <c r="D6035" t="s">
        <v>33</v>
      </c>
      <c r="E6035" t="s">
        <v>9</v>
      </c>
      <c r="F6035" s="3">
        <v>-4650</v>
      </c>
      <c r="G6035" s="3">
        <v>-4650</v>
      </c>
      <c r="H6035" t="s">
        <v>3</v>
      </c>
      <c r="I6035" t="s">
        <v>3</v>
      </c>
      <c r="J6035" t="s">
        <v>9</v>
      </c>
      <c r="K6035" t="s">
        <v>9</v>
      </c>
      <c r="L6035" t="s">
        <v>19</v>
      </c>
      <c r="M6035" t="s">
        <v>35</v>
      </c>
      <c r="N6035" s="2">
        <v>46203</v>
      </c>
    </row>
    <row r="6036" spans="1:14" x14ac:dyDescent="0.25">
      <c r="A6036" t="s">
        <v>690</v>
      </c>
      <c r="B6036" s="2">
        <v>46188</v>
      </c>
      <c r="C6036" t="s">
        <v>690</v>
      </c>
      <c r="D6036" t="s">
        <v>33</v>
      </c>
      <c r="E6036" t="s">
        <v>9</v>
      </c>
      <c r="F6036" s="3">
        <v>4650</v>
      </c>
      <c r="G6036" s="3">
        <v>4650</v>
      </c>
      <c r="H6036" t="s">
        <v>3</v>
      </c>
      <c r="I6036" t="s">
        <v>3</v>
      </c>
      <c r="J6036" t="s">
        <v>9</v>
      </c>
      <c r="K6036" t="s">
        <v>13</v>
      </c>
      <c r="L6036" t="s">
        <v>19</v>
      </c>
      <c r="M6036" t="s">
        <v>35</v>
      </c>
      <c r="N6036" s="2">
        <v>46188</v>
      </c>
    </row>
    <row r="6037" spans="1:14" x14ac:dyDescent="0.25">
      <c r="A6037" s="4" t="s">
        <v>224</v>
      </c>
      <c r="B6037" s="5"/>
      <c r="C6037" s="4" t="s">
        <v>9</v>
      </c>
      <c r="D6037" s="4" t="s">
        <v>9</v>
      </c>
      <c r="E6037" s="4" t="s">
        <v>9</v>
      </c>
      <c r="F6037" s="6">
        <v>0</v>
      </c>
      <c r="G6037" s="6">
        <v>0</v>
      </c>
      <c r="H6037" s="4" t="s">
        <v>9</v>
      </c>
      <c r="I6037" s="4" t="s">
        <v>3</v>
      </c>
      <c r="J6037" s="4" t="s">
        <v>9</v>
      </c>
      <c r="K6037" s="4" t="s">
        <v>9</v>
      </c>
      <c r="L6037" s="4" t="s">
        <v>9</v>
      </c>
      <c r="M6037" s="4" t="s">
        <v>9</v>
      </c>
      <c r="N6037" s="5"/>
    </row>
    <row r="6038" spans="1:14" x14ac:dyDescent="0.25">
      <c r="A6038" t="s">
        <v>690</v>
      </c>
      <c r="B6038" s="2">
        <v>46239</v>
      </c>
      <c r="C6038" t="s">
        <v>690</v>
      </c>
      <c r="D6038" t="s">
        <v>33</v>
      </c>
      <c r="E6038" t="s">
        <v>9</v>
      </c>
      <c r="F6038" s="3">
        <v>3000</v>
      </c>
      <c r="G6038" s="3">
        <v>3000</v>
      </c>
      <c r="H6038" t="s">
        <v>3</v>
      </c>
      <c r="I6038" t="s">
        <v>3</v>
      </c>
      <c r="J6038" t="s">
        <v>9</v>
      </c>
      <c r="K6038" t="s">
        <v>9</v>
      </c>
      <c r="L6038" t="s">
        <v>21</v>
      </c>
      <c r="M6038" t="s">
        <v>35</v>
      </c>
      <c r="N6038" s="2">
        <v>46234</v>
      </c>
    </row>
    <row r="6039" spans="1:14" x14ac:dyDescent="0.25">
      <c r="A6039" t="s">
        <v>690</v>
      </c>
      <c r="B6039" s="2">
        <v>46188</v>
      </c>
      <c r="C6039" t="s">
        <v>690</v>
      </c>
      <c r="D6039" t="s">
        <v>33</v>
      </c>
      <c r="E6039" t="s">
        <v>9</v>
      </c>
      <c r="F6039" s="3">
        <v>-4650</v>
      </c>
      <c r="G6039" s="3">
        <v>-4650</v>
      </c>
      <c r="H6039" t="s">
        <v>3</v>
      </c>
      <c r="I6039" t="s">
        <v>3</v>
      </c>
      <c r="J6039" t="s">
        <v>9</v>
      </c>
      <c r="K6039" t="s">
        <v>13</v>
      </c>
      <c r="L6039" t="s">
        <v>21</v>
      </c>
      <c r="M6039" t="s">
        <v>35</v>
      </c>
      <c r="N6039" s="2">
        <v>46206</v>
      </c>
    </row>
    <row r="6040" spans="1:14" x14ac:dyDescent="0.25">
      <c r="A6040" t="s">
        <v>690</v>
      </c>
      <c r="B6040" s="2">
        <v>46206</v>
      </c>
      <c r="C6040" t="s">
        <v>690</v>
      </c>
      <c r="D6040" t="s">
        <v>33</v>
      </c>
      <c r="E6040" t="s">
        <v>9</v>
      </c>
      <c r="F6040" s="3">
        <v>1650</v>
      </c>
      <c r="G6040" s="3">
        <v>1650</v>
      </c>
      <c r="H6040" t="s">
        <v>3</v>
      </c>
      <c r="I6040" t="s">
        <v>3</v>
      </c>
      <c r="J6040" t="s">
        <v>9</v>
      </c>
      <c r="K6040" t="s">
        <v>13</v>
      </c>
      <c r="L6040" t="s">
        <v>21</v>
      </c>
      <c r="M6040" t="s">
        <v>35</v>
      </c>
      <c r="N6040" s="2">
        <v>46206</v>
      </c>
    </row>
    <row r="6041" spans="1:14" x14ac:dyDescent="0.25">
      <c r="A6041" s="4" t="s">
        <v>262</v>
      </c>
      <c r="B6041" s="5"/>
      <c r="C6041" s="4" t="s">
        <v>9</v>
      </c>
      <c r="D6041" s="4" t="s">
        <v>9</v>
      </c>
      <c r="E6041" s="4" t="s">
        <v>9</v>
      </c>
      <c r="F6041" s="6">
        <v>0</v>
      </c>
      <c r="G6041" s="6">
        <v>0</v>
      </c>
      <c r="H6041" s="4" t="s">
        <v>9</v>
      </c>
      <c r="I6041" s="4" t="s">
        <v>3</v>
      </c>
      <c r="J6041" s="4" t="s">
        <v>9</v>
      </c>
      <c r="K6041" s="4" t="s">
        <v>9</v>
      </c>
      <c r="L6041" s="4" t="s">
        <v>9</v>
      </c>
      <c r="M6041" s="4" t="s">
        <v>9</v>
      </c>
      <c r="N6041" s="5"/>
    </row>
    <row r="6042" spans="1:14" x14ac:dyDescent="0.25">
      <c r="A6042" s="4" t="s">
        <v>690</v>
      </c>
      <c r="B6042" s="5"/>
      <c r="C6042" s="4" t="s">
        <v>9</v>
      </c>
      <c r="D6042" s="4" t="s">
        <v>9</v>
      </c>
      <c r="E6042" s="4" t="s">
        <v>9</v>
      </c>
      <c r="F6042" s="6">
        <v>0</v>
      </c>
      <c r="G6042" s="6">
        <v>0</v>
      </c>
      <c r="H6042" s="4" t="s">
        <v>9</v>
      </c>
      <c r="I6042" s="4" t="s">
        <v>3</v>
      </c>
      <c r="J6042" s="4" t="s">
        <v>9</v>
      </c>
      <c r="K6042" s="4" t="s">
        <v>9</v>
      </c>
      <c r="L6042" s="4" t="s">
        <v>9</v>
      </c>
      <c r="M6042" s="4" t="s">
        <v>9</v>
      </c>
      <c r="N6042" s="5"/>
    </row>
    <row r="6043" spans="1:14" x14ac:dyDescent="0.25">
      <c r="A6043" t="s">
        <v>691</v>
      </c>
      <c r="B6043" s="2">
        <v>46147</v>
      </c>
      <c r="C6043" t="s">
        <v>691</v>
      </c>
      <c r="D6043" t="s">
        <v>112</v>
      </c>
      <c r="E6043" t="s">
        <v>9</v>
      </c>
      <c r="F6043" s="3">
        <v>-1100</v>
      </c>
      <c r="G6043" s="3">
        <v>-1100</v>
      </c>
      <c r="H6043" t="s">
        <v>3</v>
      </c>
      <c r="I6043" t="s">
        <v>3</v>
      </c>
      <c r="J6043" t="s">
        <v>9</v>
      </c>
      <c r="K6043" t="s">
        <v>9</v>
      </c>
      <c r="L6043" t="s">
        <v>17</v>
      </c>
      <c r="M6043" t="s">
        <v>114</v>
      </c>
      <c r="N6043" s="2">
        <v>46142</v>
      </c>
    </row>
    <row r="6044" spans="1:14" x14ac:dyDescent="0.25">
      <c r="A6044" t="s">
        <v>691</v>
      </c>
      <c r="B6044" s="2">
        <v>46142</v>
      </c>
      <c r="C6044" t="s">
        <v>691</v>
      </c>
      <c r="D6044" t="s">
        <v>112</v>
      </c>
      <c r="E6044" t="s">
        <v>9</v>
      </c>
      <c r="F6044" s="3">
        <v>1100</v>
      </c>
      <c r="G6044" s="3">
        <v>1100</v>
      </c>
      <c r="H6044" t="s">
        <v>3</v>
      </c>
      <c r="I6044" t="s">
        <v>3</v>
      </c>
      <c r="J6044" t="s">
        <v>310</v>
      </c>
      <c r="K6044" t="s">
        <v>13</v>
      </c>
      <c r="L6044" t="s">
        <v>17</v>
      </c>
      <c r="M6044" t="s">
        <v>114</v>
      </c>
      <c r="N6044" s="2">
        <v>46142</v>
      </c>
    </row>
    <row r="6045" spans="1:14" x14ac:dyDescent="0.25">
      <c r="A6045" s="4" t="s">
        <v>249</v>
      </c>
      <c r="B6045" s="5"/>
      <c r="C6045" s="4" t="s">
        <v>9</v>
      </c>
      <c r="D6045" s="4" t="s">
        <v>9</v>
      </c>
      <c r="E6045" s="4" t="s">
        <v>9</v>
      </c>
      <c r="F6045" s="6">
        <v>0</v>
      </c>
      <c r="G6045" s="6">
        <v>0</v>
      </c>
      <c r="H6045" s="4" t="s">
        <v>9</v>
      </c>
      <c r="I6045" s="4" t="s">
        <v>3</v>
      </c>
      <c r="J6045" s="4" t="s">
        <v>9</v>
      </c>
      <c r="K6045" s="4" t="s">
        <v>9</v>
      </c>
      <c r="L6045" s="4" t="s">
        <v>9</v>
      </c>
      <c r="M6045" s="4" t="s">
        <v>9</v>
      </c>
      <c r="N6045" s="5"/>
    </row>
    <row r="6046" spans="1:14" x14ac:dyDescent="0.25">
      <c r="A6046" t="s">
        <v>691</v>
      </c>
      <c r="B6046" s="2">
        <v>46142</v>
      </c>
      <c r="C6046" t="s">
        <v>691</v>
      </c>
      <c r="D6046" t="s">
        <v>112</v>
      </c>
      <c r="E6046" t="s">
        <v>9</v>
      </c>
      <c r="F6046" s="3">
        <v>-1100</v>
      </c>
      <c r="G6046" s="3">
        <v>-1100</v>
      </c>
      <c r="H6046" t="s">
        <v>3</v>
      </c>
      <c r="I6046" t="s">
        <v>3</v>
      </c>
      <c r="J6046" t="s">
        <v>310</v>
      </c>
      <c r="K6046" t="s">
        <v>13</v>
      </c>
      <c r="L6046" t="s">
        <v>18</v>
      </c>
      <c r="M6046" t="s">
        <v>114</v>
      </c>
      <c r="N6046" s="2">
        <v>46143</v>
      </c>
    </row>
    <row r="6047" spans="1:14" x14ac:dyDescent="0.25">
      <c r="A6047" t="s">
        <v>691</v>
      </c>
      <c r="B6047" s="2">
        <v>46173</v>
      </c>
      <c r="C6047" t="s">
        <v>691</v>
      </c>
      <c r="D6047" t="s">
        <v>112</v>
      </c>
      <c r="E6047" t="s">
        <v>9</v>
      </c>
      <c r="F6047" s="3">
        <v>1100</v>
      </c>
      <c r="G6047" s="3">
        <v>1100</v>
      </c>
      <c r="H6047" t="s">
        <v>3</v>
      </c>
      <c r="I6047" t="s">
        <v>3</v>
      </c>
      <c r="J6047" t="s">
        <v>313</v>
      </c>
      <c r="K6047" t="s">
        <v>13</v>
      </c>
      <c r="L6047" t="s">
        <v>18</v>
      </c>
      <c r="M6047" t="s">
        <v>114</v>
      </c>
      <c r="N6047" s="2">
        <v>46173</v>
      </c>
    </row>
    <row r="6048" spans="1:14" x14ac:dyDescent="0.25">
      <c r="A6048" s="4" t="s">
        <v>223</v>
      </c>
      <c r="B6048" s="5"/>
      <c r="C6048" s="4" t="s">
        <v>9</v>
      </c>
      <c r="D6048" s="4" t="s">
        <v>9</v>
      </c>
      <c r="E6048" s="4" t="s">
        <v>9</v>
      </c>
      <c r="F6048" s="6">
        <v>0</v>
      </c>
      <c r="G6048" s="6">
        <v>0</v>
      </c>
      <c r="H6048" s="4" t="s">
        <v>9</v>
      </c>
      <c r="I6048" s="4" t="s">
        <v>3</v>
      </c>
      <c r="J6048" s="4" t="s">
        <v>9</v>
      </c>
      <c r="K6048" s="4" t="s">
        <v>9</v>
      </c>
      <c r="L6048" s="4" t="s">
        <v>9</v>
      </c>
      <c r="M6048" s="4" t="s">
        <v>9</v>
      </c>
      <c r="N6048" s="5"/>
    </row>
    <row r="6049" spans="1:14" x14ac:dyDescent="0.25">
      <c r="A6049" t="s">
        <v>691</v>
      </c>
      <c r="B6049" s="2">
        <v>46173</v>
      </c>
      <c r="C6049" t="s">
        <v>691</v>
      </c>
      <c r="D6049" t="s">
        <v>112</v>
      </c>
      <c r="E6049" t="s">
        <v>9</v>
      </c>
      <c r="F6049" s="3">
        <v>-1100</v>
      </c>
      <c r="G6049" s="3">
        <v>-1100</v>
      </c>
      <c r="H6049" t="s">
        <v>3</v>
      </c>
      <c r="I6049" t="s">
        <v>3</v>
      </c>
      <c r="J6049" t="s">
        <v>313</v>
      </c>
      <c r="K6049" t="s">
        <v>13</v>
      </c>
      <c r="L6049" t="s">
        <v>19</v>
      </c>
      <c r="M6049" t="s">
        <v>114</v>
      </c>
      <c r="N6049" s="2">
        <v>46174</v>
      </c>
    </row>
    <row r="6050" spans="1:14" x14ac:dyDescent="0.25">
      <c r="A6050" t="s">
        <v>691</v>
      </c>
      <c r="B6050" s="2">
        <v>46203</v>
      </c>
      <c r="C6050" t="s">
        <v>691</v>
      </c>
      <c r="D6050" t="s">
        <v>112</v>
      </c>
      <c r="E6050" t="s">
        <v>9</v>
      </c>
      <c r="F6050" s="3">
        <v>1100</v>
      </c>
      <c r="G6050" s="3">
        <v>1100</v>
      </c>
      <c r="H6050" t="s">
        <v>3</v>
      </c>
      <c r="I6050" t="s">
        <v>3</v>
      </c>
      <c r="J6050" t="s">
        <v>316</v>
      </c>
      <c r="K6050" t="s">
        <v>13</v>
      </c>
      <c r="L6050" t="s">
        <v>19</v>
      </c>
      <c r="M6050" t="s">
        <v>114</v>
      </c>
      <c r="N6050" s="2">
        <v>46203</v>
      </c>
    </row>
    <row r="6051" spans="1:14" x14ac:dyDescent="0.25">
      <c r="A6051" s="4" t="s">
        <v>224</v>
      </c>
      <c r="B6051" s="5"/>
      <c r="C6051" s="4" t="s">
        <v>9</v>
      </c>
      <c r="D6051" s="4" t="s">
        <v>9</v>
      </c>
      <c r="E6051" s="4" t="s">
        <v>9</v>
      </c>
      <c r="F6051" s="6">
        <v>0</v>
      </c>
      <c r="G6051" s="6">
        <v>0</v>
      </c>
      <c r="H6051" s="4" t="s">
        <v>9</v>
      </c>
      <c r="I6051" s="4" t="s">
        <v>3</v>
      </c>
      <c r="J6051" s="4" t="s">
        <v>9</v>
      </c>
      <c r="K6051" s="4" t="s">
        <v>9</v>
      </c>
      <c r="L6051" s="4" t="s">
        <v>9</v>
      </c>
      <c r="M6051" s="4" t="s">
        <v>9</v>
      </c>
      <c r="N6051" s="5"/>
    </row>
    <row r="6052" spans="1:14" x14ac:dyDescent="0.25">
      <c r="A6052" t="s">
        <v>691</v>
      </c>
      <c r="B6052" s="2">
        <v>46203</v>
      </c>
      <c r="C6052" t="s">
        <v>691</v>
      </c>
      <c r="D6052" t="s">
        <v>112</v>
      </c>
      <c r="E6052" t="s">
        <v>9</v>
      </c>
      <c r="F6052" s="3">
        <v>-1100</v>
      </c>
      <c r="G6052" s="3">
        <v>-1100</v>
      </c>
      <c r="H6052" t="s">
        <v>3</v>
      </c>
      <c r="I6052" t="s">
        <v>3</v>
      </c>
      <c r="J6052" t="s">
        <v>316</v>
      </c>
      <c r="K6052" t="s">
        <v>13</v>
      </c>
      <c r="L6052" t="s">
        <v>21</v>
      </c>
      <c r="M6052" t="s">
        <v>114</v>
      </c>
      <c r="N6052" s="2">
        <v>46204</v>
      </c>
    </row>
    <row r="6053" spans="1:14" x14ac:dyDescent="0.25">
      <c r="A6053" t="s">
        <v>691</v>
      </c>
      <c r="B6053" s="2">
        <v>46234</v>
      </c>
      <c r="C6053" t="s">
        <v>691</v>
      </c>
      <c r="D6053" t="s">
        <v>112</v>
      </c>
      <c r="E6053" t="s">
        <v>9</v>
      </c>
      <c r="F6053" s="3">
        <v>1100</v>
      </c>
      <c r="G6053" s="3">
        <v>1100</v>
      </c>
      <c r="H6053" t="s">
        <v>3</v>
      </c>
      <c r="I6053" t="s">
        <v>3</v>
      </c>
      <c r="J6053" t="s">
        <v>319</v>
      </c>
      <c r="K6053" t="s">
        <v>13</v>
      </c>
      <c r="L6053" t="s">
        <v>21</v>
      </c>
      <c r="M6053" t="s">
        <v>114</v>
      </c>
      <c r="N6053" s="2">
        <v>46234</v>
      </c>
    </row>
    <row r="6054" spans="1:14" x14ac:dyDescent="0.25">
      <c r="A6054" s="4" t="s">
        <v>262</v>
      </c>
      <c r="B6054" s="5"/>
      <c r="C6054" s="4" t="s">
        <v>9</v>
      </c>
      <c r="D6054" s="4" t="s">
        <v>9</v>
      </c>
      <c r="E6054" s="4" t="s">
        <v>9</v>
      </c>
      <c r="F6054" s="6">
        <v>0</v>
      </c>
      <c r="G6054" s="6">
        <v>0</v>
      </c>
      <c r="H6054" s="4" t="s">
        <v>9</v>
      </c>
      <c r="I6054" s="4" t="s">
        <v>3</v>
      </c>
      <c r="J6054" s="4" t="s">
        <v>9</v>
      </c>
      <c r="K6054" s="4" t="s">
        <v>9</v>
      </c>
      <c r="L6054" s="4" t="s">
        <v>9</v>
      </c>
      <c r="M6054" s="4" t="s">
        <v>9</v>
      </c>
      <c r="N6054" s="5"/>
    </row>
    <row r="6055" spans="1:14" x14ac:dyDescent="0.25">
      <c r="A6055" t="s">
        <v>691</v>
      </c>
      <c r="B6055" s="2">
        <v>46234</v>
      </c>
      <c r="C6055" t="s">
        <v>691</v>
      </c>
      <c r="D6055" t="s">
        <v>112</v>
      </c>
      <c r="E6055" t="s">
        <v>9</v>
      </c>
      <c r="F6055" s="3">
        <v>-1100</v>
      </c>
      <c r="G6055" s="3">
        <v>-1100</v>
      </c>
      <c r="H6055" t="s">
        <v>3</v>
      </c>
      <c r="I6055" t="s">
        <v>3</v>
      </c>
      <c r="J6055" t="s">
        <v>319</v>
      </c>
      <c r="K6055" t="s">
        <v>13</v>
      </c>
      <c r="L6055" t="s">
        <v>22</v>
      </c>
      <c r="M6055" t="s">
        <v>114</v>
      </c>
      <c r="N6055" s="2">
        <v>46235</v>
      </c>
    </row>
    <row r="6056" spans="1:14" x14ac:dyDescent="0.25">
      <c r="A6056" t="s">
        <v>691</v>
      </c>
      <c r="B6056" s="2">
        <v>46265</v>
      </c>
      <c r="C6056" t="s">
        <v>691</v>
      </c>
      <c r="D6056" t="s">
        <v>112</v>
      </c>
      <c r="E6056" t="s">
        <v>9</v>
      </c>
      <c r="F6056" s="3">
        <v>1100</v>
      </c>
      <c r="G6056" s="3">
        <v>1100</v>
      </c>
      <c r="H6056" t="s">
        <v>3</v>
      </c>
      <c r="I6056" t="s">
        <v>3</v>
      </c>
      <c r="J6056" t="s">
        <v>689</v>
      </c>
      <c r="K6056" t="s">
        <v>13</v>
      </c>
      <c r="L6056" t="s">
        <v>22</v>
      </c>
      <c r="M6056" t="s">
        <v>114</v>
      </c>
      <c r="N6056" s="2">
        <v>46265</v>
      </c>
    </row>
    <row r="6057" spans="1:14" x14ac:dyDescent="0.25">
      <c r="A6057" s="4" t="s">
        <v>267</v>
      </c>
      <c r="B6057" s="5"/>
      <c r="C6057" s="4" t="s">
        <v>9</v>
      </c>
      <c r="D6057" s="4" t="s">
        <v>9</v>
      </c>
      <c r="E6057" s="4" t="s">
        <v>9</v>
      </c>
      <c r="F6057" s="6">
        <v>0</v>
      </c>
      <c r="G6057" s="6">
        <v>0</v>
      </c>
      <c r="H6057" s="4" t="s">
        <v>9</v>
      </c>
      <c r="I6057" s="4" t="s">
        <v>3</v>
      </c>
      <c r="J6057" s="4" t="s">
        <v>9</v>
      </c>
      <c r="K6057" s="4" t="s">
        <v>9</v>
      </c>
      <c r="L6057" s="4" t="s">
        <v>9</v>
      </c>
      <c r="M6057" s="4" t="s">
        <v>9</v>
      </c>
      <c r="N6057" s="5"/>
    </row>
    <row r="6058" spans="1:14" x14ac:dyDescent="0.25">
      <c r="A6058" s="4" t="s">
        <v>691</v>
      </c>
      <c r="B6058" s="5"/>
      <c r="C6058" s="4" t="s">
        <v>9</v>
      </c>
      <c r="D6058" s="4" t="s">
        <v>9</v>
      </c>
      <c r="E6058" s="4" t="s">
        <v>9</v>
      </c>
      <c r="F6058" s="6">
        <v>0</v>
      </c>
      <c r="G6058" s="6">
        <v>0</v>
      </c>
      <c r="H6058" s="4" t="s">
        <v>9</v>
      </c>
      <c r="I6058" s="4" t="s">
        <v>3</v>
      </c>
      <c r="J6058" s="4" t="s">
        <v>9</v>
      </c>
      <c r="K6058" s="4" t="s">
        <v>9</v>
      </c>
      <c r="L6058" s="4" t="s">
        <v>9</v>
      </c>
      <c r="M6058" s="4" t="s">
        <v>9</v>
      </c>
      <c r="N6058" s="5"/>
    </row>
    <row r="6059" spans="1:14" x14ac:dyDescent="0.25">
      <c r="A6059" t="s">
        <v>692</v>
      </c>
      <c r="B6059" s="2">
        <v>46175</v>
      </c>
      <c r="C6059" t="s">
        <v>692</v>
      </c>
      <c r="D6059" t="s">
        <v>33</v>
      </c>
      <c r="E6059" t="s">
        <v>9</v>
      </c>
      <c r="F6059" s="3">
        <v>34650</v>
      </c>
      <c r="G6059" s="3">
        <v>34650</v>
      </c>
      <c r="H6059" t="s">
        <v>3</v>
      </c>
      <c r="I6059" t="s">
        <v>3</v>
      </c>
      <c r="J6059" t="s">
        <v>9</v>
      </c>
      <c r="K6059" t="s">
        <v>9</v>
      </c>
      <c r="L6059" t="s">
        <v>18</v>
      </c>
      <c r="M6059" t="s">
        <v>35</v>
      </c>
      <c r="N6059" s="2">
        <v>46173</v>
      </c>
    </row>
    <row r="6060" spans="1:14" x14ac:dyDescent="0.25">
      <c r="A6060" t="s">
        <v>692</v>
      </c>
      <c r="B6060" s="2">
        <v>46162</v>
      </c>
      <c r="C6060" t="s">
        <v>692</v>
      </c>
      <c r="D6060" t="s">
        <v>33</v>
      </c>
      <c r="E6060" t="s">
        <v>9</v>
      </c>
      <c r="F6060" s="3">
        <v>-34650</v>
      </c>
      <c r="G6060" s="3">
        <v>-34650</v>
      </c>
      <c r="H6060" t="s">
        <v>3</v>
      </c>
      <c r="I6060" t="s">
        <v>3</v>
      </c>
      <c r="J6060" t="s">
        <v>9</v>
      </c>
      <c r="K6060" t="s">
        <v>13</v>
      </c>
      <c r="L6060" t="s">
        <v>18</v>
      </c>
      <c r="M6060" t="s">
        <v>35</v>
      </c>
      <c r="N6060" s="2">
        <v>46162</v>
      </c>
    </row>
    <row r="6061" spans="1:14" x14ac:dyDescent="0.25">
      <c r="A6061" s="4" t="s">
        <v>223</v>
      </c>
      <c r="B6061" s="5"/>
      <c r="C6061" s="4" t="s">
        <v>9</v>
      </c>
      <c r="D6061" s="4" t="s">
        <v>9</v>
      </c>
      <c r="E6061" s="4" t="s">
        <v>9</v>
      </c>
      <c r="F6061" s="6">
        <v>0</v>
      </c>
      <c r="G6061" s="6">
        <v>0</v>
      </c>
      <c r="H6061" s="4" t="s">
        <v>9</v>
      </c>
      <c r="I6061" s="4" t="s">
        <v>3</v>
      </c>
      <c r="J6061" s="4" t="s">
        <v>9</v>
      </c>
      <c r="K6061" s="4" t="s">
        <v>9</v>
      </c>
      <c r="L6061" s="4" t="s">
        <v>9</v>
      </c>
      <c r="M6061" s="4" t="s">
        <v>9</v>
      </c>
      <c r="N6061" s="5"/>
    </row>
    <row r="6062" spans="1:14" x14ac:dyDescent="0.25">
      <c r="A6062" t="s">
        <v>692</v>
      </c>
      <c r="B6062" s="2">
        <v>46205</v>
      </c>
      <c r="C6062" t="s">
        <v>692</v>
      </c>
      <c r="D6062" t="s">
        <v>33</v>
      </c>
      <c r="E6062" t="s">
        <v>9</v>
      </c>
      <c r="F6062" s="3">
        <v>-4650</v>
      </c>
      <c r="G6062" s="3">
        <v>-4650</v>
      </c>
      <c r="H6062" t="s">
        <v>3</v>
      </c>
      <c r="I6062" t="s">
        <v>3</v>
      </c>
      <c r="J6062" t="s">
        <v>9</v>
      </c>
      <c r="K6062" t="s">
        <v>9</v>
      </c>
      <c r="L6062" t="s">
        <v>19</v>
      </c>
      <c r="M6062" t="s">
        <v>35</v>
      </c>
      <c r="N6062" s="2">
        <v>46203</v>
      </c>
    </row>
    <row r="6063" spans="1:14" x14ac:dyDescent="0.25">
      <c r="A6063" t="s">
        <v>692</v>
      </c>
      <c r="B6063" s="2">
        <v>46188</v>
      </c>
      <c r="C6063" t="s">
        <v>692</v>
      </c>
      <c r="D6063" t="s">
        <v>33</v>
      </c>
      <c r="E6063" t="s">
        <v>9</v>
      </c>
      <c r="F6063" s="3">
        <v>4650</v>
      </c>
      <c r="G6063" s="3">
        <v>4650</v>
      </c>
      <c r="H6063" t="s">
        <v>3</v>
      </c>
      <c r="I6063" t="s">
        <v>3</v>
      </c>
      <c r="J6063" t="s">
        <v>9</v>
      </c>
      <c r="K6063" t="s">
        <v>13</v>
      </c>
      <c r="L6063" t="s">
        <v>19</v>
      </c>
      <c r="M6063" t="s">
        <v>35</v>
      </c>
      <c r="N6063" s="2">
        <v>46188</v>
      </c>
    </row>
    <row r="6064" spans="1:14" x14ac:dyDescent="0.25">
      <c r="A6064" s="4" t="s">
        <v>224</v>
      </c>
      <c r="B6064" s="5"/>
      <c r="C6064" s="4" t="s">
        <v>9</v>
      </c>
      <c r="D6064" s="4" t="s">
        <v>9</v>
      </c>
      <c r="E6064" s="4" t="s">
        <v>9</v>
      </c>
      <c r="F6064" s="6">
        <v>0</v>
      </c>
      <c r="G6064" s="6">
        <v>0</v>
      </c>
      <c r="H6064" s="4" t="s">
        <v>9</v>
      </c>
      <c r="I6064" s="4" t="s">
        <v>3</v>
      </c>
      <c r="J6064" s="4" t="s">
        <v>9</v>
      </c>
      <c r="K6064" s="4" t="s">
        <v>9</v>
      </c>
      <c r="L6064" s="4" t="s">
        <v>9</v>
      </c>
      <c r="M6064" s="4" t="s">
        <v>9</v>
      </c>
      <c r="N6064" s="5"/>
    </row>
    <row r="6065" spans="1:14" x14ac:dyDescent="0.25">
      <c r="A6065" t="s">
        <v>692</v>
      </c>
      <c r="B6065" s="2">
        <v>46239</v>
      </c>
      <c r="C6065" t="s">
        <v>692</v>
      </c>
      <c r="D6065" t="s">
        <v>33</v>
      </c>
      <c r="E6065" t="s">
        <v>9</v>
      </c>
      <c r="F6065" s="3">
        <v>3000</v>
      </c>
      <c r="G6065" s="3">
        <v>3000</v>
      </c>
      <c r="H6065" t="s">
        <v>3</v>
      </c>
      <c r="I6065" t="s">
        <v>3</v>
      </c>
      <c r="J6065" t="s">
        <v>9</v>
      </c>
      <c r="K6065" t="s">
        <v>9</v>
      </c>
      <c r="L6065" t="s">
        <v>21</v>
      </c>
      <c r="M6065" t="s">
        <v>35</v>
      </c>
      <c r="N6065" s="2">
        <v>46234</v>
      </c>
    </row>
    <row r="6066" spans="1:14" x14ac:dyDescent="0.25">
      <c r="A6066" t="s">
        <v>692</v>
      </c>
      <c r="B6066" s="2">
        <v>46188</v>
      </c>
      <c r="C6066" t="s">
        <v>692</v>
      </c>
      <c r="D6066" t="s">
        <v>33</v>
      </c>
      <c r="E6066" t="s">
        <v>9</v>
      </c>
      <c r="F6066" s="3">
        <v>-4650</v>
      </c>
      <c r="G6066" s="3">
        <v>-4650</v>
      </c>
      <c r="H6066" t="s">
        <v>3</v>
      </c>
      <c r="I6066" t="s">
        <v>3</v>
      </c>
      <c r="J6066" t="s">
        <v>9</v>
      </c>
      <c r="K6066" t="s">
        <v>13</v>
      </c>
      <c r="L6066" t="s">
        <v>21</v>
      </c>
      <c r="M6066" t="s">
        <v>35</v>
      </c>
      <c r="N6066" s="2">
        <v>46206</v>
      </c>
    </row>
    <row r="6067" spans="1:14" x14ac:dyDescent="0.25">
      <c r="A6067" t="s">
        <v>692</v>
      </c>
      <c r="B6067" s="2">
        <v>46206</v>
      </c>
      <c r="C6067" t="s">
        <v>692</v>
      </c>
      <c r="D6067" t="s">
        <v>33</v>
      </c>
      <c r="E6067" t="s">
        <v>9</v>
      </c>
      <c r="F6067" s="3">
        <v>1650</v>
      </c>
      <c r="G6067" s="3">
        <v>1650</v>
      </c>
      <c r="H6067" t="s">
        <v>3</v>
      </c>
      <c r="I6067" t="s">
        <v>3</v>
      </c>
      <c r="J6067" t="s">
        <v>9</v>
      </c>
      <c r="K6067" t="s">
        <v>13</v>
      </c>
      <c r="L6067" t="s">
        <v>21</v>
      </c>
      <c r="M6067" t="s">
        <v>35</v>
      </c>
      <c r="N6067" s="2">
        <v>46206</v>
      </c>
    </row>
    <row r="6068" spans="1:14" x14ac:dyDescent="0.25">
      <c r="A6068" s="4" t="s">
        <v>262</v>
      </c>
      <c r="B6068" s="5"/>
      <c r="C6068" s="4" t="s">
        <v>9</v>
      </c>
      <c r="D6068" s="4" t="s">
        <v>9</v>
      </c>
      <c r="E6068" s="4" t="s">
        <v>9</v>
      </c>
      <c r="F6068" s="6">
        <v>0</v>
      </c>
      <c r="G6068" s="6">
        <v>0</v>
      </c>
      <c r="H6068" s="4" t="s">
        <v>9</v>
      </c>
      <c r="I6068" s="4" t="s">
        <v>3</v>
      </c>
      <c r="J6068" s="4" t="s">
        <v>9</v>
      </c>
      <c r="K6068" s="4" t="s">
        <v>9</v>
      </c>
      <c r="L6068" s="4" t="s">
        <v>9</v>
      </c>
      <c r="M6068" s="4" t="s">
        <v>9</v>
      </c>
      <c r="N6068" s="5"/>
    </row>
    <row r="6069" spans="1:14" x14ac:dyDescent="0.25">
      <c r="A6069" s="4" t="s">
        <v>692</v>
      </c>
      <c r="B6069" s="5"/>
      <c r="C6069" s="4" t="s">
        <v>9</v>
      </c>
      <c r="D6069" s="4" t="s">
        <v>9</v>
      </c>
      <c r="E6069" s="4" t="s">
        <v>9</v>
      </c>
      <c r="F6069" s="6">
        <v>0</v>
      </c>
      <c r="G6069" s="6">
        <v>0</v>
      </c>
      <c r="H6069" s="4" t="s">
        <v>9</v>
      </c>
      <c r="I6069" s="4" t="s">
        <v>3</v>
      </c>
      <c r="J6069" s="4" t="s">
        <v>9</v>
      </c>
      <c r="K6069" s="4" t="s">
        <v>9</v>
      </c>
      <c r="L6069" s="4" t="s">
        <v>9</v>
      </c>
      <c r="M6069" s="4" t="s">
        <v>9</v>
      </c>
      <c r="N6069" s="5"/>
    </row>
    <row r="6070" spans="1:14" x14ac:dyDescent="0.25">
      <c r="A6070" t="s">
        <v>693</v>
      </c>
      <c r="B6070" s="2">
        <v>46147</v>
      </c>
      <c r="C6070" t="s">
        <v>693</v>
      </c>
      <c r="D6070" t="s">
        <v>112</v>
      </c>
      <c r="E6070" t="s">
        <v>9</v>
      </c>
      <c r="F6070" s="3">
        <v>-1700</v>
      </c>
      <c r="G6070" s="3">
        <v>-1700</v>
      </c>
      <c r="H6070" t="s">
        <v>3</v>
      </c>
      <c r="I6070" t="s">
        <v>3</v>
      </c>
      <c r="J6070" t="s">
        <v>9</v>
      </c>
      <c r="K6070" t="s">
        <v>9</v>
      </c>
      <c r="L6070" t="s">
        <v>17</v>
      </c>
      <c r="M6070" t="s">
        <v>114</v>
      </c>
      <c r="N6070" s="2">
        <v>46142</v>
      </c>
    </row>
    <row r="6071" spans="1:14" x14ac:dyDescent="0.25">
      <c r="A6071" t="s">
        <v>693</v>
      </c>
      <c r="B6071" s="2">
        <v>46142</v>
      </c>
      <c r="C6071" t="s">
        <v>693</v>
      </c>
      <c r="D6071" t="s">
        <v>112</v>
      </c>
      <c r="E6071" t="s">
        <v>9</v>
      </c>
      <c r="F6071" s="3">
        <v>1700</v>
      </c>
      <c r="G6071" s="3">
        <v>1700</v>
      </c>
      <c r="H6071" t="s">
        <v>3</v>
      </c>
      <c r="I6071" t="s">
        <v>3</v>
      </c>
      <c r="J6071" t="s">
        <v>310</v>
      </c>
      <c r="K6071" t="s">
        <v>13</v>
      </c>
      <c r="L6071" t="s">
        <v>17</v>
      </c>
      <c r="M6071" t="s">
        <v>114</v>
      </c>
      <c r="N6071" s="2">
        <v>46142</v>
      </c>
    </row>
    <row r="6072" spans="1:14" x14ac:dyDescent="0.25">
      <c r="A6072" s="4" t="s">
        <v>249</v>
      </c>
      <c r="B6072" s="5"/>
      <c r="C6072" s="4" t="s">
        <v>9</v>
      </c>
      <c r="D6072" s="4" t="s">
        <v>9</v>
      </c>
      <c r="E6072" s="4" t="s">
        <v>9</v>
      </c>
      <c r="F6072" s="6">
        <v>0</v>
      </c>
      <c r="G6072" s="6">
        <v>0</v>
      </c>
      <c r="H6072" s="4" t="s">
        <v>9</v>
      </c>
      <c r="I6072" s="4" t="s">
        <v>3</v>
      </c>
      <c r="J6072" s="4" t="s">
        <v>9</v>
      </c>
      <c r="K6072" s="4" t="s">
        <v>9</v>
      </c>
      <c r="L6072" s="4" t="s">
        <v>9</v>
      </c>
      <c r="M6072" s="4" t="s">
        <v>9</v>
      </c>
      <c r="N6072" s="5"/>
    </row>
    <row r="6073" spans="1:14" x14ac:dyDescent="0.25">
      <c r="A6073" t="s">
        <v>693</v>
      </c>
      <c r="B6073" s="2">
        <v>46142</v>
      </c>
      <c r="C6073" t="s">
        <v>693</v>
      </c>
      <c r="D6073" t="s">
        <v>112</v>
      </c>
      <c r="E6073" t="s">
        <v>9</v>
      </c>
      <c r="F6073" s="3">
        <v>-1700</v>
      </c>
      <c r="G6073" s="3">
        <v>-1700</v>
      </c>
      <c r="H6073" t="s">
        <v>3</v>
      </c>
      <c r="I6073" t="s">
        <v>3</v>
      </c>
      <c r="J6073" t="s">
        <v>310</v>
      </c>
      <c r="K6073" t="s">
        <v>13</v>
      </c>
      <c r="L6073" t="s">
        <v>18</v>
      </c>
      <c r="M6073" t="s">
        <v>114</v>
      </c>
      <c r="N6073" s="2">
        <v>46143</v>
      </c>
    </row>
    <row r="6074" spans="1:14" x14ac:dyDescent="0.25">
      <c r="A6074" t="s">
        <v>693</v>
      </c>
      <c r="B6074" s="2">
        <v>46173</v>
      </c>
      <c r="C6074" t="s">
        <v>693</v>
      </c>
      <c r="D6074" t="s">
        <v>112</v>
      </c>
      <c r="E6074" t="s">
        <v>9</v>
      </c>
      <c r="F6074" s="3">
        <v>1700</v>
      </c>
      <c r="G6074" s="3">
        <v>1700</v>
      </c>
      <c r="H6074" t="s">
        <v>3</v>
      </c>
      <c r="I6074" t="s">
        <v>3</v>
      </c>
      <c r="J6074" t="s">
        <v>313</v>
      </c>
      <c r="K6074" t="s">
        <v>13</v>
      </c>
      <c r="L6074" t="s">
        <v>18</v>
      </c>
      <c r="M6074" t="s">
        <v>114</v>
      </c>
      <c r="N6074" s="2">
        <v>46173</v>
      </c>
    </row>
    <row r="6075" spans="1:14" x14ac:dyDescent="0.25">
      <c r="A6075" s="4" t="s">
        <v>223</v>
      </c>
      <c r="B6075" s="5"/>
      <c r="C6075" s="4" t="s">
        <v>9</v>
      </c>
      <c r="D6075" s="4" t="s">
        <v>9</v>
      </c>
      <c r="E6075" s="4" t="s">
        <v>9</v>
      </c>
      <c r="F6075" s="6">
        <v>0</v>
      </c>
      <c r="G6075" s="6">
        <v>0</v>
      </c>
      <c r="H6075" s="4" t="s">
        <v>9</v>
      </c>
      <c r="I6075" s="4" t="s">
        <v>3</v>
      </c>
      <c r="J6075" s="4" t="s">
        <v>9</v>
      </c>
      <c r="K6075" s="4" t="s">
        <v>9</v>
      </c>
      <c r="L6075" s="4" t="s">
        <v>9</v>
      </c>
      <c r="M6075" s="4" t="s">
        <v>9</v>
      </c>
      <c r="N6075" s="5"/>
    </row>
    <row r="6076" spans="1:14" x14ac:dyDescent="0.25">
      <c r="A6076" t="s">
        <v>693</v>
      </c>
      <c r="B6076" s="2">
        <v>46173</v>
      </c>
      <c r="C6076" t="s">
        <v>693</v>
      </c>
      <c r="D6076" t="s">
        <v>112</v>
      </c>
      <c r="E6076" t="s">
        <v>9</v>
      </c>
      <c r="F6076" s="3">
        <v>-1700</v>
      </c>
      <c r="G6076" s="3">
        <v>-1700</v>
      </c>
      <c r="H6076" t="s">
        <v>3</v>
      </c>
      <c r="I6076" t="s">
        <v>3</v>
      </c>
      <c r="J6076" t="s">
        <v>313</v>
      </c>
      <c r="K6076" t="s">
        <v>13</v>
      </c>
      <c r="L6076" t="s">
        <v>19</v>
      </c>
      <c r="M6076" t="s">
        <v>114</v>
      </c>
      <c r="N6076" s="2">
        <v>46174</v>
      </c>
    </row>
    <row r="6077" spans="1:14" x14ac:dyDescent="0.25">
      <c r="A6077" t="s">
        <v>693</v>
      </c>
      <c r="B6077" s="2">
        <v>46203</v>
      </c>
      <c r="C6077" t="s">
        <v>693</v>
      </c>
      <c r="D6077" t="s">
        <v>112</v>
      </c>
      <c r="E6077" t="s">
        <v>9</v>
      </c>
      <c r="F6077" s="3">
        <v>1700</v>
      </c>
      <c r="G6077" s="3">
        <v>1700</v>
      </c>
      <c r="H6077" t="s">
        <v>3</v>
      </c>
      <c r="I6077" t="s">
        <v>3</v>
      </c>
      <c r="J6077" t="s">
        <v>316</v>
      </c>
      <c r="K6077" t="s">
        <v>13</v>
      </c>
      <c r="L6077" t="s">
        <v>19</v>
      </c>
      <c r="M6077" t="s">
        <v>114</v>
      </c>
      <c r="N6077" s="2">
        <v>46203</v>
      </c>
    </row>
    <row r="6078" spans="1:14" x14ac:dyDescent="0.25">
      <c r="A6078" s="4" t="s">
        <v>224</v>
      </c>
      <c r="B6078" s="5"/>
      <c r="C6078" s="4" t="s">
        <v>9</v>
      </c>
      <c r="D6078" s="4" t="s">
        <v>9</v>
      </c>
      <c r="E6078" s="4" t="s">
        <v>9</v>
      </c>
      <c r="F6078" s="6">
        <v>0</v>
      </c>
      <c r="G6078" s="6">
        <v>0</v>
      </c>
      <c r="H6078" s="4" t="s">
        <v>9</v>
      </c>
      <c r="I6078" s="4" t="s">
        <v>3</v>
      </c>
      <c r="J6078" s="4" t="s">
        <v>9</v>
      </c>
      <c r="K6078" s="4" t="s">
        <v>9</v>
      </c>
      <c r="L6078" s="4" t="s">
        <v>9</v>
      </c>
      <c r="M6078" s="4" t="s">
        <v>9</v>
      </c>
      <c r="N6078" s="5"/>
    </row>
    <row r="6079" spans="1:14" x14ac:dyDescent="0.25">
      <c r="A6079" t="s">
        <v>693</v>
      </c>
      <c r="B6079" s="2">
        <v>46203</v>
      </c>
      <c r="C6079" t="s">
        <v>693</v>
      </c>
      <c r="D6079" t="s">
        <v>112</v>
      </c>
      <c r="E6079" t="s">
        <v>9</v>
      </c>
      <c r="F6079" s="3">
        <v>-1700</v>
      </c>
      <c r="G6079" s="3">
        <v>-1700</v>
      </c>
      <c r="H6079" t="s">
        <v>3</v>
      </c>
      <c r="I6079" t="s">
        <v>3</v>
      </c>
      <c r="J6079" t="s">
        <v>316</v>
      </c>
      <c r="K6079" t="s">
        <v>13</v>
      </c>
      <c r="L6079" t="s">
        <v>21</v>
      </c>
      <c r="M6079" t="s">
        <v>114</v>
      </c>
      <c r="N6079" s="2">
        <v>46204</v>
      </c>
    </row>
    <row r="6080" spans="1:14" x14ac:dyDescent="0.25">
      <c r="A6080" t="s">
        <v>693</v>
      </c>
      <c r="B6080" s="2">
        <v>46234</v>
      </c>
      <c r="C6080" t="s">
        <v>693</v>
      </c>
      <c r="D6080" t="s">
        <v>112</v>
      </c>
      <c r="E6080" t="s">
        <v>9</v>
      </c>
      <c r="F6080" s="3">
        <v>1700</v>
      </c>
      <c r="G6080" s="3">
        <v>1700</v>
      </c>
      <c r="H6080" t="s">
        <v>3</v>
      </c>
      <c r="I6080" t="s">
        <v>3</v>
      </c>
      <c r="J6080" t="s">
        <v>319</v>
      </c>
      <c r="K6080" t="s">
        <v>13</v>
      </c>
      <c r="L6080" t="s">
        <v>21</v>
      </c>
      <c r="M6080" t="s">
        <v>114</v>
      </c>
      <c r="N6080" s="2">
        <v>46234</v>
      </c>
    </row>
    <row r="6081" spans="1:14" x14ac:dyDescent="0.25">
      <c r="A6081" s="4" t="s">
        <v>262</v>
      </c>
      <c r="B6081" s="5"/>
      <c r="C6081" s="4" t="s">
        <v>9</v>
      </c>
      <c r="D6081" s="4" t="s">
        <v>9</v>
      </c>
      <c r="E6081" s="4" t="s">
        <v>9</v>
      </c>
      <c r="F6081" s="6">
        <v>0</v>
      </c>
      <c r="G6081" s="6">
        <v>0</v>
      </c>
      <c r="H6081" s="4" t="s">
        <v>9</v>
      </c>
      <c r="I6081" s="4" t="s">
        <v>3</v>
      </c>
      <c r="J6081" s="4" t="s">
        <v>9</v>
      </c>
      <c r="K6081" s="4" t="s">
        <v>9</v>
      </c>
      <c r="L6081" s="4" t="s">
        <v>9</v>
      </c>
      <c r="M6081" s="4" t="s">
        <v>9</v>
      </c>
      <c r="N6081" s="5"/>
    </row>
    <row r="6082" spans="1:14" x14ac:dyDescent="0.25">
      <c r="A6082" t="s">
        <v>693</v>
      </c>
      <c r="B6082" s="2">
        <v>46234</v>
      </c>
      <c r="C6082" t="s">
        <v>693</v>
      </c>
      <c r="D6082" t="s">
        <v>112</v>
      </c>
      <c r="E6082" t="s">
        <v>9</v>
      </c>
      <c r="F6082" s="3">
        <v>-1700</v>
      </c>
      <c r="G6082" s="3">
        <v>-1700</v>
      </c>
      <c r="H6082" t="s">
        <v>3</v>
      </c>
      <c r="I6082" t="s">
        <v>3</v>
      </c>
      <c r="J6082" t="s">
        <v>319</v>
      </c>
      <c r="K6082" t="s">
        <v>13</v>
      </c>
      <c r="L6082" t="s">
        <v>22</v>
      </c>
      <c r="M6082" t="s">
        <v>114</v>
      </c>
      <c r="N6082" s="2">
        <v>46235</v>
      </c>
    </row>
    <row r="6083" spans="1:14" x14ac:dyDescent="0.25">
      <c r="A6083" t="s">
        <v>693</v>
      </c>
      <c r="B6083" s="2">
        <v>46265</v>
      </c>
      <c r="C6083" t="s">
        <v>693</v>
      </c>
      <c r="D6083" t="s">
        <v>112</v>
      </c>
      <c r="E6083" t="s">
        <v>9</v>
      </c>
      <c r="F6083" s="3">
        <v>1700</v>
      </c>
      <c r="G6083" s="3">
        <v>1700</v>
      </c>
      <c r="H6083" t="s">
        <v>3</v>
      </c>
      <c r="I6083" t="s">
        <v>3</v>
      </c>
      <c r="J6083" t="s">
        <v>689</v>
      </c>
      <c r="K6083" t="s">
        <v>13</v>
      </c>
      <c r="L6083" t="s">
        <v>22</v>
      </c>
      <c r="M6083" t="s">
        <v>114</v>
      </c>
      <c r="N6083" s="2">
        <v>46265</v>
      </c>
    </row>
    <row r="6084" spans="1:14" x14ac:dyDescent="0.25">
      <c r="A6084" s="4" t="s">
        <v>267</v>
      </c>
      <c r="B6084" s="5"/>
      <c r="C6084" s="4" t="s">
        <v>9</v>
      </c>
      <c r="D6084" s="4" t="s">
        <v>9</v>
      </c>
      <c r="E6084" s="4" t="s">
        <v>9</v>
      </c>
      <c r="F6084" s="6">
        <v>0</v>
      </c>
      <c r="G6084" s="6">
        <v>0</v>
      </c>
      <c r="H6084" s="4" t="s">
        <v>9</v>
      </c>
      <c r="I6084" s="4" t="s">
        <v>3</v>
      </c>
      <c r="J6084" s="4" t="s">
        <v>9</v>
      </c>
      <c r="K6084" s="4" t="s">
        <v>9</v>
      </c>
      <c r="L6084" s="4" t="s">
        <v>9</v>
      </c>
      <c r="M6084" s="4" t="s">
        <v>9</v>
      </c>
      <c r="N6084" s="5"/>
    </row>
    <row r="6085" spans="1:14" x14ac:dyDescent="0.25">
      <c r="A6085" s="4" t="s">
        <v>693</v>
      </c>
      <c r="B6085" s="5"/>
      <c r="C6085" s="4" t="s">
        <v>9</v>
      </c>
      <c r="D6085" s="4" t="s">
        <v>9</v>
      </c>
      <c r="E6085" s="4" t="s">
        <v>9</v>
      </c>
      <c r="F6085" s="6">
        <v>0</v>
      </c>
      <c r="G6085" s="6">
        <v>0</v>
      </c>
      <c r="H6085" s="4" t="s">
        <v>9</v>
      </c>
      <c r="I6085" s="4" t="s">
        <v>3</v>
      </c>
      <c r="J6085" s="4" t="s">
        <v>9</v>
      </c>
      <c r="K6085" s="4" t="s">
        <v>9</v>
      </c>
      <c r="L6085" s="4" t="s">
        <v>9</v>
      </c>
      <c r="M6085" s="4" t="s">
        <v>9</v>
      </c>
      <c r="N6085" s="5"/>
    </row>
    <row r="6086" spans="1:14" x14ac:dyDescent="0.25">
      <c r="A6086" t="s">
        <v>694</v>
      </c>
      <c r="B6086" s="2">
        <v>46175</v>
      </c>
      <c r="C6086" t="s">
        <v>694</v>
      </c>
      <c r="D6086" t="s">
        <v>33</v>
      </c>
      <c r="E6086" t="s">
        <v>9</v>
      </c>
      <c r="F6086" s="3">
        <v>3255</v>
      </c>
      <c r="G6086" s="3">
        <v>3255</v>
      </c>
      <c r="H6086" t="s">
        <v>3</v>
      </c>
      <c r="I6086" t="s">
        <v>3</v>
      </c>
      <c r="J6086" t="s">
        <v>9</v>
      </c>
      <c r="K6086" t="s">
        <v>9</v>
      </c>
      <c r="L6086" t="s">
        <v>18</v>
      </c>
      <c r="M6086" t="s">
        <v>35</v>
      </c>
      <c r="N6086" s="2">
        <v>46173</v>
      </c>
    </row>
    <row r="6087" spans="1:14" x14ac:dyDescent="0.25">
      <c r="A6087" t="s">
        <v>694</v>
      </c>
      <c r="B6087" s="2">
        <v>46155</v>
      </c>
      <c r="C6087" t="s">
        <v>694</v>
      </c>
      <c r="D6087" t="s">
        <v>33</v>
      </c>
      <c r="E6087" t="s">
        <v>9</v>
      </c>
      <c r="F6087" s="3">
        <v>-3255</v>
      </c>
      <c r="G6087" s="3">
        <v>-3255</v>
      </c>
      <c r="H6087" t="s">
        <v>3</v>
      </c>
      <c r="I6087" t="s">
        <v>3</v>
      </c>
      <c r="J6087" t="s">
        <v>9</v>
      </c>
      <c r="K6087" t="s">
        <v>13</v>
      </c>
      <c r="L6087" t="s">
        <v>18</v>
      </c>
      <c r="M6087" t="s">
        <v>35</v>
      </c>
      <c r="N6087" s="2">
        <v>46155</v>
      </c>
    </row>
    <row r="6088" spans="1:14" x14ac:dyDescent="0.25">
      <c r="A6088" s="4" t="s">
        <v>223</v>
      </c>
      <c r="B6088" s="5"/>
      <c r="C6088" s="4" t="s">
        <v>9</v>
      </c>
      <c r="D6088" s="4" t="s">
        <v>9</v>
      </c>
      <c r="E6088" s="4" t="s">
        <v>9</v>
      </c>
      <c r="F6088" s="6">
        <v>0</v>
      </c>
      <c r="G6088" s="6">
        <v>0</v>
      </c>
      <c r="H6088" s="4" t="s">
        <v>9</v>
      </c>
      <c r="I6088" s="4" t="s">
        <v>3</v>
      </c>
      <c r="J6088" s="4" t="s">
        <v>9</v>
      </c>
      <c r="K6088" s="4" t="s">
        <v>9</v>
      </c>
      <c r="L6088" s="4" t="s">
        <v>9</v>
      </c>
      <c r="M6088" s="4" t="s">
        <v>9</v>
      </c>
      <c r="N6088" s="5"/>
    </row>
    <row r="6089" spans="1:14" x14ac:dyDescent="0.25">
      <c r="A6089" t="s">
        <v>694</v>
      </c>
      <c r="B6089" s="2">
        <v>46205</v>
      </c>
      <c r="C6089" t="s">
        <v>694</v>
      </c>
      <c r="D6089" t="s">
        <v>33</v>
      </c>
      <c r="E6089" t="s">
        <v>9</v>
      </c>
      <c r="F6089" s="3">
        <v>20000</v>
      </c>
      <c r="G6089" s="3">
        <v>20000</v>
      </c>
      <c r="H6089" t="s">
        <v>3</v>
      </c>
      <c r="I6089" t="s">
        <v>3</v>
      </c>
      <c r="J6089" t="s">
        <v>9</v>
      </c>
      <c r="K6089" t="s">
        <v>9</v>
      </c>
      <c r="L6089" t="s">
        <v>19</v>
      </c>
      <c r="M6089" t="s">
        <v>35</v>
      </c>
      <c r="N6089" s="2">
        <v>46203</v>
      </c>
    </row>
    <row r="6090" spans="1:14" x14ac:dyDescent="0.25">
      <c r="A6090" t="s">
        <v>694</v>
      </c>
      <c r="B6090" s="2">
        <v>46191</v>
      </c>
      <c r="C6090" t="s">
        <v>694</v>
      </c>
      <c r="D6090" t="s">
        <v>33</v>
      </c>
      <c r="E6090" t="s">
        <v>9</v>
      </c>
      <c r="F6090" s="3">
        <v>-20000</v>
      </c>
      <c r="G6090" s="3">
        <v>-20000</v>
      </c>
      <c r="H6090" t="s">
        <v>3</v>
      </c>
      <c r="I6090" t="s">
        <v>3</v>
      </c>
      <c r="J6090" t="s">
        <v>9</v>
      </c>
      <c r="K6090" t="s">
        <v>13</v>
      </c>
      <c r="L6090" t="s">
        <v>19</v>
      </c>
      <c r="M6090" t="s">
        <v>35</v>
      </c>
      <c r="N6090" s="2">
        <v>46191</v>
      </c>
    </row>
    <row r="6091" spans="1:14" x14ac:dyDescent="0.25">
      <c r="A6091" s="4" t="s">
        <v>224</v>
      </c>
      <c r="B6091" s="5"/>
      <c r="C6091" s="4" t="s">
        <v>9</v>
      </c>
      <c r="D6091" s="4" t="s">
        <v>9</v>
      </c>
      <c r="E6091" s="4" t="s">
        <v>9</v>
      </c>
      <c r="F6091" s="6">
        <v>0</v>
      </c>
      <c r="G6091" s="6">
        <v>0</v>
      </c>
      <c r="H6091" s="4" t="s">
        <v>9</v>
      </c>
      <c r="I6091" s="4" t="s">
        <v>3</v>
      </c>
      <c r="J6091" s="4" t="s">
        <v>9</v>
      </c>
      <c r="K6091" s="4" t="s">
        <v>9</v>
      </c>
      <c r="L6091" s="4" t="s">
        <v>9</v>
      </c>
      <c r="M6091" s="4" t="s">
        <v>9</v>
      </c>
      <c r="N6091" s="5"/>
    </row>
    <row r="6092" spans="1:14" x14ac:dyDescent="0.25">
      <c r="A6092" t="s">
        <v>694</v>
      </c>
      <c r="B6092" s="2">
        <v>46239</v>
      </c>
      <c r="C6092" t="s">
        <v>694</v>
      </c>
      <c r="D6092" t="s">
        <v>33</v>
      </c>
      <c r="E6092" t="s">
        <v>9</v>
      </c>
      <c r="F6092" s="3">
        <v>11309</v>
      </c>
      <c r="G6092" s="3">
        <v>11309</v>
      </c>
      <c r="H6092" t="s">
        <v>3</v>
      </c>
      <c r="I6092" t="s">
        <v>3</v>
      </c>
      <c r="J6092" t="s">
        <v>9</v>
      </c>
      <c r="K6092" t="s">
        <v>9</v>
      </c>
      <c r="L6092" t="s">
        <v>21</v>
      </c>
      <c r="M6092" t="s">
        <v>35</v>
      </c>
      <c r="N6092" s="2">
        <v>46234</v>
      </c>
    </row>
    <row r="6093" spans="1:14" x14ac:dyDescent="0.25">
      <c r="A6093" t="s">
        <v>694</v>
      </c>
      <c r="B6093" s="2">
        <v>46217</v>
      </c>
      <c r="C6093" t="s">
        <v>694</v>
      </c>
      <c r="D6093" t="s">
        <v>33</v>
      </c>
      <c r="E6093" t="s">
        <v>9</v>
      </c>
      <c r="F6093" s="3">
        <v>-11309</v>
      </c>
      <c r="G6093" s="3">
        <v>-11309</v>
      </c>
      <c r="H6093" t="s">
        <v>3</v>
      </c>
      <c r="I6093" t="s">
        <v>3</v>
      </c>
      <c r="J6093" t="s">
        <v>9</v>
      </c>
      <c r="K6093" t="s">
        <v>13</v>
      </c>
      <c r="L6093" t="s">
        <v>21</v>
      </c>
      <c r="M6093" t="s">
        <v>35</v>
      </c>
      <c r="N6093" s="2">
        <v>46217</v>
      </c>
    </row>
    <row r="6094" spans="1:14" x14ac:dyDescent="0.25">
      <c r="A6094" s="4" t="s">
        <v>262</v>
      </c>
      <c r="B6094" s="5"/>
      <c r="C6094" s="4" t="s">
        <v>9</v>
      </c>
      <c r="D6094" s="4" t="s">
        <v>9</v>
      </c>
      <c r="E6094" s="4" t="s">
        <v>9</v>
      </c>
      <c r="F6094" s="6">
        <v>0</v>
      </c>
      <c r="G6094" s="6">
        <v>0</v>
      </c>
      <c r="H6094" s="4" t="s">
        <v>9</v>
      </c>
      <c r="I6094" s="4" t="s">
        <v>3</v>
      </c>
      <c r="J6094" s="4" t="s">
        <v>9</v>
      </c>
      <c r="K6094" s="4" t="s">
        <v>9</v>
      </c>
      <c r="L6094" s="4" t="s">
        <v>9</v>
      </c>
      <c r="M6094" s="4" t="s">
        <v>9</v>
      </c>
      <c r="N6094" s="5"/>
    </row>
    <row r="6095" spans="1:14" x14ac:dyDescent="0.25">
      <c r="A6095" t="s">
        <v>694</v>
      </c>
      <c r="B6095" s="2">
        <v>46267</v>
      </c>
      <c r="C6095" t="s">
        <v>694</v>
      </c>
      <c r="D6095" t="s">
        <v>33</v>
      </c>
      <c r="E6095" t="s">
        <v>9</v>
      </c>
      <c r="F6095" s="3">
        <v>15236</v>
      </c>
      <c r="G6095" s="3">
        <v>15236</v>
      </c>
      <c r="H6095" t="s">
        <v>3</v>
      </c>
      <c r="I6095" t="s">
        <v>3</v>
      </c>
      <c r="J6095" t="s">
        <v>9</v>
      </c>
      <c r="K6095" t="s">
        <v>9</v>
      </c>
      <c r="L6095" t="s">
        <v>22</v>
      </c>
      <c r="M6095" t="s">
        <v>35</v>
      </c>
      <c r="N6095" s="2">
        <v>46265</v>
      </c>
    </row>
    <row r="6096" spans="1:14" x14ac:dyDescent="0.25">
      <c r="A6096" t="s">
        <v>694</v>
      </c>
      <c r="B6096" s="2">
        <v>46254</v>
      </c>
      <c r="C6096" t="s">
        <v>694</v>
      </c>
      <c r="D6096" t="s">
        <v>33</v>
      </c>
      <c r="E6096" t="s">
        <v>9</v>
      </c>
      <c r="F6096" s="3">
        <v>-15236</v>
      </c>
      <c r="G6096" s="3">
        <v>-15236</v>
      </c>
      <c r="H6096" t="s">
        <v>3</v>
      </c>
      <c r="I6096" t="s">
        <v>3</v>
      </c>
      <c r="J6096" t="s">
        <v>9</v>
      </c>
      <c r="K6096" t="s">
        <v>13</v>
      </c>
      <c r="L6096" t="s">
        <v>22</v>
      </c>
      <c r="M6096" t="s">
        <v>35</v>
      </c>
      <c r="N6096" s="2">
        <v>46254</v>
      </c>
    </row>
    <row r="6097" spans="1:14" x14ac:dyDescent="0.25">
      <c r="A6097" s="4" t="s">
        <v>267</v>
      </c>
      <c r="B6097" s="5"/>
      <c r="C6097" s="4" t="s">
        <v>9</v>
      </c>
      <c r="D6097" s="4" t="s">
        <v>9</v>
      </c>
      <c r="E6097" s="4" t="s">
        <v>9</v>
      </c>
      <c r="F6097" s="6">
        <v>0</v>
      </c>
      <c r="G6097" s="6">
        <v>0</v>
      </c>
      <c r="H6097" s="4" t="s">
        <v>9</v>
      </c>
      <c r="I6097" s="4" t="s">
        <v>3</v>
      </c>
      <c r="J6097" s="4" t="s">
        <v>9</v>
      </c>
      <c r="K6097" s="4" t="s">
        <v>9</v>
      </c>
      <c r="L6097" s="4" t="s">
        <v>9</v>
      </c>
      <c r="M6097" s="4" t="s">
        <v>9</v>
      </c>
      <c r="N6097" s="5"/>
    </row>
    <row r="6098" spans="1:14" x14ac:dyDescent="0.25">
      <c r="A6098" s="4" t="s">
        <v>694</v>
      </c>
      <c r="B6098" s="5"/>
      <c r="C6098" s="4" t="s">
        <v>9</v>
      </c>
      <c r="D6098" s="4" t="s">
        <v>9</v>
      </c>
      <c r="E6098" s="4" t="s">
        <v>9</v>
      </c>
      <c r="F6098" s="6">
        <v>0</v>
      </c>
      <c r="G6098" s="6">
        <v>0</v>
      </c>
      <c r="H6098" s="4" t="s">
        <v>9</v>
      </c>
      <c r="I6098" s="4" t="s">
        <v>3</v>
      </c>
      <c r="J6098" s="4" t="s">
        <v>9</v>
      </c>
      <c r="K6098" s="4" t="s">
        <v>9</v>
      </c>
      <c r="L6098" s="4" t="s">
        <v>9</v>
      </c>
      <c r="M6098" s="4" t="s">
        <v>9</v>
      </c>
      <c r="N6098" s="5"/>
    </row>
    <row r="6099" spans="1:14" x14ac:dyDescent="0.25">
      <c r="A6099" t="s">
        <v>695</v>
      </c>
      <c r="B6099" s="2">
        <v>46175</v>
      </c>
      <c r="C6099" t="s">
        <v>695</v>
      </c>
      <c r="D6099" t="s">
        <v>112</v>
      </c>
      <c r="E6099" t="s">
        <v>9</v>
      </c>
      <c r="F6099" s="3">
        <v>-3100</v>
      </c>
      <c r="G6099" s="3">
        <v>-3100</v>
      </c>
      <c r="H6099" t="s">
        <v>3</v>
      </c>
      <c r="I6099" t="s">
        <v>3</v>
      </c>
      <c r="J6099" t="s">
        <v>9</v>
      </c>
      <c r="K6099" t="s">
        <v>9</v>
      </c>
      <c r="L6099" t="s">
        <v>18</v>
      </c>
      <c r="M6099" t="s">
        <v>114</v>
      </c>
      <c r="N6099" s="2">
        <v>46173</v>
      </c>
    </row>
    <row r="6100" spans="1:14" x14ac:dyDescent="0.25">
      <c r="A6100" t="s">
        <v>695</v>
      </c>
      <c r="B6100" s="2">
        <v>46173</v>
      </c>
      <c r="C6100" t="s">
        <v>695</v>
      </c>
      <c r="D6100" t="s">
        <v>112</v>
      </c>
      <c r="E6100" t="s">
        <v>9</v>
      </c>
      <c r="F6100" s="3">
        <v>3100</v>
      </c>
      <c r="G6100" s="3">
        <v>3100</v>
      </c>
      <c r="H6100" t="s">
        <v>3</v>
      </c>
      <c r="I6100" t="s">
        <v>3</v>
      </c>
      <c r="J6100" t="s">
        <v>313</v>
      </c>
      <c r="K6100" t="s">
        <v>13</v>
      </c>
      <c r="L6100" t="s">
        <v>18</v>
      </c>
      <c r="M6100" t="s">
        <v>114</v>
      </c>
      <c r="N6100" s="2">
        <v>46173</v>
      </c>
    </row>
    <row r="6101" spans="1:14" x14ac:dyDescent="0.25">
      <c r="A6101" s="4" t="s">
        <v>223</v>
      </c>
      <c r="B6101" s="5"/>
      <c r="C6101" s="4" t="s">
        <v>9</v>
      </c>
      <c r="D6101" s="4" t="s">
        <v>9</v>
      </c>
      <c r="E6101" s="4" t="s">
        <v>9</v>
      </c>
      <c r="F6101" s="6">
        <v>0</v>
      </c>
      <c r="G6101" s="6">
        <v>0</v>
      </c>
      <c r="H6101" s="4" t="s">
        <v>9</v>
      </c>
      <c r="I6101" s="4" t="s">
        <v>3</v>
      </c>
      <c r="J6101" s="4" t="s">
        <v>9</v>
      </c>
      <c r="K6101" s="4" t="s">
        <v>9</v>
      </c>
      <c r="L6101" s="4" t="s">
        <v>9</v>
      </c>
      <c r="M6101" s="4" t="s">
        <v>9</v>
      </c>
      <c r="N6101" s="5"/>
    </row>
    <row r="6102" spans="1:14" x14ac:dyDescent="0.25">
      <c r="A6102" t="s">
        <v>695</v>
      </c>
      <c r="B6102" s="2">
        <v>46205</v>
      </c>
      <c r="C6102" t="s">
        <v>695</v>
      </c>
      <c r="D6102" t="s">
        <v>112</v>
      </c>
      <c r="E6102" t="s">
        <v>9</v>
      </c>
      <c r="F6102" s="3">
        <v>-10389.86</v>
      </c>
      <c r="G6102" s="3">
        <v>-10389.86</v>
      </c>
      <c r="H6102" t="s">
        <v>3</v>
      </c>
      <c r="I6102" t="s">
        <v>3</v>
      </c>
      <c r="J6102" t="s">
        <v>9</v>
      </c>
      <c r="K6102" t="s">
        <v>9</v>
      </c>
      <c r="L6102" t="s">
        <v>19</v>
      </c>
      <c r="M6102" t="s">
        <v>114</v>
      </c>
      <c r="N6102" s="2">
        <v>46203</v>
      </c>
    </row>
    <row r="6103" spans="1:14" x14ac:dyDescent="0.25">
      <c r="A6103" t="s">
        <v>695</v>
      </c>
      <c r="B6103" s="2">
        <v>46173</v>
      </c>
      <c r="C6103" t="s">
        <v>695</v>
      </c>
      <c r="D6103" t="s">
        <v>112</v>
      </c>
      <c r="E6103" t="s">
        <v>9</v>
      </c>
      <c r="F6103" s="3">
        <v>-3100</v>
      </c>
      <c r="G6103" s="3">
        <v>-3100</v>
      </c>
      <c r="H6103" t="s">
        <v>3</v>
      </c>
      <c r="I6103" t="s">
        <v>3</v>
      </c>
      <c r="J6103" t="s">
        <v>313</v>
      </c>
      <c r="K6103" t="s">
        <v>13</v>
      </c>
      <c r="L6103" t="s">
        <v>19</v>
      </c>
      <c r="M6103" t="s">
        <v>114</v>
      </c>
      <c r="N6103" s="2">
        <v>46174</v>
      </c>
    </row>
    <row r="6104" spans="1:14" x14ac:dyDescent="0.25">
      <c r="A6104" t="s">
        <v>695</v>
      </c>
      <c r="B6104" s="2">
        <v>46203</v>
      </c>
      <c r="C6104" t="s">
        <v>695</v>
      </c>
      <c r="D6104" t="s">
        <v>112</v>
      </c>
      <c r="E6104" t="s">
        <v>9</v>
      </c>
      <c r="F6104" s="3">
        <v>13489.86</v>
      </c>
      <c r="G6104" s="3">
        <v>13489.86</v>
      </c>
      <c r="H6104" t="s">
        <v>3</v>
      </c>
      <c r="I6104" t="s">
        <v>3</v>
      </c>
      <c r="J6104" t="s">
        <v>316</v>
      </c>
      <c r="K6104" t="s">
        <v>13</v>
      </c>
      <c r="L6104" t="s">
        <v>19</v>
      </c>
      <c r="M6104" t="s">
        <v>114</v>
      </c>
      <c r="N6104" s="2">
        <v>46203</v>
      </c>
    </row>
    <row r="6105" spans="1:14" x14ac:dyDescent="0.25">
      <c r="A6105" s="4" t="s">
        <v>224</v>
      </c>
      <c r="B6105" s="5"/>
      <c r="C6105" s="4" t="s">
        <v>9</v>
      </c>
      <c r="D6105" s="4" t="s">
        <v>9</v>
      </c>
      <c r="E6105" s="4" t="s">
        <v>9</v>
      </c>
      <c r="F6105" s="6">
        <v>0</v>
      </c>
      <c r="G6105" s="6">
        <v>0</v>
      </c>
      <c r="H6105" s="4" t="s">
        <v>9</v>
      </c>
      <c r="I6105" s="4" t="s">
        <v>3</v>
      </c>
      <c r="J6105" s="4" t="s">
        <v>9</v>
      </c>
      <c r="K6105" s="4" t="s">
        <v>9</v>
      </c>
      <c r="L6105" s="4" t="s">
        <v>9</v>
      </c>
      <c r="M6105" s="4" t="s">
        <v>9</v>
      </c>
      <c r="N6105" s="5"/>
    </row>
    <row r="6106" spans="1:14" x14ac:dyDescent="0.25">
      <c r="A6106" t="s">
        <v>695</v>
      </c>
      <c r="B6106" s="2">
        <v>46239</v>
      </c>
      <c r="C6106" t="s">
        <v>695</v>
      </c>
      <c r="D6106" t="s">
        <v>112</v>
      </c>
      <c r="E6106" t="s">
        <v>9</v>
      </c>
      <c r="F6106" s="3">
        <v>-14510.14</v>
      </c>
      <c r="G6106" s="3">
        <v>-14510.14</v>
      </c>
      <c r="H6106" t="s">
        <v>3</v>
      </c>
      <c r="I6106" t="s">
        <v>3</v>
      </c>
      <c r="J6106" t="s">
        <v>9</v>
      </c>
      <c r="K6106" t="s">
        <v>9</v>
      </c>
      <c r="L6106" t="s">
        <v>21</v>
      </c>
      <c r="M6106" t="s">
        <v>114</v>
      </c>
      <c r="N6106" s="2">
        <v>46234</v>
      </c>
    </row>
    <row r="6107" spans="1:14" x14ac:dyDescent="0.25">
      <c r="A6107" t="s">
        <v>695</v>
      </c>
      <c r="B6107" s="2">
        <v>46203</v>
      </c>
      <c r="C6107" t="s">
        <v>695</v>
      </c>
      <c r="D6107" t="s">
        <v>112</v>
      </c>
      <c r="E6107" t="s">
        <v>9</v>
      </c>
      <c r="F6107" s="3">
        <v>-13489.86</v>
      </c>
      <c r="G6107" s="3">
        <v>-13489.86</v>
      </c>
      <c r="H6107" t="s">
        <v>3</v>
      </c>
      <c r="I6107" t="s">
        <v>3</v>
      </c>
      <c r="J6107" t="s">
        <v>316</v>
      </c>
      <c r="K6107" t="s">
        <v>13</v>
      </c>
      <c r="L6107" t="s">
        <v>21</v>
      </c>
      <c r="M6107" t="s">
        <v>114</v>
      </c>
      <c r="N6107" s="2">
        <v>46204</v>
      </c>
    </row>
    <row r="6108" spans="1:14" x14ac:dyDescent="0.25">
      <c r="A6108" t="s">
        <v>695</v>
      </c>
      <c r="B6108" s="2">
        <v>46234</v>
      </c>
      <c r="C6108" t="s">
        <v>695</v>
      </c>
      <c r="D6108" t="s">
        <v>112</v>
      </c>
      <c r="E6108" t="s">
        <v>9</v>
      </c>
      <c r="F6108" s="3">
        <v>28000</v>
      </c>
      <c r="G6108" s="3">
        <v>28000</v>
      </c>
      <c r="H6108" t="s">
        <v>3</v>
      </c>
      <c r="I6108" t="s">
        <v>3</v>
      </c>
      <c r="J6108" t="s">
        <v>319</v>
      </c>
      <c r="K6108" t="s">
        <v>13</v>
      </c>
      <c r="L6108" t="s">
        <v>21</v>
      </c>
      <c r="M6108" t="s">
        <v>114</v>
      </c>
      <c r="N6108" s="2">
        <v>46234</v>
      </c>
    </row>
    <row r="6109" spans="1:14" x14ac:dyDescent="0.25">
      <c r="A6109" s="4" t="s">
        <v>262</v>
      </c>
      <c r="B6109" s="5"/>
      <c r="C6109" s="4" t="s">
        <v>9</v>
      </c>
      <c r="D6109" s="4" t="s">
        <v>9</v>
      </c>
      <c r="E6109" s="4" t="s">
        <v>9</v>
      </c>
      <c r="F6109" s="6">
        <v>0</v>
      </c>
      <c r="G6109" s="6">
        <v>0</v>
      </c>
      <c r="H6109" s="4" t="s">
        <v>9</v>
      </c>
      <c r="I6109" s="4" t="s">
        <v>3</v>
      </c>
      <c r="J6109" s="4" t="s">
        <v>9</v>
      </c>
      <c r="K6109" s="4" t="s">
        <v>9</v>
      </c>
      <c r="L6109" s="4" t="s">
        <v>9</v>
      </c>
      <c r="M6109" s="4" t="s">
        <v>9</v>
      </c>
      <c r="N6109" s="5"/>
    </row>
    <row r="6110" spans="1:14" x14ac:dyDescent="0.25">
      <c r="A6110" t="s">
        <v>695</v>
      </c>
      <c r="B6110" s="2">
        <v>46267</v>
      </c>
      <c r="C6110" t="s">
        <v>695</v>
      </c>
      <c r="D6110" t="s">
        <v>112</v>
      </c>
      <c r="E6110" t="s">
        <v>9</v>
      </c>
      <c r="F6110" s="3">
        <v>-9900</v>
      </c>
      <c r="G6110" s="3">
        <v>-9900</v>
      </c>
      <c r="H6110" t="s">
        <v>3</v>
      </c>
      <c r="I6110" t="s">
        <v>3</v>
      </c>
      <c r="J6110" t="s">
        <v>9</v>
      </c>
      <c r="K6110" t="s">
        <v>9</v>
      </c>
      <c r="L6110" t="s">
        <v>22</v>
      </c>
      <c r="M6110" t="s">
        <v>114</v>
      </c>
      <c r="N6110" s="2">
        <v>46265</v>
      </c>
    </row>
    <row r="6111" spans="1:14" x14ac:dyDescent="0.25">
      <c r="A6111" t="s">
        <v>695</v>
      </c>
      <c r="B6111" s="2">
        <v>46234</v>
      </c>
      <c r="C6111" t="s">
        <v>695</v>
      </c>
      <c r="D6111" t="s">
        <v>112</v>
      </c>
      <c r="E6111" t="s">
        <v>9</v>
      </c>
      <c r="F6111" s="3">
        <v>-28000</v>
      </c>
      <c r="G6111" s="3">
        <v>-28000</v>
      </c>
      <c r="H6111" t="s">
        <v>3</v>
      </c>
      <c r="I6111" t="s">
        <v>3</v>
      </c>
      <c r="J6111" t="s">
        <v>319</v>
      </c>
      <c r="K6111" t="s">
        <v>13</v>
      </c>
      <c r="L6111" t="s">
        <v>22</v>
      </c>
      <c r="M6111" t="s">
        <v>114</v>
      </c>
      <c r="N6111" s="2">
        <v>46235</v>
      </c>
    </row>
    <row r="6112" spans="1:14" x14ac:dyDescent="0.25">
      <c r="A6112" t="s">
        <v>695</v>
      </c>
      <c r="B6112" s="2">
        <v>46265</v>
      </c>
      <c r="C6112" t="s">
        <v>695</v>
      </c>
      <c r="D6112" t="s">
        <v>112</v>
      </c>
      <c r="E6112" t="s">
        <v>9</v>
      </c>
      <c r="F6112" s="3">
        <v>37900</v>
      </c>
      <c r="G6112" s="3">
        <v>37900</v>
      </c>
      <c r="H6112" t="s">
        <v>3</v>
      </c>
      <c r="I6112" t="s">
        <v>3</v>
      </c>
      <c r="J6112" t="s">
        <v>322</v>
      </c>
      <c r="K6112" t="s">
        <v>13</v>
      </c>
      <c r="L6112" t="s">
        <v>22</v>
      </c>
      <c r="M6112" t="s">
        <v>114</v>
      </c>
      <c r="N6112" s="2">
        <v>46265</v>
      </c>
    </row>
    <row r="6113" spans="1:14" x14ac:dyDescent="0.25">
      <c r="A6113" s="4" t="s">
        <v>267</v>
      </c>
      <c r="B6113" s="5"/>
      <c r="C6113" s="4" t="s">
        <v>9</v>
      </c>
      <c r="D6113" s="4" t="s">
        <v>9</v>
      </c>
      <c r="E6113" s="4" t="s">
        <v>9</v>
      </c>
      <c r="F6113" s="6">
        <v>0</v>
      </c>
      <c r="G6113" s="6">
        <v>0</v>
      </c>
      <c r="H6113" s="4" t="s">
        <v>9</v>
      </c>
      <c r="I6113" s="4" t="s">
        <v>3</v>
      </c>
      <c r="J6113" s="4" t="s">
        <v>9</v>
      </c>
      <c r="K6113" s="4" t="s">
        <v>9</v>
      </c>
      <c r="L6113" s="4" t="s">
        <v>9</v>
      </c>
      <c r="M6113" s="4" t="s">
        <v>9</v>
      </c>
      <c r="N6113" s="5"/>
    </row>
    <row r="6114" spans="1:14" x14ac:dyDescent="0.25">
      <c r="A6114" s="4" t="s">
        <v>695</v>
      </c>
      <c r="B6114" s="5"/>
      <c r="C6114" s="4" t="s">
        <v>9</v>
      </c>
      <c r="D6114" s="4" t="s">
        <v>9</v>
      </c>
      <c r="E6114" s="4" t="s">
        <v>9</v>
      </c>
      <c r="F6114" s="6">
        <v>0</v>
      </c>
      <c r="G6114" s="6">
        <v>0</v>
      </c>
      <c r="H6114" s="4" t="s">
        <v>9</v>
      </c>
      <c r="I6114" s="4" t="s">
        <v>3</v>
      </c>
      <c r="J6114" s="4" t="s">
        <v>9</v>
      </c>
      <c r="K6114" s="4" t="s">
        <v>9</v>
      </c>
      <c r="L6114" s="4" t="s">
        <v>9</v>
      </c>
      <c r="M6114" s="4" t="s">
        <v>9</v>
      </c>
      <c r="N6114" s="5"/>
    </row>
    <row r="6115" spans="1:14" x14ac:dyDescent="0.25">
      <c r="A6115" t="s">
        <v>696</v>
      </c>
      <c r="B6115" s="2">
        <v>46175</v>
      </c>
      <c r="C6115" t="s">
        <v>696</v>
      </c>
      <c r="D6115" t="s">
        <v>51</v>
      </c>
      <c r="E6115" t="s">
        <v>9</v>
      </c>
      <c r="F6115" s="3">
        <v>-20000</v>
      </c>
      <c r="G6115" s="3">
        <v>-20000</v>
      </c>
      <c r="H6115" t="s">
        <v>3</v>
      </c>
      <c r="I6115" t="s">
        <v>3</v>
      </c>
      <c r="J6115" t="s">
        <v>9</v>
      </c>
      <c r="K6115" t="s">
        <v>9</v>
      </c>
      <c r="L6115" t="s">
        <v>18</v>
      </c>
      <c r="M6115" t="s">
        <v>53</v>
      </c>
      <c r="N6115" s="2">
        <v>46173</v>
      </c>
    </row>
    <row r="6116" spans="1:14" x14ac:dyDescent="0.25">
      <c r="A6116" t="s">
        <v>696</v>
      </c>
      <c r="B6116" s="2">
        <v>46164</v>
      </c>
      <c r="C6116" t="s">
        <v>696</v>
      </c>
      <c r="D6116" t="s">
        <v>51</v>
      </c>
      <c r="E6116" t="s">
        <v>697</v>
      </c>
      <c r="F6116" s="3">
        <v>20000</v>
      </c>
      <c r="G6116" s="3">
        <v>20000</v>
      </c>
      <c r="H6116" t="s">
        <v>3</v>
      </c>
      <c r="I6116" t="s">
        <v>3</v>
      </c>
      <c r="J6116" t="s">
        <v>698</v>
      </c>
      <c r="K6116" t="s">
        <v>13</v>
      </c>
      <c r="L6116" t="s">
        <v>18</v>
      </c>
      <c r="M6116" t="s">
        <v>53</v>
      </c>
      <c r="N6116" s="2">
        <v>46164</v>
      </c>
    </row>
    <row r="6117" spans="1:14" x14ac:dyDescent="0.25">
      <c r="A6117" s="4" t="s">
        <v>223</v>
      </c>
      <c r="B6117" s="5"/>
      <c r="C6117" s="4" t="s">
        <v>9</v>
      </c>
      <c r="D6117" s="4" t="s">
        <v>9</v>
      </c>
      <c r="E6117" s="4" t="s">
        <v>9</v>
      </c>
      <c r="F6117" s="6">
        <v>0</v>
      </c>
      <c r="G6117" s="6">
        <v>0</v>
      </c>
      <c r="H6117" s="4" t="s">
        <v>9</v>
      </c>
      <c r="I6117" s="4" t="s">
        <v>3</v>
      </c>
      <c r="J6117" s="4" t="s">
        <v>9</v>
      </c>
      <c r="K6117" s="4" t="s">
        <v>9</v>
      </c>
      <c r="L6117" s="4" t="s">
        <v>9</v>
      </c>
      <c r="M6117" s="4" t="s">
        <v>9</v>
      </c>
      <c r="N6117" s="5"/>
    </row>
    <row r="6118" spans="1:14" x14ac:dyDescent="0.25">
      <c r="A6118" s="4" t="s">
        <v>696</v>
      </c>
      <c r="B6118" s="5"/>
      <c r="C6118" s="4" t="s">
        <v>9</v>
      </c>
      <c r="D6118" s="4" t="s">
        <v>9</v>
      </c>
      <c r="E6118" s="4" t="s">
        <v>9</v>
      </c>
      <c r="F6118" s="6">
        <v>0</v>
      </c>
      <c r="G6118" s="6">
        <v>0</v>
      </c>
      <c r="H6118" s="4" t="s">
        <v>9</v>
      </c>
      <c r="I6118" s="4" t="s">
        <v>3</v>
      </c>
      <c r="J6118" s="4" t="s">
        <v>9</v>
      </c>
      <c r="K6118" s="4" t="s">
        <v>9</v>
      </c>
      <c r="L6118" s="4" t="s">
        <v>9</v>
      </c>
      <c r="M6118" s="4" t="s">
        <v>9</v>
      </c>
      <c r="N6118" s="5"/>
    </row>
    <row r="6119" spans="1:14" x14ac:dyDescent="0.25">
      <c r="A6119" t="s">
        <v>699</v>
      </c>
      <c r="B6119" s="2">
        <v>46147</v>
      </c>
      <c r="C6119" t="s">
        <v>699</v>
      </c>
      <c r="D6119" t="s">
        <v>112</v>
      </c>
      <c r="E6119" t="s">
        <v>9</v>
      </c>
      <c r="F6119" s="3">
        <v>-41702.5</v>
      </c>
      <c r="G6119" s="3">
        <v>-41702.5</v>
      </c>
      <c r="H6119" t="s">
        <v>3</v>
      </c>
      <c r="I6119" t="s">
        <v>3</v>
      </c>
      <c r="J6119" t="s">
        <v>9</v>
      </c>
      <c r="K6119" t="s">
        <v>9</v>
      </c>
      <c r="L6119" t="s">
        <v>17</v>
      </c>
      <c r="M6119" t="s">
        <v>114</v>
      </c>
      <c r="N6119" s="2">
        <v>46142</v>
      </c>
    </row>
    <row r="6120" spans="1:14" x14ac:dyDescent="0.25">
      <c r="A6120" t="s">
        <v>699</v>
      </c>
      <c r="B6120" s="2">
        <v>46147</v>
      </c>
      <c r="C6120" t="s">
        <v>699</v>
      </c>
      <c r="D6120" t="s">
        <v>301</v>
      </c>
      <c r="E6120" t="s">
        <v>9</v>
      </c>
      <c r="F6120" s="3">
        <v>41702.5</v>
      </c>
      <c r="G6120" s="3">
        <v>41702.5</v>
      </c>
      <c r="H6120" t="s">
        <v>3</v>
      </c>
      <c r="I6120" t="s">
        <v>3</v>
      </c>
      <c r="J6120" t="s">
        <v>9</v>
      </c>
      <c r="K6120" t="s">
        <v>9</v>
      </c>
      <c r="L6120" t="s">
        <v>17</v>
      </c>
      <c r="M6120" t="s">
        <v>302</v>
      </c>
      <c r="N6120" s="2">
        <v>46142</v>
      </c>
    </row>
    <row r="6121" spans="1:14" x14ac:dyDescent="0.25">
      <c r="A6121" t="s">
        <v>699</v>
      </c>
      <c r="B6121" s="2">
        <v>46142</v>
      </c>
      <c r="C6121" t="s">
        <v>699</v>
      </c>
      <c r="D6121" t="s">
        <v>112</v>
      </c>
      <c r="E6121" t="s">
        <v>9</v>
      </c>
      <c r="F6121" s="3">
        <v>41702.5</v>
      </c>
      <c r="G6121" s="3">
        <v>41702.5</v>
      </c>
      <c r="H6121" t="s">
        <v>3</v>
      </c>
      <c r="I6121" t="s">
        <v>3</v>
      </c>
      <c r="J6121" t="s">
        <v>423</v>
      </c>
      <c r="K6121" t="s">
        <v>13</v>
      </c>
      <c r="L6121" t="s">
        <v>17</v>
      </c>
      <c r="M6121" t="s">
        <v>114</v>
      </c>
      <c r="N6121" s="2">
        <v>46142</v>
      </c>
    </row>
    <row r="6122" spans="1:14" x14ac:dyDescent="0.25">
      <c r="A6122" t="s">
        <v>699</v>
      </c>
      <c r="B6122" s="2">
        <v>46142</v>
      </c>
      <c r="C6122" t="s">
        <v>699</v>
      </c>
      <c r="D6122" t="s">
        <v>301</v>
      </c>
      <c r="E6122" t="s">
        <v>9</v>
      </c>
      <c r="F6122" s="3">
        <v>-41702.5</v>
      </c>
      <c r="G6122" s="3">
        <v>-41702.5</v>
      </c>
      <c r="H6122" t="s">
        <v>3</v>
      </c>
      <c r="I6122" t="s">
        <v>3</v>
      </c>
      <c r="J6122" t="s">
        <v>10</v>
      </c>
      <c r="K6122" t="s">
        <v>13</v>
      </c>
      <c r="L6122" t="s">
        <v>17</v>
      </c>
      <c r="M6122" t="s">
        <v>302</v>
      </c>
      <c r="N6122" s="2">
        <v>46142</v>
      </c>
    </row>
    <row r="6123" spans="1:14" x14ac:dyDescent="0.25">
      <c r="A6123" s="4" t="s">
        <v>249</v>
      </c>
      <c r="B6123" s="5"/>
      <c r="C6123" s="4" t="s">
        <v>9</v>
      </c>
      <c r="D6123" s="4" t="s">
        <v>9</v>
      </c>
      <c r="E6123" s="4" t="s">
        <v>9</v>
      </c>
      <c r="F6123" s="6">
        <v>0</v>
      </c>
      <c r="G6123" s="6">
        <v>0</v>
      </c>
      <c r="H6123" s="4" t="s">
        <v>9</v>
      </c>
      <c r="I6123" s="4" t="s">
        <v>3</v>
      </c>
      <c r="J6123" s="4" t="s">
        <v>9</v>
      </c>
      <c r="K6123" s="4" t="s">
        <v>9</v>
      </c>
      <c r="L6123" s="4" t="s">
        <v>9</v>
      </c>
      <c r="M6123" s="4" t="s">
        <v>9</v>
      </c>
      <c r="N6123" s="5"/>
    </row>
    <row r="6124" spans="1:14" x14ac:dyDescent="0.25">
      <c r="A6124" t="s">
        <v>699</v>
      </c>
      <c r="B6124" s="2">
        <v>46175</v>
      </c>
      <c r="C6124" t="s">
        <v>699</v>
      </c>
      <c r="D6124" t="s">
        <v>112</v>
      </c>
      <c r="E6124" t="s">
        <v>9</v>
      </c>
      <c r="F6124" s="3">
        <v>-5287.5</v>
      </c>
      <c r="G6124" s="3">
        <v>-5287.5</v>
      </c>
      <c r="H6124" t="s">
        <v>3</v>
      </c>
      <c r="I6124" t="s">
        <v>3</v>
      </c>
      <c r="J6124" t="s">
        <v>9</v>
      </c>
      <c r="K6124" t="s">
        <v>9</v>
      </c>
      <c r="L6124" t="s">
        <v>18</v>
      </c>
      <c r="M6124" t="s">
        <v>114</v>
      </c>
      <c r="N6124" s="2">
        <v>46173</v>
      </c>
    </row>
    <row r="6125" spans="1:14" x14ac:dyDescent="0.25">
      <c r="A6125" t="s">
        <v>699</v>
      </c>
      <c r="B6125" s="2">
        <v>46175</v>
      </c>
      <c r="C6125" t="s">
        <v>699</v>
      </c>
      <c r="D6125" t="s">
        <v>301</v>
      </c>
      <c r="E6125" t="s">
        <v>9</v>
      </c>
      <c r="F6125" s="3">
        <v>5287.5</v>
      </c>
      <c r="G6125" s="3">
        <v>5287.5</v>
      </c>
      <c r="H6125" t="s">
        <v>3</v>
      </c>
      <c r="I6125" t="s">
        <v>3</v>
      </c>
      <c r="J6125" t="s">
        <v>9</v>
      </c>
      <c r="K6125" t="s">
        <v>9</v>
      </c>
      <c r="L6125" t="s">
        <v>18</v>
      </c>
      <c r="M6125" t="s">
        <v>302</v>
      </c>
      <c r="N6125" s="2">
        <v>46173</v>
      </c>
    </row>
    <row r="6126" spans="1:14" x14ac:dyDescent="0.25">
      <c r="A6126" t="s">
        <v>699</v>
      </c>
      <c r="B6126" s="2">
        <v>46142</v>
      </c>
      <c r="C6126" t="s">
        <v>699</v>
      </c>
      <c r="D6126" t="s">
        <v>112</v>
      </c>
      <c r="E6126" t="s">
        <v>9</v>
      </c>
      <c r="F6126" s="3">
        <v>-41702.5</v>
      </c>
      <c r="G6126" s="3">
        <v>-41702.5</v>
      </c>
      <c r="H6126" t="s">
        <v>3</v>
      </c>
      <c r="I6126" t="s">
        <v>3</v>
      </c>
      <c r="J6126" t="s">
        <v>423</v>
      </c>
      <c r="K6126" t="s">
        <v>13</v>
      </c>
      <c r="L6126" t="s">
        <v>18</v>
      </c>
      <c r="M6126" t="s">
        <v>114</v>
      </c>
      <c r="N6126" s="2">
        <v>46143</v>
      </c>
    </row>
    <row r="6127" spans="1:14" x14ac:dyDescent="0.25">
      <c r="A6127" t="s">
        <v>699</v>
      </c>
      <c r="B6127" s="2">
        <v>46173</v>
      </c>
      <c r="C6127" t="s">
        <v>699</v>
      </c>
      <c r="D6127" t="s">
        <v>112</v>
      </c>
      <c r="E6127" t="s">
        <v>9</v>
      </c>
      <c r="F6127" s="3">
        <v>46990</v>
      </c>
      <c r="G6127" s="3">
        <v>46990</v>
      </c>
      <c r="H6127" t="s">
        <v>3</v>
      </c>
      <c r="I6127" t="s">
        <v>3</v>
      </c>
      <c r="J6127" t="s">
        <v>427</v>
      </c>
      <c r="K6127" t="s">
        <v>13</v>
      </c>
      <c r="L6127" t="s">
        <v>18</v>
      </c>
      <c r="M6127" t="s">
        <v>114</v>
      </c>
      <c r="N6127" s="2">
        <v>46173</v>
      </c>
    </row>
    <row r="6128" spans="1:14" x14ac:dyDescent="0.25">
      <c r="A6128" t="s">
        <v>699</v>
      </c>
      <c r="B6128" s="2">
        <v>46173</v>
      </c>
      <c r="C6128" t="s">
        <v>699</v>
      </c>
      <c r="D6128" t="s">
        <v>301</v>
      </c>
      <c r="E6128" t="s">
        <v>9</v>
      </c>
      <c r="F6128" s="3">
        <v>-5287.5</v>
      </c>
      <c r="G6128" s="3">
        <v>-5287.5</v>
      </c>
      <c r="H6128" t="s">
        <v>3</v>
      </c>
      <c r="I6128" t="s">
        <v>3</v>
      </c>
      <c r="J6128" t="s">
        <v>10</v>
      </c>
      <c r="K6128" t="s">
        <v>13</v>
      </c>
      <c r="L6128" t="s">
        <v>18</v>
      </c>
      <c r="M6128" t="s">
        <v>302</v>
      </c>
      <c r="N6128" s="2">
        <v>46173</v>
      </c>
    </row>
    <row r="6129" spans="1:14" x14ac:dyDescent="0.25">
      <c r="A6129" s="4" t="s">
        <v>223</v>
      </c>
      <c r="B6129" s="5"/>
      <c r="C6129" s="4" t="s">
        <v>9</v>
      </c>
      <c r="D6129" s="4" t="s">
        <v>9</v>
      </c>
      <c r="E6129" s="4" t="s">
        <v>9</v>
      </c>
      <c r="F6129" s="6">
        <v>0</v>
      </c>
      <c r="G6129" s="6">
        <v>0</v>
      </c>
      <c r="H6129" s="4" t="s">
        <v>9</v>
      </c>
      <c r="I6129" s="4" t="s">
        <v>3</v>
      </c>
      <c r="J6129" s="4" t="s">
        <v>9</v>
      </c>
      <c r="K6129" s="4" t="s">
        <v>9</v>
      </c>
      <c r="L6129" s="4" t="s">
        <v>9</v>
      </c>
      <c r="M6129" s="4" t="s">
        <v>9</v>
      </c>
      <c r="N6129" s="5"/>
    </row>
    <row r="6130" spans="1:14" x14ac:dyDescent="0.25">
      <c r="A6130" t="s">
        <v>699</v>
      </c>
      <c r="B6130" s="2">
        <v>46205</v>
      </c>
      <c r="C6130" t="s">
        <v>699</v>
      </c>
      <c r="D6130" t="s">
        <v>112</v>
      </c>
      <c r="E6130" t="s">
        <v>9</v>
      </c>
      <c r="F6130" s="3">
        <v>-2391.06</v>
      </c>
      <c r="G6130" s="3">
        <v>-2391.06</v>
      </c>
      <c r="H6130" t="s">
        <v>3</v>
      </c>
      <c r="I6130" t="s">
        <v>3</v>
      </c>
      <c r="J6130" t="s">
        <v>9</v>
      </c>
      <c r="K6130" t="s">
        <v>9</v>
      </c>
      <c r="L6130" t="s">
        <v>19</v>
      </c>
      <c r="M6130" t="s">
        <v>114</v>
      </c>
      <c r="N6130" s="2">
        <v>46203</v>
      </c>
    </row>
    <row r="6131" spans="1:14" x14ac:dyDescent="0.25">
      <c r="A6131" t="s">
        <v>699</v>
      </c>
      <c r="B6131" s="2">
        <v>46205</v>
      </c>
      <c r="C6131" t="s">
        <v>699</v>
      </c>
      <c r="D6131" t="s">
        <v>301</v>
      </c>
      <c r="E6131" t="s">
        <v>9</v>
      </c>
      <c r="F6131" s="3">
        <v>2391.06</v>
      </c>
      <c r="G6131" s="3">
        <v>2391.06</v>
      </c>
      <c r="H6131" t="s">
        <v>3</v>
      </c>
      <c r="I6131" t="s">
        <v>3</v>
      </c>
      <c r="J6131" t="s">
        <v>9</v>
      </c>
      <c r="K6131" t="s">
        <v>9</v>
      </c>
      <c r="L6131" t="s">
        <v>19</v>
      </c>
      <c r="M6131" t="s">
        <v>302</v>
      </c>
      <c r="N6131" s="2">
        <v>46203</v>
      </c>
    </row>
    <row r="6132" spans="1:14" x14ac:dyDescent="0.25">
      <c r="A6132" t="s">
        <v>699</v>
      </c>
      <c r="B6132" s="2">
        <v>46173</v>
      </c>
      <c r="C6132" t="s">
        <v>699</v>
      </c>
      <c r="D6132" t="s">
        <v>112</v>
      </c>
      <c r="E6132" t="s">
        <v>9</v>
      </c>
      <c r="F6132" s="3">
        <v>-46990</v>
      </c>
      <c r="G6132" s="3">
        <v>-46990</v>
      </c>
      <c r="H6132" t="s">
        <v>3</v>
      </c>
      <c r="I6132" t="s">
        <v>3</v>
      </c>
      <c r="J6132" t="s">
        <v>427</v>
      </c>
      <c r="K6132" t="s">
        <v>13</v>
      </c>
      <c r="L6132" t="s">
        <v>19</v>
      </c>
      <c r="M6132" t="s">
        <v>114</v>
      </c>
      <c r="N6132" s="2">
        <v>46174</v>
      </c>
    </row>
    <row r="6133" spans="1:14" x14ac:dyDescent="0.25">
      <c r="A6133" t="s">
        <v>699</v>
      </c>
      <c r="B6133" s="2">
        <v>46203</v>
      </c>
      <c r="C6133" t="s">
        <v>699</v>
      </c>
      <c r="D6133" t="s">
        <v>112</v>
      </c>
      <c r="E6133" t="s">
        <v>9</v>
      </c>
      <c r="F6133" s="3">
        <v>49381.06</v>
      </c>
      <c r="G6133" s="3">
        <v>49381.06</v>
      </c>
      <c r="H6133" t="s">
        <v>3</v>
      </c>
      <c r="I6133" t="s">
        <v>3</v>
      </c>
      <c r="J6133" t="s">
        <v>428</v>
      </c>
      <c r="K6133" t="s">
        <v>13</v>
      </c>
      <c r="L6133" t="s">
        <v>19</v>
      </c>
      <c r="M6133" t="s">
        <v>114</v>
      </c>
      <c r="N6133" s="2">
        <v>46203</v>
      </c>
    </row>
    <row r="6134" spans="1:14" x14ac:dyDescent="0.25">
      <c r="A6134" t="s">
        <v>699</v>
      </c>
      <c r="B6134" s="2">
        <v>46203</v>
      </c>
      <c r="C6134" t="s">
        <v>699</v>
      </c>
      <c r="D6134" t="s">
        <v>301</v>
      </c>
      <c r="E6134" t="s">
        <v>9</v>
      </c>
      <c r="F6134" s="3">
        <v>-2391.06</v>
      </c>
      <c r="G6134" s="3">
        <v>-2391.06</v>
      </c>
      <c r="H6134" t="s">
        <v>3</v>
      </c>
      <c r="I6134" t="s">
        <v>3</v>
      </c>
      <c r="J6134" t="s">
        <v>10</v>
      </c>
      <c r="K6134" t="s">
        <v>13</v>
      </c>
      <c r="L6134" t="s">
        <v>19</v>
      </c>
      <c r="M6134" t="s">
        <v>302</v>
      </c>
      <c r="N6134" s="2">
        <v>46203</v>
      </c>
    </row>
    <row r="6135" spans="1:14" x14ac:dyDescent="0.25">
      <c r="A6135" s="4" t="s">
        <v>224</v>
      </c>
      <c r="B6135" s="5"/>
      <c r="C6135" s="4" t="s">
        <v>9</v>
      </c>
      <c r="D6135" s="4" t="s">
        <v>9</v>
      </c>
      <c r="E6135" s="4" t="s">
        <v>9</v>
      </c>
      <c r="F6135" s="6">
        <v>0</v>
      </c>
      <c r="G6135" s="6">
        <v>0</v>
      </c>
      <c r="H6135" s="4" t="s">
        <v>9</v>
      </c>
      <c r="I6135" s="4" t="s">
        <v>3</v>
      </c>
      <c r="J6135" s="4" t="s">
        <v>9</v>
      </c>
      <c r="K6135" s="4" t="s">
        <v>9</v>
      </c>
      <c r="L6135" s="4" t="s">
        <v>9</v>
      </c>
      <c r="M6135" s="4" t="s">
        <v>9</v>
      </c>
      <c r="N6135" s="5"/>
    </row>
    <row r="6136" spans="1:14" x14ac:dyDescent="0.25">
      <c r="A6136" t="s">
        <v>699</v>
      </c>
      <c r="B6136" s="2">
        <v>46239</v>
      </c>
      <c r="C6136" t="s">
        <v>699</v>
      </c>
      <c r="D6136" t="s">
        <v>112</v>
      </c>
      <c r="E6136" t="s">
        <v>9</v>
      </c>
      <c r="F6136" s="3">
        <v>-10591.44</v>
      </c>
      <c r="G6136" s="3">
        <v>-10591.44</v>
      </c>
      <c r="H6136" t="s">
        <v>3</v>
      </c>
      <c r="I6136" t="s">
        <v>3</v>
      </c>
      <c r="J6136" t="s">
        <v>9</v>
      </c>
      <c r="K6136" t="s">
        <v>9</v>
      </c>
      <c r="L6136" t="s">
        <v>21</v>
      </c>
      <c r="M6136" t="s">
        <v>114</v>
      </c>
      <c r="N6136" s="2">
        <v>46234</v>
      </c>
    </row>
    <row r="6137" spans="1:14" x14ac:dyDescent="0.25">
      <c r="A6137" t="s">
        <v>699</v>
      </c>
      <c r="B6137" s="2">
        <v>46239</v>
      </c>
      <c r="C6137" t="s">
        <v>699</v>
      </c>
      <c r="D6137" t="s">
        <v>301</v>
      </c>
      <c r="E6137" t="s">
        <v>9</v>
      </c>
      <c r="F6137" s="3">
        <v>10591.44</v>
      </c>
      <c r="G6137" s="3">
        <v>10591.44</v>
      </c>
      <c r="H6137" t="s">
        <v>3</v>
      </c>
      <c r="I6137" t="s">
        <v>3</v>
      </c>
      <c r="J6137" t="s">
        <v>9</v>
      </c>
      <c r="K6137" t="s">
        <v>9</v>
      </c>
      <c r="L6137" t="s">
        <v>21</v>
      </c>
      <c r="M6137" t="s">
        <v>302</v>
      </c>
      <c r="N6137" s="2">
        <v>46234</v>
      </c>
    </row>
    <row r="6138" spans="1:14" x14ac:dyDescent="0.25">
      <c r="A6138" t="s">
        <v>699</v>
      </c>
      <c r="B6138" s="2">
        <v>46203</v>
      </c>
      <c r="C6138" t="s">
        <v>699</v>
      </c>
      <c r="D6138" t="s">
        <v>112</v>
      </c>
      <c r="E6138" t="s">
        <v>9</v>
      </c>
      <c r="F6138" s="3">
        <v>-49381.06</v>
      </c>
      <c r="G6138" s="3">
        <v>-49381.06</v>
      </c>
      <c r="H6138" t="s">
        <v>3</v>
      </c>
      <c r="I6138" t="s">
        <v>3</v>
      </c>
      <c r="J6138" t="s">
        <v>428</v>
      </c>
      <c r="K6138" t="s">
        <v>13</v>
      </c>
      <c r="L6138" t="s">
        <v>21</v>
      </c>
      <c r="M6138" t="s">
        <v>114</v>
      </c>
      <c r="N6138" s="2">
        <v>46204</v>
      </c>
    </row>
    <row r="6139" spans="1:14" x14ac:dyDescent="0.25">
      <c r="A6139" t="s">
        <v>699</v>
      </c>
      <c r="B6139" s="2">
        <v>46234</v>
      </c>
      <c r="C6139" t="s">
        <v>699</v>
      </c>
      <c r="D6139" t="s">
        <v>301</v>
      </c>
      <c r="E6139" t="s">
        <v>9</v>
      </c>
      <c r="F6139" s="3">
        <v>-10591.44</v>
      </c>
      <c r="G6139" s="3">
        <v>-10591.44</v>
      </c>
      <c r="H6139" t="s">
        <v>3</v>
      </c>
      <c r="I6139" t="s">
        <v>3</v>
      </c>
      <c r="J6139" t="s">
        <v>10</v>
      </c>
      <c r="K6139" t="s">
        <v>13</v>
      </c>
      <c r="L6139" t="s">
        <v>21</v>
      </c>
      <c r="M6139" t="s">
        <v>302</v>
      </c>
      <c r="N6139" s="2">
        <v>46234</v>
      </c>
    </row>
    <row r="6140" spans="1:14" x14ac:dyDescent="0.25">
      <c r="A6140" t="s">
        <v>699</v>
      </c>
      <c r="B6140" s="2">
        <v>46234</v>
      </c>
      <c r="C6140" t="s">
        <v>699</v>
      </c>
      <c r="D6140" t="s">
        <v>112</v>
      </c>
      <c r="E6140" t="s">
        <v>9</v>
      </c>
      <c r="F6140" s="3">
        <v>59972.5</v>
      </c>
      <c r="G6140" s="3">
        <v>59972.5</v>
      </c>
      <c r="H6140" t="s">
        <v>3</v>
      </c>
      <c r="I6140" t="s">
        <v>3</v>
      </c>
      <c r="J6140" t="s">
        <v>429</v>
      </c>
      <c r="K6140" t="s">
        <v>13</v>
      </c>
      <c r="L6140" t="s">
        <v>21</v>
      </c>
      <c r="M6140" t="s">
        <v>114</v>
      </c>
      <c r="N6140" s="2">
        <v>46234</v>
      </c>
    </row>
    <row r="6141" spans="1:14" x14ac:dyDescent="0.25">
      <c r="A6141" s="4" t="s">
        <v>262</v>
      </c>
      <c r="B6141" s="5"/>
      <c r="C6141" s="4" t="s">
        <v>9</v>
      </c>
      <c r="D6141" s="4" t="s">
        <v>9</v>
      </c>
      <c r="E6141" s="4" t="s">
        <v>9</v>
      </c>
      <c r="F6141" s="6">
        <v>0</v>
      </c>
      <c r="G6141" s="6">
        <v>0</v>
      </c>
      <c r="H6141" s="4" t="s">
        <v>9</v>
      </c>
      <c r="I6141" s="4" t="s">
        <v>3</v>
      </c>
      <c r="J6141" s="4" t="s">
        <v>9</v>
      </c>
      <c r="K6141" s="4" t="s">
        <v>9</v>
      </c>
      <c r="L6141" s="4" t="s">
        <v>9</v>
      </c>
      <c r="M6141" s="4" t="s">
        <v>9</v>
      </c>
      <c r="N6141" s="5"/>
    </row>
    <row r="6142" spans="1:14" x14ac:dyDescent="0.25">
      <c r="A6142" t="s">
        <v>699</v>
      </c>
      <c r="B6142" s="2">
        <v>46234</v>
      </c>
      <c r="C6142" t="s">
        <v>699</v>
      </c>
      <c r="D6142" t="s">
        <v>112</v>
      </c>
      <c r="E6142" t="s">
        <v>9</v>
      </c>
      <c r="F6142" s="3">
        <v>-59972.5</v>
      </c>
      <c r="G6142" s="3">
        <v>-59972.5</v>
      </c>
      <c r="H6142" t="s">
        <v>3</v>
      </c>
      <c r="I6142" t="s">
        <v>3</v>
      </c>
      <c r="J6142" t="s">
        <v>429</v>
      </c>
      <c r="K6142" t="s">
        <v>13</v>
      </c>
      <c r="L6142" t="s">
        <v>22</v>
      </c>
      <c r="M6142" t="s">
        <v>114</v>
      </c>
      <c r="N6142" s="2">
        <v>46235</v>
      </c>
    </row>
    <row r="6143" spans="1:14" x14ac:dyDescent="0.25">
      <c r="A6143" t="s">
        <v>699</v>
      </c>
      <c r="B6143" s="2">
        <v>46265</v>
      </c>
      <c r="C6143" t="s">
        <v>699</v>
      </c>
      <c r="D6143" t="s">
        <v>112</v>
      </c>
      <c r="E6143" t="s">
        <v>9</v>
      </c>
      <c r="F6143" s="3">
        <v>59972.5</v>
      </c>
      <c r="G6143" s="3">
        <v>59972.5</v>
      </c>
      <c r="H6143" t="s">
        <v>3</v>
      </c>
      <c r="I6143" t="s">
        <v>3</v>
      </c>
      <c r="J6143" t="s">
        <v>431</v>
      </c>
      <c r="K6143" t="s">
        <v>13</v>
      </c>
      <c r="L6143" t="s">
        <v>22</v>
      </c>
      <c r="M6143" t="s">
        <v>114</v>
      </c>
      <c r="N6143" s="2">
        <v>46265</v>
      </c>
    </row>
    <row r="6144" spans="1:14" x14ac:dyDescent="0.25">
      <c r="A6144" s="4" t="s">
        <v>267</v>
      </c>
      <c r="B6144" s="5"/>
      <c r="C6144" s="4" t="s">
        <v>9</v>
      </c>
      <c r="D6144" s="4" t="s">
        <v>9</v>
      </c>
      <c r="E6144" s="4" t="s">
        <v>9</v>
      </c>
      <c r="F6144" s="6">
        <v>0</v>
      </c>
      <c r="G6144" s="6">
        <v>0</v>
      </c>
      <c r="H6144" s="4" t="s">
        <v>9</v>
      </c>
      <c r="I6144" s="4" t="s">
        <v>3</v>
      </c>
      <c r="J6144" s="4" t="s">
        <v>9</v>
      </c>
      <c r="K6144" s="4" t="s">
        <v>9</v>
      </c>
      <c r="L6144" s="4" t="s">
        <v>9</v>
      </c>
      <c r="M6144" s="4" t="s">
        <v>9</v>
      </c>
      <c r="N6144" s="5"/>
    </row>
    <row r="6145" spans="1:14" x14ac:dyDescent="0.25">
      <c r="A6145" s="4" t="s">
        <v>699</v>
      </c>
      <c r="B6145" s="5"/>
      <c r="C6145" s="4" t="s">
        <v>9</v>
      </c>
      <c r="D6145" s="4" t="s">
        <v>9</v>
      </c>
      <c r="E6145" s="4" t="s">
        <v>9</v>
      </c>
      <c r="F6145" s="6">
        <v>0</v>
      </c>
      <c r="G6145" s="6">
        <v>0</v>
      </c>
      <c r="H6145" s="4" t="s">
        <v>9</v>
      </c>
      <c r="I6145" s="4" t="s">
        <v>3</v>
      </c>
      <c r="J6145" s="4" t="s">
        <v>9</v>
      </c>
      <c r="K6145" s="4" t="s">
        <v>9</v>
      </c>
      <c r="L6145" s="4" t="s">
        <v>9</v>
      </c>
      <c r="M6145" s="4" t="s">
        <v>9</v>
      </c>
      <c r="N6145" s="5"/>
    </row>
    <row r="6146" spans="1:14" x14ac:dyDescent="0.25">
      <c r="A6146" t="s">
        <v>700</v>
      </c>
      <c r="B6146" s="2">
        <v>46175</v>
      </c>
      <c r="C6146" t="s">
        <v>700</v>
      </c>
      <c r="D6146" t="s">
        <v>112</v>
      </c>
      <c r="E6146" t="s">
        <v>9</v>
      </c>
      <c r="F6146" s="3">
        <v>-300</v>
      </c>
      <c r="G6146" s="3">
        <v>-300</v>
      </c>
      <c r="H6146" t="s">
        <v>3</v>
      </c>
      <c r="I6146" t="s">
        <v>3</v>
      </c>
      <c r="J6146" t="s">
        <v>9</v>
      </c>
      <c r="K6146" t="s">
        <v>9</v>
      </c>
      <c r="L6146" t="s">
        <v>18</v>
      </c>
      <c r="M6146" t="s">
        <v>114</v>
      </c>
      <c r="N6146" s="2">
        <v>46173</v>
      </c>
    </row>
    <row r="6147" spans="1:14" x14ac:dyDescent="0.25">
      <c r="A6147" t="s">
        <v>700</v>
      </c>
      <c r="B6147" s="2">
        <v>46173</v>
      </c>
      <c r="C6147" t="s">
        <v>700</v>
      </c>
      <c r="D6147" t="s">
        <v>112</v>
      </c>
      <c r="E6147" t="s">
        <v>9</v>
      </c>
      <c r="F6147" s="3">
        <v>300</v>
      </c>
      <c r="G6147" s="3">
        <v>300</v>
      </c>
      <c r="H6147" t="s">
        <v>3</v>
      </c>
      <c r="I6147" t="s">
        <v>3</v>
      </c>
      <c r="J6147" t="s">
        <v>313</v>
      </c>
      <c r="K6147" t="s">
        <v>13</v>
      </c>
      <c r="L6147" t="s">
        <v>18</v>
      </c>
      <c r="M6147" t="s">
        <v>114</v>
      </c>
      <c r="N6147" s="2">
        <v>46173</v>
      </c>
    </row>
    <row r="6148" spans="1:14" x14ac:dyDescent="0.25">
      <c r="A6148" s="4" t="s">
        <v>223</v>
      </c>
      <c r="B6148" s="5"/>
      <c r="C6148" s="4" t="s">
        <v>9</v>
      </c>
      <c r="D6148" s="4" t="s">
        <v>9</v>
      </c>
      <c r="E6148" s="4" t="s">
        <v>9</v>
      </c>
      <c r="F6148" s="6">
        <v>0</v>
      </c>
      <c r="G6148" s="6">
        <v>0</v>
      </c>
      <c r="H6148" s="4" t="s">
        <v>9</v>
      </c>
      <c r="I6148" s="4" t="s">
        <v>3</v>
      </c>
      <c r="J6148" s="4" t="s">
        <v>9</v>
      </c>
      <c r="K6148" s="4" t="s">
        <v>9</v>
      </c>
      <c r="L6148" s="4" t="s">
        <v>9</v>
      </c>
      <c r="M6148" s="4" t="s">
        <v>9</v>
      </c>
      <c r="N6148" s="5"/>
    </row>
    <row r="6149" spans="1:14" x14ac:dyDescent="0.25">
      <c r="A6149" t="s">
        <v>700</v>
      </c>
      <c r="B6149" s="2">
        <v>46205</v>
      </c>
      <c r="C6149" t="s">
        <v>700</v>
      </c>
      <c r="D6149" t="s">
        <v>112</v>
      </c>
      <c r="E6149" t="s">
        <v>9</v>
      </c>
      <c r="F6149" s="3">
        <v>-300</v>
      </c>
      <c r="G6149" s="3">
        <v>-300</v>
      </c>
      <c r="H6149" t="s">
        <v>3</v>
      </c>
      <c r="I6149" t="s">
        <v>3</v>
      </c>
      <c r="J6149" t="s">
        <v>9</v>
      </c>
      <c r="K6149" t="s">
        <v>9</v>
      </c>
      <c r="L6149" t="s">
        <v>19</v>
      </c>
      <c r="M6149" t="s">
        <v>114</v>
      </c>
      <c r="N6149" s="2">
        <v>46203</v>
      </c>
    </row>
    <row r="6150" spans="1:14" x14ac:dyDescent="0.25">
      <c r="A6150" t="s">
        <v>700</v>
      </c>
      <c r="B6150" s="2">
        <v>46173</v>
      </c>
      <c r="C6150" t="s">
        <v>700</v>
      </c>
      <c r="D6150" t="s">
        <v>112</v>
      </c>
      <c r="E6150" t="s">
        <v>9</v>
      </c>
      <c r="F6150" s="3">
        <v>-300</v>
      </c>
      <c r="G6150" s="3">
        <v>-300</v>
      </c>
      <c r="H6150" t="s">
        <v>3</v>
      </c>
      <c r="I6150" t="s">
        <v>3</v>
      </c>
      <c r="J6150" t="s">
        <v>313</v>
      </c>
      <c r="K6150" t="s">
        <v>13</v>
      </c>
      <c r="L6150" t="s">
        <v>19</v>
      </c>
      <c r="M6150" t="s">
        <v>114</v>
      </c>
      <c r="N6150" s="2">
        <v>46174</v>
      </c>
    </row>
    <row r="6151" spans="1:14" x14ac:dyDescent="0.25">
      <c r="A6151" t="s">
        <v>700</v>
      </c>
      <c r="B6151" s="2">
        <v>46203</v>
      </c>
      <c r="C6151" t="s">
        <v>700</v>
      </c>
      <c r="D6151" t="s">
        <v>112</v>
      </c>
      <c r="E6151" t="s">
        <v>9</v>
      </c>
      <c r="F6151" s="3">
        <v>600</v>
      </c>
      <c r="G6151" s="3">
        <v>600</v>
      </c>
      <c r="H6151" t="s">
        <v>3</v>
      </c>
      <c r="I6151" t="s">
        <v>3</v>
      </c>
      <c r="J6151" t="s">
        <v>316</v>
      </c>
      <c r="K6151" t="s">
        <v>13</v>
      </c>
      <c r="L6151" t="s">
        <v>19</v>
      </c>
      <c r="M6151" t="s">
        <v>114</v>
      </c>
      <c r="N6151" s="2">
        <v>46203</v>
      </c>
    </row>
    <row r="6152" spans="1:14" x14ac:dyDescent="0.25">
      <c r="A6152" s="4" t="s">
        <v>224</v>
      </c>
      <c r="B6152" s="5"/>
      <c r="C6152" s="4" t="s">
        <v>9</v>
      </c>
      <c r="D6152" s="4" t="s">
        <v>9</v>
      </c>
      <c r="E6152" s="4" t="s">
        <v>9</v>
      </c>
      <c r="F6152" s="6">
        <v>0</v>
      </c>
      <c r="G6152" s="6">
        <v>0</v>
      </c>
      <c r="H6152" s="4" t="s">
        <v>9</v>
      </c>
      <c r="I6152" s="4" t="s">
        <v>3</v>
      </c>
      <c r="J6152" s="4" t="s">
        <v>9</v>
      </c>
      <c r="K6152" s="4" t="s">
        <v>9</v>
      </c>
      <c r="L6152" s="4" t="s">
        <v>9</v>
      </c>
      <c r="M6152" s="4" t="s">
        <v>9</v>
      </c>
      <c r="N6152" s="5"/>
    </row>
    <row r="6153" spans="1:14" x14ac:dyDescent="0.25">
      <c r="A6153" t="s">
        <v>700</v>
      </c>
      <c r="B6153" s="2">
        <v>46239</v>
      </c>
      <c r="C6153" t="s">
        <v>700</v>
      </c>
      <c r="D6153" t="s">
        <v>112</v>
      </c>
      <c r="E6153" t="s">
        <v>9</v>
      </c>
      <c r="F6153" s="3">
        <v>100</v>
      </c>
      <c r="G6153" s="3">
        <v>100</v>
      </c>
      <c r="H6153" t="s">
        <v>3</v>
      </c>
      <c r="I6153" t="s">
        <v>3</v>
      </c>
      <c r="J6153" t="s">
        <v>9</v>
      </c>
      <c r="K6153" t="s">
        <v>9</v>
      </c>
      <c r="L6153" t="s">
        <v>21</v>
      </c>
      <c r="M6153" t="s">
        <v>114</v>
      </c>
      <c r="N6153" s="2">
        <v>46234</v>
      </c>
    </row>
    <row r="6154" spans="1:14" x14ac:dyDescent="0.25">
      <c r="A6154" t="s">
        <v>700</v>
      </c>
      <c r="B6154" s="2">
        <v>46203</v>
      </c>
      <c r="C6154" t="s">
        <v>700</v>
      </c>
      <c r="D6154" t="s">
        <v>112</v>
      </c>
      <c r="E6154" t="s">
        <v>9</v>
      </c>
      <c r="F6154" s="3">
        <v>-600</v>
      </c>
      <c r="G6154" s="3">
        <v>-600</v>
      </c>
      <c r="H6154" t="s">
        <v>3</v>
      </c>
      <c r="I6154" t="s">
        <v>3</v>
      </c>
      <c r="J6154" t="s">
        <v>316</v>
      </c>
      <c r="K6154" t="s">
        <v>13</v>
      </c>
      <c r="L6154" t="s">
        <v>21</v>
      </c>
      <c r="M6154" t="s">
        <v>114</v>
      </c>
      <c r="N6154" s="2">
        <v>46204</v>
      </c>
    </row>
    <row r="6155" spans="1:14" x14ac:dyDescent="0.25">
      <c r="A6155" t="s">
        <v>700</v>
      </c>
      <c r="B6155" s="2">
        <v>46234</v>
      </c>
      <c r="C6155" t="s">
        <v>700</v>
      </c>
      <c r="D6155" t="s">
        <v>112</v>
      </c>
      <c r="E6155" t="s">
        <v>9</v>
      </c>
      <c r="F6155" s="3">
        <v>500</v>
      </c>
      <c r="G6155" s="3">
        <v>500</v>
      </c>
      <c r="H6155" t="s">
        <v>3</v>
      </c>
      <c r="I6155" t="s">
        <v>3</v>
      </c>
      <c r="J6155" t="s">
        <v>319</v>
      </c>
      <c r="K6155" t="s">
        <v>13</v>
      </c>
      <c r="L6155" t="s">
        <v>21</v>
      </c>
      <c r="M6155" t="s">
        <v>114</v>
      </c>
      <c r="N6155" s="2">
        <v>46234</v>
      </c>
    </row>
    <row r="6156" spans="1:14" x14ac:dyDescent="0.25">
      <c r="A6156" s="4" t="s">
        <v>262</v>
      </c>
      <c r="B6156" s="5"/>
      <c r="C6156" s="4" t="s">
        <v>9</v>
      </c>
      <c r="D6156" s="4" t="s">
        <v>9</v>
      </c>
      <c r="E6156" s="4" t="s">
        <v>9</v>
      </c>
      <c r="F6156" s="6">
        <v>0</v>
      </c>
      <c r="G6156" s="6">
        <v>0</v>
      </c>
      <c r="H6156" s="4" t="s">
        <v>9</v>
      </c>
      <c r="I6156" s="4" t="s">
        <v>3</v>
      </c>
      <c r="J6156" s="4" t="s">
        <v>9</v>
      </c>
      <c r="K6156" s="4" t="s">
        <v>9</v>
      </c>
      <c r="L6156" s="4" t="s">
        <v>9</v>
      </c>
      <c r="M6156" s="4" t="s">
        <v>9</v>
      </c>
      <c r="N6156" s="5"/>
    </row>
    <row r="6157" spans="1:14" x14ac:dyDescent="0.25">
      <c r="A6157" t="s">
        <v>700</v>
      </c>
      <c r="B6157" s="2">
        <v>46234</v>
      </c>
      <c r="C6157" t="s">
        <v>700</v>
      </c>
      <c r="D6157" t="s">
        <v>112</v>
      </c>
      <c r="E6157" t="s">
        <v>9</v>
      </c>
      <c r="F6157" s="3">
        <v>-500</v>
      </c>
      <c r="G6157" s="3">
        <v>-500</v>
      </c>
      <c r="H6157" t="s">
        <v>3</v>
      </c>
      <c r="I6157" t="s">
        <v>3</v>
      </c>
      <c r="J6157" t="s">
        <v>319</v>
      </c>
      <c r="K6157" t="s">
        <v>13</v>
      </c>
      <c r="L6157" t="s">
        <v>22</v>
      </c>
      <c r="M6157" t="s">
        <v>114</v>
      </c>
      <c r="N6157" s="2">
        <v>46235</v>
      </c>
    </row>
    <row r="6158" spans="1:14" x14ac:dyDescent="0.25">
      <c r="A6158" t="s">
        <v>700</v>
      </c>
      <c r="B6158" s="2">
        <v>46265</v>
      </c>
      <c r="C6158" t="s">
        <v>700</v>
      </c>
      <c r="D6158" t="s">
        <v>112</v>
      </c>
      <c r="E6158" t="s">
        <v>9</v>
      </c>
      <c r="F6158" s="3">
        <v>500</v>
      </c>
      <c r="G6158" s="3">
        <v>500</v>
      </c>
      <c r="H6158" t="s">
        <v>3</v>
      </c>
      <c r="I6158" t="s">
        <v>3</v>
      </c>
      <c r="J6158" t="s">
        <v>322</v>
      </c>
      <c r="K6158" t="s">
        <v>13</v>
      </c>
      <c r="L6158" t="s">
        <v>22</v>
      </c>
      <c r="M6158" t="s">
        <v>114</v>
      </c>
      <c r="N6158" s="2">
        <v>46265</v>
      </c>
    </row>
    <row r="6159" spans="1:14" x14ac:dyDescent="0.25">
      <c r="A6159" s="4" t="s">
        <v>267</v>
      </c>
      <c r="B6159" s="5"/>
      <c r="C6159" s="4" t="s">
        <v>9</v>
      </c>
      <c r="D6159" s="4" t="s">
        <v>9</v>
      </c>
      <c r="E6159" s="4" t="s">
        <v>9</v>
      </c>
      <c r="F6159" s="6">
        <v>0</v>
      </c>
      <c r="G6159" s="6">
        <v>0</v>
      </c>
      <c r="H6159" s="4" t="s">
        <v>9</v>
      </c>
      <c r="I6159" s="4" t="s">
        <v>3</v>
      </c>
      <c r="J6159" s="4" t="s">
        <v>9</v>
      </c>
      <c r="K6159" s="4" t="s">
        <v>9</v>
      </c>
      <c r="L6159" s="4" t="s">
        <v>9</v>
      </c>
      <c r="M6159" s="4" t="s">
        <v>9</v>
      </c>
      <c r="N6159" s="5"/>
    </row>
    <row r="6160" spans="1:14" x14ac:dyDescent="0.25">
      <c r="A6160" s="4" t="s">
        <v>700</v>
      </c>
      <c r="B6160" s="5"/>
      <c r="C6160" s="4" t="s">
        <v>9</v>
      </c>
      <c r="D6160" s="4" t="s">
        <v>9</v>
      </c>
      <c r="E6160" s="4" t="s">
        <v>9</v>
      </c>
      <c r="F6160" s="6">
        <v>0</v>
      </c>
      <c r="G6160" s="6">
        <v>0</v>
      </c>
      <c r="H6160" s="4" t="s">
        <v>9</v>
      </c>
      <c r="I6160" s="4" t="s">
        <v>3</v>
      </c>
      <c r="J6160" s="4" t="s">
        <v>9</v>
      </c>
      <c r="K6160" s="4" t="s">
        <v>9</v>
      </c>
      <c r="L6160" s="4" t="s">
        <v>9</v>
      </c>
      <c r="M6160" s="4" t="s">
        <v>9</v>
      </c>
      <c r="N6160" s="5"/>
    </row>
    <row r="6161" spans="1:14" x14ac:dyDescent="0.25">
      <c r="A6161" t="s">
        <v>701</v>
      </c>
      <c r="B6161" s="2">
        <v>46239</v>
      </c>
      <c r="C6161" t="s">
        <v>701</v>
      </c>
      <c r="D6161" t="s">
        <v>112</v>
      </c>
      <c r="E6161" t="s">
        <v>9</v>
      </c>
      <c r="F6161" s="3">
        <v>-14805</v>
      </c>
      <c r="G6161" s="3">
        <v>-14805</v>
      </c>
      <c r="H6161" t="s">
        <v>3</v>
      </c>
      <c r="I6161" t="s">
        <v>3</v>
      </c>
      <c r="J6161" t="s">
        <v>9</v>
      </c>
      <c r="K6161" t="s">
        <v>9</v>
      </c>
      <c r="L6161" t="s">
        <v>21</v>
      </c>
      <c r="M6161" t="s">
        <v>114</v>
      </c>
      <c r="N6161" s="2">
        <v>46234</v>
      </c>
    </row>
    <row r="6162" spans="1:14" x14ac:dyDescent="0.25">
      <c r="A6162" t="s">
        <v>701</v>
      </c>
      <c r="B6162" s="2">
        <v>46239</v>
      </c>
      <c r="C6162" t="s">
        <v>701</v>
      </c>
      <c r="D6162" t="s">
        <v>301</v>
      </c>
      <c r="E6162" t="s">
        <v>9</v>
      </c>
      <c r="F6162" s="3">
        <v>14805</v>
      </c>
      <c r="G6162" s="3">
        <v>14805</v>
      </c>
      <c r="H6162" t="s">
        <v>3</v>
      </c>
      <c r="I6162" t="s">
        <v>3</v>
      </c>
      <c r="J6162" t="s">
        <v>9</v>
      </c>
      <c r="K6162" t="s">
        <v>9</v>
      </c>
      <c r="L6162" t="s">
        <v>21</v>
      </c>
      <c r="M6162" t="s">
        <v>302</v>
      </c>
      <c r="N6162" s="2">
        <v>46234</v>
      </c>
    </row>
    <row r="6163" spans="1:14" x14ac:dyDescent="0.25">
      <c r="A6163" t="s">
        <v>701</v>
      </c>
      <c r="B6163" s="2">
        <v>46234</v>
      </c>
      <c r="C6163" t="s">
        <v>701</v>
      </c>
      <c r="D6163" t="s">
        <v>301</v>
      </c>
      <c r="E6163" t="s">
        <v>9</v>
      </c>
      <c r="F6163" s="3">
        <v>-14805</v>
      </c>
      <c r="G6163" s="3">
        <v>-14805</v>
      </c>
      <c r="H6163" t="s">
        <v>3</v>
      </c>
      <c r="I6163" t="s">
        <v>3</v>
      </c>
      <c r="J6163" t="s">
        <v>10</v>
      </c>
      <c r="K6163" t="s">
        <v>13</v>
      </c>
      <c r="L6163" t="s">
        <v>21</v>
      </c>
      <c r="M6163" t="s">
        <v>302</v>
      </c>
      <c r="N6163" s="2">
        <v>46234</v>
      </c>
    </row>
    <row r="6164" spans="1:14" x14ac:dyDescent="0.25">
      <c r="A6164" t="s">
        <v>701</v>
      </c>
      <c r="B6164" s="2">
        <v>46234</v>
      </c>
      <c r="C6164" t="s">
        <v>701</v>
      </c>
      <c r="D6164" t="s">
        <v>112</v>
      </c>
      <c r="E6164" t="s">
        <v>9</v>
      </c>
      <c r="F6164" s="3">
        <v>14805</v>
      </c>
      <c r="G6164" s="3">
        <v>14805</v>
      </c>
      <c r="H6164" t="s">
        <v>3</v>
      </c>
      <c r="I6164" t="s">
        <v>3</v>
      </c>
      <c r="J6164" t="s">
        <v>429</v>
      </c>
      <c r="K6164" t="s">
        <v>13</v>
      </c>
      <c r="L6164" t="s">
        <v>21</v>
      </c>
      <c r="M6164" t="s">
        <v>114</v>
      </c>
      <c r="N6164" s="2">
        <v>46234</v>
      </c>
    </row>
    <row r="6165" spans="1:14" x14ac:dyDescent="0.25">
      <c r="A6165" s="4" t="s">
        <v>262</v>
      </c>
      <c r="B6165" s="5"/>
      <c r="C6165" s="4" t="s">
        <v>9</v>
      </c>
      <c r="D6165" s="4" t="s">
        <v>9</v>
      </c>
      <c r="E6165" s="4" t="s">
        <v>9</v>
      </c>
      <c r="F6165" s="6">
        <v>0</v>
      </c>
      <c r="G6165" s="6">
        <v>0</v>
      </c>
      <c r="H6165" s="4" t="s">
        <v>9</v>
      </c>
      <c r="I6165" s="4" t="s">
        <v>3</v>
      </c>
      <c r="J6165" s="4" t="s">
        <v>9</v>
      </c>
      <c r="K6165" s="4" t="s">
        <v>9</v>
      </c>
      <c r="L6165" s="4" t="s">
        <v>9</v>
      </c>
      <c r="M6165" s="4" t="s">
        <v>9</v>
      </c>
      <c r="N6165" s="5"/>
    </row>
    <row r="6166" spans="1:14" x14ac:dyDescent="0.25">
      <c r="A6166" t="s">
        <v>701</v>
      </c>
      <c r="B6166" s="2">
        <v>46267</v>
      </c>
      <c r="C6166" t="s">
        <v>701</v>
      </c>
      <c r="D6166" t="s">
        <v>112</v>
      </c>
      <c r="E6166" t="s">
        <v>9</v>
      </c>
      <c r="F6166" s="3">
        <v>-3360</v>
      </c>
      <c r="G6166" s="3">
        <v>-3360</v>
      </c>
      <c r="H6166" t="s">
        <v>3</v>
      </c>
      <c r="I6166" t="s">
        <v>3</v>
      </c>
      <c r="J6166" t="s">
        <v>9</v>
      </c>
      <c r="K6166" t="s">
        <v>9</v>
      </c>
      <c r="L6166" t="s">
        <v>22</v>
      </c>
      <c r="M6166" t="s">
        <v>114</v>
      </c>
      <c r="N6166" s="2">
        <v>46265</v>
      </c>
    </row>
    <row r="6167" spans="1:14" x14ac:dyDescent="0.25">
      <c r="A6167" t="s">
        <v>701</v>
      </c>
      <c r="B6167" s="2">
        <v>46267</v>
      </c>
      <c r="C6167" t="s">
        <v>701</v>
      </c>
      <c r="D6167" t="s">
        <v>301</v>
      </c>
      <c r="E6167" t="s">
        <v>9</v>
      </c>
      <c r="F6167" s="3">
        <v>3360</v>
      </c>
      <c r="G6167" s="3">
        <v>3360</v>
      </c>
      <c r="H6167" t="s">
        <v>3</v>
      </c>
      <c r="I6167" t="s">
        <v>3</v>
      </c>
      <c r="J6167" t="s">
        <v>9</v>
      </c>
      <c r="K6167" t="s">
        <v>9</v>
      </c>
      <c r="L6167" t="s">
        <v>22</v>
      </c>
      <c r="M6167" t="s">
        <v>302</v>
      </c>
      <c r="N6167" s="2">
        <v>46265</v>
      </c>
    </row>
    <row r="6168" spans="1:14" x14ac:dyDescent="0.25">
      <c r="A6168" t="s">
        <v>701</v>
      </c>
      <c r="B6168" s="2">
        <v>46234</v>
      </c>
      <c r="C6168" t="s">
        <v>701</v>
      </c>
      <c r="D6168" t="s">
        <v>112</v>
      </c>
      <c r="E6168" t="s">
        <v>9</v>
      </c>
      <c r="F6168" s="3">
        <v>-14805</v>
      </c>
      <c r="G6168" s="3">
        <v>-14805</v>
      </c>
      <c r="H6168" t="s">
        <v>3</v>
      </c>
      <c r="I6168" t="s">
        <v>3</v>
      </c>
      <c r="J6168" t="s">
        <v>429</v>
      </c>
      <c r="K6168" t="s">
        <v>13</v>
      </c>
      <c r="L6168" t="s">
        <v>22</v>
      </c>
      <c r="M6168" t="s">
        <v>114</v>
      </c>
      <c r="N6168" s="2">
        <v>46235</v>
      </c>
    </row>
    <row r="6169" spans="1:14" x14ac:dyDescent="0.25">
      <c r="A6169" t="s">
        <v>701</v>
      </c>
      <c r="B6169" s="2">
        <v>46265</v>
      </c>
      <c r="C6169" t="s">
        <v>701</v>
      </c>
      <c r="D6169" t="s">
        <v>112</v>
      </c>
      <c r="E6169" t="s">
        <v>9</v>
      </c>
      <c r="F6169" s="3">
        <v>18165</v>
      </c>
      <c r="G6169" s="3">
        <v>18165</v>
      </c>
      <c r="H6169" t="s">
        <v>3</v>
      </c>
      <c r="I6169" t="s">
        <v>3</v>
      </c>
      <c r="J6169" t="s">
        <v>431</v>
      </c>
      <c r="K6169" t="s">
        <v>13</v>
      </c>
      <c r="L6169" t="s">
        <v>22</v>
      </c>
      <c r="M6169" t="s">
        <v>114</v>
      </c>
      <c r="N6169" s="2">
        <v>46265</v>
      </c>
    </row>
    <row r="6170" spans="1:14" x14ac:dyDescent="0.25">
      <c r="A6170" t="s">
        <v>701</v>
      </c>
      <c r="B6170" s="2">
        <v>46265</v>
      </c>
      <c r="C6170" t="s">
        <v>701</v>
      </c>
      <c r="D6170" t="s">
        <v>301</v>
      </c>
      <c r="E6170" t="s">
        <v>9</v>
      </c>
      <c r="F6170" s="3">
        <v>-3360</v>
      </c>
      <c r="G6170" s="3">
        <v>-3360</v>
      </c>
      <c r="H6170" t="s">
        <v>3</v>
      </c>
      <c r="I6170" t="s">
        <v>3</v>
      </c>
      <c r="J6170" t="s">
        <v>10</v>
      </c>
      <c r="K6170" t="s">
        <v>13</v>
      </c>
      <c r="L6170" t="s">
        <v>22</v>
      </c>
      <c r="M6170" t="s">
        <v>302</v>
      </c>
      <c r="N6170" s="2">
        <v>46265</v>
      </c>
    </row>
    <row r="6171" spans="1:14" x14ac:dyDescent="0.25">
      <c r="A6171" s="4" t="s">
        <v>267</v>
      </c>
      <c r="B6171" s="5"/>
      <c r="C6171" s="4" t="s">
        <v>9</v>
      </c>
      <c r="D6171" s="4" t="s">
        <v>9</v>
      </c>
      <c r="E6171" s="4" t="s">
        <v>9</v>
      </c>
      <c r="F6171" s="6">
        <v>0</v>
      </c>
      <c r="G6171" s="6">
        <v>0</v>
      </c>
      <c r="H6171" s="4" t="s">
        <v>9</v>
      </c>
      <c r="I6171" s="4" t="s">
        <v>3</v>
      </c>
      <c r="J6171" s="4" t="s">
        <v>9</v>
      </c>
      <c r="K6171" s="4" t="s">
        <v>9</v>
      </c>
      <c r="L6171" s="4" t="s">
        <v>9</v>
      </c>
      <c r="M6171" s="4" t="s">
        <v>9</v>
      </c>
      <c r="N6171" s="5"/>
    </row>
    <row r="6172" spans="1:14" x14ac:dyDescent="0.25">
      <c r="A6172" s="4" t="s">
        <v>701</v>
      </c>
      <c r="B6172" s="5"/>
      <c r="C6172" s="4" t="s">
        <v>9</v>
      </c>
      <c r="D6172" s="4" t="s">
        <v>9</v>
      </c>
      <c r="E6172" s="4" t="s">
        <v>9</v>
      </c>
      <c r="F6172" s="6">
        <v>0</v>
      </c>
      <c r="G6172" s="6">
        <v>0</v>
      </c>
      <c r="H6172" s="4" t="s">
        <v>9</v>
      </c>
      <c r="I6172" s="4" t="s">
        <v>3</v>
      </c>
      <c r="J6172" s="4" t="s">
        <v>9</v>
      </c>
      <c r="K6172" s="4" t="s">
        <v>9</v>
      </c>
      <c r="L6172" s="4" t="s">
        <v>9</v>
      </c>
      <c r="M6172" s="4" t="s">
        <v>9</v>
      </c>
      <c r="N6172" s="5"/>
    </row>
    <row r="6173" spans="1:14" x14ac:dyDescent="0.25">
      <c r="A6173" t="s">
        <v>702</v>
      </c>
      <c r="B6173" s="2">
        <v>46175</v>
      </c>
      <c r="C6173" t="s">
        <v>702</v>
      </c>
      <c r="D6173" t="s">
        <v>112</v>
      </c>
      <c r="E6173" t="s">
        <v>9</v>
      </c>
      <c r="F6173" s="3">
        <v>-41800</v>
      </c>
      <c r="G6173" s="3">
        <v>-41800</v>
      </c>
      <c r="H6173" t="s">
        <v>3</v>
      </c>
      <c r="I6173" t="s">
        <v>3</v>
      </c>
      <c r="J6173" t="s">
        <v>9</v>
      </c>
      <c r="K6173" t="s">
        <v>9</v>
      </c>
      <c r="L6173" t="s">
        <v>18</v>
      </c>
      <c r="M6173" t="s">
        <v>114</v>
      </c>
      <c r="N6173" s="2">
        <v>46173</v>
      </c>
    </row>
    <row r="6174" spans="1:14" x14ac:dyDescent="0.25">
      <c r="A6174" t="s">
        <v>702</v>
      </c>
      <c r="B6174" s="2">
        <v>46173</v>
      </c>
      <c r="C6174" t="s">
        <v>702</v>
      </c>
      <c r="D6174" t="s">
        <v>112</v>
      </c>
      <c r="E6174" t="s">
        <v>9</v>
      </c>
      <c r="F6174" s="3">
        <v>41800</v>
      </c>
      <c r="G6174" s="3">
        <v>41800</v>
      </c>
      <c r="H6174" t="s">
        <v>3</v>
      </c>
      <c r="I6174" t="s">
        <v>3</v>
      </c>
      <c r="J6174" t="s">
        <v>427</v>
      </c>
      <c r="K6174" t="s">
        <v>13</v>
      </c>
      <c r="L6174" t="s">
        <v>18</v>
      </c>
      <c r="M6174" t="s">
        <v>114</v>
      </c>
      <c r="N6174" s="2">
        <v>46173</v>
      </c>
    </row>
    <row r="6175" spans="1:14" x14ac:dyDescent="0.25">
      <c r="A6175" s="4" t="s">
        <v>223</v>
      </c>
      <c r="B6175" s="5"/>
      <c r="C6175" s="4" t="s">
        <v>9</v>
      </c>
      <c r="D6175" s="4" t="s">
        <v>9</v>
      </c>
      <c r="E6175" s="4" t="s">
        <v>9</v>
      </c>
      <c r="F6175" s="6">
        <v>0</v>
      </c>
      <c r="G6175" s="6">
        <v>0</v>
      </c>
      <c r="H6175" s="4" t="s">
        <v>9</v>
      </c>
      <c r="I6175" s="4" t="s">
        <v>3</v>
      </c>
      <c r="J6175" s="4" t="s">
        <v>9</v>
      </c>
      <c r="K6175" s="4" t="s">
        <v>9</v>
      </c>
      <c r="L6175" s="4" t="s">
        <v>9</v>
      </c>
      <c r="M6175" s="4" t="s">
        <v>9</v>
      </c>
      <c r="N6175" s="5"/>
    </row>
    <row r="6176" spans="1:14" x14ac:dyDescent="0.25">
      <c r="A6176" t="s">
        <v>702</v>
      </c>
      <c r="B6176" s="2">
        <v>46205</v>
      </c>
      <c r="C6176" t="s">
        <v>702</v>
      </c>
      <c r="D6176" t="s">
        <v>112</v>
      </c>
      <c r="E6176" t="s">
        <v>9</v>
      </c>
      <c r="F6176" s="3">
        <v>-63484.7</v>
      </c>
      <c r="G6176" s="3">
        <v>-63484.7</v>
      </c>
      <c r="H6176" t="s">
        <v>3</v>
      </c>
      <c r="I6176" t="s">
        <v>3</v>
      </c>
      <c r="J6176" t="s">
        <v>9</v>
      </c>
      <c r="K6176" t="s">
        <v>9</v>
      </c>
      <c r="L6176" t="s">
        <v>19</v>
      </c>
      <c r="M6176" t="s">
        <v>114</v>
      </c>
      <c r="N6176" s="2">
        <v>46203</v>
      </c>
    </row>
    <row r="6177" spans="1:14" x14ac:dyDescent="0.25">
      <c r="A6177" t="s">
        <v>702</v>
      </c>
      <c r="B6177" s="2">
        <v>46173</v>
      </c>
      <c r="C6177" t="s">
        <v>702</v>
      </c>
      <c r="D6177" t="s">
        <v>112</v>
      </c>
      <c r="E6177" t="s">
        <v>9</v>
      </c>
      <c r="F6177" s="3">
        <v>-41800</v>
      </c>
      <c r="G6177" s="3">
        <v>-41800</v>
      </c>
      <c r="H6177" t="s">
        <v>3</v>
      </c>
      <c r="I6177" t="s">
        <v>3</v>
      </c>
      <c r="J6177" t="s">
        <v>427</v>
      </c>
      <c r="K6177" t="s">
        <v>13</v>
      </c>
      <c r="L6177" t="s">
        <v>19</v>
      </c>
      <c r="M6177" t="s">
        <v>114</v>
      </c>
      <c r="N6177" s="2">
        <v>46174</v>
      </c>
    </row>
    <row r="6178" spans="1:14" x14ac:dyDescent="0.25">
      <c r="A6178" t="s">
        <v>702</v>
      </c>
      <c r="B6178" s="2">
        <v>46203</v>
      </c>
      <c r="C6178" t="s">
        <v>702</v>
      </c>
      <c r="D6178" t="s">
        <v>112</v>
      </c>
      <c r="E6178" t="s">
        <v>9</v>
      </c>
      <c r="F6178" s="3">
        <v>200</v>
      </c>
      <c r="G6178" s="3">
        <v>200</v>
      </c>
      <c r="H6178" t="s">
        <v>3</v>
      </c>
      <c r="I6178" t="s">
        <v>3</v>
      </c>
      <c r="J6178" t="s">
        <v>316</v>
      </c>
      <c r="K6178" t="s">
        <v>13</v>
      </c>
      <c r="L6178" t="s">
        <v>19</v>
      </c>
      <c r="M6178" t="s">
        <v>114</v>
      </c>
      <c r="N6178" s="2">
        <v>46203</v>
      </c>
    </row>
    <row r="6179" spans="1:14" x14ac:dyDescent="0.25">
      <c r="A6179" t="s">
        <v>702</v>
      </c>
      <c r="B6179" s="2">
        <v>46203</v>
      </c>
      <c r="C6179" t="s">
        <v>702</v>
      </c>
      <c r="D6179" t="s">
        <v>112</v>
      </c>
      <c r="E6179" t="s">
        <v>9</v>
      </c>
      <c r="F6179" s="3">
        <v>105084.7</v>
      </c>
      <c r="G6179" s="3">
        <v>105084.7</v>
      </c>
      <c r="H6179" t="s">
        <v>3</v>
      </c>
      <c r="I6179" t="s">
        <v>3</v>
      </c>
      <c r="J6179" t="s">
        <v>428</v>
      </c>
      <c r="K6179" t="s">
        <v>13</v>
      </c>
      <c r="L6179" t="s">
        <v>19</v>
      </c>
      <c r="M6179" t="s">
        <v>114</v>
      </c>
      <c r="N6179" s="2">
        <v>46203</v>
      </c>
    </row>
    <row r="6180" spans="1:14" x14ac:dyDescent="0.25">
      <c r="A6180" s="4" t="s">
        <v>224</v>
      </c>
      <c r="B6180" s="5"/>
      <c r="C6180" s="4" t="s">
        <v>9</v>
      </c>
      <c r="D6180" s="4" t="s">
        <v>9</v>
      </c>
      <c r="E6180" s="4" t="s">
        <v>9</v>
      </c>
      <c r="F6180" s="6">
        <v>0</v>
      </c>
      <c r="G6180" s="6">
        <v>0</v>
      </c>
      <c r="H6180" s="4" t="s">
        <v>9</v>
      </c>
      <c r="I6180" s="4" t="s">
        <v>3</v>
      </c>
      <c r="J6180" s="4" t="s">
        <v>9</v>
      </c>
      <c r="K6180" s="4" t="s">
        <v>9</v>
      </c>
      <c r="L6180" s="4" t="s">
        <v>9</v>
      </c>
      <c r="M6180" s="4" t="s">
        <v>9</v>
      </c>
      <c r="N6180" s="5"/>
    </row>
    <row r="6181" spans="1:14" x14ac:dyDescent="0.25">
      <c r="A6181" t="s">
        <v>702</v>
      </c>
      <c r="B6181" s="2">
        <v>46239</v>
      </c>
      <c r="C6181" t="s">
        <v>702</v>
      </c>
      <c r="D6181" t="s">
        <v>112</v>
      </c>
      <c r="E6181" t="s">
        <v>9</v>
      </c>
      <c r="F6181" s="3">
        <v>-37547.93</v>
      </c>
      <c r="G6181" s="3">
        <v>-37547.93</v>
      </c>
      <c r="H6181" t="s">
        <v>3</v>
      </c>
      <c r="I6181" t="s">
        <v>3</v>
      </c>
      <c r="J6181" t="s">
        <v>9</v>
      </c>
      <c r="K6181" t="s">
        <v>9</v>
      </c>
      <c r="L6181" t="s">
        <v>21</v>
      </c>
      <c r="M6181" t="s">
        <v>114</v>
      </c>
      <c r="N6181" s="2">
        <v>46234</v>
      </c>
    </row>
    <row r="6182" spans="1:14" x14ac:dyDescent="0.25">
      <c r="A6182" t="s">
        <v>702</v>
      </c>
      <c r="B6182" s="2">
        <v>46203</v>
      </c>
      <c r="C6182" t="s">
        <v>702</v>
      </c>
      <c r="D6182" t="s">
        <v>112</v>
      </c>
      <c r="E6182" t="s">
        <v>9</v>
      </c>
      <c r="F6182" s="3">
        <v>-200</v>
      </c>
      <c r="G6182" s="3">
        <v>-200</v>
      </c>
      <c r="H6182" t="s">
        <v>3</v>
      </c>
      <c r="I6182" t="s">
        <v>3</v>
      </c>
      <c r="J6182" t="s">
        <v>316</v>
      </c>
      <c r="K6182" t="s">
        <v>13</v>
      </c>
      <c r="L6182" t="s">
        <v>21</v>
      </c>
      <c r="M6182" t="s">
        <v>114</v>
      </c>
      <c r="N6182" s="2">
        <v>46204</v>
      </c>
    </row>
    <row r="6183" spans="1:14" x14ac:dyDescent="0.25">
      <c r="A6183" t="s">
        <v>702</v>
      </c>
      <c r="B6183" s="2">
        <v>46203</v>
      </c>
      <c r="C6183" t="s">
        <v>702</v>
      </c>
      <c r="D6183" t="s">
        <v>112</v>
      </c>
      <c r="E6183" t="s">
        <v>9</v>
      </c>
      <c r="F6183" s="3">
        <v>-105084.7</v>
      </c>
      <c r="G6183" s="3">
        <v>-105084.7</v>
      </c>
      <c r="H6183" t="s">
        <v>3</v>
      </c>
      <c r="I6183" t="s">
        <v>3</v>
      </c>
      <c r="J6183" t="s">
        <v>428</v>
      </c>
      <c r="K6183" t="s">
        <v>13</v>
      </c>
      <c r="L6183" t="s">
        <v>21</v>
      </c>
      <c r="M6183" t="s">
        <v>114</v>
      </c>
      <c r="N6183" s="2">
        <v>46204</v>
      </c>
    </row>
    <row r="6184" spans="1:14" x14ac:dyDescent="0.25">
      <c r="A6184" t="s">
        <v>702</v>
      </c>
      <c r="B6184" s="2">
        <v>46234</v>
      </c>
      <c r="C6184" t="s">
        <v>702</v>
      </c>
      <c r="D6184" t="s">
        <v>112</v>
      </c>
      <c r="E6184" t="s">
        <v>9</v>
      </c>
      <c r="F6184" s="3">
        <v>200</v>
      </c>
      <c r="G6184" s="3">
        <v>200</v>
      </c>
      <c r="H6184" t="s">
        <v>3</v>
      </c>
      <c r="I6184" t="s">
        <v>3</v>
      </c>
      <c r="J6184" t="s">
        <v>319</v>
      </c>
      <c r="K6184" t="s">
        <v>13</v>
      </c>
      <c r="L6184" t="s">
        <v>21</v>
      </c>
      <c r="M6184" t="s">
        <v>114</v>
      </c>
      <c r="N6184" s="2">
        <v>46234</v>
      </c>
    </row>
    <row r="6185" spans="1:14" x14ac:dyDescent="0.25">
      <c r="A6185" t="s">
        <v>702</v>
      </c>
      <c r="B6185" s="2">
        <v>46234</v>
      </c>
      <c r="C6185" t="s">
        <v>702</v>
      </c>
      <c r="D6185" t="s">
        <v>112</v>
      </c>
      <c r="E6185" t="s">
        <v>9</v>
      </c>
      <c r="F6185" s="3">
        <v>142632.63</v>
      </c>
      <c r="G6185" s="3">
        <v>142632.63</v>
      </c>
      <c r="H6185" t="s">
        <v>3</v>
      </c>
      <c r="I6185" t="s">
        <v>3</v>
      </c>
      <c r="J6185" t="s">
        <v>429</v>
      </c>
      <c r="K6185" t="s">
        <v>13</v>
      </c>
      <c r="L6185" t="s">
        <v>21</v>
      </c>
      <c r="M6185" t="s">
        <v>114</v>
      </c>
      <c r="N6185" s="2">
        <v>46234</v>
      </c>
    </row>
    <row r="6186" spans="1:14" x14ac:dyDescent="0.25">
      <c r="A6186" s="4" t="s">
        <v>262</v>
      </c>
      <c r="B6186" s="5"/>
      <c r="C6186" s="4" t="s">
        <v>9</v>
      </c>
      <c r="D6186" s="4" t="s">
        <v>9</v>
      </c>
      <c r="E6186" s="4" t="s">
        <v>9</v>
      </c>
      <c r="F6186" s="6">
        <v>0</v>
      </c>
      <c r="G6186" s="6">
        <v>0</v>
      </c>
      <c r="H6186" s="4" t="s">
        <v>9</v>
      </c>
      <c r="I6186" s="4" t="s">
        <v>3</v>
      </c>
      <c r="J6186" s="4" t="s">
        <v>9</v>
      </c>
      <c r="K6186" s="4" t="s">
        <v>9</v>
      </c>
      <c r="L6186" s="4" t="s">
        <v>9</v>
      </c>
      <c r="M6186" s="4" t="s">
        <v>9</v>
      </c>
      <c r="N6186" s="5"/>
    </row>
    <row r="6187" spans="1:14" x14ac:dyDescent="0.25">
      <c r="A6187" t="s">
        <v>702</v>
      </c>
      <c r="B6187" s="2">
        <v>46267</v>
      </c>
      <c r="C6187" t="s">
        <v>702</v>
      </c>
      <c r="D6187" t="s">
        <v>112</v>
      </c>
      <c r="E6187" t="s">
        <v>9</v>
      </c>
      <c r="F6187" s="3">
        <v>-54095.81</v>
      </c>
      <c r="G6187" s="3">
        <v>-54095.81</v>
      </c>
      <c r="H6187" t="s">
        <v>3</v>
      </c>
      <c r="I6187" t="s">
        <v>3</v>
      </c>
      <c r="J6187" t="s">
        <v>9</v>
      </c>
      <c r="K6187" t="s">
        <v>9</v>
      </c>
      <c r="L6187" t="s">
        <v>22</v>
      </c>
      <c r="M6187" t="s">
        <v>114</v>
      </c>
      <c r="N6187" s="2">
        <v>46265</v>
      </c>
    </row>
    <row r="6188" spans="1:14" x14ac:dyDescent="0.25">
      <c r="A6188" t="s">
        <v>702</v>
      </c>
      <c r="B6188" s="2">
        <v>46234</v>
      </c>
      <c r="C6188" t="s">
        <v>702</v>
      </c>
      <c r="D6188" t="s">
        <v>112</v>
      </c>
      <c r="E6188" t="s">
        <v>9</v>
      </c>
      <c r="F6188" s="3">
        <v>-200</v>
      </c>
      <c r="G6188" s="3">
        <v>-200</v>
      </c>
      <c r="H6188" t="s">
        <v>3</v>
      </c>
      <c r="I6188" t="s">
        <v>3</v>
      </c>
      <c r="J6188" t="s">
        <v>319</v>
      </c>
      <c r="K6188" t="s">
        <v>13</v>
      </c>
      <c r="L6188" t="s">
        <v>22</v>
      </c>
      <c r="M6188" t="s">
        <v>114</v>
      </c>
      <c r="N6188" s="2">
        <v>46235</v>
      </c>
    </row>
    <row r="6189" spans="1:14" x14ac:dyDescent="0.25">
      <c r="A6189" t="s">
        <v>702</v>
      </c>
      <c r="B6189" s="2">
        <v>46234</v>
      </c>
      <c r="C6189" t="s">
        <v>702</v>
      </c>
      <c r="D6189" t="s">
        <v>112</v>
      </c>
      <c r="E6189" t="s">
        <v>9</v>
      </c>
      <c r="F6189" s="3">
        <v>-142632.63</v>
      </c>
      <c r="G6189" s="3">
        <v>-142632.63</v>
      </c>
      <c r="H6189" t="s">
        <v>3</v>
      </c>
      <c r="I6189" t="s">
        <v>3</v>
      </c>
      <c r="J6189" t="s">
        <v>429</v>
      </c>
      <c r="K6189" t="s">
        <v>13</v>
      </c>
      <c r="L6189" t="s">
        <v>22</v>
      </c>
      <c r="M6189" t="s">
        <v>114</v>
      </c>
      <c r="N6189" s="2">
        <v>46235</v>
      </c>
    </row>
    <row r="6190" spans="1:14" x14ac:dyDescent="0.25">
      <c r="A6190" t="s">
        <v>702</v>
      </c>
      <c r="B6190" s="2">
        <v>46265</v>
      </c>
      <c r="C6190" t="s">
        <v>702</v>
      </c>
      <c r="D6190" t="s">
        <v>112</v>
      </c>
      <c r="E6190" t="s">
        <v>9</v>
      </c>
      <c r="F6190" s="3">
        <v>200</v>
      </c>
      <c r="G6190" s="3">
        <v>200</v>
      </c>
      <c r="H6190" t="s">
        <v>3</v>
      </c>
      <c r="I6190" t="s">
        <v>3</v>
      </c>
      <c r="J6190" t="s">
        <v>322</v>
      </c>
      <c r="K6190" t="s">
        <v>13</v>
      </c>
      <c r="L6190" t="s">
        <v>22</v>
      </c>
      <c r="M6190" t="s">
        <v>114</v>
      </c>
      <c r="N6190" s="2">
        <v>46265</v>
      </c>
    </row>
    <row r="6191" spans="1:14" x14ac:dyDescent="0.25">
      <c r="A6191" t="s">
        <v>702</v>
      </c>
      <c r="B6191" s="2">
        <v>46265</v>
      </c>
      <c r="C6191" t="s">
        <v>702</v>
      </c>
      <c r="D6191" t="s">
        <v>112</v>
      </c>
      <c r="E6191" t="s">
        <v>9</v>
      </c>
      <c r="F6191" s="3">
        <v>196728.44</v>
      </c>
      <c r="G6191" s="3">
        <v>196728.44</v>
      </c>
      <c r="H6191" t="s">
        <v>3</v>
      </c>
      <c r="I6191" t="s">
        <v>3</v>
      </c>
      <c r="J6191" t="s">
        <v>431</v>
      </c>
      <c r="K6191" t="s">
        <v>13</v>
      </c>
      <c r="L6191" t="s">
        <v>22</v>
      </c>
      <c r="M6191" t="s">
        <v>114</v>
      </c>
      <c r="N6191" s="2">
        <v>46265</v>
      </c>
    </row>
    <row r="6192" spans="1:14" x14ac:dyDescent="0.25">
      <c r="A6192" s="4" t="s">
        <v>267</v>
      </c>
      <c r="B6192" s="5"/>
      <c r="C6192" s="4" t="s">
        <v>9</v>
      </c>
      <c r="D6192" s="4" t="s">
        <v>9</v>
      </c>
      <c r="E6192" s="4" t="s">
        <v>9</v>
      </c>
      <c r="F6192" s="6">
        <v>0</v>
      </c>
      <c r="G6192" s="6">
        <v>0</v>
      </c>
      <c r="H6192" s="4" t="s">
        <v>9</v>
      </c>
      <c r="I6192" s="4" t="s">
        <v>3</v>
      </c>
      <c r="J6192" s="4" t="s">
        <v>9</v>
      </c>
      <c r="K6192" s="4" t="s">
        <v>9</v>
      </c>
      <c r="L6192" s="4" t="s">
        <v>9</v>
      </c>
      <c r="M6192" s="4" t="s">
        <v>9</v>
      </c>
      <c r="N6192" s="5"/>
    </row>
    <row r="6193" spans="1:14" x14ac:dyDescent="0.25">
      <c r="A6193" s="4" t="s">
        <v>702</v>
      </c>
      <c r="B6193" s="5"/>
      <c r="C6193" s="4" t="s">
        <v>9</v>
      </c>
      <c r="D6193" s="4" t="s">
        <v>9</v>
      </c>
      <c r="E6193" s="4" t="s">
        <v>9</v>
      </c>
      <c r="F6193" s="6">
        <v>0</v>
      </c>
      <c r="G6193" s="6">
        <v>0</v>
      </c>
      <c r="H6193" s="4" t="s">
        <v>9</v>
      </c>
      <c r="I6193" s="4" t="s">
        <v>3</v>
      </c>
      <c r="J6193" s="4" t="s">
        <v>9</v>
      </c>
      <c r="K6193" s="4" t="s">
        <v>9</v>
      </c>
      <c r="L6193" s="4" t="s">
        <v>9</v>
      </c>
      <c r="M6193" s="4" t="s">
        <v>9</v>
      </c>
      <c r="N6193" s="5"/>
    </row>
    <row r="6194" spans="1:14" x14ac:dyDescent="0.25">
      <c r="A6194" t="s">
        <v>703</v>
      </c>
      <c r="B6194" s="2">
        <v>46205</v>
      </c>
      <c r="C6194" t="s">
        <v>703</v>
      </c>
      <c r="D6194" t="s">
        <v>112</v>
      </c>
      <c r="E6194" t="s">
        <v>9</v>
      </c>
      <c r="F6194" s="3">
        <v>-4441.84</v>
      </c>
      <c r="G6194" s="3">
        <v>-4441.84</v>
      </c>
      <c r="H6194" t="s">
        <v>3</v>
      </c>
      <c r="I6194" t="s">
        <v>3</v>
      </c>
      <c r="J6194" t="s">
        <v>9</v>
      </c>
      <c r="K6194" t="s">
        <v>9</v>
      </c>
      <c r="L6194" t="s">
        <v>19</v>
      </c>
      <c r="M6194" t="s">
        <v>114</v>
      </c>
      <c r="N6194" s="2">
        <v>46203</v>
      </c>
    </row>
    <row r="6195" spans="1:14" x14ac:dyDescent="0.25">
      <c r="A6195" t="s">
        <v>703</v>
      </c>
      <c r="B6195" s="2">
        <v>46205</v>
      </c>
      <c r="C6195" t="s">
        <v>703</v>
      </c>
      <c r="D6195" t="s">
        <v>301</v>
      </c>
      <c r="E6195" t="s">
        <v>9</v>
      </c>
      <c r="F6195" s="3">
        <v>4441.84</v>
      </c>
      <c r="G6195" s="3">
        <v>4441.84</v>
      </c>
      <c r="H6195" t="s">
        <v>3</v>
      </c>
      <c r="I6195" t="s">
        <v>3</v>
      </c>
      <c r="J6195" t="s">
        <v>9</v>
      </c>
      <c r="K6195" t="s">
        <v>9</v>
      </c>
      <c r="L6195" t="s">
        <v>19</v>
      </c>
      <c r="M6195" t="s">
        <v>302</v>
      </c>
      <c r="N6195" s="2">
        <v>46203</v>
      </c>
    </row>
    <row r="6196" spans="1:14" x14ac:dyDescent="0.25">
      <c r="A6196" t="s">
        <v>703</v>
      </c>
      <c r="B6196" s="2">
        <v>46203</v>
      </c>
      <c r="C6196" t="s">
        <v>703</v>
      </c>
      <c r="D6196" t="s">
        <v>112</v>
      </c>
      <c r="E6196" t="s">
        <v>9</v>
      </c>
      <c r="F6196" s="3">
        <v>4441.84</v>
      </c>
      <c r="G6196" s="3">
        <v>4441.84</v>
      </c>
      <c r="H6196" t="s">
        <v>3</v>
      </c>
      <c r="I6196" t="s">
        <v>3</v>
      </c>
      <c r="J6196" t="s">
        <v>428</v>
      </c>
      <c r="K6196" t="s">
        <v>13</v>
      </c>
      <c r="L6196" t="s">
        <v>19</v>
      </c>
      <c r="M6196" t="s">
        <v>114</v>
      </c>
      <c r="N6196" s="2">
        <v>46203</v>
      </c>
    </row>
    <row r="6197" spans="1:14" x14ac:dyDescent="0.25">
      <c r="A6197" t="s">
        <v>703</v>
      </c>
      <c r="B6197" s="2">
        <v>46203</v>
      </c>
      <c r="C6197" t="s">
        <v>703</v>
      </c>
      <c r="D6197" t="s">
        <v>301</v>
      </c>
      <c r="E6197" t="s">
        <v>9</v>
      </c>
      <c r="F6197" s="3">
        <v>-4441.84</v>
      </c>
      <c r="G6197" s="3">
        <v>-4441.84</v>
      </c>
      <c r="H6197" t="s">
        <v>3</v>
      </c>
      <c r="I6197" t="s">
        <v>3</v>
      </c>
      <c r="J6197" t="s">
        <v>10</v>
      </c>
      <c r="K6197" t="s">
        <v>13</v>
      </c>
      <c r="L6197" t="s">
        <v>19</v>
      </c>
      <c r="M6197" t="s">
        <v>302</v>
      </c>
      <c r="N6197" s="2">
        <v>46203</v>
      </c>
    </row>
    <row r="6198" spans="1:14" x14ac:dyDescent="0.25">
      <c r="A6198" s="4" t="s">
        <v>224</v>
      </c>
      <c r="B6198" s="5"/>
      <c r="C6198" s="4" t="s">
        <v>9</v>
      </c>
      <c r="D6198" s="4" t="s">
        <v>9</v>
      </c>
      <c r="E6198" s="4" t="s">
        <v>9</v>
      </c>
      <c r="F6198" s="6">
        <v>0</v>
      </c>
      <c r="G6198" s="6">
        <v>0</v>
      </c>
      <c r="H6198" s="4" t="s">
        <v>9</v>
      </c>
      <c r="I6198" s="4" t="s">
        <v>3</v>
      </c>
      <c r="J6198" s="4" t="s">
        <v>9</v>
      </c>
      <c r="K6198" s="4" t="s">
        <v>9</v>
      </c>
      <c r="L6198" s="4" t="s">
        <v>9</v>
      </c>
      <c r="M6198" s="4" t="s">
        <v>9</v>
      </c>
      <c r="N6198" s="5"/>
    </row>
    <row r="6199" spans="1:14" x14ac:dyDescent="0.25">
      <c r="A6199" t="s">
        <v>703</v>
      </c>
      <c r="B6199" s="2">
        <v>46239</v>
      </c>
      <c r="C6199" t="s">
        <v>703</v>
      </c>
      <c r="D6199" t="s">
        <v>112</v>
      </c>
      <c r="E6199" t="s">
        <v>9</v>
      </c>
      <c r="F6199" s="3">
        <v>-22016.16</v>
      </c>
      <c r="G6199" s="3">
        <v>-22016.16</v>
      </c>
      <c r="H6199" t="s">
        <v>3</v>
      </c>
      <c r="I6199" t="s">
        <v>3</v>
      </c>
      <c r="J6199" t="s">
        <v>9</v>
      </c>
      <c r="K6199" t="s">
        <v>9</v>
      </c>
      <c r="L6199" t="s">
        <v>21</v>
      </c>
      <c r="M6199" t="s">
        <v>114</v>
      </c>
      <c r="N6199" s="2">
        <v>46234</v>
      </c>
    </row>
    <row r="6200" spans="1:14" x14ac:dyDescent="0.25">
      <c r="A6200" t="s">
        <v>703</v>
      </c>
      <c r="B6200" s="2">
        <v>46239</v>
      </c>
      <c r="C6200" t="s">
        <v>703</v>
      </c>
      <c r="D6200" t="s">
        <v>301</v>
      </c>
      <c r="E6200" t="s">
        <v>9</v>
      </c>
      <c r="F6200" s="3">
        <v>22016.16</v>
      </c>
      <c r="G6200" s="3">
        <v>22016.16</v>
      </c>
      <c r="H6200" t="s">
        <v>3</v>
      </c>
      <c r="I6200" t="s">
        <v>3</v>
      </c>
      <c r="J6200" t="s">
        <v>9</v>
      </c>
      <c r="K6200" t="s">
        <v>9</v>
      </c>
      <c r="L6200" t="s">
        <v>21</v>
      </c>
      <c r="M6200" t="s">
        <v>302</v>
      </c>
      <c r="N6200" s="2">
        <v>46234</v>
      </c>
    </row>
    <row r="6201" spans="1:14" x14ac:dyDescent="0.25">
      <c r="A6201" t="s">
        <v>703</v>
      </c>
      <c r="B6201" s="2">
        <v>46203</v>
      </c>
      <c r="C6201" t="s">
        <v>703</v>
      </c>
      <c r="D6201" t="s">
        <v>112</v>
      </c>
      <c r="E6201" t="s">
        <v>9</v>
      </c>
      <c r="F6201" s="3">
        <v>-4441.84</v>
      </c>
      <c r="G6201" s="3">
        <v>-4441.84</v>
      </c>
      <c r="H6201" t="s">
        <v>3</v>
      </c>
      <c r="I6201" t="s">
        <v>3</v>
      </c>
      <c r="J6201" t="s">
        <v>428</v>
      </c>
      <c r="K6201" t="s">
        <v>13</v>
      </c>
      <c r="L6201" t="s">
        <v>21</v>
      </c>
      <c r="M6201" t="s">
        <v>114</v>
      </c>
      <c r="N6201" s="2">
        <v>46204</v>
      </c>
    </row>
    <row r="6202" spans="1:14" x14ac:dyDescent="0.25">
      <c r="A6202" t="s">
        <v>703</v>
      </c>
      <c r="B6202" s="2">
        <v>46234</v>
      </c>
      <c r="C6202" t="s">
        <v>703</v>
      </c>
      <c r="D6202" t="s">
        <v>301</v>
      </c>
      <c r="E6202" t="s">
        <v>9</v>
      </c>
      <c r="F6202" s="3">
        <v>-22016.16</v>
      </c>
      <c r="G6202" s="3">
        <v>-22016.16</v>
      </c>
      <c r="H6202" t="s">
        <v>3</v>
      </c>
      <c r="I6202" t="s">
        <v>3</v>
      </c>
      <c r="J6202" t="s">
        <v>10</v>
      </c>
      <c r="K6202" t="s">
        <v>13</v>
      </c>
      <c r="L6202" t="s">
        <v>21</v>
      </c>
      <c r="M6202" t="s">
        <v>302</v>
      </c>
      <c r="N6202" s="2">
        <v>46234</v>
      </c>
    </row>
    <row r="6203" spans="1:14" x14ac:dyDescent="0.25">
      <c r="A6203" t="s">
        <v>703</v>
      </c>
      <c r="B6203" s="2">
        <v>46234</v>
      </c>
      <c r="C6203" t="s">
        <v>703</v>
      </c>
      <c r="D6203" t="s">
        <v>112</v>
      </c>
      <c r="E6203" t="s">
        <v>9</v>
      </c>
      <c r="F6203" s="3">
        <v>26458</v>
      </c>
      <c r="G6203" s="3">
        <v>26458</v>
      </c>
      <c r="H6203" t="s">
        <v>3</v>
      </c>
      <c r="I6203" t="s">
        <v>3</v>
      </c>
      <c r="J6203" t="s">
        <v>429</v>
      </c>
      <c r="K6203" t="s">
        <v>13</v>
      </c>
      <c r="L6203" t="s">
        <v>21</v>
      </c>
      <c r="M6203" t="s">
        <v>114</v>
      </c>
      <c r="N6203" s="2">
        <v>46234</v>
      </c>
    </row>
    <row r="6204" spans="1:14" x14ac:dyDescent="0.25">
      <c r="A6204" s="4" t="s">
        <v>262</v>
      </c>
      <c r="B6204" s="5"/>
      <c r="C6204" s="4" t="s">
        <v>9</v>
      </c>
      <c r="D6204" s="4" t="s">
        <v>9</v>
      </c>
      <c r="E6204" s="4" t="s">
        <v>9</v>
      </c>
      <c r="F6204" s="6">
        <v>0</v>
      </c>
      <c r="G6204" s="6">
        <v>0</v>
      </c>
      <c r="H6204" s="4" t="s">
        <v>9</v>
      </c>
      <c r="I6204" s="4" t="s">
        <v>3</v>
      </c>
      <c r="J6204" s="4" t="s">
        <v>9</v>
      </c>
      <c r="K6204" s="4" t="s">
        <v>9</v>
      </c>
      <c r="L6204" s="4" t="s">
        <v>9</v>
      </c>
      <c r="M6204" s="4" t="s">
        <v>9</v>
      </c>
      <c r="N6204" s="5"/>
    </row>
    <row r="6205" spans="1:14" x14ac:dyDescent="0.25">
      <c r="A6205" t="s">
        <v>703</v>
      </c>
      <c r="B6205" s="2">
        <v>46267</v>
      </c>
      <c r="C6205" t="s">
        <v>703</v>
      </c>
      <c r="D6205" t="s">
        <v>112</v>
      </c>
      <c r="E6205" t="s">
        <v>9</v>
      </c>
      <c r="F6205" s="3">
        <v>-20892</v>
      </c>
      <c r="G6205" s="3">
        <v>-20892</v>
      </c>
      <c r="H6205" t="s">
        <v>3</v>
      </c>
      <c r="I6205" t="s">
        <v>3</v>
      </c>
      <c r="J6205" t="s">
        <v>9</v>
      </c>
      <c r="K6205" t="s">
        <v>9</v>
      </c>
      <c r="L6205" t="s">
        <v>22</v>
      </c>
      <c r="M6205" t="s">
        <v>114</v>
      </c>
      <c r="N6205" s="2">
        <v>46265</v>
      </c>
    </row>
    <row r="6206" spans="1:14" x14ac:dyDescent="0.25">
      <c r="A6206" t="s">
        <v>703</v>
      </c>
      <c r="B6206" s="2">
        <v>46267</v>
      </c>
      <c r="C6206" t="s">
        <v>703</v>
      </c>
      <c r="D6206" t="s">
        <v>301</v>
      </c>
      <c r="E6206" t="s">
        <v>9</v>
      </c>
      <c r="F6206" s="3">
        <v>20892</v>
      </c>
      <c r="G6206" s="3">
        <v>20892</v>
      </c>
      <c r="H6206" t="s">
        <v>3</v>
      </c>
      <c r="I6206" t="s">
        <v>3</v>
      </c>
      <c r="J6206" t="s">
        <v>9</v>
      </c>
      <c r="K6206" t="s">
        <v>9</v>
      </c>
      <c r="L6206" t="s">
        <v>22</v>
      </c>
      <c r="M6206" t="s">
        <v>302</v>
      </c>
      <c r="N6206" s="2">
        <v>46265</v>
      </c>
    </row>
    <row r="6207" spans="1:14" x14ac:dyDescent="0.25">
      <c r="A6207" t="s">
        <v>703</v>
      </c>
      <c r="B6207" s="2">
        <v>46234</v>
      </c>
      <c r="C6207" t="s">
        <v>703</v>
      </c>
      <c r="D6207" t="s">
        <v>112</v>
      </c>
      <c r="E6207" t="s">
        <v>9</v>
      </c>
      <c r="F6207" s="3">
        <v>-26458</v>
      </c>
      <c r="G6207" s="3">
        <v>-26458</v>
      </c>
      <c r="H6207" t="s">
        <v>3</v>
      </c>
      <c r="I6207" t="s">
        <v>3</v>
      </c>
      <c r="J6207" t="s">
        <v>429</v>
      </c>
      <c r="K6207" t="s">
        <v>13</v>
      </c>
      <c r="L6207" t="s">
        <v>22</v>
      </c>
      <c r="M6207" t="s">
        <v>114</v>
      </c>
      <c r="N6207" s="2">
        <v>46235</v>
      </c>
    </row>
    <row r="6208" spans="1:14" x14ac:dyDescent="0.25">
      <c r="A6208" t="s">
        <v>703</v>
      </c>
      <c r="B6208" s="2">
        <v>46265</v>
      </c>
      <c r="C6208" t="s">
        <v>703</v>
      </c>
      <c r="D6208" t="s">
        <v>112</v>
      </c>
      <c r="E6208" t="s">
        <v>9</v>
      </c>
      <c r="F6208" s="3">
        <v>47350</v>
      </c>
      <c r="G6208" s="3">
        <v>47350</v>
      </c>
      <c r="H6208" t="s">
        <v>3</v>
      </c>
      <c r="I6208" t="s">
        <v>3</v>
      </c>
      <c r="J6208" t="s">
        <v>431</v>
      </c>
      <c r="K6208" t="s">
        <v>13</v>
      </c>
      <c r="L6208" t="s">
        <v>22</v>
      </c>
      <c r="M6208" t="s">
        <v>114</v>
      </c>
      <c r="N6208" s="2">
        <v>46265</v>
      </c>
    </row>
    <row r="6209" spans="1:14" x14ac:dyDescent="0.25">
      <c r="A6209" t="s">
        <v>703</v>
      </c>
      <c r="B6209" s="2">
        <v>46265</v>
      </c>
      <c r="C6209" t="s">
        <v>703</v>
      </c>
      <c r="D6209" t="s">
        <v>301</v>
      </c>
      <c r="E6209" t="s">
        <v>9</v>
      </c>
      <c r="F6209" s="3">
        <v>-20892</v>
      </c>
      <c r="G6209" s="3">
        <v>-20892</v>
      </c>
      <c r="H6209" t="s">
        <v>3</v>
      </c>
      <c r="I6209" t="s">
        <v>3</v>
      </c>
      <c r="J6209" t="s">
        <v>10</v>
      </c>
      <c r="K6209" t="s">
        <v>13</v>
      </c>
      <c r="L6209" t="s">
        <v>22</v>
      </c>
      <c r="M6209" t="s">
        <v>302</v>
      </c>
      <c r="N6209" s="2">
        <v>46265</v>
      </c>
    </row>
    <row r="6210" spans="1:14" x14ac:dyDescent="0.25">
      <c r="A6210" s="4" t="s">
        <v>267</v>
      </c>
      <c r="B6210" s="5"/>
      <c r="C6210" s="4" t="s">
        <v>9</v>
      </c>
      <c r="D6210" s="4" t="s">
        <v>9</v>
      </c>
      <c r="E6210" s="4" t="s">
        <v>9</v>
      </c>
      <c r="F6210" s="6">
        <v>0</v>
      </c>
      <c r="G6210" s="6">
        <v>0</v>
      </c>
      <c r="H6210" s="4" t="s">
        <v>9</v>
      </c>
      <c r="I6210" s="4" t="s">
        <v>3</v>
      </c>
      <c r="J6210" s="4" t="s">
        <v>9</v>
      </c>
      <c r="K6210" s="4" t="s">
        <v>9</v>
      </c>
      <c r="L6210" s="4" t="s">
        <v>9</v>
      </c>
      <c r="M6210" s="4" t="s">
        <v>9</v>
      </c>
      <c r="N6210" s="5"/>
    </row>
    <row r="6211" spans="1:14" x14ac:dyDescent="0.25">
      <c r="A6211" s="4" t="s">
        <v>703</v>
      </c>
      <c r="B6211" s="5"/>
      <c r="C6211" s="4" t="s">
        <v>9</v>
      </c>
      <c r="D6211" s="4" t="s">
        <v>9</v>
      </c>
      <c r="E6211" s="4" t="s">
        <v>9</v>
      </c>
      <c r="F6211" s="6">
        <v>0</v>
      </c>
      <c r="G6211" s="6">
        <v>0</v>
      </c>
      <c r="H6211" s="4" t="s">
        <v>9</v>
      </c>
      <c r="I6211" s="4" t="s">
        <v>3</v>
      </c>
      <c r="J6211" s="4" t="s">
        <v>9</v>
      </c>
      <c r="K6211" s="4" t="s">
        <v>9</v>
      </c>
      <c r="L6211" s="4" t="s">
        <v>9</v>
      </c>
      <c r="M6211" s="4" t="s">
        <v>9</v>
      </c>
      <c r="N6211" s="5"/>
    </row>
    <row r="6212" spans="1:14" x14ac:dyDescent="0.25">
      <c r="A6212" t="s">
        <v>704</v>
      </c>
      <c r="B6212" s="2">
        <v>46267</v>
      </c>
      <c r="C6212" t="s">
        <v>704</v>
      </c>
      <c r="D6212" t="s">
        <v>112</v>
      </c>
      <c r="E6212" t="s">
        <v>9</v>
      </c>
      <c r="F6212" s="3">
        <v>-2700</v>
      </c>
      <c r="G6212" s="3">
        <v>-2700</v>
      </c>
      <c r="H6212" t="s">
        <v>3</v>
      </c>
      <c r="I6212" t="s">
        <v>3</v>
      </c>
      <c r="J6212" t="s">
        <v>9</v>
      </c>
      <c r="K6212" t="s">
        <v>9</v>
      </c>
      <c r="L6212" t="s">
        <v>22</v>
      </c>
      <c r="M6212" t="s">
        <v>114</v>
      </c>
      <c r="N6212" s="2">
        <v>46265</v>
      </c>
    </row>
    <row r="6213" spans="1:14" x14ac:dyDescent="0.25">
      <c r="A6213" t="s">
        <v>704</v>
      </c>
      <c r="B6213" s="2">
        <v>46267</v>
      </c>
      <c r="C6213" t="s">
        <v>704</v>
      </c>
      <c r="D6213" t="s">
        <v>301</v>
      </c>
      <c r="E6213" t="s">
        <v>9</v>
      </c>
      <c r="F6213" s="3">
        <v>2700</v>
      </c>
      <c r="G6213" s="3">
        <v>2700</v>
      </c>
      <c r="H6213" t="s">
        <v>3</v>
      </c>
      <c r="I6213" t="s">
        <v>3</v>
      </c>
      <c r="J6213" t="s">
        <v>9</v>
      </c>
      <c r="K6213" t="s">
        <v>9</v>
      </c>
      <c r="L6213" t="s">
        <v>22</v>
      </c>
      <c r="M6213" t="s">
        <v>302</v>
      </c>
      <c r="N6213" s="2">
        <v>46265</v>
      </c>
    </row>
    <row r="6214" spans="1:14" x14ac:dyDescent="0.25">
      <c r="A6214" t="s">
        <v>704</v>
      </c>
      <c r="B6214" s="2">
        <v>46265</v>
      </c>
      <c r="C6214" t="s">
        <v>704</v>
      </c>
      <c r="D6214" t="s">
        <v>112</v>
      </c>
      <c r="E6214" t="s">
        <v>9</v>
      </c>
      <c r="F6214" s="3">
        <v>2700</v>
      </c>
      <c r="G6214" s="3">
        <v>2700</v>
      </c>
      <c r="H6214" t="s">
        <v>3</v>
      </c>
      <c r="I6214" t="s">
        <v>3</v>
      </c>
      <c r="J6214" t="s">
        <v>431</v>
      </c>
      <c r="K6214" t="s">
        <v>13</v>
      </c>
      <c r="L6214" t="s">
        <v>22</v>
      </c>
      <c r="M6214" t="s">
        <v>114</v>
      </c>
      <c r="N6214" s="2">
        <v>46265</v>
      </c>
    </row>
    <row r="6215" spans="1:14" x14ac:dyDescent="0.25">
      <c r="A6215" t="s">
        <v>704</v>
      </c>
      <c r="B6215" s="2">
        <v>46265</v>
      </c>
      <c r="C6215" t="s">
        <v>704</v>
      </c>
      <c r="D6215" t="s">
        <v>301</v>
      </c>
      <c r="E6215" t="s">
        <v>9</v>
      </c>
      <c r="F6215" s="3">
        <v>-2700</v>
      </c>
      <c r="G6215" s="3">
        <v>-2700</v>
      </c>
      <c r="H6215" t="s">
        <v>3</v>
      </c>
      <c r="I6215" t="s">
        <v>3</v>
      </c>
      <c r="J6215" t="s">
        <v>10</v>
      </c>
      <c r="K6215" t="s">
        <v>13</v>
      </c>
      <c r="L6215" t="s">
        <v>22</v>
      </c>
      <c r="M6215" t="s">
        <v>302</v>
      </c>
      <c r="N6215" s="2">
        <v>46265</v>
      </c>
    </row>
    <row r="6216" spans="1:14" x14ac:dyDescent="0.25">
      <c r="A6216" s="4" t="s">
        <v>267</v>
      </c>
      <c r="B6216" s="5"/>
      <c r="C6216" s="4" t="s">
        <v>9</v>
      </c>
      <c r="D6216" s="4" t="s">
        <v>9</v>
      </c>
      <c r="E6216" s="4" t="s">
        <v>9</v>
      </c>
      <c r="F6216" s="6">
        <v>0</v>
      </c>
      <c r="G6216" s="6">
        <v>0</v>
      </c>
      <c r="H6216" s="4" t="s">
        <v>9</v>
      </c>
      <c r="I6216" s="4" t="s">
        <v>3</v>
      </c>
      <c r="J6216" s="4" t="s">
        <v>9</v>
      </c>
      <c r="K6216" s="4" t="s">
        <v>9</v>
      </c>
      <c r="L6216" s="4" t="s">
        <v>9</v>
      </c>
      <c r="M6216" s="4" t="s">
        <v>9</v>
      </c>
      <c r="N6216" s="5"/>
    </row>
    <row r="6217" spans="1:14" x14ac:dyDescent="0.25">
      <c r="A6217" s="4" t="s">
        <v>704</v>
      </c>
      <c r="B6217" s="5"/>
      <c r="C6217" s="4" t="s">
        <v>9</v>
      </c>
      <c r="D6217" s="4" t="s">
        <v>9</v>
      </c>
      <c r="E6217" s="4" t="s">
        <v>9</v>
      </c>
      <c r="F6217" s="6">
        <v>0</v>
      </c>
      <c r="G6217" s="6">
        <v>0</v>
      </c>
      <c r="H6217" s="4" t="s">
        <v>9</v>
      </c>
      <c r="I6217" s="4" t="s">
        <v>3</v>
      </c>
      <c r="J6217" s="4" t="s">
        <v>9</v>
      </c>
      <c r="K6217" s="4" t="s">
        <v>9</v>
      </c>
      <c r="L6217" s="4" t="s">
        <v>9</v>
      </c>
      <c r="M6217" s="4" t="s">
        <v>9</v>
      </c>
      <c r="N6217" s="5"/>
    </row>
    <row r="6218" spans="1:14" x14ac:dyDescent="0.25">
      <c r="A6218" t="s">
        <v>705</v>
      </c>
      <c r="B6218" s="2">
        <v>46205</v>
      </c>
      <c r="C6218" t="s">
        <v>705</v>
      </c>
      <c r="D6218" t="s">
        <v>112</v>
      </c>
      <c r="E6218" t="s">
        <v>9</v>
      </c>
      <c r="F6218" s="3">
        <v>-187.64</v>
      </c>
      <c r="G6218" s="3">
        <v>-187.64</v>
      </c>
      <c r="H6218" t="s">
        <v>3</v>
      </c>
      <c r="I6218" t="s">
        <v>3</v>
      </c>
      <c r="J6218" t="s">
        <v>9</v>
      </c>
      <c r="K6218" t="s">
        <v>9</v>
      </c>
      <c r="L6218" t="s">
        <v>19</v>
      </c>
      <c r="M6218" t="s">
        <v>114</v>
      </c>
      <c r="N6218" s="2">
        <v>46203</v>
      </c>
    </row>
    <row r="6219" spans="1:14" x14ac:dyDescent="0.25">
      <c r="A6219" t="s">
        <v>705</v>
      </c>
      <c r="B6219" s="2">
        <v>46205</v>
      </c>
      <c r="C6219" t="s">
        <v>705</v>
      </c>
      <c r="D6219" t="s">
        <v>301</v>
      </c>
      <c r="E6219" t="s">
        <v>9</v>
      </c>
      <c r="F6219" s="3">
        <v>187.64</v>
      </c>
      <c r="G6219" s="3">
        <v>187.64</v>
      </c>
      <c r="H6219" t="s">
        <v>3</v>
      </c>
      <c r="I6219" t="s">
        <v>3</v>
      </c>
      <c r="J6219" t="s">
        <v>9</v>
      </c>
      <c r="K6219" t="s">
        <v>9</v>
      </c>
      <c r="L6219" t="s">
        <v>19</v>
      </c>
      <c r="M6219" t="s">
        <v>302</v>
      </c>
      <c r="N6219" s="2">
        <v>46203</v>
      </c>
    </row>
    <row r="6220" spans="1:14" x14ac:dyDescent="0.25">
      <c r="A6220" t="s">
        <v>705</v>
      </c>
      <c r="B6220" s="2">
        <v>46203</v>
      </c>
      <c r="C6220" t="s">
        <v>705</v>
      </c>
      <c r="D6220" t="s">
        <v>112</v>
      </c>
      <c r="E6220" t="s">
        <v>9</v>
      </c>
      <c r="F6220" s="3">
        <v>187.64</v>
      </c>
      <c r="G6220" s="3">
        <v>187.64</v>
      </c>
      <c r="H6220" t="s">
        <v>3</v>
      </c>
      <c r="I6220" t="s">
        <v>3</v>
      </c>
      <c r="J6220" t="s">
        <v>316</v>
      </c>
      <c r="K6220" t="s">
        <v>13</v>
      </c>
      <c r="L6220" t="s">
        <v>19</v>
      </c>
      <c r="M6220" t="s">
        <v>114</v>
      </c>
      <c r="N6220" s="2">
        <v>46203</v>
      </c>
    </row>
    <row r="6221" spans="1:14" x14ac:dyDescent="0.25">
      <c r="A6221" t="s">
        <v>705</v>
      </c>
      <c r="B6221" s="2">
        <v>46203</v>
      </c>
      <c r="C6221" t="s">
        <v>705</v>
      </c>
      <c r="D6221" t="s">
        <v>301</v>
      </c>
      <c r="E6221" t="s">
        <v>9</v>
      </c>
      <c r="F6221" s="3">
        <v>-187.64</v>
      </c>
      <c r="G6221" s="3">
        <v>-187.64</v>
      </c>
      <c r="H6221" t="s">
        <v>3</v>
      </c>
      <c r="I6221" t="s">
        <v>3</v>
      </c>
      <c r="J6221" t="s">
        <v>10</v>
      </c>
      <c r="K6221" t="s">
        <v>13</v>
      </c>
      <c r="L6221" t="s">
        <v>19</v>
      </c>
      <c r="M6221" t="s">
        <v>302</v>
      </c>
      <c r="N6221" s="2">
        <v>46203</v>
      </c>
    </row>
    <row r="6222" spans="1:14" x14ac:dyDescent="0.25">
      <c r="A6222" s="4" t="s">
        <v>224</v>
      </c>
      <c r="B6222" s="5"/>
      <c r="C6222" s="4" t="s">
        <v>9</v>
      </c>
      <c r="D6222" s="4" t="s">
        <v>9</v>
      </c>
      <c r="E6222" s="4" t="s">
        <v>9</v>
      </c>
      <c r="F6222" s="6">
        <v>0</v>
      </c>
      <c r="G6222" s="6">
        <v>0</v>
      </c>
      <c r="H6222" s="4" t="s">
        <v>9</v>
      </c>
      <c r="I6222" s="4" t="s">
        <v>3</v>
      </c>
      <c r="J6222" s="4" t="s">
        <v>9</v>
      </c>
      <c r="K6222" s="4" t="s">
        <v>9</v>
      </c>
      <c r="L6222" s="4" t="s">
        <v>9</v>
      </c>
      <c r="M6222" s="4" t="s">
        <v>9</v>
      </c>
      <c r="N6222" s="5"/>
    </row>
    <row r="6223" spans="1:14" x14ac:dyDescent="0.25">
      <c r="A6223" t="s">
        <v>705</v>
      </c>
      <c r="B6223" s="2">
        <v>46239</v>
      </c>
      <c r="C6223" t="s">
        <v>705</v>
      </c>
      <c r="D6223" t="s">
        <v>112</v>
      </c>
      <c r="E6223" t="s">
        <v>9</v>
      </c>
      <c r="F6223" s="3">
        <v>-1512.36</v>
      </c>
      <c r="G6223" s="3">
        <v>-1512.36</v>
      </c>
      <c r="H6223" t="s">
        <v>3</v>
      </c>
      <c r="I6223" t="s">
        <v>3</v>
      </c>
      <c r="J6223" t="s">
        <v>9</v>
      </c>
      <c r="K6223" t="s">
        <v>9</v>
      </c>
      <c r="L6223" t="s">
        <v>21</v>
      </c>
      <c r="M6223" t="s">
        <v>114</v>
      </c>
      <c r="N6223" s="2">
        <v>46234</v>
      </c>
    </row>
    <row r="6224" spans="1:14" x14ac:dyDescent="0.25">
      <c r="A6224" t="s">
        <v>705</v>
      </c>
      <c r="B6224" s="2">
        <v>46239</v>
      </c>
      <c r="C6224" t="s">
        <v>705</v>
      </c>
      <c r="D6224" t="s">
        <v>301</v>
      </c>
      <c r="E6224" t="s">
        <v>9</v>
      </c>
      <c r="F6224" s="3">
        <v>1513</v>
      </c>
      <c r="G6224" s="3">
        <v>1513</v>
      </c>
      <c r="H6224" t="s">
        <v>3</v>
      </c>
      <c r="I6224" t="s">
        <v>3</v>
      </c>
      <c r="J6224" t="s">
        <v>9</v>
      </c>
      <c r="K6224" t="s">
        <v>9</v>
      </c>
      <c r="L6224" t="s">
        <v>21</v>
      </c>
      <c r="M6224" t="s">
        <v>302</v>
      </c>
      <c r="N6224" s="2">
        <v>46234</v>
      </c>
    </row>
    <row r="6225" spans="1:14" x14ac:dyDescent="0.25">
      <c r="A6225" t="s">
        <v>705</v>
      </c>
      <c r="B6225" s="2">
        <v>46203</v>
      </c>
      <c r="C6225" t="s">
        <v>705</v>
      </c>
      <c r="D6225" t="s">
        <v>112</v>
      </c>
      <c r="E6225" t="s">
        <v>9</v>
      </c>
      <c r="F6225" s="3">
        <v>-187.64</v>
      </c>
      <c r="G6225" s="3">
        <v>-187.64</v>
      </c>
      <c r="H6225" t="s">
        <v>3</v>
      </c>
      <c r="I6225" t="s">
        <v>3</v>
      </c>
      <c r="J6225" t="s">
        <v>316</v>
      </c>
      <c r="K6225" t="s">
        <v>13</v>
      </c>
      <c r="L6225" t="s">
        <v>21</v>
      </c>
      <c r="M6225" t="s">
        <v>114</v>
      </c>
      <c r="N6225" s="2">
        <v>46204</v>
      </c>
    </row>
    <row r="6226" spans="1:14" x14ac:dyDescent="0.25">
      <c r="A6226" t="s">
        <v>705</v>
      </c>
      <c r="B6226" s="2">
        <v>46234</v>
      </c>
      <c r="C6226" t="s">
        <v>705</v>
      </c>
      <c r="D6226" t="s">
        <v>301</v>
      </c>
      <c r="E6226" t="s">
        <v>9</v>
      </c>
      <c r="F6226" s="3">
        <v>-1513</v>
      </c>
      <c r="G6226" s="3">
        <v>-1513</v>
      </c>
      <c r="H6226" t="s">
        <v>3</v>
      </c>
      <c r="I6226" t="s">
        <v>3</v>
      </c>
      <c r="J6226" t="s">
        <v>10</v>
      </c>
      <c r="K6226" t="s">
        <v>13</v>
      </c>
      <c r="L6226" t="s">
        <v>21</v>
      </c>
      <c r="M6226" t="s">
        <v>302</v>
      </c>
      <c r="N6226" s="2">
        <v>46234</v>
      </c>
    </row>
    <row r="6227" spans="1:14" x14ac:dyDescent="0.25">
      <c r="A6227" t="s">
        <v>705</v>
      </c>
      <c r="B6227" s="2">
        <v>46234</v>
      </c>
      <c r="C6227" t="s">
        <v>705</v>
      </c>
      <c r="D6227" t="s">
        <v>112</v>
      </c>
      <c r="E6227" t="s">
        <v>9</v>
      </c>
      <c r="F6227" s="3">
        <v>1700</v>
      </c>
      <c r="G6227" s="3">
        <v>1700</v>
      </c>
      <c r="H6227" t="s">
        <v>3</v>
      </c>
      <c r="I6227" t="s">
        <v>3</v>
      </c>
      <c r="J6227" t="s">
        <v>319</v>
      </c>
      <c r="K6227" t="s">
        <v>13</v>
      </c>
      <c r="L6227" t="s">
        <v>21</v>
      </c>
      <c r="M6227" t="s">
        <v>114</v>
      </c>
      <c r="N6227" s="2">
        <v>46234</v>
      </c>
    </row>
    <row r="6228" spans="1:14" x14ac:dyDescent="0.25">
      <c r="A6228" s="4" t="s">
        <v>262</v>
      </c>
      <c r="B6228" s="5"/>
      <c r="C6228" s="4" t="s">
        <v>9</v>
      </c>
      <c r="D6228" s="4" t="s">
        <v>9</v>
      </c>
      <c r="E6228" s="4" t="s">
        <v>9</v>
      </c>
      <c r="F6228" s="6">
        <v>0</v>
      </c>
      <c r="G6228" s="6">
        <v>0</v>
      </c>
      <c r="H6228" s="4" t="s">
        <v>9</v>
      </c>
      <c r="I6228" s="4" t="s">
        <v>3</v>
      </c>
      <c r="J6228" s="4" t="s">
        <v>9</v>
      </c>
      <c r="K6228" s="4" t="s">
        <v>9</v>
      </c>
      <c r="L6228" s="4" t="s">
        <v>9</v>
      </c>
      <c r="M6228" s="4" t="s">
        <v>9</v>
      </c>
      <c r="N6228" s="5"/>
    </row>
    <row r="6229" spans="1:14" x14ac:dyDescent="0.25">
      <c r="A6229" t="s">
        <v>705</v>
      </c>
      <c r="B6229" s="2">
        <v>46267</v>
      </c>
      <c r="C6229" t="s">
        <v>705</v>
      </c>
      <c r="D6229" t="s">
        <v>112</v>
      </c>
      <c r="E6229" t="s">
        <v>9</v>
      </c>
      <c r="F6229" s="3">
        <v>-6400</v>
      </c>
      <c r="G6229" s="3">
        <v>-6400</v>
      </c>
      <c r="H6229" t="s">
        <v>3</v>
      </c>
      <c r="I6229" t="s">
        <v>3</v>
      </c>
      <c r="J6229" t="s">
        <v>9</v>
      </c>
      <c r="K6229" t="s">
        <v>9</v>
      </c>
      <c r="L6229" t="s">
        <v>22</v>
      </c>
      <c r="M6229" t="s">
        <v>114</v>
      </c>
      <c r="N6229" s="2">
        <v>46265</v>
      </c>
    </row>
    <row r="6230" spans="1:14" x14ac:dyDescent="0.25">
      <c r="A6230" t="s">
        <v>705</v>
      </c>
      <c r="B6230" s="2">
        <v>46234</v>
      </c>
      <c r="C6230" t="s">
        <v>705</v>
      </c>
      <c r="D6230" t="s">
        <v>112</v>
      </c>
      <c r="E6230" t="s">
        <v>9</v>
      </c>
      <c r="F6230" s="3">
        <v>-1700</v>
      </c>
      <c r="G6230" s="3">
        <v>-1700</v>
      </c>
      <c r="H6230" t="s">
        <v>3</v>
      </c>
      <c r="I6230" t="s">
        <v>3</v>
      </c>
      <c r="J6230" t="s">
        <v>319</v>
      </c>
      <c r="K6230" t="s">
        <v>13</v>
      </c>
      <c r="L6230" t="s">
        <v>22</v>
      </c>
      <c r="M6230" t="s">
        <v>114</v>
      </c>
      <c r="N6230" s="2">
        <v>46235</v>
      </c>
    </row>
    <row r="6231" spans="1:14" x14ac:dyDescent="0.25">
      <c r="A6231" t="s">
        <v>705</v>
      </c>
      <c r="B6231" s="2">
        <v>46265</v>
      </c>
      <c r="C6231" t="s">
        <v>705</v>
      </c>
      <c r="D6231" t="s">
        <v>112</v>
      </c>
      <c r="E6231" t="s">
        <v>9</v>
      </c>
      <c r="F6231" s="3">
        <v>6400</v>
      </c>
      <c r="G6231" s="3">
        <v>6400</v>
      </c>
      <c r="H6231" t="s">
        <v>3</v>
      </c>
      <c r="I6231" t="s">
        <v>3</v>
      </c>
      <c r="J6231" t="s">
        <v>322</v>
      </c>
      <c r="K6231" t="s">
        <v>13</v>
      </c>
      <c r="L6231" t="s">
        <v>22</v>
      </c>
      <c r="M6231" t="s">
        <v>114</v>
      </c>
      <c r="N6231" s="2">
        <v>46265</v>
      </c>
    </row>
    <row r="6232" spans="1:14" x14ac:dyDescent="0.25">
      <c r="A6232" t="s">
        <v>705</v>
      </c>
      <c r="B6232" s="2">
        <v>46265</v>
      </c>
      <c r="C6232" t="s">
        <v>705</v>
      </c>
      <c r="D6232" t="s">
        <v>112</v>
      </c>
      <c r="E6232" t="s">
        <v>9</v>
      </c>
      <c r="F6232" s="3">
        <v>1700</v>
      </c>
      <c r="G6232" s="3">
        <v>1700</v>
      </c>
      <c r="H6232" t="s">
        <v>3</v>
      </c>
      <c r="I6232" t="s">
        <v>3</v>
      </c>
      <c r="J6232" t="s">
        <v>706</v>
      </c>
      <c r="K6232" t="s">
        <v>13</v>
      </c>
      <c r="L6232" t="s">
        <v>22</v>
      </c>
      <c r="M6232" t="s">
        <v>114</v>
      </c>
      <c r="N6232" s="2">
        <v>46265</v>
      </c>
    </row>
    <row r="6233" spans="1:14" x14ac:dyDescent="0.25">
      <c r="A6233" s="4" t="s">
        <v>267</v>
      </c>
      <c r="B6233" s="5"/>
      <c r="C6233" s="4" t="s">
        <v>9</v>
      </c>
      <c r="D6233" s="4" t="s">
        <v>9</v>
      </c>
      <c r="E6233" s="4" t="s">
        <v>9</v>
      </c>
      <c r="F6233" s="6">
        <v>0</v>
      </c>
      <c r="G6233" s="6">
        <v>0</v>
      </c>
      <c r="H6233" s="4" t="s">
        <v>9</v>
      </c>
      <c r="I6233" s="4" t="s">
        <v>3</v>
      </c>
      <c r="J6233" s="4" t="s">
        <v>9</v>
      </c>
      <c r="K6233" s="4" t="s">
        <v>9</v>
      </c>
      <c r="L6233" s="4" t="s">
        <v>9</v>
      </c>
      <c r="M6233" s="4" t="s">
        <v>9</v>
      </c>
      <c r="N6233" s="5"/>
    </row>
    <row r="6234" spans="1:14" x14ac:dyDescent="0.25">
      <c r="A6234" s="4" t="s">
        <v>705</v>
      </c>
      <c r="B6234" s="5"/>
      <c r="C6234" s="4" t="s">
        <v>9</v>
      </c>
      <c r="D6234" s="4" t="s">
        <v>9</v>
      </c>
      <c r="E6234" s="4" t="s">
        <v>9</v>
      </c>
      <c r="F6234" s="6">
        <v>0</v>
      </c>
      <c r="G6234" s="6">
        <v>0</v>
      </c>
      <c r="H6234" s="4" t="s">
        <v>9</v>
      </c>
      <c r="I6234" s="4" t="s">
        <v>3</v>
      </c>
      <c r="J6234" s="4" t="s">
        <v>9</v>
      </c>
      <c r="K6234" s="4" t="s">
        <v>9</v>
      </c>
      <c r="L6234" s="4" t="s">
        <v>9</v>
      </c>
      <c r="M6234" s="4" t="s">
        <v>9</v>
      </c>
      <c r="N6234" s="5"/>
    </row>
    <row r="6235" spans="1:14" x14ac:dyDescent="0.25">
      <c r="A6235" t="s">
        <v>707</v>
      </c>
      <c r="B6235" s="2">
        <v>46267</v>
      </c>
      <c r="C6235" t="s">
        <v>707</v>
      </c>
      <c r="D6235" t="s">
        <v>99</v>
      </c>
      <c r="E6235" t="s">
        <v>9</v>
      </c>
      <c r="F6235" s="3">
        <v>-8634.3799999999992</v>
      </c>
      <c r="G6235" s="3">
        <v>-8634.3799999999992</v>
      </c>
      <c r="H6235" t="s">
        <v>3</v>
      </c>
      <c r="I6235" t="s">
        <v>3</v>
      </c>
      <c r="J6235" t="s">
        <v>9</v>
      </c>
      <c r="K6235" t="s">
        <v>9</v>
      </c>
      <c r="L6235" t="s">
        <v>22</v>
      </c>
      <c r="M6235" t="s">
        <v>102</v>
      </c>
      <c r="N6235" s="2">
        <v>46265</v>
      </c>
    </row>
    <row r="6236" spans="1:14" x14ac:dyDescent="0.25">
      <c r="A6236" t="s">
        <v>707</v>
      </c>
      <c r="B6236" s="2">
        <v>46259</v>
      </c>
      <c r="C6236" t="s">
        <v>707</v>
      </c>
      <c r="D6236" t="s">
        <v>99</v>
      </c>
      <c r="E6236" t="s">
        <v>708</v>
      </c>
      <c r="F6236" s="3">
        <v>8634.3799999999992</v>
      </c>
      <c r="G6236" s="3">
        <v>8634.3799999999992</v>
      </c>
      <c r="H6236" t="s">
        <v>3</v>
      </c>
      <c r="I6236" t="s">
        <v>3</v>
      </c>
      <c r="J6236" t="s">
        <v>709</v>
      </c>
      <c r="K6236" t="s">
        <v>13</v>
      </c>
      <c r="L6236" t="s">
        <v>22</v>
      </c>
      <c r="M6236" t="s">
        <v>102</v>
      </c>
      <c r="N6236" s="2">
        <v>46259</v>
      </c>
    </row>
    <row r="6237" spans="1:14" x14ac:dyDescent="0.25">
      <c r="A6237" s="4" t="s">
        <v>267</v>
      </c>
      <c r="B6237" s="5"/>
      <c r="C6237" s="4" t="s">
        <v>9</v>
      </c>
      <c r="D6237" s="4" t="s">
        <v>9</v>
      </c>
      <c r="E6237" s="4" t="s">
        <v>9</v>
      </c>
      <c r="F6237" s="6">
        <v>0</v>
      </c>
      <c r="G6237" s="6">
        <v>0</v>
      </c>
      <c r="H6237" s="4" t="s">
        <v>9</v>
      </c>
      <c r="I6237" s="4" t="s">
        <v>3</v>
      </c>
      <c r="J6237" s="4" t="s">
        <v>9</v>
      </c>
      <c r="K6237" s="4" t="s">
        <v>9</v>
      </c>
      <c r="L6237" s="4" t="s">
        <v>9</v>
      </c>
      <c r="M6237" s="4" t="s">
        <v>9</v>
      </c>
      <c r="N6237" s="5"/>
    </row>
    <row r="6238" spans="1:14" x14ac:dyDescent="0.25">
      <c r="A6238" s="4" t="s">
        <v>707</v>
      </c>
      <c r="B6238" s="5"/>
      <c r="C6238" s="4" t="s">
        <v>9</v>
      </c>
      <c r="D6238" s="4" t="s">
        <v>9</v>
      </c>
      <c r="E6238" s="4" t="s">
        <v>9</v>
      </c>
      <c r="F6238" s="6">
        <v>0</v>
      </c>
      <c r="G6238" s="6">
        <v>0</v>
      </c>
      <c r="H6238" s="4" t="s">
        <v>9</v>
      </c>
      <c r="I6238" s="4" t="s">
        <v>3</v>
      </c>
      <c r="J6238" s="4" t="s">
        <v>9</v>
      </c>
      <c r="K6238" s="4" t="s">
        <v>9</v>
      </c>
      <c r="L6238" s="4" t="s">
        <v>9</v>
      </c>
      <c r="M6238" s="4" t="s">
        <v>9</v>
      </c>
      <c r="N6238" s="5"/>
    </row>
    <row r="6239" spans="1:14" x14ac:dyDescent="0.25">
      <c r="A6239" t="s">
        <v>710</v>
      </c>
      <c r="B6239" s="2">
        <v>46205</v>
      </c>
      <c r="C6239" t="s">
        <v>710</v>
      </c>
      <c r="D6239" t="s">
        <v>112</v>
      </c>
      <c r="E6239" t="s">
        <v>9</v>
      </c>
      <c r="F6239" s="3">
        <v>-400</v>
      </c>
      <c r="G6239" s="3">
        <v>-400</v>
      </c>
      <c r="H6239" t="s">
        <v>3</v>
      </c>
      <c r="I6239" t="s">
        <v>3</v>
      </c>
      <c r="J6239" t="s">
        <v>9</v>
      </c>
      <c r="K6239" t="s">
        <v>9</v>
      </c>
      <c r="L6239" t="s">
        <v>19</v>
      </c>
      <c r="M6239" t="s">
        <v>114</v>
      </c>
      <c r="N6239" s="2">
        <v>46203</v>
      </c>
    </row>
    <row r="6240" spans="1:14" x14ac:dyDescent="0.25">
      <c r="A6240" t="s">
        <v>710</v>
      </c>
      <c r="B6240" s="2">
        <v>46203</v>
      </c>
      <c r="C6240" t="s">
        <v>710</v>
      </c>
      <c r="D6240" t="s">
        <v>112</v>
      </c>
      <c r="E6240" t="s">
        <v>9</v>
      </c>
      <c r="F6240" s="3">
        <v>400</v>
      </c>
      <c r="G6240" s="3">
        <v>400</v>
      </c>
      <c r="H6240" t="s">
        <v>3</v>
      </c>
      <c r="I6240" t="s">
        <v>3</v>
      </c>
      <c r="J6240" t="s">
        <v>316</v>
      </c>
      <c r="K6240" t="s">
        <v>13</v>
      </c>
      <c r="L6240" t="s">
        <v>19</v>
      </c>
      <c r="M6240" t="s">
        <v>114</v>
      </c>
      <c r="N6240" s="2">
        <v>46203</v>
      </c>
    </row>
    <row r="6241" spans="1:14" x14ac:dyDescent="0.25">
      <c r="A6241" s="4" t="s">
        <v>224</v>
      </c>
      <c r="B6241" s="5"/>
      <c r="C6241" s="4" t="s">
        <v>9</v>
      </c>
      <c r="D6241" s="4" t="s">
        <v>9</v>
      </c>
      <c r="E6241" s="4" t="s">
        <v>9</v>
      </c>
      <c r="F6241" s="6">
        <v>0</v>
      </c>
      <c r="G6241" s="6">
        <v>0</v>
      </c>
      <c r="H6241" s="4" t="s">
        <v>9</v>
      </c>
      <c r="I6241" s="4" t="s">
        <v>3</v>
      </c>
      <c r="J6241" s="4" t="s">
        <v>9</v>
      </c>
      <c r="K6241" s="4" t="s">
        <v>9</v>
      </c>
      <c r="L6241" s="4" t="s">
        <v>9</v>
      </c>
      <c r="M6241" s="4" t="s">
        <v>9</v>
      </c>
      <c r="N6241" s="5"/>
    </row>
    <row r="6242" spans="1:14" x14ac:dyDescent="0.25">
      <c r="A6242" t="s">
        <v>710</v>
      </c>
      <c r="B6242" s="2">
        <v>46239</v>
      </c>
      <c r="C6242" t="s">
        <v>710</v>
      </c>
      <c r="D6242" t="s">
        <v>112</v>
      </c>
      <c r="E6242" t="s">
        <v>9</v>
      </c>
      <c r="F6242" s="3">
        <v>-300</v>
      </c>
      <c r="G6242" s="3">
        <v>-300</v>
      </c>
      <c r="H6242" t="s">
        <v>3</v>
      </c>
      <c r="I6242" t="s">
        <v>3</v>
      </c>
      <c r="J6242" t="s">
        <v>9</v>
      </c>
      <c r="K6242" t="s">
        <v>9</v>
      </c>
      <c r="L6242" t="s">
        <v>21</v>
      </c>
      <c r="M6242" t="s">
        <v>114</v>
      </c>
      <c r="N6242" s="2">
        <v>46234</v>
      </c>
    </row>
    <row r="6243" spans="1:14" x14ac:dyDescent="0.25">
      <c r="A6243" t="s">
        <v>710</v>
      </c>
      <c r="B6243" s="2">
        <v>46203</v>
      </c>
      <c r="C6243" t="s">
        <v>710</v>
      </c>
      <c r="D6243" t="s">
        <v>112</v>
      </c>
      <c r="E6243" t="s">
        <v>9</v>
      </c>
      <c r="F6243" s="3">
        <v>-400</v>
      </c>
      <c r="G6243" s="3">
        <v>-400</v>
      </c>
      <c r="H6243" t="s">
        <v>3</v>
      </c>
      <c r="I6243" t="s">
        <v>3</v>
      </c>
      <c r="J6243" t="s">
        <v>316</v>
      </c>
      <c r="K6243" t="s">
        <v>13</v>
      </c>
      <c r="L6243" t="s">
        <v>21</v>
      </c>
      <c r="M6243" t="s">
        <v>114</v>
      </c>
      <c r="N6243" s="2">
        <v>46204</v>
      </c>
    </row>
    <row r="6244" spans="1:14" x14ac:dyDescent="0.25">
      <c r="A6244" t="s">
        <v>710</v>
      </c>
      <c r="B6244" s="2">
        <v>46234</v>
      </c>
      <c r="C6244" t="s">
        <v>710</v>
      </c>
      <c r="D6244" t="s">
        <v>112</v>
      </c>
      <c r="E6244" t="s">
        <v>9</v>
      </c>
      <c r="F6244" s="3">
        <v>700</v>
      </c>
      <c r="G6244" s="3">
        <v>700</v>
      </c>
      <c r="H6244" t="s">
        <v>3</v>
      </c>
      <c r="I6244" t="s">
        <v>3</v>
      </c>
      <c r="J6244" t="s">
        <v>319</v>
      </c>
      <c r="K6244" t="s">
        <v>13</v>
      </c>
      <c r="L6244" t="s">
        <v>21</v>
      </c>
      <c r="M6244" t="s">
        <v>114</v>
      </c>
      <c r="N6244" s="2">
        <v>46234</v>
      </c>
    </row>
    <row r="6245" spans="1:14" x14ac:dyDescent="0.25">
      <c r="A6245" s="4" t="s">
        <v>262</v>
      </c>
      <c r="B6245" s="5"/>
      <c r="C6245" s="4" t="s">
        <v>9</v>
      </c>
      <c r="D6245" s="4" t="s">
        <v>9</v>
      </c>
      <c r="E6245" s="4" t="s">
        <v>9</v>
      </c>
      <c r="F6245" s="6">
        <v>0</v>
      </c>
      <c r="G6245" s="6">
        <v>0</v>
      </c>
      <c r="H6245" s="4" t="s">
        <v>9</v>
      </c>
      <c r="I6245" s="4" t="s">
        <v>3</v>
      </c>
      <c r="J6245" s="4" t="s">
        <v>9</v>
      </c>
      <c r="K6245" s="4" t="s">
        <v>9</v>
      </c>
      <c r="L6245" s="4" t="s">
        <v>9</v>
      </c>
      <c r="M6245" s="4" t="s">
        <v>9</v>
      </c>
      <c r="N6245" s="5"/>
    </row>
    <row r="6246" spans="1:14" x14ac:dyDescent="0.25">
      <c r="A6246" t="s">
        <v>710</v>
      </c>
      <c r="B6246" s="2">
        <v>46267</v>
      </c>
      <c r="C6246" t="s">
        <v>710</v>
      </c>
      <c r="D6246" t="s">
        <v>112</v>
      </c>
      <c r="E6246" t="s">
        <v>9</v>
      </c>
      <c r="F6246" s="3">
        <v>-400</v>
      </c>
      <c r="G6246" s="3">
        <v>-400</v>
      </c>
      <c r="H6246" t="s">
        <v>3</v>
      </c>
      <c r="I6246" t="s">
        <v>3</v>
      </c>
      <c r="J6246" t="s">
        <v>9</v>
      </c>
      <c r="K6246" t="s">
        <v>9</v>
      </c>
      <c r="L6246" t="s">
        <v>22</v>
      </c>
      <c r="M6246" t="s">
        <v>114</v>
      </c>
      <c r="N6246" s="2">
        <v>46265</v>
      </c>
    </row>
    <row r="6247" spans="1:14" x14ac:dyDescent="0.25">
      <c r="A6247" t="s">
        <v>710</v>
      </c>
      <c r="B6247" s="2">
        <v>46234</v>
      </c>
      <c r="C6247" t="s">
        <v>710</v>
      </c>
      <c r="D6247" t="s">
        <v>112</v>
      </c>
      <c r="E6247" t="s">
        <v>9</v>
      </c>
      <c r="F6247" s="3">
        <v>-700</v>
      </c>
      <c r="G6247" s="3">
        <v>-700</v>
      </c>
      <c r="H6247" t="s">
        <v>3</v>
      </c>
      <c r="I6247" t="s">
        <v>3</v>
      </c>
      <c r="J6247" t="s">
        <v>319</v>
      </c>
      <c r="K6247" t="s">
        <v>13</v>
      </c>
      <c r="L6247" t="s">
        <v>22</v>
      </c>
      <c r="M6247" t="s">
        <v>114</v>
      </c>
      <c r="N6247" s="2">
        <v>46235</v>
      </c>
    </row>
    <row r="6248" spans="1:14" x14ac:dyDescent="0.25">
      <c r="A6248" t="s">
        <v>710</v>
      </c>
      <c r="B6248" s="2">
        <v>46265</v>
      </c>
      <c r="C6248" t="s">
        <v>710</v>
      </c>
      <c r="D6248" t="s">
        <v>112</v>
      </c>
      <c r="E6248" t="s">
        <v>9</v>
      </c>
      <c r="F6248" s="3">
        <v>1100</v>
      </c>
      <c r="G6248" s="3">
        <v>1100</v>
      </c>
      <c r="H6248" t="s">
        <v>3</v>
      </c>
      <c r="I6248" t="s">
        <v>3</v>
      </c>
      <c r="J6248" t="s">
        <v>322</v>
      </c>
      <c r="K6248" t="s">
        <v>13</v>
      </c>
      <c r="L6248" t="s">
        <v>22</v>
      </c>
      <c r="M6248" t="s">
        <v>114</v>
      </c>
      <c r="N6248" s="2">
        <v>46265</v>
      </c>
    </row>
    <row r="6249" spans="1:14" x14ac:dyDescent="0.25">
      <c r="A6249" s="4" t="s">
        <v>267</v>
      </c>
      <c r="B6249" s="5"/>
      <c r="C6249" s="4" t="s">
        <v>9</v>
      </c>
      <c r="D6249" s="4" t="s">
        <v>9</v>
      </c>
      <c r="E6249" s="4" t="s">
        <v>9</v>
      </c>
      <c r="F6249" s="6">
        <v>0</v>
      </c>
      <c r="G6249" s="6">
        <v>0</v>
      </c>
      <c r="H6249" s="4" t="s">
        <v>9</v>
      </c>
      <c r="I6249" s="4" t="s">
        <v>3</v>
      </c>
      <c r="J6249" s="4" t="s">
        <v>9</v>
      </c>
      <c r="K6249" s="4" t="s">
        <v>9</v>
      </c>
      <c r="L6249" s="4" t="s">
        <v>9</v>
      </c>
      <c r="M6249" s="4" t="s">
        <v>9</v>
      </c>
      <c r="N6249" s="5"/>
    </row>
    <row r="6250" spans="1:14" x14ac:dyDescent="0.25">
      <c r="A6250" s="4" t="s">
        <v>710</v>
      </c>
      <c r="B6250" s="5"/>
      <c r="C6250" s="4" t="s">
        <v>9</v>
      </c>
      <c r="D6250" s="4" t="s">
        <v>9</v>
      </c>
      <c r="E6250" s="4" t="s">
        <v>9</v>
      </c>
      <c r="F6250" s="6">
        <v>0</v>
      </c>
      <c r="G6250" s="6">
        <v>0</v>
      </c>
      <c r="H6250" s="4" t="s">
        <v>9</v>
      </c>
      <c r="I6250" s="4" t="s">
        <v>3</v>
      </c>
      <c r="J6250" s="4" t="s">
        <v>9</v>
      </c>
      <c r="K6250" s="4" t="s">
        <v>9</v>
      </c>
      <c r="L6250" s="4" t="s">
        <v>9</v>
      </c>
      <c r="M6250" s="4" t="s">
        <v>9</v>
      </c>
      <c r="N6250" s="5"/>
    </row>
    <row r="6251" spans="1:14" x14ac:dyDescent="0.25">
      <c r="A6251" t="s">
        <v>711</v>
      </c>
      <c r="B6251" s="2">
        <v>46239</v>
      </c>
      <c r="C6251" t="s">
        <v>711</v>
      </c>
      <c r="D6251" t="s">
        <v>112</v>
      </c>
      <c r="E6251" t="s">
        <v>9</v>
      </c>
      <c r="F6251" s="3">
        <v>-2300</v>
      </c>
      <c r="G6251" s="3">
        <v>-2300</v>
      </c>
      <c r="H6251" t="s">
        <v>3</v>
      </c>
      <c r="I6251" t="s">
        <v>3</v>
      </c>
      <c r="J6251" t="s">
        <v>9</v>
      </c>
      <c r="K6251" t="s">
        <v>9</v>
      </c>
      <c r="L6251" t="s">
        <v>21</v>
      </c>
      <c r="M6251" t="s">
        <v>114</v>
      </c>
      <c r="N6251" s="2">
        <v>46234</v>
      </c>
    </row>
    <row r="6252" spans="1:14" x14ac:dyDescent="0.25">
      <c r="A6252" t="s">
        <v>711</v>
      </c>
      <c r="B6252" s="2">
        <v>46239</v>
      </c>
      <c r="C6252" t="s">
        <v>711</v>
      </c>
      <c r="D6252" t="s">
        <v>301</v>
      </c>
      <c r="E6252" t="s">
        <v>9</v>
      </c>
      <c r="F6252" s="3">
        <v>2300</v>
      </c>
      <c r="G6252" s="3">
        <v>2300</v>
      </c>
      <c r="H6252" t="s">
        <v>3</v>
      </c>
      <c r="I6252" t="s">
        <v>3</v>
      </c>
      <c r="J6252" t="s">
        <v>9</v>
      </c>
      <c r="K6252" t="s">
        <v>9</v>
      </c>
      <c r="L6252" t="s">
        <v>21</v>
      </c>
      <c r="M6252" t="s">
        <v>302</v>
      </c>
      <c r="N6252" s="2">
        <v>46234</v>
      </c>
    </row>
    <row r="6253" spans="1:14" x14ac:dyDescent="0.25">
      <c r="A6253" t="s">
        <v>711</v>
      </c>
      <c r="B6253" s="2">
        <v>46234</v>
      </c>
      <c r="C6253" t="s">
        <v>711</v>
      </c>
      <c r="D6253" t="s">
        <v>301</v>
      </c>
      <c r="E6253" t="s">
        <v>9</v>
      </c>
      <c r="F6253" s="3">
        <v>-2300</v>
      </c>
      <c r="G6253" s="3">
        <v>-2300</v>
      </c>
      <c r="H6253" t="s">
        <v>3</v>
      </c>
      <c r="I6253" t="s">
        <v>3</v>
      </c>
      <c r="J6253" t="s">
        <v>10</v>
      </c>
      <c r="K6253" t="s">
        <v>13</v>
      </c>
      <c r="L6253" t="s">
        <v>21</v>
      </c>
      <c r="M6253" t="s">
        <v>302</v>
      </c>
      <c r="N6253" s="2">
        <v>46234</v>
      </c>
    </row>
    <row r="6254" spans="1:14" x14ac:dyDescent="0.25">
      <c r="A6254" t="s">
        <v>711</v>
      </c>
      <c r="B6254" s="2">
        <v>46234</v>
      </c>
      <c r="C6254" t="s">
        <v>711</v>
      </c>
      <c r="D6254" t="s">
        <v>112</v>
      </c>
      <c r="E6254" t="s">
        <v>9</v>
      </c>
      <c r="F6254" s="3">
        <v>2300</v>
      </c>
      <c r="G6254" s="3">
        <v>2300</v>
      </c>
      <c r="H6254" t="s">
        <v>3</v>
      </c>
      <c r="I6254" t="s">
        <v>3</v>
      </c>
      <c r="J6254" t="s">
        <v>319</v>
      </c>
      <c r="K6254" t="s">
        <v>13</v>
      </c>
      <c r="L6254" t="s">
        <v>21</v>
      </c>
      <c r="M6254" t="s">
        <v>114</v>
      </c>
      <c r="N6254" s="2">
        <v>46234</v>
      </c>
    </row>
    <row r="6255" spans="1:14" x14ac:dyDescent="0.25">
      <c r="A6255" s="4" t="s">
        <v>262</v>
      </c>
      <c r="B6255" s="5"/>
      <c r="C6255" s="4" t="s">
        <v>9</v>
      </c>
      <c r="D6255" s="4" t="s">
        <v>9</v>
      </c>
      <c r="E6255" s="4" t="s">
        <v>9</v>
      </c>
      <c r="F6255" s="6">
        <v>0</v>
      </c>
      <c r="G6255" s="6">
        <v>0</v>
      </c>
      <c r="H6255" s="4" t="s">
        <v>9</v>
      </c>
      <c r="I6255" s="4" t="s">
        <v>3</v>
      </c>
      <c r="J6255" s="4" t="s">
        <v>9</v>
      </c>
      <c r="K6255" s="4" t="s">
        <v>9</v>
      </c>
      <c r="L6255" s="4" t="s">
        <v>9</v>
      </c>
      <c r="M6255" s="4" t="s">
        <v>9</v>
      </c>
      <c r="N6255" s="5"/>
    </row>
    <row r="6256" spans="1:14" x14ac:dyDescent="0.25">
      <c r="A6256" t="s">
        <v>711</v>
      </c>
      <c r="B6256" s="2">
        <v>46234</v>
      </c>
      <c r="C6256" t="s">
        <v>711</v>
      </c>
      <c r="D6256" t="s">
        <v>112</v>
      </c>
      <c r="E6256" t="s">
        <v>9</v>
      </c>
      <c r="F6256" s="3">
        <v>-2300</v>
      </c>
      <c r="G6256" s="3">
        <v>-2300</v>
      </c>
      <c r="H6256" t="s">
        <v>3</v>
      </c>
      <c r="I6256" t="s">
        <v>3</v>
      </c>
      <c r="J6256" t="s">
        <v>319</v>
      </c>
      <c r="K6256" t="s">
        <v>13</v>
      </c>
      <c r="L6256" t="s">
        <v>22</v>
      </c>
      <c r="M6256" t="s">
        <v>114</v>
      </c>
      <c r="N6256" s="2">
        <v>46235</v>
      </c>
    </row>
    <row r="6257" spans="1:14" x14ac:dyDescent="0.25">
      <c r="A6257" t="s">
        <v>711</v>
      </c>
      <c r="B6257" s="2">
        <v>46265</v>
      </c>
      <c r="C6257" t="s">
        <v>711</v>
      </c>
      <c r="D6257" t="s">
        <v>112</v>
      </c>
      <c r="E6257" t="s">
        <v>9</v>
      </c>
      <c r="F6257" s="3">
        <v>2300</v>
      </c>
      <c r="G6257" s="3">
        <v>2300</v>
      </c>
      <c r="H6257" t="s">
        <v>3</v>
      </c>
      <c r="I6257" t="s">
        <v>3</v>
      </c>
      <c r="J6257" t="s">
        <v>322</v>
      </c>
      <c r="K6257" t="s">
        <v>13</v>
      </c>
      <c r="L6257" t="s">
        <v>22</v>
      </c>
      <c r="M6257" t="s">
        <v>114</v>
      </c>
      <c r="N6257" s="2">
        <v>46265</v>
      </c>
    </row>
    <row r="6258" spans="1:14" x14ac:dyDescent="0.25">
      <c r="A6258" s="4" t="s">
        <v>267</v>
      </c>
      <c r="B6258" s="5"/>
      <c r="C6258" s="4" t="s">
        <v>9</v>
      </c>
      <c r="D6258" s="4" t="s">
        <v>9</v>
      </c>
      <c r="E6258" s="4" t="s">
        <v>9</v>
      </c>
      <c r="F6258" s="6">
        <v>0</v>
      </c>
      <c r="G6258" s="6">
        <v>0</v>
      </c>
      <c r="H6258" s="4" t="s">
        <v>9</v>
      </c>
      <c r="I6258" s="4" t="s">
        <v>3</v>
      </c>
      <c r="J6258" s="4" t="s">
        <v>9</v>
      </c>
      <c r="K6258" s="4" t="s">
        <v>9</v>
      </c>
      <c r="L6258" s="4" t="s">
        <v>9</v>
      </c>
      <c r="M6258" s="4" t="s">
        <v>9</v>
      </c>
      <c r="N6258" s="5"/>
    </row>
    <row r="6259" spans="1:14" x14ac:dyDescent="0.25">
      <c r="A6259" s="4" t="s">
        <v>711</v>
      </c>
      <c r="B6259" s="5"/>
      <c r="C6259" s="4" t="s">
        <v>9</v>
      </c>
      <c r="D6259" s="4" t="s">
        <v>9</v>
      </c>
      <c r="E6259" s="4" t="s">
        <v>9</v>
      </c>
      <c r="F6259" s="6">
        <v>0</v>
      </c>
      <c r="G6259" s="6">
        <v>0</v>
      </c>
      <c r="H6259" s="4" t="s">
        <v>9</v>
      </c>
      <c r="I6259" s="4" t="s">
        <v>3</v>
      </c>
      <c r="J6259" s="4" t="s">
        <v>9</v>
      </c>
      <c r="K6259" s="4" t="s">
        <v>9</v>
      </c>
      <c r="L6259" s="4" t="s">
        <v>9</v>
      </c>
      <c r="M6259" s="4" t="s">
        <v>9</v>
      </c>
      <c r="N6259" s="5"/>
    </row>
    <row r="6260" spans="1:14" x14ac:dyDescent="0.25">
      <c r="A6260" t="s">
        <v>712</v>
      </c>
      <c r="B6260" s="2">
        <v>46205</v>
      </c>
      <c r="C6260" t="s">
        <v>712</v>
      </c>
      <c r="D6260" t="s">
        <v>112</v>
      </c>
      <c r="E6260" t="s">
        <v>9</v>
      </c>
      <c r="F6260" s="3">
        <v>-5775.27</v>
      </c>
      <c r="G6260" s="3">
        <v>-5775.27</v>
      </c>
      <c r="H6260" t="s">
        <v>3</v>
      </c>
      <c r="I6260" t="s">
        <v>3</v>
      </c>
      <c r="J6260" t="s">
        <v>9</v>
      </c>
      <c r="K6260" t="s">
        <v>9</v>
      </c>
      <c r="L6260" t="s">
        <v>19</v>
      </c>
      <c r="M6260" t="s">
        <v>114</v>
      </c>
      <c r="N6260" s="2">
        <v>46203</v>
      </c>
    </row>
    <row r="6261" spans="1:14" x14ac:dyDescent="0.25">
      <c r="A6261" t="s">
        <v>712</v>
      </c>
      <c r="B6261" s="2">
        <v>46205</v>
      </c>
      <c r="C6261" t="s">
        <v>712</v>
      </c>
      <c r="D6261" t="s">
        <v>301</v>
      </c>
      <c r="E6261" t="s">
        <v>9</v>
      </c>
      <c r="F6261" s="3">
        <v>5775.28</v>
      </c>
      <c r="G6261" s="3">
        <v>5775.28</v>
      </c>
      <c r="H6261" t="s">
        <v>3</v>
      </c>
      <c r="I6261" t="s">
        <v>3</v>
      </c>
      <c r="J6261" t="s">
        <v>9</v>
      </c>
      <c r="K6261" t="s">
        <v>9</v>
      </c>
      <c r="L6261" t="s">
        <v>19</v>
      </c>
      <c r="M6261" t="s">
        <v>302</v>
      </c>
      <c r="N6261" s="2">
        <v>46203</v>
      </c>
    </row>
    <row r="6262" spans="1:14" x14ac:dyDescent="0.25">
      <c r="A6262" t="s">
        <v>712</v>
      </c>
      <c r="B6262" s="2">
        <v>46203</v>
      </c>
      <c r="C6262" t="s">
        <v>712</v>
      </c>
      <c r="D6262" t="s">
        <v>112</v>
      </c>
      <c r="E6262" t="s">
        <v>9</v>
      </c>
      <c r="F6262" s="3">
        <v>5775.27</v>
      </c>
      <c r="G6262" s="3">
        <v>5775.27</v>
      </c>
      <c r="H6262" t="s">
        <v>3</v>
      </c>
      <c r="I6262" t="s">
        <v>3</v>
      </c>
      <c r="J6262" t="s">
        <v>316</v>
      </c>
      <c r="K6262" t="s">
        <v>13</v>
      </c>
      <c r="L6262" t="s">
        <v>19</v>
      </c>
      <c r="M6262" t="s">
        <v>114</v>
      </c>
      <c r="N6262" s="2">
        <v>46203</v>
      </c>
    </row>
    <row r="6263" spans="1:14" x14ac:dyDescent="0.25">
      <c r="A6263" t="s">
        <v>712</v>
      </c>
      <c r="B6263" s="2">
        <v>46203</v>
      </c>
      <c r="C6263" t="s">
        <v>712</v>
      </c>
      <c r="D6263" t="s">
        <v>301</v>
      </c>
      <c r="E6263" t="s">
        <v>9</v>
      </c>
      <c r="F6263" s="3">
        <v>-5775.28</v>
      </c>
      <c r="G6263" s="3">
        <v>-5775.28</v>
      </c>
      <c r="H6263" t="s">
        <v>3</v>
      </c>
      <c r="I6263" t="s">
        <v>3</v>
      </c>
      <c r="J6263" t="s">
        <v>10</v>
      </c>
      <c r="K6263" t="s">
        <v>13</v>
      </c>
      <c r="L6263" t="s">
        <v>19</v>
      </c>
      <c r="M6263" t="s">
        <v>302</v>
      </c>
      <c r="N6263" s="2">
        <v>46203</v>
      </c>
    </row>
    <row r="6264" spans="1:14" x14ac:dyDescent="0.25">
      <c r="A6264" s="4" t="s">
        <v>224</v>
      </c>
      <c r="B6264" s="5"/>
      <c r="C6264" s="4" t="s">
        <v>9</v>
      </c>
      <c r="D6264" s="4" t="s">
        <v>9</v>
      </c>
      <c r="E6264" s="4" t="s">
        <v>9</v>
      </c>
      <c r="F6264" s="6">
        <v>0</v>
      </c>
      <c r="G6264" s="6">
        <v>0</v>
      </c>
      <c r="H6264" s="4" t="s">
        <v>9</v>
      </c>
      <c r="I6264" s="4" t="s">
        <v>3</v>
      </c>
      <c r="J6264" s="4" t="s">
        <v>9</v>
      </c>
      <c r="K6264" s="4" t="s">
        <v>9</v>
      </c>
      <c r="L6264" s="4" t="s">
        <v>9</v>
      </c>
      <c r="M6264" s="4" t="s">
        <v>9</v>
      </c>
      <c r="N6264" s="5"/>
    </row>
    <row r="6265" spans="1:14" x14ac:dyDescent="0.25">
      <c r="A6265" t="s">
        <v>712</v>
      </c>
      <c r="B6265" s="2">
        <v>46239</v>
      </c>
      <c r="C6265" t="s">
        <v>712</v>
      </c>
      <c r="D6265" t="s">
        <v>112</v>
      </c>
      <c r="E6265" t="s">
        <v>9</v>
      </c>
      <c r="F6265" s="3">
        <v>-5324.73</v>
      </c>
      <c r="G6265" s="3">
        <v>-5324.73</v>
      </c>
      <c r="H6265" t="s">
        <v>3</v>
      </c>
      <c r="I6265" t="s">
        <v>3</v>
      </c>
      <c r="J6265" t="s">
        <v>9</v>
      </c>
      <c r="K6265" t="s">
        <v>9</v>
      </c>
      <c r="L6265" t="s">
        <v>21</v>
      </c>
      <c r="M6265" t="s">
        <v>114</v>
      </c>
      <c r="N6265" s="2">
        <v>46234</v>
      </c>
    </row>
    <row r="6266" spans="1:14" x14ac:dyDescent="0.25">
      <c r="A6266" t="s">
        <v>712</v>
      </c>
      <c r="B6266" s="2">
        <v>46239</v>
      </c>
      <c r="C6266" t="s">
        <v>712</v>
      </c>
      <c r="D6266" t="s">
        <v>301</v>
      </c>
      <c r="E6266" t="s">
        <v>9</v>
      </c>
      <c r="F6266" s="3">
        <v>5324.72</v>
      </c>
      <c r="G6266" s="3">
        <v>5324.72</v>
      </c>
      <c r="H6266" t="s">
        <v>3</v>
      </c>
      <c r="I6266" t="s">
        <v>3</v>
      </c>
      <c r="J6266" t="s">
        <v>9</v>
      </c>
      <c r="K6266" t="s">
        <v>9</v>
      </c>
      <c r="L6266" t="s">
        <v>21</v>
      </c>
      <c r="M6266" t="s">
        <v>302</v>
      </c>
      <c r="N6266" s="2">
        <v>46234</v>
      </c>
    </row>
    <row r="6267" spans="1:14" x14ac:dyDescent="0.25">
      <c r="A6267" t="s">
        <v>712</v>
      </c>
      <c r="B6267" s="2">
        <v>46203</v>
      </c>
      <c r="C6267" t="s">
        <v>712</v>
      </c>
      <c r="D6267" t="s">
        <v>112</v>
      </c>
      <c r="E6267" t="s">
        <v>9</v>
      </c>
      <c r="F6267" s="3">
        <v>-5775.27</v>
      </c>
      <c r="G6267" s="3">
        <v>-5775.27</v>
      </c>
      <c r="H6267" t="s">
        <v>3</v>
      </c>
      <c r="I6267" t="s">
        <v>3</v>
      </c>
      <c r="J6267" t="s">
        <v>316</v>
      </c>
      <c r="K6267" t="s">
        <v>13</v>
      </c>
      <c r="L6267" t="s">
        <v>21</v>
      </c>
      <c r="M6267" t="s">
        <v>114</v>
      </c>
      <c r="N6267" s="2">
        <v>46204</v>
      </c>
    </row>
    <row r="6268" spans="1:14" x14ac:dyDescent="0.25">
      <c r="A6268" t="s">
        <v>712</v>
      </c>
      <c r="B6268" s="2">
        <v>46234</v>
      </c>
      <c r="C6268" t="s">
        <v>712</v>
      </c>
      <c r="D6268" t="s">
        <v>301</v>
      </c>
      <c r="E6268" t="s">
        <v>9</v>
      </c>
      <c r="F6268" s="3">
        <v>-5324.72</v>
      </c>
      <c r="G6268" s="3">
        <v>-5324.72</v>
      </c>
      <c r="H6268" t="s">
        <v>3</v>
      </c>
      <c r="I6268" t="s">
        <v>3</v>
      </c>
      <c r="J6268" t="s">
        <v>10</v>
      </c>
      <c r="K6268" t="s">
        <v>13</v>
      </c>
      <c r="L6268" t="s">
        <v>21</v>
      </c>
      <c r="M6268" t="s">
        <v>302</v>
      </c>
      <c r="N6268" s="2">
        <v>46234</v>
      </c>
    </row>
    <row r="6269" spans="1:14" x14ac:dyDescent="0.25">
      <c r="A6269" t="s">
        <v>712</v>
      </c>
      <c r="B6269" s="2">
        <v>46234</v>
      </c>
      <c r="C6269" t="s">
        <v>712</v>
      </c>
      <c r="D6269" t="s">
        <v>112</v>
      </c>
      <c r="E6269" t="s">
        <v>9</v>
      </c>
      <c r="F6269" s="3">
        <v>11100</v>
      </c>
      <c r="G6269" s="3">
        <v>11100</v>
      </c>
      <c r="H6269" t="s">
        <v>3</v>
      </c>
      <c r="I6269" t="s">
        <v>3</v>
      </c>
      <c r="J6269" t="s">
        <v>319</v>
      </c>
      <c r="K6269" t="s">
        <v>13</v>
      </c>
      <c r="L6269" t="s">
        <v>21</v>
      </c>
      <c r="M6269" t="s">
        <v>114</v>
      </c>
      <c r="N6269" s="2">
        <v>46234</v>
      </c>
    </row>
    <row r="6270" spans="1:14" x14ac:dyDescent="0.25">
      <c r="A6270" s="4" t="s">
        <v>262</v>
      </c>
      <c r="B6270" s="5"/>
      <c r="C6270" s="4" t="s">
        <v>9</v>
      </c>
      <c r="D6270" s="4" t="s">
        <v>9</v>
      </c>
      <c r="E6270" s="4" t="s">
        <v>9</v>
      </c>
      <c r="F6270" s="6">
        <v>0</v>
      </c>
      <c r="G6270" s="6">
        <v>0</v>
      </c>
      <c r="H6270" s="4" t="s">
        <v>9</v>
      </c>
      <c r="I6270" s="4" t="s">
        <v>3</v>
      </c>
      <c r="J6270" s="4" t="s">
        <v>9</v>
      </c>
      <c r="K6270" s="4" t="s">
        <v>9</v>
      </c>
      <c r="L6270" s="4" t="s">
        <v>9</v>
      </c>
      <c r="M6270" s="4" t="s">
        <v>9</v>
      </c>
      <c r="N6270" s="5"/>
    </row>
    <row r="6271" spans="1:14" x14ac:dyDescent="0.25">
      <c r="A6271" t="s">
        <v>712</v>
      </c>
      <c r="B6271" s="2">
        <v>46267</v>
      </c>
      <c r="C6271" t="s">
        <v>712</v>
      </c>
      <c r="D6271" t="s">
        <v>112</v>
      </c>
      <c r="E6271" t="s">
        <v>9</v>
      </c>
      <c r="F6271" s="3">
        <v>-1400</v>
      </c>
      <c r="G6271" s="3">
        <v>-1400</v>
      </c>
      <c r="H6271" t="s">
        <v>3</v>
      </c>
      <c r="I6271" t="s">
        <v>3</v>
      </c>
      <c r="J6271" t="s">
        <v>9</v>
      </c>
      <c r="K6271" t="s">
        <v>9</v>
      </c>
      <c r="L6271" t="s">
        <v>22</v>
      </c>
      <c r="M6271" t="s">
        <v>114</v>
      </c>
      <c r="N6271" s="2">
        <v>46265</v>
      </c>
    </row>
    <row r="6272" spans="1:14" x14ac:dyDescent="0.25">
      <c r="A6272" t="s">
        <v>712</v>
      </c>
      <c r="B6272" s="2">
        <v>46267</v>
      </c>
      <c r="C6272" t="s">
        <v>712</v>
      </c>
      <c r="D6272" t="s">
        <v>301</v>
      </c>
      <c r="E6272" t="s">
        <v>9</v>
      </c>
      <c r="F6272" s="3">
        <v>1400</v>
      </c>
      <c r="G6272" s="3">
        <v>1400</v>
      </c>
      <c r="H6272" t="s">
        <v>3</v>
      </c>
      <c r="I6272" t="s">
        <v>3</v>
      </c>
      <c r="J6272" t="s">
        <v>9</v>
      </c>
      <c r="K6272" t="s">
        <v>9</v>
      </c>
      <c r="L6272" t="s">
        <v>22</v>
      </c>
      <c r="M6272" t="s">
        <v>302</v>
      </c>
      <c r="N6272" s="2">
        <v>46265</v>
      </c>
    </row>
    <row r="6273" spans="1:14" x14ac:dyDescent="0.25">
      <c r="A6273" t="s">
        <v>712</v>
      </c>
      <c r="B6273" s="2">
        <v>46234</v>
      </c>
      <c r="C6273" t="s">
        <v>712</v>
      </c>
      <c r="D6273" t="s">
        <v>112</v>
      </c>
      <c r="E6273" t="s">
        <v>9</v>
      </c>
      <c r="F6273" s="3">
        <v>-11100</v>
      </c>
      <c r="G6273" s="3">
        <v>-11100</v>
      </c>
      <c r="H6273" t="s">
        <v>3</v>
      </c>
      <c r="I6273" t="s">
        <v>3</v>
      </c>
      <c r="J6273" t="s">
        <v>319</v>
      </c>
      <c r="K6273" t="s">
        <v>13</v>
      </c>
      <c r="L6273" t="s">
        <v>22</v>
      </c>
      <c r="M6273" t="s">
        <v>114</v>
      </c>
      <c r="N6273" s="2">
        <v>46235</v>
      </c>
    </row>
    <row r="6274" spans="1:14" x14ac:dyDescent="0.25">
      <c r="A6274" t="s">
        <v>712</v>
      </c>
      <c r="B6274" s="2">
        <v>46265</v>
      </c>
      <c r="C6274" t="s">
        <v>712</v>
      </c>
      <c r="D6274" t="s">
        <v>112</v>
      </c>
      <c r="E6274" t="s">
        <v>9</v>
      </c>
      <c r="F6274" s="3">
        <v>12500</v>
      </c>
      <c r="G6274" s="3">
        <v>12500</v>
      </c>
      <c r="H6274" t="s">
        <v>3</v>
      </c>
      <c r="I6274" t="s">
        <v>3</v>
      </c>
      <c r="J6274" t="s">
        <v>322</v>
      </c>
      <c r="K6274" t="s">
        <v>13</v>
      </c>
      <c r="L6274" t="s">
        <v>22</v>
      </c>
      <c r="M6274" t="s">
        <v>114</v>
      </c>
      <c r="N6274" s="2">
        <v>46265</v>
      </c>
    </row>
    <row r="6275" spans="1:14" x14ac:dyDescent="0.25">
      <c r="A6275" t="s">
        <v>712</v>
      </c>
      <c r="B6275" s="2">
        <v>46265</v>
      </c>
      <c r="C6275" t="s">
        <v>712</v>
      </c>
      <c r="D6275" t="s">
        <v>301</v>
      </c>
      <c r="E6275" t="s">
        <v>9</v>
      </c>
      <c r="F6275" s="3">
        <v>-1400</v>
      </c>
      <c r="G6275" s="3">
        <v>-1400</v>
      </c>
      <c r="H6275" t="s">
        <v>3</v>
      </c>
      <c r="I6275" t="s">
        <v>3</v>
      </c>
      <c r="J6275" t="s">
        <v>10</v>
      </c>
      <c r="K6275" t="s">
        <v>13</v>
      </c>
      <c r="L6275" t="s">
        <v>22</v>
      </c>
      <c r="M6275" t="s">
        <v>302</v>
      </c>
      <c r="N6275" s="2">
        <v>46265</v>
      </c>
    </row>
    <row r="6276" spans="1:14" x14ac:dyDescent="0.25">
      <c r="A6276" s="4" t="s">
        <v>267</v>
      </c>
      <c r="B6276" s="5"/>
      <c r="C6276" s="4" t="s">
        <v>9</v>
      </c>
      <c r="D6276" s="4" t="s">
        <v>9</v>
      </c>
      <c r="E6276" s="4" t="s">
        <v>9</v>
      </c>
      <c r="F6276" s="6">
        <v>0</v>
      </c>
      <c r="G6276" s="6">
        <v>0</v>
      </c>
      <c r="H6276" s="4" t="s">
        <v>9</v>
      </c>
      <c r="I6276" s="4" t="s">
        <v>3</v>
      </c>
      <c r="J6276" s="4" t="s">
        <v>9</v>
      </c>
      <c r="K6276" s="4" t="s">
        <v>9</v>
      </c>
      <c r="L6276" s="4" t="s">
        <v>9</v>
      </c>
      <c r="M6276" s="4" t="s">
        <v>9</v>
      </c>
      <c r="N6276" s="5"/>
    </row>
    <row r="6277" spans="1:14" x14ac:dyDescent="0.25">
      <c r="A6277" s="4" t="s">
        <v>712</v>
      </c>
      <c r="B6277" s="5"/>
      <c r="C6277" s="4" t="s">
        <v>9</v>
      </c>
      <c r="D6277" s="4" t="s">
        <v>9</v>
      </c>
      <c r="E6277" s="4" t="s">
        <v>9</v>
      </c>
      <c r="F6277" s="6">
        <v>0</v>
      </c>
      <c r="G6277" s="6">
        <v>0</v>
      </c>
      <c r="H6277" s="4" t="s">
        <v>9</v>
      </c>
      <c r="I6277" s="4" t="s">
        <v>3</v>
      </c>
      <c r="J6277" s="4" t="s">
        <v>9</v>
      </c>
      <c r="K6277" s="4" t="s">
        <v>9</v>
      </c>
      <c r="L6277" s="4" t="s">
        <v>9</v>
      </c>
      <c r="M6277" s="4" t="s">
        <v>9</v>
      </c>
      <c r="N6277" s="5"/>
    </row>
    <row r="6278" spans="1:14" x14ac:dyDescent="0.25">
      <c r="A6278" t="s">
        <v>713</v>
      </c>
      <c r="B6278" s="2">
        <v>46267</v>
      </c>
      <c r="C6278" t="s">
        <v>713</v>
      </c>
      <c r="D6278" t="s">
        <v>112</v>
      </c>
      <c r="E6278" t="s">
        <v>9</v>
      </c>
      <c r="F6278" s="3">
        <v>-900</v>
      </c>
      <c r="G6278" s="3">
        <v>-900</v>
      </c>
      <c r="H6278" t="s">
        <v>3</v>
      </c>
      <c r="I6278" t="s">
        <v>3</v>
      </c>
      <c r="J6278" t="s">
        <v>9</v>
      </c>
      <c r="K6278" t="s">
        <v>9</v>
      </c>
      <c r="L6278" t="s">
        <v>22</v>
      </c>
      <c r="M6278" t="s">
        <v>114</v>
      </c>
      <c r="N6278" s="2">
        <v>46265</v>
      </c>
    </row>
    <row r="6279" spans="1:14" x14ac:dyDescent="0.25">
      <c r="A6279" t="s">
        <v>713</v>
      </c>
      <c r="B6279" s="2">
        <v>46265</v>
      </c>
      <c r="C6279" t="s">
        <v>713</v>
      </c>
      <c r="D6279" t="s">
        <v>112</v>
      </c>
      <c r="E6279" t="s">
        <v>9</v>
      </c>
      <c r="F6279" s="3">
        <v>900</v>
      </c>
      <c r="G6279" s="3">
        <v>900</v>
      </c>
      <c r="H6279" t="s">
        <v>3</v>
      </c>
      <c r="I6279" t="s">
        <v>3</v>
      </c>
      <c r="J6279" t="s">
        <v>322</v>
      </c>
      <c r="K6279" t="s">
        <v>13</v>
      </c>
      <c r="L6279" t="s">
        <v>22</v>
      </c>
      <c r="M6279" t="s">
        <v>114</v>
      </c>
      <c r="N6279" s="2">
        <v>46265</v>
      </c>
    </row>
    <row r="6280" spans="1:14" x14ac:dyDescent="0.25">
      <c r="A6280" s="4" t="s">
        <v>267</v>
      </c>
      <c r="B6280" s="5"/>
      <c r="C6280" s="4" t="s">
        <v>9</v>
      </c>
      <c r="D6280" s="4" t="s">
        <v>9</v>
      </c>
      <c r="E6280" s="4" t="s">
        <v>9</v>
      </c>
      <c r="F6280" s="6">
        <v>0</v>
      </c>
      <c r="G6280" s="6">
        <v>0</v>
      </c>
      <c r="H6280" s="4" t="s">
        <v>9</v>
      </c>
      <c r="I6280" s="4" t="s">
        <v>3</v>
      </c>
      <c r="J6280" s="4" t="s">
        <v>9</v>
      </c>
      <c r="K6280" s="4" t="s">
        <v>9</v>
      </c>
      <c r="L6280" s="4" t="s">
        <v>9</v>
      </c>
      <c r="M6280" s="4" t="s">
        <v>9</v>
      </c>
      <c r="N6280" s="5"/>
    </row>
    <row r="6281" spans="1:14" x14ac:dyDescent="0.25">
      <c r="A6281" s="4" t="s">
        <v>713</v>
      </c>
      <c r="B6281" s="5"/>
      <c r="C6281" s="4" t="s">
        <v>9</v>
      </c>
      <c r="D6281" s="4" t="s">
        <v>9</v>
      </c>
      <c r="E6281" s="4" t="s">
        <v>9</v>
      </c>
      <c r="F6281" s="6">
        <v>0</v>
      </c>
      <c r="G6281" s="6">
        <v>0</v>
      </c>
      <c r="H6281" s="4" t="s">
        <v>9</v>
      </c>
      <c r="I6281" s="4" t="s">
        <v>3</v>
      </c>
      <c r="J6281" s="4" t="s">
        <v>9</v>
      </c>
      <c r="K6281" s="4" t="s">
        <v>9</v>
      </c>
      <c r="L6281" s="4" t="s">
        <v>9</v>
      </c>
      <c r="M6281" s="4" t="s">
        <v>9</v>
      </c>
      <c r="N6281" s="5"/>
    </row>
    <row r="6282" spans="1:14" x14ac:dyDescent="0.25">
      <c r="A6282" t="s">
        <v>714</v>
      </c>
      <c r="B6282" s="2">
        <v>46267</v>
      </c>
      <c r="C6282" t="s">
        <v>714</v>
      </c>
      <c r="D6282" t="s">
        <v>112</v>
      </c>
      <c r="E6282" t="s">
        <v>9</v>
      </c>
      <c r="F6282" s="3">
        <v>-28046</v>
      </c>
      <c r="G6282" s="3">
        <v>-28046</v>
      </c>
      <c r="H6282" t="s">
        <v>3</v>
      </c>
      <c r="I6282" t="s">
        <v>3</v>
      </c>
      <c r="J6282" t="s">
        <v>9</v>
      </c>
      <c r="K6282" t="s">
        <v>9</v>
      </c>
      <c r="L6282" t="s">
        <v>22</v>
      </c>
      <c r="M6282" t="s">
        <v>114</v>
      </c>
      <c r="N6282" s="2">
        <v>46265</v>
      </c>
    </row>
    <row r="6283" spans="1:14" x14ac:dyDescent="0.25">
      <c r="A6283" t="s">
        <v>714</v>
      </c>
      <c r="B6283" s="2">
        <v>46265</v>
      </c>
      <c r="C6283" t="s">
        <v>714</v>
      </c>
      <c r="D6283" t="s">
        <v>112</v>
      </c>
      <c r="E6283" t="s">
        <v>9</v>
      </c>
      <c r="F6283" s="3">
        <v>26246</v>
      </c>
      <c r="G6283" s="3">
        <v>26246</v>
      </c>
      <c r="H6283" t="s">
        <v>3</v>
      </c>
      <c r="I6283" t="s">
        <v>3</v>
      </c>
      <c r="J6283" t="s">
        <v>715</v>
      </c>
      <c r="K6283" t="s">
        <v>13</v>
      </c>
      <c r="L6283" t="s">
        <v>22</v>
      </c>
      <c r="M6283" t="s">
        <v>114</v>
      </c>
      <c r="N6283" s="2">
        <v>46265</v>
      </c>
    </row>
    <row r="6284" spans="1:14" x14ac:dyDescent="0.25">
      <c r="A6284" t="s">
        <v>714</v>
      </c>
      <c r="B6284" s="2">
        <v>46265</v>
      </c>
      <c r="C6284" t="s">
        <v>714</v>
      </c>
      <c r="D6284" t="s">
        <v>112</v>
      </c>
      <c r="E6284" t="s">
        <v>9</v>
      </c>
      <c r="F6284" s="3">
        <v>1800</v>
      </c>
      <c r="G6284" s="3">
        <v>1800</v>
      </c>
      <c r="H6284" t="s">
        <v>3</v>
      </c>
      <c r="I6284" t="s">
        <v>3</v>
      </c>
      <c r="J6284" t="s">
        <v>715</v>
      </c>
      <c r="K6284" t="s">
        <v>13</v>
      </c>
      <c r="L6284" t="s">
        <v>22</v>
      </c>
      <c r="M6284" t="s">
        <v>114</v>
      </c>
      <c r="N6284" s="2">
        <v>46265</v>
      </c>
    </row>
    <row r="6285" spans="1:14" x14ac:dyDescent="0.25">
      <c r="A6285" s="4" t="s">
        <v>267</v>
      </c>
      <c r="B6285" s="5"/>
      <c r="C6285" s="4" t="s">
        <v>9</v>
      </c>
      <c r="D6285" s="4" t="s">
        <v>9</v>
      </c>
      <c r="E6285" s="4" t="s">
        <v>9</v>
      </c>
      <c r="F6285" s="6">
        <v>0</v>
      </c>
      <c r="G6285" s="6">
        <v>0</v>
      </c>
      <c r="H6285" s="4" t="s">
        <v>9</v>
      </c>
      <c r="I6285" s="4" t="s">
        <v>3</v>
      </c>
      <c r="J6285" s="4" t="s">
        <v>9</v>
      </c>
      <c r="K6285" s="4" t="s">
        <v>9</v>
      </c>
      <c r="L6285" s="4" t="s">
        <v>9</v>
      </c>
      <c r="M6285" s="4" t="s">
        <v>9</v>
      </c>
      <c r="N6285" s="5"/>
    </row>
    <row r="6286" spans="1:14" x14ac:dyDescent="0.25">
      <c r="A6286" s="4" t="s">
        <v>714</v>
      </c>
      <c r="B6286" s="5"/>
      <c r="C6286" s="4" t="s">
        <v>9</v>
      </c>
      <c r="D6286" s="4" t="s">
        <v>9</v>
      </c>
      <c r="E6286" s="4" t="s">
        <v>9</v>
      </c>
      <c r="F6286" s="6">
        <v>0</v>
      </c>
      <c r="G6286" s="6">
        <v>0</v>
      </c>
      <c r="H6286" s="4" t="s">
        <v>9</v>
      </c>
      <c r="I6286" s="4" t="s">
        <v>3</v>
      </c>
      <c r="J6286" s="4" t="s">
        <v>9</v>
      </c>
      <c r="K6286" s="4" t="s">
        <v>9</v>
      </c>
      <c r="L6286" s="4" t="s">
        <v>9</v>
      </c>
      <c r="M6286" s="4" t="s">
        <v>9</v>
      </c>
      <c r="N6286" s="5"/>
    </row>
    <row r="6287" spans="1:14" x14ac:dyDescent="0.25">
      <c r="A6287" t="s">
        <v>716</v>
      </c>
      <c r="B6287" s="2">
        <v>46267</v>
      </c>
      <c r="C6287" t="s">
        <v>716</v>
      </c>
      <c r="D6287" t="s">
        <v>112</v>
      </c>
      <c r="E6287" t="s">
        <v>9</v>
      </c>
      <c r="F6287" s="3">
        <v>-30515</v>
      </c>
      <c r="G6287" s="3">
        <v>-30515</v>
      </c>
      <c r="H6287" t="s">
        <v>3</v>
      </c>
      <c r="I6287" t="s">
        <v>3</v>
      </c>
      <c r="J6287" t="s">
        <v>9</v>
      </c>
      <c r="K6287" t="s">
        <v>9</v>
      </c>
      <c r="L6287" t="s">
        <v>22</v>
      </c>
      <c r="M6287" t="s">
        <v>114</v>
      </c>
      <c r="N6287" s="2">
        <v>46265</v>
      </c>
    </row>
    <row r="6288" spans="1:14" x14ac:dyDescent="0.25">
      <c r="A6288" t="s">
        <v>716</v>
      </c>
      <c r="B6288" s="2">
        <v>46265</v>
      </c>
      <c r="C6288" t="s">
        <v>716</v>
      </c>
      <c r="D6288" t="s">
        <v>112</v>
      </c>
      <c r="E6288" t="s">
        <v>9</v>
      </c>
      <c r="F6288" s="3">
        <v>30515</v>
      </c>
      <c r="G6288" s="3">
        <v>30515</v>
      </c>
      <c r="H6288" t="s">
        <v>3</v>
      </c>
      <c r="I6288" t="s">
        <v>3</v>
      </c>
      <c r="J6288" t="s">
        <v>431</v>
      </c>
      <c r="K6288" t="s">
        <v>13</v>
      </c>
      <c r="L6288" t="s">
        <v>22</v>
      </c>
      <c r="M6288" t="s">
        <v>114</v>
      </c>
      <c r="N6288" s="2">
        <v>46265</v>
      </c>
    </row>
    <row r="6289" spans="1:14" x14ac:dyDescent="0.25">
      <c r="A6289" s="4" t="s">
        <v>267</v>
      </c>
      <c r="B6289" s="5"/>
      <c r="C6289" s="4" t="s">
        <v>9</v>
      </c>
      <c r="D6289" s="4" t="s">
        <v>9</v>
      </c>
      <c r="E6289" s="4" t="s">
        <v>9</v>
      </c>
      <c r="F6289" s="6">
        <v>0</v>
      </c>
      <c r="G6289" s="6">
        <v>0</v>
      </c>
      <c r="H6289" s="4" t="s">
        <v>9</v>
      </c>
      <c r="I6289" s="4" t="s">
        <v>3</v>
      </c>
      <c r="J6289" s="4" t="s">
        <v>9</v>
      </c>
      <c r="K6289" s="4" t="s">
        <v>9</v>
      </c>
      <c r="L6289" s="4" t="s">
        <v>9</v>
      </c>
      <c r="M6289" s="4" t="s">
        <v>9</v>
      </c>
      <c r="N6289" s="5"/>
    </row>
    <row r="6290" spans="1:14" x14ac:dyDescent="0.25">
      <c r="A6290" s="4" t="s">
        <v>716</v>
      </c>
      <c r="B6290" s="5"/>
      <c r="C6290" s="4" t="s">
        <v>9</v>
      </c>
      <c r="D6290" s="4" t="s">
        <v>9</v>
      </c>
      <c r="E6290" s="4" t="s">
        <v>9</v>
      </c>
      <c r="F6290" s="6">
        <v>0</v>
      </c>
      <c r="G6290" s="6">
        <v>0</v>
      </c>
      <c r="H6290" s="4" t="s">
        <v>9</v>
      </c>
      <c r="I6290" s="4" t="s">
        <v>3</v>
      </c>
      <c r="J6290" s="4" t="s">
        <v>9</v>
      </c>
      <c r="K6290" s="4" t="s">
        <v>9</v>
      </c>
      <c r="L6290" s="4" t="s">
        <v>9</v>
      </c>
      <c r="M6290" s="4" t="s">
        <v>9</v>
      </c>
      <c r="N6290" s="5"/>
    </row>
    <row r="6291" spans="1:14" x14ac:dyDescent="0.25">
      <c r="A6291" t="s">
        <v>717</v>
      </c>
      <c r="B6291" s="2">
        <v>46267</v>
      </c>
      <c r="C6291" t="s">
        <v>717</v>
      </c>
      <c r="D6291" t="s">
        <v>112</v>
      </c>
      <c r="E6291" t="s">
        <v>9</v>
      </c>
      <c r="F6291" s="3">
        <v>-1600</v>
      </c>
      <c r="G6291" s="3">
        <v>-1600</v>
      </c>
      <c r="H6291" t="s">
        <v>3</v>
      </c>
      <c r="I6291" t="s">
        <v>3</v>
      </c>
      <c r="J6291" t="s">
        <v>9</v>
      </c>
      <c r="K6291" t="s">
        <v>9</v>
      </c>
      <c r="L6291" t="s">
        <v>22</v>
      </c>
      <c r="M6291" t="s">
        <v>114</v>
      </c>
      <c r="N6291" s="2">
        <v>46265</v>
      </c>
    </row>
    <row r="6292" spans="1:14" x14ac:dyDescent="0.25">
      <c r="A6292" t="s">
        <v>717</v>
      </c>
      <c r="B6292" s="2">
        <v>46265</v>
      </c>
      <c r="C6292" t="s">
        <v>717</v>
      </c>
      <c r="D6292" t="s">
        <v>112</v>
      </c>
      <c r="E6292" t="s">
        <v>9</v>
      </c>
      <c r="F6292" s="3">
        <v>1600</v>
      </c>
      <c r="G6292" s="3">
        <v>1600</v>
      </c>
      <c r="H6292" t="s">
        <v>3</v>
      </c>
      <c r="I6292" t="s">
        <v>3</v>
      </c>
      <c r="J6292" t="s">
        <v>322</v>
      </c>
      <c r="K6292" t="s">
        <v>13</v>
      </c>
      <c r="L6292" t="s">
        <v>22</v>
      </c>
      <c r="M6292" t="s">
        <v>114</v>
      </c>
      <c r="N6292" s="2">
        <v>46265</v>
      </c>
    </row>
    <row r="6293" spans="1:14" x14ac:dyDescent="0.25">
      <c r="A6293" s="4" t="s">
        <v>267</v>
      </c>
      <c r="B6293" s="5"/>
      <c r="C6293" s="4" t="s">
        <v>9</v>
      </c>
      <c r="D6293" s="4" t="s">
        <v>9</v>
      </c>
      <c r="E6293" s="4" t="s">
        <v>9</v>
      </c>
      <c r="F6293" s="6">
        <v>0</v>
      </c>
      <c r="G6293" s="6">
        <v>0</v>
      </c>
      <c r="H6293" s="4" t="s">
        <v>9</v>
      </c>
      <c r="I6293" s="4" t="s">
        <v>3</v>
      </c>
      <c r="J6293" s="4" t="s">
        <v>9</v>
      </c>
      <c r="K6293" s="4" t="s">
        <v>9</v>
      </c>
      <c r="L6293" s="4" t="s">
        <v>9</v>
      </c>
      <c r="M6293" s="4" t="s">
        <v>9</v>
      </c>
      <c r="N6293" s="5"/>
    </row>
    <row r="6294" spans="1:14" x14ac:dyDescent="0.25">
      <c r="A6294" s="4" t="s">
        <v>717</v>
      </c>
      <c r="B6294" s="5"/>
      <c r="C6294" s="4" t="s">
        <v>9</v>
      </c>
      <c r="D6294" s="4" t="s">
        <v>9</v>
      </c>
      <c r="E6294" s="4" t="s">
        <v>9</v>
      </c>
      <c r="F6294" s="6">
        <v>0</v>
      </c>
      <c r="G6294" s="6">
        <v>0</v>
      </c>
      <c r="H6294" s="4" t="s">
        <v>9</v>
      </c>
      <c r="I6294" s="4" t="s">
        <v>3</v>
      </c>
      <c r="J6294" s="4" t="s">
        <v>9</v>
      </c>
      <c r="K6294" s="4" t="s">
        <v>9</v>
      </c>
      <c r="L6294" s="4" t="s">
        <v>9</v>
      </c>
      <c r="M6294" s="4" t="s">
        <v>9</v>
      </c>
      <c r="N6294" s="5"/>
    </row>
    <row r="6295" spans="1:14" x14ac:dyDescent="0.25">
      <c r="A6295" t="s">
        <v>718</v>
      </c>
      <c r="B6295" s="2">
        <v>46267</v>
      </c>
      <c r="C6295" t="s">
        <v>718</v>
      </c>
      <c r="D6295" t="s">
        <v>112</v>
      </c>
      <c r="E6295" t="s">
        <v>9</v>
      </c>
      <c r="F6295" s="3">
        <v>-2100</v>
      </c>
      <c r="G6295" s="3">
        <v>-2100</v>
      </c>
      <c r="H6295" t="s">
        <v>3</v>
      </c>
      <c r="I6295" t="s">
        <v>3</v>
      </c>
      <c r="J6295" t="s">
        <v>9</v>
      </c>
      <c r="K6295" t="s">
        <v>9</v>
      </c>
      <c r="L6295" t="s">
        <v>22</v>
      </c>
      <c r="M6295" t="s">
        <v>114</v>
      </c>
      <c r="N6295" s="2">
        <v>46265</v>
      </c>
    </row>
    <row r="6296" spans="1:14" x14ac:dyDescent="0.25">
      <c r="A6296" t="s">
        <v>718</v>
      </c>
      <c r="B6296" s="2">
        <v>46265</v>
      </c>
      <c r="C6296" t="s">
        <v>718</v>
      </c>
      <c r="D6296" t="s">
        <v>112</v>
      </c>
      <c r="E6296" t="s">
        <v>9</v>
      </c>
      <c r="F6296" s="3">
        <v>2100</v>
      </c>
      <c r="G6296" s="3">
        <v>2100</v>
      </c>
      <c r="H6296" t="s">
        <v>3</v>
      </c>
      <c r="I6296" t="s">
        <v>3</v>
      </c>
      <c r="J6296" t="s">
        <v>322</v>
      </c>
      <c r="K6296" t="s">
        <v>13</v>
      </c>
      <c r="L6296" t="s">
        <v>22</v>
      </c>
      <c r="M6296" t="s">
        <v>114</v>
      </c>
      <c r="N6296" s="2">
        <v>46265</v>
      </c>
    </row>
    <row r="6297" spans="1:14" x14ac:dyDescent="0.25">
      <c r="A6297" s="4" t="s">
        <v>267</v>
      </c>
      <c r="B6297" s="5"/>
      <c r="C6297" s="4" t="s">
        <v>9</v>
      </c>
      <c r="D6297" s="4" t="s">
        <v>9</v>
      </c>
      <c r="E6297" s="4" t="s">
        <v>9</v>
      </c>
      <c r="F6297" s="6">
        <v>0</v>
      </c>
      <c r="G6297" s="6">
        <v>0</v>
      </c>
      <c r="H6297" s="4" t="s">
        <v>9</v>
      </c>
      <c r="I6297" s="4" t="s">
        <v>3</v>
      </c>
      <c r="J6297" s="4" t="s">
        <v>9</v>
      </c>
      <c r="K6297" s="4" t="s">
        <v>9</v>
      </c>
      <c r="L6297" s="4" t="s">
        <v>9</v>
      </c>
      <c r="M6297" s="4" t="s">
        <v>9</v>
      </c>
      <c r="N6297" s="5"/>
    </row>
    <row r="6298" spans="1:14" x14ac:dyDescent="0.25">
      <c r="A6298" s="4" t="s">
        <v>718</v>
      </c>
      <c r="B6298" s="5"/>
      <c r="C6298" s="4" t="s">
        <v>9</v>
      </c>
      <c r="D6298" s="4" t="s">
        <v>9</v>
      </c>
      <c r="E6298" s="4" t="s">
        <v>9</v>
      </c>
      <c r="F6298" s="6">
        <v>0</v>
      </c>
      <c r="G6298" s="6">
        <v>0</v>
      </c>
      <c r="H6298" s="4" t="s">
        <v>9</v>
      </c>
      <c r="I6298" s="4" t="s">
        <v>3</v>
      </c>
      <c r="J6298" s="4" t="s">
        <v>9</v>
      </c>
      <c r="K6298" s="4" t="s">
        <v>9</v>
      </c>
      <c r="L6298" s="4" t="s">
        <v>9</v>
      </c>
      <c r="M6298" s="4" t="s">
        <v>9</v>
      </c>
      <c r="N6298" s="5"/>
    </row>
    <row r="6299" spans="1:14" x14ac:dyDescent="0.25">
      <c r="A6299" t="s">
        <v>719</v>
      </c>
      <c r="B6299" s="2">
        <v>46267</v>
      </c>
      <c r="C6299" t="s">
        <v>719</v>
      </c>
      <c r="D6299" t="s">
        <v>112</v>
      </c>
      <c r="E6299" t="s">
        <v>9</v>
      </c>
      <c r="F6299" s="3">
        <v>-2255</v>
      </c>
      <c r="G6299" s="3">
        <v>-2255</v>
      </c>
      <c r="H6299" t="s">
        <v>3</v>
      </c>
      <c r="I6299" t="s">
        <v>3</v>
      </c>
      <c r="J6299" t="s">
        <v>9</v>
      </c>
      <c r="K6299" t="s">
        <v>9</v>
      </c>
      <c r="L6299" t="s">
        <v>22</v>
      </c>
      <c r="M6299" t="s">
        <v>114</v>
      </c>
      <c r="N6299" s="2">
        <v>46265</v>
      </c>
    </row>
    <row r="6300" spans="1:14" x14ac:dyDescent="0.25">
      <c r="A6300" t="s">
        <v>719</v>
      </c>
      <c r="B6300" s="2">
        <v>46265</v>
      </c>
      <c r="C6300" t="s">
        <v>719</v>
      </c>
      <c r="D6300" t="s">
        <v>112</v>
      </c>
      <c r="E6300" t="s">
        <v>9</v>
      </c>
      <c r="F6300" s="3">
        <v>1755</v>
      </c>
      <c r="G6300" s="3">
        <v>1755</v>
      </c>
      <c r="H6300" t="s">
        <v>3</v>
      </c>
      <c r="I6300" t="s">
        <v>3</v>
      </c>
      <c r="J6300" t="s">
        <v>431</v>
      </c>
      <c r="K6300" t="s">
        <v>13</v>
      </c>
      <c r="L6300" t="s">
        <v>22</v>
      </c>
      <c r="M6300" t="s">
        <v>114</v>
      </c>
      <c r="N6300" s="2">
        <v>46265</v>
      </c>
    </row>
    <row r="6301" spans="1:14" x14ac:dyDescent="0.25">
      <c r="A6301" t="s">
        <v>719</v>
      </c>
      <c r="B6301" s="2">
        <v>46265</v>
      </c>
      <c r="C6301" t="s">
        <v>719</v>
      </c>
      <c r="D6301" t="s">
        <v>112</v>
      </c>
      <c r="E6301" t="s">
        <v>9</v>
      </c>
      <c r="F6301" s="3">
        <v>500</v>
      </c>
      <c r="G6301" s="3">
        <v>500</v>
      </c>
      <c r="H6301" t="s">
        <v>3</v>
      </c>
      <c r="I6301" t="s">
        <v>3</v>
      </c>
      <c r="J6301" t="s">
        <v>720</v>
      </c>
      <c r="K6301" t="s">
        <v>13</v>
      </c>
      <c r="L6301" t="s">
        <v>22</v>
      </c>
      <c r="M6301" t="s">
        <v>114</v>
      </c>
      <c r="N6301" s="2">
        <v>46265</v>
      </c>
    </row>
    <row r="6302" spans="1:14" x14ac:dyDescent="0.25">
      <c r="A6302" s="4" t="s">
        <v>267</v>
      </c>
      <c r="B6302" s="5"/>
      <c r="C6302" s="4" t="s">
        <v>9</v>
      </c>
      <c r="D6302" s="4" t="s">
        <v>9</v>
      </c>
      <c r="E6302" s="4" t="s">
        <v>9</v>
      </c>
      <c r="F6302" s="6">
        <v>0</v>
      </c>
      <c r="G6302" s="6">
        <v>0</v>
      </c>
      <c r="H6302" s="4" t="s">
        <v>9</v>
      </c>
      <c r="I6302" s="4" t="s">
        <v>3</v>
      </c>
      <c r="J6302" s="4" t="s">
        <v>9</v>
      </c>
      <c r="K6302" s="4" t="s">
        <v>9</v>
      </c>
      <c r="L6302" s="4" t="s">
        <v>9</v>
      </c>
      <c r="M6302" s="4" t="s">
        <v>9</v>
      </c>
      <c r="N6302" s="5"/>
    </row>
    <row r="6303" spans="1:14" x14ac:dyDescent="0.25">
      <c r="A6303" s="4" t="s">
        <v>719</v>
      </c>
      <c r="B6303" s="5"/>
      <c r="C6303" s="4" t="s">
        <v>9</v>
      </c>
      <c r="D6303" s="4" t="s">
        <v>9</v>
      </c>
      <c r="E6303" s="4" t="s">
        <v>9</v>
      </c>
      <c r="F6303" s="6">
        <v>0</v>
      </c>
      <c r="G6303" s="6">
        <v>0</v>
      </c>
      <c r="H6303" s="4" t="s">
        <v>9</v>
      </c>
      <c r="I6303" s="4" t="s">
        <v>3</v>
      </c>
      <c r="J6303" s="4" t="s">
        <v>9</v>
      </c>
      <c r="K6303" s="4" t="s">
        <v>9</v>
      </c>
      <c r="L6303" s="4" t="s">
        <v>9</v>
      </c>
      <c r="M6303" s="4" t="s">
        <v>9</v>
      </c>
      <c r="N6303" s="5"/>
    </row>
    <row r="6304" spans="1:14" x14ac:dyDescent="0.25">
      <c r="A6304" t="s">
        <v>721</v>
      </c>
      <c r="B6304" s="2">
        <v>46267</v>
      </c>
      <c r="C6304" t="s">
        <v>721</v>
      </c>
      <c r="D6304" t="s">
        <v>112</v>
      </c>
      <c r="E6304" t="s">
        <v>9</v>
      </c>
      <c r="F6304" s="3">
        <v>-5100</v>
      </c>
      <c r="G6304" s="3">
        <v>-5100</v>
      </c>
      <c r="H6304" t="s">
        <v>3</v>
      </c>
      <c r="I6304" t="s">
        <v>3</v>
      </c>
      <c r="J6304" t="s">
        <v>9</v>
      </c>
      <c r="K6304" t="s">
        <v>9</v>
      </c>
      <c r="L6304" t="s">
        <v>22</v>
      </c>
      <c r="M6304" t="s">
        <v>114</v>
      </c>
      <c r="N6304" s="2">
        <v>46265</v>
      </c>
    </row>
    <row r="6305" spans="1:14" x14ac:dyDescent="0.25">
      <c r="A6305" t="s">
        <v>721</v>
      </c>
      <c r="B6305" s="2">
        <v>46265</v>
      </c>
      <c r="C6305" t="s">
        <v>721</v>
      </c>
      <c r="D6305" t="s">
        <v>112</v>
      </c>
      <c r="E6305" t="s">
        <v>9</v>
      </c>
      <c r="F6305" s="3">
        <v>1700</v>
      </c>
      <c r="G6305" s="3">
        <v>1700</v>
      </c>
      <c r="H6305" t="s">
        <v>3</v>
      </c>
      <c r="I6305" t="s">
        <v>3</v>
      </c>
      <c r="J6305" t="s">
        <v>322</v>
      </c>
      <c r="K6305" t="s">
        <v>13</v>
      </c>
      <c r="L6305" t="s">
        <v>22</v>
      </c>
      <c r="M6305" t="s">
        <v>114</v>
      </c>
      <c r="N6305" s="2">
        <v>46265</v>
      </c>
    </row>
    <row r="6306" spans="1:14" x14ac:dyDescent="0.25">
      <c r="A6306" t="s">
        <v>721</v>
      </c>
      <c r="B6306" s="2">
        <v>46265</v>
      </c>
      <c r="C6306" t="s">
        <v>721</v>
      </c>
      <c r="D6306" t="s">
        <v>112</v>
      </c>
      <c r="E6306" t="s">
        <v>9</v>
      </c>
      <c r="F6306" s="3">
        <v>3400</v>
      </c>
      <c r="G6306" s="3">
        <v>3400</v>
      </c>
      <c r="H6306" t="s">
        <v>3</v>
      </c>
      <c r="I6306" t="s">
        <v>3</v>
      </c>
      <c r="J6306" t="s">
        <v>431</v>
      </c>
      <c r="K6306" t="s">
        <v>13</v>
      </c>
      <c r="L6306" t="s">
        <v>22</v>
      </c>
      <c r="M6306" t="s">
        <v>114</v>
      </c>
      <c r="N6306" s="2">
        <v>46265</v>
      </c>
    </row>
    <row r="6307" spans="1:14" x14ac:dyDescent="0.25">
      <c r="A6307" s="4" t="s">
        <v>267</v>
      </c>
      <c r="B6307" s="5"/>
      <c r="C6307" s="4" t="s">
        <v>9</v>
      </c>
      <c r="D6307" s="4" t="s">
        <v>9</v>
      </c>
      <c r="E6307" s="4" t="s">
        <v>9</v>
      </c>
      <c r="F6307" s="6">
        <v>0</v>
      </c>
      <c r="G6307" s="6">
        <v>0</v>
      </c>
      <c r="H6307" s="4" t="s">
        <v>9</v>
      </c>
      <c r="I6307" s="4" t="s">
        <v>3</v>
      </c>
      <c r="J6307" s="4" t="s">
        <v>9</v>
      </c>
      <c r="K6307" s="4" t="s">
        <v>9</v>
      </c>
      <c r="L6307" s="4" t="s">
        <v>9</v>
      </c>
      <c r="M6307" s="4" t="s">
        <v>9</v>
      </c>
      <c r="N6307" s="5"/>
    </row>
    <row r="6308" spans="1:14" x14ac:dyDescent="0.25">
      <c r="A6308" s="4" t="s">
        <v>721</v>
      </c>
      <c r="B6308" s="5"/>
      <c r="C6308" s="4" t="s">
        <v>9</v>
      </c>
      <c r="D6308" s="4" t="s">
        <v>9</v>
      </c>
      <c r="E6308" s="4" t="s">
        <v>9</v>
      </c>
      <c r="F6308" s="6">
        <v>0</v>
      </c>
      <c r="G6308" s="6">
        <v>0</v>
      </c>
      <c r="H6308" s="4" t="s">
        <v>9</v>
      </c>
      <c r="I6308" s="4" t="s">
        <v>3</v>
      </c>
      <c r="J6308" s="4" t="s">
        <v>9</v>
      </c>
      <c r="K6308" s="4" t="s">
        <v>9</v>
      </c>
      <c r="L6308" s="4" t="s">
        <v>9</v>
      </c>
      <c r="M6308" s="4" t="s">
        <v>9</v>
      </c>
      <c r="N6308" s="5"/>
    </row>
    <row r="6309" spans="1:14" x14ac:dyDescent="0.25">
      <c r="A6309" t="s">
        <v>722</v>
      </c>
      <c r="B6309" s="2">
        <v>46267</v>
      </c>
      <c r="C6309" t="s">
        <v>722</v>
      </c>
      <c r="D6309" t="s">
        <v>112</v>
      </c>
      <c r="E6309" t="s">
        <v>9</v>
      </c>
      <c r="F6309" s="3">
        <v>-6400</v>
      </c>
      <c r="G6309" s="3">
        <v>-6400</v>
      </c>
      <c r="H6309" t="s">
        <v>3</v>
      </c>
      <c r="I6309" t="s">
        <v>3</v>
      </c>
      <c r="J6309" t="s">
        <v>9</v>
      </c>
      <c r="K6309" t="s">
        <v>9</v>
      </c>
      <c r="L6309" t="s">
        <v>22</v>
      </c>
      <c r="M6309" t="s">
        <v>114</v>
      </c>
      <c r="N6309" s="2">
        <v>46265</v>
      </c>
    </row>
    <row r="6310" spans="1:14" x14ac:dyDescent="0.25">
      <c r="A6310" t="s">
        <v>722</v>
      </c>
      <c r="B6310" s="2">
        <v>46265</v>
      </c>
      <c r="C6310" t="s">
        <v>722</v>
      </c>
      <c r="D6310" t="s">
        <v>112</v>
      </c>
      <c r="E6310" t="s">
        <v>9</v>
      </c>
      <c r="F6310" s="3">
        <v>6400</v>
      </c>
      <c r="G6310" s="3">
        <v>6400</v>
      </c>
      <c r="H6310" t="s">
        <v>3</v>
      </c>
      <c r="I6310" t="s">
        <v>3</v>
      </c>
      <c r="J6310" t="s">
        <v>322</v>
      </c>
      <c r="K6310" t="s">
        <v>13</v>
      </c>
      <c r="L6310" t="s">
        <v>22</v>
      </c>
      <c r="M6310" t="s">
        <v>114</v>
      </c>
      <c r="N6310" s="2">
        <v>46265</v>
      </c>
    </row>
    <row r="6311" spans="1:14" x14ac:dyDescent="0.25">
      <c r="A6311" s="4" t="s">
        <v>267</v>
      </c>
      <c r="B6311" s="5"/>
      <c r="C6311" s="4" t="s">
        <v>9</v>
      </c>
      <c r="D6311" s="4" t="s">
        <v>9</v>
      </c>
      <c r="E6311" s="4" t="s">
        <v>9</v>
      </c>
      <c r="F6311" s="6">
        <v>0</v>
      </c>
      <c r="G6311" s="6">
        <v>0</v>
      </c>
      <c r="H6311" s="4" t="s">
        <v>9</v>
      </c>
      <c r="I6311" s="4" t="s">
        <v>3</v>
      </c>
      <c r="J6311" s="4" t="s">
        <v>9</v>
      </c>
      <c r="K6311" s="4" t="s">
        <v>9</v>
      </c>
      <c r="L6311" s="4" t="s">
        <v>9</v>
      </c>
      <c r="M6311" s="4" t="s">
        <v>9</v>
      </c>
      <c r="N6311" s="5"/>
    </row>
    <row r="6312" spans="1:14" x14ac:dyDescent="0.25">
      <c r="A6312" s="4" t="s">
        <v>722</v>
      </c>
      <c r="B6312" s="5"/>
      <c r="C6312" s="4" t="s">
        <v>9</v>
      </c>
      <c r="D6312" s="4" t="s">
        <v>9</v>
      </c>
      <c r="E6312" s="4" t="s">
        <v>9</v>
      </c>
      <c r="F6312" s="6">
        <v>0</v>
      </c>
      <c r="G6312" s="6">
        <v>0</v>
      </c>
      <c r="H6312" s="4" t="s">
        <v>9</v>
      </c>
      <c r="I6312" s="4" t="s">
        <v>3</v>
      </c>
      <c r="J6312" s="4" t="s">
        <v>9</v>
      </c>
      <c r="K6312" s="4" t="s">
        <v>9</v>
      </c>
      <c r="L6312" s="4" t="s">
        <v>9</v>
      </c>
      <c r="M6312" s="4" t="s">
        <v>9</v>
      </c>
      <c r="N6312" s="5"/>
    </row>
    <row r="6313" spans="1:14" x14ac:dyDescent="0.25">
      <c r="A6313" t="s">
        <v>723</v>
      </c>
      <c r="B6313" s="2">
        <v>46028</v>
      </c>
      <c r="C6313" t="s">
        <v>723</v>
      </c>
      <c r="D6313" t="s">
        <v>33</v>
      </c>
      <c r="E6313" t="s">
        <v>9</v>
      </c>
      <c r="F6313" s="3">
        <v>3229</v>
      </c>
      <c r="G6313" s="3">
        <v>3229</v>
      </c>
      <c r="H6313" t="s">
        <v>3</v>
      </c>
      <c r="I6313" t="s">
        <v>3</v>
      </c>
      <c r="J6313" t="s">
        <v>9</v>
      </c>
      <c r="K6313" t="s">
        <v>9</v>
      </c>
      <c r="L6313" t="s">
        <v>12</v>
      </c>
      <c r="M6313" t="s">
        <v>35</v>
      </c>
      <c r="N6313" s="2">
        <v>46022</v>
      </c>
    </row>
    <row r="6314" spans="1:14" x14ac:dyDescent="0.25">
      <c r="A6314" t="s">
        <v>723</v>
      </c>
      <c r="B6314" s="2">
        <v>46007</v>
      </c>
      <c r="C6314" t="s">
        <v>723</v>
      </c>
      <c r="D6314" t="s">
        <v>33</v>
      </c>
      <c r="E6314" t="s">
        <v>9</v>
      </c>
      <c r="F6314" s="3">
        <v>-3229</v>
      </c>
      <c r="G6314" s="3">
        <v>-3229</v>
      </c>
      <c r="H6314" t="s">
        <v>3</v>
      </c>
      <c r="I6314" t="s">
        <v>3</v>
      </c>
      <c r="J6314" t="s">
        <v>9</v>
      </c>
      <c r="K6314" t="s">
        <v>5</v>
      </c>
      <c r="L6314" t="s">
        <v>12</v>
      </c>
      <c r="M6314" t="s">
        <v>35</v>
      </c>
      <c r="N6314" s="2">
        <v>46007</v>
      </c>
    </row>
    <row r="6315" spans="1:14" x14ac:dyDescent="0.25">
      <c r="A6315" s="4" t="s">
        <v>228</v>
      </c>
      <c r="B6315" s="5"/>
      <c r="C6315" s="4" t="s">
        <v>9</v>
      </c>
      <c r="D6315" s="4" t="s">
        <v>9</v>
      </c>
      <c r="E6315" s="4" t="s">
        <v>9</v>
      </c>
      <c r="F6315" s="6">
        <v>0</v>
      </c>
      <c r="G6315" s="6">
        <v>0</v>
      </c>
      <c r="H6315" s="4" t="s">
        <v>9</v>
      </c>
      <c r="I6315" s="4" t="s">
        <v>3</v>
      </c>
      <c r="J6315" s="4" t="s">
        <v>9</v>
      </c>
      <c r="K6315" s="4" t="s">
        <v>9</v>
      </c>
      <c r="L6315" s="4" t="s">
        <v>9</v>
      </c>
      <c r="M6315" s="4" t="s">
        <v>9</v>
      </c>
      <c r="N6315" s="5"/>
    </row>
    <row r="6316" spans="1:14" x14ac:dyDescent="0.25">
      <c r="A6316" s="4" t="s">
        <v>723</v>
      </c>
      <c r="B6316" s="5"/>
      <c r="C6316" s="4" t="s">
        <v>9</v>
      </c>
      <c r="D6316" s="4" t="s">
        <v>9</v>
      </c>
      <c r="E6316" s="4" t="s">
        <v>9</v>
      </c>
      <c r="F6316" s="6">
        <v>0</v>
      </c>
      <c r="G6316" s="6">
        <v>0</v>
      </c>
      <c r="H6316" s="4" t="s">
        <v>9</v>
      </c>
      <c r="I6316" s="4" t="s">
        <v>3</v>
      </c>
      <c r="J6316" s="4" t="s">
        <v>9</v>
      </c>
      <c r="K6316" s="4" t="s">
        <v>9</v>
      </c>
      <c r="L6316" s="4" t="s">
        <v>9</v>
      </c>
      <c r="M6316" s="4" t="s">
        <v>9</v>
      </c>
      <c r="N6316" s="5"/>
    </row>
    <row r="6317" spans="1:14" x14ac:dyDescent="0.25">
      <c r="A6317" t="s">
        <v>724</v>
      </c>
      <c r="B6317" s="2">
        <v>46022</v>
      </c>
      <c r="C6317" t="s">
        <v>724</v>
      </c>
      <c r="D6317" t="s">
        <v>112</v>
      </c>
      <c r="E6317" t="s">
        <v>9</v>
      </c>
      <c r="F6317" s="3">
        <v>-3074.5</v>
      </c>
      <c r="G6317" s="3">
        <v>-3074.5</v>
      </c>
      <c r="H6317" t="s">
        <v>3</v>
      </c>
      <c r="I6317" t="s">
        <v>3</v>
      </c>
      <c r="J6317" t="s">
        <v>381</v>
      </c>
      <c r="K6317" t="s">
        <v>13</v>
      </c>
      <c r="L6317" t="s">
        <v>14</v>
      </c>
      <c r="M6317" t="s">
        <v>114</v>
      </c>
      <c r="N6317" s="2">
        <v>46023</v>
      </c>
    </row>
    <row r="6318" spans="1:14" x14ac:dyDescent="0.25">
      <c r="A6318" t="s">
        <v>724</v>
      </c>
      <c r="B6318" s="2">
        <v>46023</v>
      </c>
      <c r="C6318" t="s">
        <v>724</v>
      </c>
      <c r="D6318" t="s">
        <v>112</v>
      </c>
      <c r="E6318" t="s">
        <v>9</v>
      </c>
      <c r="F6318" s="3">
        <v>3074.5</v>
      </c>
      <c r="G6318" s="3">
        <v>3074.5</v>
      </c>
      <c r="H6318" t="s">
        <v>3</v>
      </c>
      <c r="I6318" t="s">
        <v>3</v>
      </c>
      <c r="J6318" t="s">
        <v>381</v>
      </c>
      <c r="K6318" t="s">
        <v>13</v>
      </c>
      <c r="L6318" t="s">
        <v>14</v>
      </c>
      <c r="M6318" t="s">
        <v>114</v>
      </c>
      <c r="N6318" s="2">
        <v>46023</v>
      </c>
    </row>
    <row r="6319" spans="1:14" x14ac:dyDescent="0.25">
      <c r="A6319" s="4" t="s">
        <v>234</v>
      </c>
      <c r="B6319" s="5"/>
      <c r="C6319" s="4" t="s">
        <v>9</v>
      </c>
      <c r="D6319" s="4" t="s">
        <v>9</v>
      </c>
      <c r="E6319" s="4" t="s">
        <v>9</v>
      </c>
      <c r="F6319" s="6">
        <v>0</v>
      </c>
      <c r="G6319" s="6">
        <v>0</v>
      </c>
      <c r="H6319" s="4" t="s">
        <v>9</v>
      </c>
      <c r="I6319" s="4" t="s">
        <v>3</v>
      </c>
      <c r="J6319" s="4" t="s">
        <v>9</v>
      </c>
      <c r="K6319" s="4" t="s">
        <v>9</v>
      </c>
      <c r="L6319" s="4" t="s">
        <v>9</v>
      </c>
      <c r="M6319" s="4" t="s">
        <v>9</v>
      </c>
      <c r="N6319" s="5"/>
    </row>
    <row r="6320" spans="1:14" x14ac:dyDescent="0.25">
      <c r="A6320" t="s">
        <v>724</v>
      </c>
      <c r="B6320" s="2">
        <v>45993</v>
      </c>
      <c r="C6320" t="s">
        <v>724</v>
      </c>
      <c r="D6320" t="s">
        <v>112</v>
      </c>
      <c r="E6320" t="s">
        <v>9</v>
      </c>
      <c r="F6320" s="3">
        <v>-3074.5</v>
      </c>
      <c r="G6320" s="3">
        <v>-3074.5</v>
      </c>
      <c r="H6320" t="s">
        <v>3</v>
      </c>
      <c r="I6320" t="s">
        <v>3</v>
      </c>
      <c r="J6320" t="s">
        <v>9</v>
      </c>
      <c r="K6320" t="s">
        <v>9</v>
      </c>
      <c r="L6320" t="s">
        <v>11</v>
      </c>
      <c r="M6320" t="s">
        <v>114</v>
      </c>
      <c r="N6320" s="2">
        <v>45991</v>
      </c>
    </row>
    <row r="6321" spans="1:14" x14ac:dyDescent="0.25">
      <c r="A6321" t="s">
        <v>724</v>
      </c>
      <c r="B6321" s="2">
        <v>45991</v>
      </c>
      <c r="C6321" t="s">
        <v>724</v>
      </c>
      <c r="D6321" t="s">
        <v>112</v>
      </c>
      <c r="E6321" t="s">
        <v>9</v>
      </c>
      <c r="F6321" s="3">
        <v>3074.5</v>
      </c>
      <c r="G6321" s="3">
        <v>3074.5</v>
      </c>
      <c r="H6321" t="s">
        <v>3</v>
      </c>
      <c r="I6321" t="s">
        <v>3</v>
      </c>
      <c r="J6321" t="s">
        <v>387</v>
      </c>
      <c r="K6321" t="s">
        <v>5</v>
      </c>
      <c r="L6321" t="s">
        <v>11</v>
      </c>
      <c r="M6321" t="s">
        <v>114</v>
      </c>
      <c r="N6321" s="2">
        <v>45991</v>
      </c>
    </row>
    <row r="6322" spans="1:14" x14ac:dyDescent="0.25">
      <c r="A6322" s="4" t="s">
        <v>226</v>
      </c>
      <c r="B6322" s="5"/>
      <c r="C6322" s="4" t="s">
        <v>9</v>
      </c>
      <c r="D6322" s="4" t="s">
        <v>9</v>
      </c>
      <c r="E6322" s="4" t="s">
        <v>9</v>
      </c>
      <c r="F6322" s="6">
        <v>0</v>
      </c>
      <c r="G6322" s="6">
        <v>0</v>
      </c>
      <c r="H6322" s="4" t="s">
        <v>9</v>
      </c>
      <c r="I6322" s="4" t="s">
        <v>3</v>
      </c>
      <c r="J6322" s="4" t="s">
        <v>9</v>
      </c>
      <c r="K6322" s="4" t="s">
        <v>9</v>
      </c>
      <c r="L6322" s="4" t="s">
        <v>9</v>
      </c>
      <c r="M6322" s="4" t="s">
        <v>9</v>
      </c>
      <c r="N6322" s="5"/>
    </row>
    <row r="6323" spans="1:14" x14ac:dyDescent="0.25">
      <c r="A6323" t="s">
        <v>724</v>
      </c>
      <c r="B6323" s="2">
        <v>45991</v>
      </c>
      <c r="C6323" t="s">
        <v>724</v>
      </c>
      <c r="D6323" t="s">
        <v>112</v>
      </c>
      <c r="E6323" t="s">
        <v>9</v>
      </c>
      <c r="F6323" s="3">
        <v>-3074.5</v>
      </c>
      <c r="G6323" s="3">
        <v>-3074.5</v>
      </c>
      <c r="H6323" t="s">
        <v>3</v>
      </c>
      <c r="I6323" t="s">
        <v>3</v>
      </c>
      <c r="J6323" t="s">
        <v>387</v>
      </c>
      <c r="K6323" t="s">
        <v>5</v>
      </c>
      <c r="L6323" t="s">
        <v>12</v>
      </c>
      <c r="M6323" t="s">
        <v>114</v>
      </c>
      <c r="N6323" s="2">
        <v>45992</v>
      </c>
    </row>
    <row r="6324" spans="1:14" x14ac:dyDescent="0.25">
      <c r="A6324" t="s">
        <v>724</v>
      </c>
      <c r="B6324" s="2">
        <v>46022</v>
      </c>
      <c r="C6324" t="s">
        <v>724</v>
      </c>
      <c r="D6324" t="s">
        <v>112</v>
      </c>
      <c r="E6324" t="s">
        <v>9</v>
      </c>
      <c r="F6324" s="3">
        <v>3074.5</v>
      </c>
      <c r="G6324" s="3">
        <v>3074.5</v>
      </c>
      <c r="H6324" t="s">
        <v>3</v>
      </c>
      <c r="I6324" t="s">
        <v>3</v>
      </c>
      <c r="J6324" t="s">
        <v>381</v>
      </c>
      <c r="K6324" t="s">
        <v>5</v>
      </c>
      <c r="L6324" t="s">
        <v>12</v>
      </c>
      <c r="M6324" t="s">
        <v>114</v>
      </c>
      <c r="N6324" s="2">
        <v>46022</v>
      </c>
    </row>
    <row r="6325" spans="1:14" x14ac:dyDescent="0.25">
      <c r="A6325" t="s">
        <v>724</v>
      </c>
      <c r="B6325" s="2">
        <v>46022</v>
      </c>
      <c r="C6325" t="s">
        <v>724</v>
      </c>
      <c r="D6325" t="s">
        <v>112</v>
      </c>
      <c r="E6325" t="s">
        <v>9</v>
      </c>
      <c r="F6325" s="3">
        <v>3074.5</v>
      </c>
      <c r="G6325" s="3">
        <v>3074.5</v>
      </c>
      <c r="H6325" t="s">
        <v>3</v>
      </c>
      <c r="I6325" t="s">
        <v>3</v>
      </c>
      <c r="J6325" t="s">
        <v>381</v>
      </c>
      <c r="K6325" t="s">
        <v>5</v>
      </c>
      <c r="L6325" t="s">
        <v>12</v>
      </c>
      <c r="M6325" t="s">
        <v>114</v>
      </c>
      <c r="N6325" s="2">
        <v>46022</v>
      </c>
    </row>
    <row r="6326" spans="1:14" x14ac:dyDescent="0.25">
      <c r="A6326" t="s">
        <v>724</v>
      </c>
      <c r="B6326" s="2">
        <v>46022</v>
      </c>
      <c r="C6326" t="s">
        <v>724</v>
      </c>
      <c r="D6326" t="s">
        <v>112</v>
      </c>
      <c r="E6326" t="s">
        <v>9</v>
      </c>
      <c r="F6326" s="3">
        <v>-3074.5</v>
      </c>
      <c r="G6326" s="3">
        <v>-3074.5</v>
      </c>
      <c r="H6326" t="s">
        <v>3</v>
      </c>
      <c r="I6326" t="s">
        <v>3</v>
      </c>
      <c r="J6326" t="s">
        <v>381</v>
      </c>
      <c r="K6326" t="s">
        <v>5</v>
      </c>
      <c r="L6326" t="s">
        <v>12</v>
      </c>
      <c r="M6326" t="s">
        <v>114</v>
      </c>
      <c r="N6326" s="2">
        <v>46022</v>
      </c>
    </row>
    <row r="6327" spans="1:14" x14ac:dyDescent="0.25">
      <c r="A6327" s="4" t="s">
        <v>228</v>
      </c>
      <c r="B6327" s="5"/>
      <c r="C6327" s="4" t="s">
        <v>9</v>
      </c>
      <c r="D6327" s="4" t="s">
        <v>9</v>
      </c>
      <c r="E6327" s="4" t="s">
        <v>9</v>
      </c>
      <c r="F6327" s="6">
        <v>0</v>
      </c>
      <c r="G6327" s="6">
        <v>0</v>
      </c>
      <c r="H6327" s="4" t="s">
        <v>9</v>
      </c>
      <c r="I6327" s="4" t="s">
        <v>3</v>
      </c>
      <c r="J6327" s="4" t="s">
        <v>9</v>
      </c>
      <c r="K6327" s="4" t="s">
        <v>9</v>
      </c>
      <c r="L6327" s="4" t="s">
        <v>9</v>
      </c>
      <c r="M6327" s="4" t="s">
        <v>9</v>
      </c>
      <c r="N6327" s="5"/>
    </row>
    <row r="6328" spans="1:14" x14ac:dyDescent="0.25">
      <c r="A6328" s="4" t="s">
        <v>724</v>
      </c>
      <c r="B6328" s="5"/>
      <c r="C6328" s="4" t="s">
        <v>9</v>
      </c>
      <c r="D6328" s="4" t="s">
        <v>9</v>
      </c>
      <c r="E6328" s="4" t="s">
        <v>9</v>
      </c>
      <c r="F6328" s="6">
        <v>0</v>
      </c>
      <c r="G6328" s="6">
        <v>0</v>
      </c>
      <c r="H6328" s="4" t="s">
        <v>9</v>
      </c>
      <c r="I6328" s="4" t="s">
        <v>3</v>
      </c>
      <c r="J6328" s="4" t="s">
        <v>9</v>
      </c>
      <c r="K6328" s="4" t="s">
        <v>9</v>
      </c>
      <c r="L6328" s="4" t="s">
        <v>9</v>
      </c>
      <c r="M6328" s="4" t="s">
        <v>9</v>
      </c>
      <c r="N6328" s="5"/>
    </row>
    <row r="6329" spans="1:14" x14ac:dyDescent="0.25">
      <c r="A6329" t="s">
        <v>725</v>
      </c>
      <c r="B6329" s="2">
        <v>46267</v>
      </c>
      <c r="C6329" t="s">
        <v>725</v>
      </c>
      <c r="D6329" t="s">
        <v>112</v>
      </c>
      <c r="E6329" t="s">
        <v>9</v>
      </c>
      <c r="F6329" s="3">
        <v>-3900</v>
      </c>
      <c r="G6329" s="3">
        <v>-3900</v>
      </c>
      <c r="H6329" t="s">
        <v>3</v>
      </c>
      <c r="I6329" t="s">
        <v>3</v>
      </c>
      <c r="J6329" t="s">
        <v>9</v>
      </c>
      <c r="K6329" t="s">
        <v>9</v>
      </c>
      <c r="L6329" t="s">
        <v>22</v>
      </c>
      <c r="M6329" t="s">
        <v>114</v>
      </c>
      <c r="N6329" s="2">
        <v>46265</v>
      </c>
    </row>
    <row r="6330" spans="1:14" x14ac:dyDescent="0.25">
      <c r="A6330" t="s">
        <v>725</v>
      </c>
      <c r="B6330" s="2">
        <v>46265</v>
      </c>
      <c r="C6330" t="s">
        <v>725</v>
      </c>
      <c r="D6330" t="s">
        <v>112</v>
      </c>
      <c r="E6330" t="s">
        <v>9</v>
      </c>
      <c r="F6330" s="3">
        <v>3900</v>
      </c>
      <c r="G6330" s="3">
        <v>3900</v>
      </c>
      <c r="H6330" t="s">
        <v>3</v>
      </c>
      <c r="I6330" t="s">
        <v>3</v>
      </c>
      <c r="J6330" t="s">
        <v>374</v>
      </c>
      <c r="K6330" t="s">
        <v>13</v>
      </c>
      <c r="L6330" t="s">
        <v>22</v>
      </c>
      <c r="M6330" t="s">
        <v>114</v>
      </c>
      <c r="N6330" s="2">
        <v>46265</v>
      </c>
    </row>
    <row r="6331" spans="1:14" x14ac:dyDescent="0.25">
      <c r="A6331" s="4" t="s">
        <v>267</v>
      </c>
      <c r="B6331" s="5"/>
      <c r="C6331" s="4" t="s">
        <v>9</v>
      </c>
      <c r="D6331" s="4" t="s">
        <v>9</v>
      </c>
      <c r="E6331" s="4" t="s">
        <v>9</v>
      </c>
      <c r="F6331" s="6">
        <v>0</v>
      </c>
      <c r="G6331" s="6">
        <v>0</v>
      </c>
      <c r="H6331" s="4" t="s">
        <v>9</v>
      </c>
      <c r="I6331" s="4" t="s">
        <v>3</v>
      </c>
      <c r="J6331" s="4" t="s">
        <v>9</v>
      </c>
      <c r="K6331" s="4" t="s">
        <v>9</v>
      </c>
      <c r="L6331" s="4" t="s">
        <v>9</v>
      </c>
      <c r="M6331" s="4" t="s">
        <v>9</v>
      </c>
      <c r="N6331" s="5"/>
    </row>
    <row r="6332" spans="1:14" x14ac:dyDescent="0.25">
      <c r="A6332" s="4" t="s">
        <v>725</v>
      </c>
      <c r="B6332" s="5"/>
      <c r="C6332" s="4" t="s">
        <v>9</v>
      </c>
      <c r="D6332" s="4" t="s">
        <v>9</v>
      </c>
      <c r="E6332" s="4" t="s">
        <v>9</v>
      </c>
      <c r="F6332" s="6">
        <v>0</v>
      </c>
      <c r="G6332" s="6">
        <v>0</v>
      </c>
      <c r="H6332" s="4" t="s">
        <v>9</v>
      </c>
      <c r="I6332" s="4" t="s">
        <v>3</v>
      </c>
      <c r="J6332" s="4" t="s">
        <v>9</v>
      </c>
      <c r="K6332" s="4" t="s">
        <v>9</v>
      </c>
      <c r="L6332" s="4" t="s">
        <v>9</v>
      </c>
      <c r="M6332" s="4" t="s">
        <v>9</v>
      </c>
      <c r="N6332" s="5"/>
    </row>
    <row r="6333" spans="1:14" x14ac:dyDescent="0.25">
      <c r="A6333" t="s">
        <v>726</v>
      </c>
      <c r="B6333" s="2">
        <v>46267</v>
      </c>
      <c r="C6333" t="s">
        <v>726</v>
      </c>
      <c r="D6333" t="s">
        <v>112</v>
      </c>
      <c r="E6333" t="s">
        <v>9</v>
      </c>
      <c r="F6333" s="3">
        <v>-11125</v>
      </c>
      <c r="G6333" s="3">
        <v>-11125</v>
      </c>
      <c r="H6333" t="s">
        <v>3</v>
      </c>
      <c r="I6333" t="s">
        <v>3</v>
      </c>
      <c r="J6333" t="s">
        <v>9</v>
      </c>
      <c r="K6333" t="s">
        <v>9</v>
      </c>
      <c r="L6333" t="s">
        <v>22</v>
      </c>
      <c r="M6333" t="s">
        <v>114</v>
      </c>
      <c r="N6333" s="2">
        <v>46265</v>
      </c>
    </row>
    <row r="6334" spans="1:14" x14ac:dyDescent="0.25">
      <c r="A6334" t="s">
        <v>726</v>
      </c>
      <c r="B6334" s="2">
        <v>46265</v>
      </c>
      <c r="C6334" t="s">
        <v>726</v>
      </c>
      <c r="D6334" t="s">
        <v>112</v>
      </c>
      <c r="E6334" t="s">
        <v>9</v>
      </c>
      <c r="F6334" s="3">
        <v>11125</v>
      </c>
      <c r="G6334" s="3">
        <v>11125</v>
      </c>
      <c r="H6334" t="s">
        <v>3</v>
      </c>
      <c r="I6334" t="s">
        <v>3</v>
      </c>
      <c r="J6334" t="s">
        <v>430</v>
      </c>
      <c r="K6334" t="s">
        <v>13</v>
      </c>
      <c r="L6334" t="s">
        <v>22</v>
      </c>
      <c r="M6334" t="s">
        <v>114</v>
      </c>
      <c r="N6334" s="2">
        <v>46265</v>
      </c>
    </row>
    <row r="6335" spans="1:14" x14ac:dyDescent="0.25">
      <c r="A6335" s="4" t="s">
        <v>267</v>
      </c>
      <c r="B6335" s="5"/>
      <c r="C6335" s="4" t="s">
        <v>9</v>
      </c>
      <c r="D6335" s="4" t="s">
        <v>9</v>
      </c>
      <c r="E6335" s="4" t="s">
        <v>9</v>
      </c>
      <c r="F6335" s="6">
        <v>0</v>
      </c>
      <c r="G6335" s="6">
        <v>0</v>
      </c>
      <c r="H6335" s="4" t="s">
        <v>9</v>
      </c>
      <c r="I6335" s="4" t="s">
        <v>3</v>
      </c>
      <c r="J6335" s="4" t="s">
        <v>9</v>
      </c>
      <c r="K6335" s="4" t="s">
        <v>9</v>
      </c>
      <c r="L6335" s="4" t="s">
        <v>9</v>
      </c>
      <c r="M6335" s="4" t="s">
        <v>9</v>
      </c>
      <c r="N6335" s="5"/>
    </row>
    <row r="6336" spans="1:14" x14ac:dyDescent="0.25">
      <c r="A6336" s="4" t="s">
        <v>726</v>
      </c>
      <c r="B6336" s="5"/>
      <c r="C6336" s="4" t="s">
        <v>9</v>
      </c>
      <c r="D6336" s="4" t="s">
        <v>9</v>
      </c>
      <c r="E6336" s="4" t="s">
        <v>9</v>
      </c>
      <c r="F6336" s="6">
        <v>0</v>
      </c>
      <c r="G6336" s="6">
        <v>0</v>
      </c>
      <c r="H6336" s="4" t="s">
        <v>9</v>
      </c>
      <c r="I6336" s="4" t="s">
        <v>3</v>
      </c>
      <c r="J6336" s="4" t="s">
        <v>9</v>
      </c>
      <c r="K6336" s="4" t="s">
        <v>9</v>
      </c>
      <c r="L6336" s="4" t="s">
        <v>9</v>
      </c>
      <c r="M6336" s="4" t="s">
        <v>9</v>
      </c>
      <c r="N6336" s="5"/>
    </row>
    <row r="6337" spans="1:14" x14ac:dyDescent="0.25">
      <c r="A6337" t="s">
        <v>727</v>
      </c>
      <c r="B6337" s="2">
        <v>46267</v>
      </c>
      <c r="C6337" t="s">
        <v>727</v>
      </c>
      <c r="D6337" t="s">
        <v>112</v>
      </c>
      <c r="E6337" t="s">
        <v>9</v>
      </c>
      <c r="F6337" s="3">
        <v>-19000</v>
      </c>
      <c r="G6337" s="3">
        <v>-19000</v>
      </c>
      <c r="H6337" t="s">
        <v>3</v>
      </c>
      <c r="I6337" t="s">
        <v>3</v>
      </c>
      <c r="J6337" t="s">
        <v>9</v>
      </c>
      <c r="K6337" t="s">
        <v>9</v>
      </c>
      <c r="L6337" t="s">
        <v>22</v>
      </c>
      <c r="M6337" t="s">
        <v>114</v>
      </c>
      <c r="N6337" s="2">
        <v>46265</v>
      </c>
    </row>
    <row r="6338" spans="1:14" x14ac:dyDescent="0.25">
      <c r="A6338" t="s">
        <v>727</v>
      </c>
      <c r="B6338" s="2">
        <v>46265</v>
      </c>
      <c r="C6338" t="s">
        <v>727</v>
      </c>
      <c r="D6338" t="s">
        <v>112</v>
      </c>
      <c r="E6338" t="s">
        <v>9</v>
      </c>
      <c r="F6338" s="3">
        <v>19000</v>
      </c>
      <c r="G6338" s="3">
        <v>19000</v>
      </c>
      <c r="H6338" t="s">
        <v>3</v>
      </c>
      <c r="I6338" t="s">
        <v>3</v>
      </c>
      <c r="J6338" t="s">
        <v>374</v>
      </c>
      <c r="K6338" t="s">
        <v>13</v>
      </c>
      <c r="L6338" t="s">
        <v>22</v>
      </c>
      <c r="M6338" t="s">
        <v>114</v>
      </c>
      <c r="N6338" s="2">
        <v>46265</v>
      </c>
    </row>
    <row r="6339" spans="1:14" x14ac:dyDescent="0.25">
      <c r="A6339" s="4" t="s">
        <v>267</v>
      </c>
      <c r="B6339" s="5"/>
      <c r="C6339" s="4" t="s">
        <v>9</v>
      </c>
      <c r="D6339" s="4" t="s">
        <v>9</v>
      </c>
      <c r="E6339" s="4" t="s">
        <v>9</v>
      </c>
      <c r="F6339" s="6">
        <v>0</v>
      </c>
      <c r="G6339" s="6">
        <v>0</v>
      </c>
      <c r="H6339" s="4" t="s">
        <v>9</v>
      </c>
      <c r="I6339" s="4" t="s">
        <v>3</v>
      </c>
      <c r="J6339" s="4" t="s">
        <v>9</v>
      </c>
      <c r="K6339" s="4" t="s">
        <v>9</v>
      </c>
      <c r="L6339" s="4" t="s">
        <v>9</v>
      </c>
      <c r="M6339" s="4" t="s">
        <v>9</v>
      </c>
      <c r="N6339" s="5"/>
    </row>
    <row r="6340" spans="1:14" x14ac:dyDescent="0.25">
      <c r="A6340" s="4" t="s">
        <v>727</v>
      </c>
      <c r="B6340" s="5"/>
      <c r="C6340" s="4" t="s">
        <v>9</v>
      </c>
      <c r="D6340" s="4" t="s">
        <v>9</v>
      </c>
      <c r="E6340" s="4" t="s">
        <v>9</v>
      </c>
      <c r="F6340" s="6">
        <v>0</v>
      </c>
      <c r="G6340" s="6">
        <v>0</v>
      </c>
      <c r="H6340" s="4" t="s">
        <v>9</v>
      </c>
      <c r="I6340" s="4" t="s">
        <v>3</v>
      </c>
      <c r="J6340" s="4" t="s">
        <v>9</v>
      </c>
      <c r="K6340" s="4" t="s">
        <v>9</v>
      </c>
      <c r="L6340" s="4" t="s">
        <v>9</v>
      </c>
      <c r="M6340" s="4" t="s">
        <v>9</v>
      </c>
      <c r="N6340" s="5"/>
    </row>
    <row r="6341" spans="1:14" x14ac:dyDescent="0.25">
      <c r="A6341" t="s">
        <v>728</v>
      </c>
      <c r="B6341" s="2">
        <v>46028</v>
      </c>
      <c r="C6341" t="s">
        <v>728</v>
      </c>
      <c r="D6341" t="s">
        <v>33</v>
      </c>
      <c r="E6341" t="s">
        <v>9</v>
      </c>
      <c r="F6341" s="3">
        <v>12000</v>
      </c>
      <c r="G6341" s="3">
        <v>12000</v>
      </c>
      <c r="H6341" t="s">
        <v>3</v>
      </c>
      <c r="I6341" t="s">
        <v>3</v>
      </c>
      <c r="J6341" t="s">
        <v>9</v>
      </c>
      <c r="K6341" t="s">
        <v>9</v>
      </c>
      <c r="L6341" t="s">
        <v>12</v>
      </c>
      <c r="M6341" t="s">
        <v>35</v>
      </c>
      <c r="N6341" s="2">
        <v>46022</v>
      </c>
    </row>
    <row r="6342" spans="1:14" x14ac:dyDescent="0.25">
      <c r="A6342" t="s">
        <v>728</v>
      </c>
      <c r="B6342" s="2">
        <v>46007</v>
      </c>
      <c r="C6342" t="s">
        <v>728</v>
      </c>
      <c r="D6342" t="s">
        <v>33</v>
      </c>
      <c r="E6342" t="s">
        <v>9</v>
      </c>
      <c r="F6342" s="3">
        <v>-12000</v>
      </c>
      <c r="G6342" s="3">
        <v>-12000</v>
      </c>
      <c r="H6342" t="s">
        <v>3</v>
      </c>
      <c r="I6342" t="s">
        <v>3</v>
      </c>
      <c r="J6342" t="s">
        <v>9</v>
      </c>
      <c r="K6342" t="s">
        <v>5</v>
      </c>
      <c r="L6342" t="s">
        <v>12</v>
      </c>
      <c r="M6342" t="s">
        <v>35</v>
      </c>
      <c r="N6342" s="2">
        <v>46007</v>
      </c>
    </row>
    <row r="6343" spans="1:14" x14ac:dyDescent="0.25">
      <c r="A6343" s="4" t="s">
        <v>228</v>
      </c>
      <c r="B6343" s="5"/>
      <c r="C6343" s="4" t="s">
        <v>9</v>
      </c>
      <c r="D6343" s="4" t="s">
        <v>9</v>
      </c>
      <c r="E6343" s="4" t="s">
        <v>9</v>
      </c>
      <c r="F6343" s="6">
        <v>0</v>
      </c>
      <c r="G6343" s="6">
        <v>0</v>
      </c>
      <c r="H6343" s="4" t="s">
        <v>9</v>
      </c>
      <c r="I6343" s="4" t="s">
        <v>3</v>
      </c>
      <c r="J6343" s="4" t="s">
        <v>9</v>
      </c>
      <c r="K6343" s="4" t="s">
        <v>9</v>
      </c>
      <c r="L6343" s="4" t="s">
        <v>9</v>
      </c>
      <c r="M6343" s="4" t="s">
        <v>9</v>
      </c>
      <c r="N6343" s="5"/>
    </row>
    <row r="6344" spans="1:14" x14ac:dyDescent="0.25">
      <c r="A6344" s="4" t="s">
        <v>728</v>
      </c>
      <c r="B6344" s="5"/>
      <c r="C6344" s="4" t="s">
        <v>9</v>
      </c>
      <c r="D6344" s="4" t="s">
        <v>9</v>
      </c>
      <c r="E6344" s="4" t="s">
        <v>9</v>
      </c>
      <c r="F6344" s="6">
        <v>0</v>
      </c>
      <c r="G6344" s="6">
        <v>0</v>
      </c>
      <c r="H6344" s="4" t="s">
        <v>9</v>
      </c>
      <c r="I6344" s="4" t="s">
        <v>3</v>
      </c>
      <c r="J6344" s="4" t="s">
        <v>9</v>
      </c>
      <c r="K6344" s="4" t="s">
        <v>9</v>
      </c>
      <c r="L6344" s="4" t="s">
        <v>9</v>
      </c>
      <c r="M6344" s="4" t="s">
        <v>9</v>
      </c>
      <c r="N6344" s="5"/>
    </row>
    <row r="6345" spans="1:14" x14ac:dyDescent="0.25">
      <c r="A6345" t="s">
        <v>729</v>
      </c>
      <c r="B6345" s="2">
        <v>46056</v>
      </c>
      <c r="C6345" t="s">
        <v>729</v>
      </c>
      <c r="D6345" t="s">
        <v>112</v>
      </c>
      <c r="E6345" t="s">
        <v>9</v>
      </c>
      <c r="F6345" s="3">
        <v>-200</v>
      </c>
      <c r="G6345" s="3">
        <v>-200</v>
      </c>
      <c r="H6345" t="s">
        <v>3</v>
      </c>
      <c r="I6345" t="s">
        <v>3</v>
      </c>
      <c r="J6345" t="s">
        <v>9</v>
      </c>
      <c r="K6345" t="s">
        <v>9</v>
      </c>
      <c r="L6345" t="s">
        <v>14</v>
      </c>
      <c r="M6345" t="s">
        <v>114</v>
      </c>
      <c r="N6345" s="2">
        <v>46053</v>
      </c>
    </row>
    <row r="6346" spans="1:14" x14ac:dyDescent="0.25">
      <c r="A6346" t="s">
        <v>729</v>
      </c>
      <c r="B6346" s="2">
        <v>46022</v>
      </c>
      <c r="C6346" t="s">
        <v>729</v>
      </c>
      <c r="D6346" t="s">
        <v>112</v>
      </c>
      <c r="E6346" t="s">
        <v>9</v>
      </c>
      <c r="F6346" s="3">
        <v>-8900</v>
      </c>
      <c r="G6346" s="3">
        <v>-8900</v>
      </c>
      <c r="H6346" t="s">
        <v>3</v>
      </c>
      <c r="I6346" t="s">
        <v>3</v>
      </c>
      <c r="J6346" t="s">
        <v>299</v>
      </c>
      <c r="K6346" t="s">
        <v>13</v>
      </c>
      <c r="L6346" t="s">
        <v>14</v>
      </c>
      <c r="M6346" t="s">
        <v>114</v>
      </c>
      <c r="N6346" s="2">
        <v>46023</v>
      </c>
    </row>
    <row r="6347" spans="1:14" x14ac:dyDescent="0.25">
      <c r="A6347" t="s">
        <v>729</v>
      </c>
      <c r="B6347" s="2">
        <v>46023</v>
      </c>
      <c r="C6347" t="s">
        <v>729</v>
      </c>
      <c r="D6347" t="s">
        <v>112</v>
      </c>
      <c r="E6347" t="s">
        <v>9</v>
      </c>
      <c r="F6347" s="3">
        <v>8900</v>
      </c>
      <c r="G6347" s="3">
        <v>8900</v>
      </c>
      <c r="H6347" t="s">
        <v>3</v>
      </c>
      <c r="I6347" t="s">
        <v>3</v>
      </c>
      <c r="J6347" t="s">
        <v>299</v>
      </c>
      <c r="K6347" t="s">
        <v>13</v>
      </c>
      <c r="L6347" t="s">
        <v>14</v>
      </c>
      <c r="M6347" t="s">
        <v>114</v>
      </c>
      <c r="N6347" s="2">
        <v>46023</v>
      </c>
    </row>
    <row r="6348" spans="1:14" x14ac:dyDescent="0.25">
      <c r="A6348" t="s">
        <v>729</v>
      </c>
      <c r="B6348" s="2">
        <v>46053</v>
      </c>
      <c r="C6348" t="s">
        <v>729</v>
      </c>
      <c r="D6348" t="s">
        <v>112</v>
      </c>
      <c r="E6348" t="s">
        <v>9</v>
      </c>
      <c r="F6348" s="3">
        <v>200</v>
      </c>
      <c r="G6348" s="3">
        <v>200</v>
      </c>
      <c r="H6348" t="s">
        <v>3</v>
      </c>
      <c r="I6348" t="s">
        <v>3</v>
      </c>
      <c r="J6348" t="s">
        <v>367</v>
      </c>
      <c r="K6348" t="s">
        <v>13</v>
      </c>
      <c r="L6348" t="s">
        <v>14</v>
      </c>
      <c r="M6348" t="s">
        <v>114</v>
      </c>
      <c r="N6348" s="2">
        <v>46053</v>
      </c>
    </row>
    <row r="6349" spans="1:14" x14ac:dyDescent="0.25">
      <c r="A6349" s="4" t="s">
        <v>234</v>
      </c>
      <c r="B6349" s="5"/>
      <c r="C6349" s="4" t="s">
        <v>9</v>
      </c>
      <c r="D6349" s="4" t="s">
        <v>9</v>
      </c>
      <c r="E6349" s="4" t="s">
        <v>9</v>
      </c>
      <c r="F6349" s="6">
        <v>0</v>
      </c>
      <c r="G6349" s="6">
        <v>0</v>
      </c>
      <c r="H6349" s="4" t="s">
        <v>9</v>
      </c>
      <c r="I6349" s="4" t="s">
        <v>3</v>
      </c>
      <c r="J6349" s="4" t="s">
        <v>9</v>
      </c>
      <c r="K6349" s="4" t="s">
        <v>9</v>
      </c>
      <c r="L6349" s="4" t="s">
        <v>9</v>
      </c>
      <c r="M6349" s="4" t="s">
        <v>9</v>
      </c>
      <c r="N6349" s="5"/>
    </row>
    <row r="6350" spans="1:14" x14ac:dyDescent="0.25">
      <c r="A6350" t="s">
        <v>729</v>
      </c>
      <c r="B6350" s="2">
        <v>46084</v>
      </c>
      <c r="C6350" t="s">
        <v>729</v>
      </c>
      <c r="D6350" t="s">
        <v>112</v>
      </c>
      <c r="E6350" t="s">
        <v>9</v>
      </c>
      <c r="F6350" s="3">
        <v>-230</v>
      </c>
      <c r="G6350" s="3">
        <v>-230</v>
      </c>
      <c r="H6350" t="s">
        <v>3</v>
      </c>
      <c r="I6350" t="s">
        <v>3</v>
      </c>
      <c r="J6350" t="s">
        <v>9</v>
      </c>
      <c r="K6350" t="s">
        <v>9</v>
      </c>
      <c r="L6350" t="s">
        <v>15</v>
      </c>
      <c r="M6350" t="s">
        <v>114</v>
      </c>
      <c r="N6350" s="2">
        <v>46081</v>
      </c>
    </row>
    <row r="6351" spans="1:14" x14ac:dyDescent="0.25">
      <c r="A6351" t="s">
        <v>729</v>
      </c>
      <c r="B6351" s="2">
        <v>46054</v>
      </c>
      <c r="C6351" t="s">
        <v>729</v>
      </c>
      <c r="D6351" t="s">
        <v>112</v>
      </c>
      <c r="E6351" t="s">
        <v>9</v>
      </c>
      <c r="F6351" s="3">
        <v>-200</v>
      </c>
      <c r="G6351" s="3">
        <v>-200</v>
      </c>
      <c r="H6351" t="s">
        <v>3</v>
      </c>
      <c r="I6351" t="s">
        <v>3</v>
      </c>
      <c r="J6351" t="s">
        <v>367</v>
      </c>
      <c r="K6351" t="s">
        <v>13</v>
      </c>
      <c r="L6351" t="s">
        <v>15</v>
      </c>
      <c r="M6351" t="s">
        <v>114</v>
      </c>
      <c r="N6351" s="2">
        <v>46054</v>
      </c>
    </row>
    <row r="6352" spans="1:14" x14ac:dyDescent="0.25">
      <c r="A6352" t="s">
        <v>729</v>
      </c>
      <c r="B6352" s="2">
        <v>46054</v>
      </c>
      <c r="C6352" t="s">
        <v>729</v>
      </c>
      <c r="D6352" t="s">
        <v>112</v>
      </c>
      <c r="E6352" t="s">
        <v>9</v>
      </c>
      <c r="F6352" s="3">
        <v>200</v>
      </c>
      <c r="G6352" s="3">
        <v>200</v>
      </c>
      <c r="H6352" t="s">
        <v>3</v>
      </c>
      <c r="I6352" t="s">
        <v>3</v>
      </c>
      <c r="J6352" t="s">
        <v>367</v>
      </c>
      <c r="K6352" t="s">
        <v>13</v>
      </c>
      <c r="L6352" t="s">
        <v>15</v>
      </c>
      <c r="M6352" t="s">
        <v>114</v>
      </c>
      <c r="N6352" s="2">
        <v>46055</v>
      </c>
    </row>
    <row r="6353" spans="1:14" x14ac:dyDescent="0.25">
      <c r="A6353" t="s">
        <v>729</v>
      </c>
      <c r="B6353" s="2">
        <v>46054</v>
      </c>
      <c r="C6353" t="s">
        <v>729</v>
      </c>
      <c r="D6353" t="s">
        <v>112</v>
      </c>
      <c r="E6353" t="s">
        <v>9</v>
      </c>
      <c r="F6353" s="3">
        <v>-200</v>
      </c>
      <c r="G6353" s="3">
        <v>-200</v>
      </c>
      <c r="H6353" t="s">
        <v>3</v>
      </c>
      <c r="I6353" t="s">
        <v>3</v>
      </c>
      <c r="J6353" t="s">
        <v>367</v>
      </c>
      <c r="K6353" t="s">
        <v>13</v>
      </c>
      <c r="L6353" t="s">
        <v>15</v>
      </c>
      <c r="M6353" t="s">
        <v>114</v>
      </c>
      <c r="N6353" s="2">
        <v>46054</v>
      </c>
    </row>
    <row r="6354" spans="1:14" x14ac:dyDescent="0.25">
      <c r="A6354" t="s">
        <v>729</v>
      </c>
      <c r="B6354" s="2">
        <v>46081</v>
      </c>
      <c r="C6354" t="s">
        <v>729</v>
      </c>
      <c r="D6354" t="s">
        <v>112</v>
      </c>
      <c r="E6354" t="s">
        <v>9</v>
      </c>
      <c r="F6354" s="3">
        <v>430</v>
      </c>
      <c r="G6354" s="3">
        <v>430</v>
      </c>
      <c r="H6354" t="s">
        <v>3</v>
      </c>
      <c r="I6354" t="s">
        <v>3</v>
      </c>
      <c r="J6354" t="s">
        <v>368</v>
      </c>
      <c r="K6354" t="s">
        <v>13</v>
      </c>
      <c r="L6354" t="s">
        <v>15</v>
      </c>
      <c r="M6354" t="s">
        <v>114</v>
      </c>
      <c r="N6354" s="2">
        <v>46081</v>
      </c>
    </row>
    <row r="6355" spans="1:14" x14ac:dyDescent="0.25">
      <c r="A6355" s="4" t="s">
        <v>239</v>
      </c>
      <c r="B6355" s="5"/>
      <c r="C6355" s="4" t="s">
        <v>9</v>
      </c>
      <c r="D6355" s="4" t="s">
        <v>9</v>
      </c>
      <c r="E6355" s="4" t="s">
        <v>9</v>
      </c>
      <c r="F6355" s="6">
        <v>0</v>
      </c>
      <c r="G6355" s="6">
        <v>0</v>
      </c>
      <c r="H6355" s="4" t="s">
        <v>9</v>
      </c>
      <c r="I6355" s="4" t="s">
        <v>3</v>
      </c>
      <c r="J6355" s="4" t="s">
        <v>9</v>
      </c>
      <c r="K6355" s="4" t="s">
        <v>9</v>
      </c>
      <c r="L6355" s="4" t="s">
        <v>9</v>
      </c>
      <c r="M6355" s="4" t="s">
        <v>9</v>
      </c>
      <c r="N6355" s="5"/>
    </row>
    <row r="6356" spans="1:14" x14ac:dyDescent="0.25">
      <c r="A6356" t="s">
        <v>729</v>
      </c>
      <c r="B6356" s="2">
        <v>46081</v>
      </c>
      <c r="C6356" t="s">
        <v>729</v>
      </c>
      <c r="D6356" t="s">
        <v>112</v>
      </c>
      <c r="E6356" t="s">
        <v>9</v>
      </c>
      <c r="F6356" s="3">
        <v>-430</v>
      </c>
      <c r="G6356" s="3">
        <v>-430</v>
      </c>
      <c r="H6356" t="s">
        <v>3</v>
      </c>
      <c r="I6356" t="s">
        <v>3</v>
      </c>
      <c r="J6356" t="s">
        <v>368</v>
      </c>
      <c r="K6356" t="s">
        <v>13</v>
      </c>
      <c r="L6356" t="s">
        <v>16</v>
      </c>
      <c r="M6356" t="s">
        <v>114</v>
      </c>
      <c r="N6356" s="2">
        <v>46082</v>
      </c>
    </row>
    <row r="6357" spans="1:14" x14ac:dyDescent="0.25">
      <c r="A6357" t="s">
        <v>729</v>
      </c>
      <c r="B6357" s="2">
        <v>46112</v>
      </c>
      <c r="C6357" t="s">
        <v>729</v>
      </c>
      <c r="D6357" t="s">
        <v>112</v>
      </c>
      <c r="E6357" t="s">
        <v>9</v>
      </c>
      <c r="F6357" s="3">
        <v>430</v>
      </c>
      <c r="G6357" s="3">
        <v>430</v>
      </c>
      <c r="H6357" t="s">
        <v>3</v>
      </c>
      <c r="I6357" t="s">
        <v>3</v>
      </c>
      <c r="J6357" t="s">
        <v>369</v>
      </c>
      <c r="K6357" t="s">
        <v>13</v>
      </c>
      <c r="L6357" t="s">
        <v>16</v>
      </c>
      <c r="M6357" t="s">
        <v>114</v>
      </c>
      <c r="N6357" s="2">
        <v>46112</v>
      </c>
    </row>
    <row r="6358" spans="1:14" x14ac:dyDescent="0.25">
      <c r="A6358" s="4" t="s">
        <v>244</v>
      </c>
      <c r="B6358" s="5"/>
      <c r="C6358" s="4" t="s">
        <v>9</v>
      </c>
      <c r="D6358" s="4" t="s">
        <v>9</v>
      </c>
      <c r="E6358" s="4" t="s">
        <v>9</v>
      </c>
      <c r="F6358" s="6">
        <v>0</v>
      </c>
      <c r="G6358" s="6">
        <v>0</v>
      </c>
      <c r="H6358" s="4" t="s">
        <v>9</v>
      </c>
      <c r="I6358" s="4" t="s">
        <v>3</v>
      </c>
      <c r="J6358" s="4" t="s">
        <v>9</v>
      </c>
      <c r="K6358" s="4" t="s">
        <v>9</v>
      </c>
      <c r="L6358" s="4" t="s">
        <v>9</v>
      </c>
      <c r="M6358" s="4" t="s">
        <v>9</v>
      </c>
      <c r="N6358" s="5"/>
    </row>
    <row r="6359" spans="1:14" x14ac:dyDescent="0.25">
      <c r="A6359" t="s">
        <v>729</v>
      </c>
      <c r="B6359" s="2">
        <v>46112</v>
      </c>
      <c r="C6359" t="s">
        <v>729</v>
      </c>
      <c r="D6359" t="s">
        <v>112</v>
      </c>
      <c r="E6359" t="s">
        <v>9</v>
      </c>
      <c r="F6359" s="3">
        <v>-430</v>
      </c>
      <c r="G6359" s="3">
        <v>-430</v>
      </c>
      <c r="H6359" t="s">
        <v>3</v>
      </c>
      <c r="I6359" t="s">
        <v>3</v>
      </c>
      <c r="J6359" t="s">
        <v>369</v>
      </c>
      <c r="K6359" t="s">
        <v>13</v>
      </c>
      <c r="L6359" t="s">
        <v>17</v>
      </c>
      <c r="M6359" t="s">
        <v>114</v>
      </c>
      <c r="N6359" s="2">
        <v>46113</v>
      </c>
    </row>
    <row r="6360" spans="1:14" x14ac:dyDescent="0.25">
      <c r="A6360" t="s">
        <v>729</v>
      </c>
      <c r="B6360" s="2">
        <v>46142</v>
      </c>
      <c r="C6360" t="s">
        <v>729</v>
      </c>
      <c r="D6360" t="s">
        <v>112</v>
      </c>
      <c r="E6360" t="s">
        <v>9</v>
      </c>
      <c r="F6360" s="3">
        <v>430</v>
      </c>
      <c r="G6360" s="3">
        <v>430</v>
      </c>
      <c r="H6360" t="s">
        <v>3</v>
      </c>
      <c r="I6360" t="s">
        <v>3</v>
      </c>
      <c r="J6360" t="s">
        <v>370</v>
      </c>
      <c r="K6360" t="s">
        <v>13</v>
      </c>
      <c r="L6360" t="s">
        <v>17</v>
      </c>
      <c r="M6360" t="s">
        <v>114</v>
      </c>
      <c r="N6360" s="2">
        <v>46142</v>
      </c>
    </row>
    <row r="6361" spans="1:14" x14ac:dyDescent="0.25">
      <c r="A6361" s="4" t="s">
        <v>249</v>
      </c>
      <c r="B6361" s="5"/>
      <c r="C6361" s="4" t="s">
        <v>9</v>
      </c>
      <c r="D6361" s="4" t="s">
        <v>9</v>
      </c>
      <c r="E6361" s="4" t="s">
        <v>9</v>
      </c>
      <c r="F6361" s="6">
        <v>0</v>
      </c>
      <c r="G6361" s="6">
        <v>0</v>
      </c>
      <c r="H6361" s="4" t="s">
        <v>9</v>
      </c>
      <c r="I6361" s="4" t="s">
        <v>3</v>
      </c>
      <c r="J6361" s="4" t="s">
        <v>9</v>
      </c>
      <c r="K6361" s="4" t="s">
        <v>9</v>
      </c>
      <c r="L6361" s="4" t="s">
        <v>9</v>
      </c>
      <c r="M6361" s="4" t="s">
        <v>9</v>
      </c>
      <c r="N6361" s="5"/>
    </row>
    <row r="6362" spans="1:14" x14ac:dyDescent="0.25">
      <c r="A6362" t="s">
        <v>729</v>
      </c>
      <c r="B6362" s="2">
        <v>46142</v>
      </c>
      <c r="C6362" t="s">
        <v>729</v>
      </c>
      <c r="D6362" t="s">
        <v>112</v>
      </c>
      <c r="E6362" t="s">
        <v>9</v>
      </c>
      <c r="F6362" s="3">
        <v>-430</v>
      </c>
      <c r="G6362" s="3">
        <v>-430</v>
      </c>
      <c r="H6362" t="s">
        <v>3</v>
      </c>
      <c r="I6362" t="s">
        <v>3</v>
      </c>
      <c r="J6362" t="s">
        <v>370</v>
      </c>
      <c r="K6362" t="s">
        <v>13</v>
      </c>
      <c r="L6362" t="s">
        <v>18</v>
      </c>
      <c r="M6362" t="s">
        <v>114</v>
      </c>
      <c r="N6362" s="2">
        <v>46143</v>
      </c>
    </row>
    <row r="6363" spans="1:14" x14ac:dyDescent="0.25">
      <c r="A6363" t="s">
        <v>729</v>
      </c>
      <c r="B6363" s="2">
        <v>46173</v>
      </c>
      <c r="C6363" t="s">
        <v>729</v>
      </c>
      <c r="D6363" t="s">
        <v>112</v>
      </c>
      <c r="E6363" t="s">
        <v>9</v>
      </c>
      <c r="F6363" s="3">
        <v>430</v>
      </c>
      <c r="G6363" s="3">
        <v>430</v>
      </c>
      <c r="H6363" t="s">
        <v>3</v>
      </c>
      <c r="I6363" t="s">
        <v>3</v>
      </c>
      <c r="J6363" t="s">
        <v>371</v>
      </c>
      <c r="K6363" t="s">
        <v>13</v>
      </c>
      <c r="L6363" t="s">
        <v>18</v>
      </c>
      <c r="M6363" t="s">
        <v>114</v>
      </c>
      <c r="N6363" s="2">
        <v>46173</v>
      </c>
    </row>
    <row r="6364" spans="1:14" x14ac:dyDescent="0.25">
      <c r="A6364" s="4" t="s">
        <v>223</v>
      </c>
      <c r="B6364" s="5"/>
      <c r="C6364" s="4" t="s">
        <v>9</v>
      </c>
      <c r="D6364" s="4" t="s">
        <v>9</v>
      </c>
      <c r="E6364" s="4" t="s">
        <v>9</v>
      </c>
      <c r="F6364" s="6">
        <v>0</v>
      </c>
      <c r="G6364" s="6">
        <v>0</v>
      </c>
      <c r="H6364" s="4" t="s">
        <v>9</v>
      </c>
      <c r="I6364" s="4" t="s">
        <v>3</v>
      </c>
      <c r="J6364" s="4" t="s">
        <v>9</v>
      </c>
      <c r="K6364" s="4" t="s">
        <v>9</v>
      </c>
      <c r="L6364" s="4" t="s">
        <v>9</v>
      </c>
      <c r="M6364" s="4" t="s">
        <v>9</v>
      </c>
      <c r="N6364" s="5"/>
    </row>
    <row r="6365" spans="1:14" x14ac:dyDescent="0.25">
      <c r="A6365" t="s">
        <v>729</v>
      </c>
      <c r="B6365" s="2">
        <v>46173</v>
      </c>
      <c r="C6365" t="s">
        <v>729</v>
      </c>
      <c r="D6365" t="s">
        <v>112</v>
      </c>
      <c r="E6365" t="s">
        <v>9</v>
      </c>
      <c r="F6365" s="3">
        <v>-430</v>
      </c>
      <c r="G6365" s="3">
        <v>-430</v>
      </c>
      <c r="H6365" t="s">
        <v>3</v>
      </c>
      <c r="I6365" t="s">
        <v>3</v>
      </c>
      <c r="J6365" t="s">
        <v>371</v>
      </c>
      <c r="K6365" t="s">
        <v>13</v>
      </c>
      <c r="L6365" t="s">
        <v>19</v>
      </c>
      <c r="M6365" t="s">
        <v>114</v>
      </c>
      <c r="N6365" s="2">
        <v>46174</v>
      </c>
    </row>
    <row r="6366" spans="1:14" x14ac:dyDescent="0.25">
      <c r="A6366" t="s">
        <v>729</v>
      </c>
      <c r="B6366" s="2">
        <v>46203</v>
      </c>
      <c r="C6366" t="s">
        <v>729</v>
      </c>
      <c r="D6366" t="s">
        <v>112</v>
      </c>
      <c r="E6366" t="s">
        <v>9</v>
      </c>
      <c r="F6366" s="3">
        <v>430</v>
      </c>
      <c r="G6366" s="3">
        <v>430</v>
      </c>
      <c r="H6366" t="s">
        <v>3</v>
      </c>
      <c r="I6366" t="s">
        <v>3</v>
      </c>
      <c r="J6366" t="s">
        <v>372</v>
      </c>
      <c r="K6366" t="s">
        <v>13</v>
      </c>
      <c r="L6366" t="s">
        <v>19</v>
      </c>
      <c r="M6366" t="s">
        <v>114</v>
      </c>
      <c r="N6366" s="2">
        <v>46203</v>
      </c>
    </row>
    <row r="6367" spans="1:14" x14ac:dyDescent="0.25">
      <c r="A6367" s="4" t="s">
        <v>224</v>
      </c>
      <c r="B6367" s="5"/>
      <c r="C6367" s="4" t="s">
        <v>9</v>
      </c>
      <c r="D6367" s="4" t="s">
        <v>9</v>
      </c>
      <c r="E6367" s="4" t="s">
        <v>9</v>
      </c>
      <c r="F6367" s="6">
        <v>0</v>
      </c>
      <c r="G6367" s="6">
        <v>0</v>
      </c>
      <c r="H6367" s="4" t="s">
        <v>9</v>
      </c>
      <c r="I6367" s="4" t="s">
        <v>3</v>
      </c>
      <c r="J6367" s="4" t="s">
        <v>9</v>
      </c>
      <c r="K6367" s="4" t="s">
        <v>9</v>
      </c>
      <c r="L6367" s="4" t="s">
        <v>9</v>
      </c>
      <c r="M6367" s="4" t="s">
        <v>9</v>
      </c>
      <c r="N6367" s="5"/>
    </row>
    <row r="6368" spans="1:14" x14ac:dyDescent="0.25">
      <c r="A6368" t="s">
        <v>729</v>
      </c>
      <c r="B6368" s="2">
        <v>46203</v>
      </c>
      <c r="C6368" t="s">
        <v>729</v>
      </c>
      <c r="D6368" t="s">
        <v>112</v>
      </c>
      <c r="E6368" t="s">
        <v>9</v>
      </c>
      <c r="F6368" s="3">
        <v>-430</v>
      </c>
      <c r="G6368" s="3">
        <v>-430</v>
      </c>
      <c r="H6368" t="s">
        <v>3</v>
      </c>
      <c r="I6368" t="s">
        <v>3</v>
      </c>
      <c r="J6368" t="s">
        <v>372</v>
      </c>
      <c r="K6368" t="s">
        <v>13</v>
      </c>
      <c r="L6368" t="s">
        <v>21</v>
      </c>
      <c r="M6368" t="s">
        <v>114</v>
      </c>
      <c r="N6368" s="2">
        <v>46204</v>
      </c>
    </row>
    <row r="6369" spans="1:14" x14ac:dyDescent="0.25">
      <c r="A6369" t="s">
        <v>729</v>
      </c>
      <c r="B6369" s="2">
        <v>46234</v>
      </c>
      <c r="C6369" t="s">
        <v>729</v>
      </c>
      <c r="D6369" t="s">
        <v>112</v>
      </c>
      <c r="E6369" t="s">
        <v>9</v>
      </c>
      <c r="F6369" s="3">
        <v>430</v>
      </c>
      <c r="G6369" s="3">
        <v>430</v>
      </c>
      <c r="H6369" t="s">
        <v>3</v>
      </c>
      <c r="I6369" t="s">
        <v>3</v>
      </c>
      <c r="J6369" t="s">
        <v>628</v>
      </c>
      <c r="K6369" t="s">
        <v>13</v>
      </c>
      <c r="L6369" t="s">
        <v>21</v>
      </c>
      <c r="M6369" t="s">
        <v>114</v>
      </c>
      <c r="N6369" s="2">
        <v>46234</v>
      </c>
    </row>
    <row r="6370" spans="1:14" x14ac:dyDescent="0.25">
      <c r="A6370" s="4" t="s">
        <v>262</v>
      </c>
      <c r="B6370" s="5"/>
      <c r="C6370" s="4" t="s">
        <v>9</v>
      </c>
      <c r="D6370" s="4" t="s">
        <v>9</v>
      </c>
      <c r="E6370" s="4" t="s">
        <v>9</v>
      </c>
      <c r="F6370" s="6">
        <v>0</v>
      </c>
      <c r="G6370" s="6">
        <v>0</v>
      </c>
      <c r="H6370" s="4" t="s">
        <v>9</v>
      </c>
      <c r="I6370" s="4" t="s">
        <v>3</v>
      </c>
      <c r="J6370" s="4" t="s">
        <v>9</v>
      </c>
      <c r="K6370" s="4" t="s">
        <v>9</v>
      </c>
      <c r="L6370" s="4" t="s">
        <v>9</v>
      </c>
      <c r="M6370" s="4" t="s">
        <v>9</v>
      </c>
      <c r="N6370" s="5"/>
    </row>
    <row r="6371" spans="1:14" x14ac:dyDescent="0.25">
      <c r="A6371" t="s">
        <v>729</v>
      </c>
      <c r="B6371" s="2">
        <v>46028</v>
      </c>
      <c r="C6371" t="s">
        <v>729</v>
      </c>
      <c r="D6371" t="s">
        <v>112</v>
      </c>
      <c r="E6371" t="s">
        <v>9</v>
      </c>
      <c r="F6371" s="3">
        <v>-8900</v>
      </c>
      <c r="G6371" s="3">
        <v>-8900</v>
      </c>
      <c r="H6371" t="s">
        <v>3</v>
      </c>
      <c r="I6371" t="s">
        <v>3</v>
      </c>
      <c r="J6371" t="s">
        <v>9</v>
      </c>
      <c r="K6371" t="s">
        <v>9</v>
      </c>
      <c r="L6371" t="s">
        <v>12</v>
      </c>
      <c r="M6371" t="s">
        <v>114</v>
      </c>
      <c r="N6371" s="2">
        <v>46022</v>
      </c>
    </row>
    <row r="6372" spans="1:14" x14ac:dyDescent="0.25">
      <c r="A6372" t="s">
        <v>729</v>
      </c>
      <c r="B6372" s="2">
        <v>46028</v>
      </c>
      <c r="C6372" t="s">
        <v>729</v>
      </c>
      <c r="D6372" t="s">
        <v>99</v>
      </c>
      <c r="E6372" t="s">
        <v>9</v>
      </c>
      <c r="F6372" s="3">
        <v>-688</v>
      </c>
      <c r="G6372" s="3">
        <v>-688</v>
      </c>
      <c r="H6372" t="s">
        <v>3</v>
      </c>
      <c r="I6372" t="s">
        <v>3</v>
      </c>
      <c r="J6372" t="s">
        <v>9</v>
      </c>
      <c r="K6372" t="s">
        <v>9</v>
      </c>
      <c r="L6372" t="s">
        <v>12</v>
      </c>
      <c r="M6372" t="s">
        <v>102</v>
      </c>
      <c r="N6372" s="2">
        <v>46022</v>
      </c>
    </row>
    <row r="6373" spans="1:14" x14ac:dyDescent="0.25">
      <c r="A6373" t="s">
        <v>729</v>
      </c>
      <c r="B6373" s="2">
        <v>45992</v>
      </c>
      <c r="C6373" t="s">
        <v>729</v>
      </c>
      <c r="D6373" t="s">
        <v>99</v>
      </c>
      <c r="E6373" t="s">
        <v>9</v>
      </c>
      <c r="F6373" s="3">
        <v>688</v>
      </c>
      <c r="G6373" s="3">
        <v>688</v>
      </c>
      <c r="H6373" t="s">
        <v>3</v>
      </c>
      <c r="I6373" t="s">
        <v>3</v>
      </c>
      <c r="J6373" t="s">
        <v>630</v>
      </c>
      <c r="K6373" t="s">
        <v>5</v>
      </c>
      <c r="L6373" t="s">
        <v>12</v>
      </c>
      <c r="M6373" t="s">
        <v>102</v>
      </c>
      <c r="N6373" s="2">
        <v>45992</v>
      </c>
    </row>
    <row r="6374" spans="1:14" x14ac:dyDescent="0.25">
      <c r="A6374" t="s">
        <v>729</v>
      </c>
      <c r="B6374" s="2">
        <v>46022</v>
      </c>
      <c r="C6374" t="s">
        <v>729</v>
      </c>
      <c r="D6374" t="s">
        <v>112</v>
      </c>
      <c r="E6374" t="s">
        <v>9</v>
      </c>
      <c r="F6374" s="3">
        <v>8900</v>
      </c>
      <c r="G6374" s="3">
        <v>8900</v>
      </c>
      <c r="H6374" t="s">
        <v>3</v>
      </c>
      <c r="I6374" t="s">
        <v>3</v>
      </c>
      <c r="J6374" t="s">
        <v>299</v>
      </c>
      <c r="K6374" t="s">
        <v>5</v>
      </c>
      <c r="L6374" t="s">
        <v>12</v>
      </c>
      <c r="M6374" t="s">
        <v>114</v>
      </c>
      <c r="N6374" s="2">
        <v>46022</v>
      </c>
    </row>
    <row r="6375" spans="1:14" x14ac:dyDescent="0.25">
      <c r="A6375" t="s">
        <v>729</v>
      </c>
      <c r="B6375" s="2">
        <v>46022</v>
      </c>
      <c r="C6375" t="s">
        <v>729</v>
      </c>
      <c r="D6375" t="s">
        <v>112</v>
      </c>
      <c r="E6375" t="s">
        <v>9</v>
      </c>
      <c r="F6375" s="3">
        <v>8900</v>
      </c>
      <c r="G6375" s="3">
        <v>8900</v>
      </c>
      <c r="H6375" t="s">
        <v>3</v>
      </c>
      <c r="I6375" t="s">
        <v>3</v>
      </c>
      <c r="J6375" t="s">
        <v>299</v>
      </c>
      <c r="K6375" t="s">
        <v>5</v>
      </c>
      <c r="L6375" t="s">
        <v>12</v>
      </c>
      <c r="M6375" t="s">
        <v>114</v>
      </c>
      <c r="N6375" s="2">
        <v>46022</v>
      </c>
    </row>
    <row r="6376" spans="1:14" x14ac:dyDescent="0.25">
      <c r="A6376" t="s">
        <v>729</v>
      </c>
      <c r="B6376" s="2">
        <v>46022</v>
      </c>
      <c r="C6376" t="s">
        <v>729</v>
      </c>
      <c r="D6376" t="s">
        <v>112</v>
      </c>
      <c r="E6376" t="s">
        <v>9</v>
      </c>
      <c r="F6376" s="3">
        <v>-8900</v>
      </c>
      <c r="G6376" s="3">
        <v>-8900</v>
      </c>
      <c r="H6376" t="s">
        <v>3</v>
      </c>
      <c r="I6376" t="s">
        <v>3</v>
      </c>
      <c r="J6376" t="s">
        <v>299</v>
      </c>
      <c r="K6376" t="s">
        <v>5</v>
      </c>
      <c r="L6376" t="s">
        <v>12</v>
      </c>
      <c r="M6376" t="s">
        <v>114</v>
      </c>
      <c r="N6376" s="2">
        <v>46022</v>
      </c>
    </row>
    <row r="6377" spans="1:14" x14ac:dyDescent="0.25">
      <c r="A6377" s="4" t="s">
        <v>228</v>
      </c>
      <c r="B6377" s="5"/>
      <c r="C6377" s="4" t="s">
        <v>9</v>
      </c>
      <c r="D6377" s="4" t="s">
        <v>9</v>
      </c>
      <c r="E6377" s="4" t="s">
        <v>9</v>
      </c>
      <c r="F6377" s="6">
        <v>0</v>
      </c>
      <c r="G6377" s="6">
        <v>0</v>
      </c>
      <c r="H6377" s="4" t="s">
        <v>9</v>
      </c>
      <c r="I6377" s="4" t="s">
        <v>3</v>
      </c>
      <c r="J6377" s="4" t="s">
        <v>9</v>
      </c>
      <c r="K6377" s="4" t="s">
        <v>9</v>
      </c>
      <c r="L6377" s="4" t="s">
        <v>9</v>
      </c>
      <c r="M6377" s="4" t="s">
        <v>9</v>
      </c>
      <c r="N6377" s="5"/>
    </row>
    <row r="6378" spans="1:14" x14ac:dyDescent="0.25">
      <c r="A6378" s="4" t="s">
        <v>729</v>
      </c>
      <c r="B6378" s="5"/>
      <c r="C6378" s="4" t="s">
        <v>9</v>
      </c>
      <c r="D6378" s="4" t="s">
        <v>9</v>
      </c>
      <c r="E6378" s="4" t="s">
        <v>9</v>
      </c>
      <c r="F6378" s="6">
        <v>0</v>
      </c>
      <c r="G6378" s="6">
        <v>0</v>
      </c>
      <c r="H6378" s="4" t="s">
        <v>9</v>
      </c>
      <c r="I6378" s="4" t="s">
        <v>3</v>
      </c>
      <c r="J6378" s="4" t="s">
        <v>9</v>
      </c>
      <c r="K6378" s="4" t="s">
        <v>9</v>
      </c>
      <c r="L6378" s="4" t="s">
        <v>9</v>
      </c>
      <c r="M6378" s="4" t="s">
        <v>9</v>
      </c>
      <c r="N6378" s="5"/>
    </row>
    <row r="6379" spans="1:14" x14ac:dyDescent="0.25">
      <c r="A6379" t="s">
        <v>730</v>
      </c>
      <c r="B6379" s="2">
        <v>46084</v>
      </c>
      <c r="C6379" t="s">
        <v>730</v>
      </c>
      <c r="D6379" t="s">
        <v>33</v>
      </c>
      <c r="E6379" t="s">
        <v>9</v>
      </c>
      <c r="F6379" s="3">
        <v>735</v>
      </c>
      <c r="G6379" s="3">
        <v>735</v>
      </c>
      <c r="H6379" t="s">
        <v>3</v>
      </c>
      <c r="I6379" t="s">
        <v>3</v>
      </c>
      <c r="J6379" t="s">
        <v>9</v>
      </c>
      <c r="K6379" t="s">
        <v>9</v>
      </c>
      <c r="L6379" t="s">
        <v>15</v>
      </c>
      <c r="M6379" t="s">
        <v>35</v>
      </c>
      <c r="N6379" s="2">
        <v>46081</v>
      </c>
    </row>
    <row r="6380" spans="1:14" x14ac:dyDescent="0.25">
      <c r="A6380" t="s">
        <v>730</v>
      </c>
      <c r="B6380" s="2">
        <v>46063</v>
      </c>
      <c r="C6380" t="s">
        <v>730</v>
      </c>
      <c r="D6380" t="s">
        <v>33</v>
      </c>
      <c r="E6380" t="s">
        <v>9</v>
      </c>
      <c r="F6380" s="3">
        <v>-735</v>
      </c>
      <c r="G6380" s="3">
        <v>-735</v>
      </c>
      <c r="H6380" t="s">
        <v>3</v>
      </c>
      <c r="I6380" t="s">
        <v>3</v>
      </c>
      <c r="J6380" t="s">
        <v>9</v>
      </c>
      <c r="K6380" t="s">
        <v>13</v>
      </c>
      <c r="L6380" t="s">
        <v>15</v>
      </c>
      <c r="M6380" t="s">
        <v>35</v>
      </c>
      <c r="N6380" s="2">
        <v>46063</v>
      </c>
    </row>
    <row r="6381" spans="1:14" x14ac:dyDescent="0.25">
      <c r="A6381" s="4" t="s">
        <v>239</v>
      </c>
      <c r="B6381" s="5"/>
      <c r="C6381" s="4" t="s">
        <v>9</v>
      </c>
      <c r="D6381" s="4" t="s">
        <v>9</v>
      </c>
      <c r="E6381" s="4" t="s">
        <v>9</v>
      </c>
      <c r="F6381" s="6">
        <v>0</v>
      </c>
      <c r="G6381" s="6">
        <v>0</v>
      </c>
      <c r="H6381" s="4" t="s">
        <v>9</v>
      </c>
      <c r="I6381" s="4" t="s">
        <v>3</v>
      </c>
      <c r="J6381" s="4" t="s">
        <v>9</v>
      </c>
      <c r="K6381" s="4" t="s">
        <v>9</v>
      </c>
      <c r="L6381" s="4" t="s">
        <v>9</v>
      </c>
      <c r="M6381" s="4" t="s">
        <v>9</v>
      </c>
      <c r="N6381" s="5"/>
    </row>
    <row r="6382" spans="1:14" x14ac:dyDescent="0.25">
      <c r="A6382" t="s">
        <v>730</v>
      </c>
      <c r="B6382" s="2">
        <v>46267</v>
      </c>
      <c r="C6382" t="s">
        <v>730</v>
      </c>
      <c r="D6382" t="s">
        <v>33</v>
      </c>
      <c r="E6382" t="s">
        <v>9</v>
      </c>
      <c r="F6382" s="3">
        <v>2005</v>
      </c>
      <c r="G6382" s="3">
        <v>2005</v>
      </c>
      <c r="H6382" t="s">
        <v>3</v>
      </c>
      <c r="I6382" t="s">
        <v>3</v>
      </c>
      <c r="J6382" t="s">
        <v>9</v>
      </c>
      <c r="K6382" t="s">
        <v>9</v>
      </c>
      <c r="L6382" t="s">
        <v>22</v>
      </c>
      <c r="M6382" t="s">
        <v>35</v>
      </c>
      <c r="N6382" s="2">
        <v>46265</v>
      </c>
    </row>
    <row r="6383" spans="1:14" x14ac:dyDescent="0.25">
      <c r="A6383" t="s">
        <v>730</v>
      </c>
      <c r="B6383" s="2">
        <v>46254</v>
      </c>
      <c r="C6383" t="s">
        <v>730</v>
      </c>
      <c r="D6383" t="s">
        <v>33</v>
      </c>
      <c r="E6383" t="s">
        <v>9</v>
      </c>
      <c r="F6383" s="3">
        <v>-2005</v>
      </c>
      <c r="G6383" s="3">
        <v>-2005</v>
      </c>
      <c r="H6383" t="s">
        <v>3</v>
      </c>
      <c r="I6383" t="s">
        <v>3</v>
      </c>
      <c r="J6383" t="s">
        <v>9</v>
      </c>
      <c r="K6383" t="s">
        <v>13</v>
      </c>
      <c r="L6383" t="s">
        <v>22</v>
      </c>
      <c r="M6383" t="s">
        <v>35</v>
      </c>
      <c r="N6383" s="2">
        <v>46254</v>
      </c>
    </row>
    <row r="6384" spans="1:14" x14ac:dyDescent="0.25">
      <c r="A6384" s="4" t="s">
        <v>267</v>
      </c>
      <c r="B6384" s="5"/>
      <c r="C6384" s="4" t="s">
        <v>9</v>
      </c>
      <c r="D6384" s="4" t="s">
        <v>9</v>
      </c>
      <c r="E6384" s="4" t="s">
        <v>9</v>
      </c>
      <c r="F6384" s="6">
        <v>0</v>
      </c>
      <c r="G6384" s="6">
        <v>0</v>
      </c>
      <c r="H6384" s="4" t="s">
        <v>9</v>
      </c>
      <c r="I6384" s="4" t="s">
        <v>3</v>
      </c>
      <c r="J6384" s="4" t="s">
        <v>9</v>
      </c>
      <c r="K6384" s="4" t="s">
        <v>9</v>
      </c>
      <c r="L6384" s="4" t="s">
        <v>9</v>
      </c>
      <c r="M6384" s="4" t="s">
        <v>9</v>
      </c>
      <c r="N6384" s="5"/>
    </row>
    <row r="6385" spans="1:14" x14ac:dyDescent="0.25">
      <c r="A6385" t="s">
        <v>730</v>
      </c>
      <c r="B6385" s="2">
        <v>46028</v>
      </c>
      <c r="C6385" t="s">
        <v>730</v>
      </c>
      <c r="D6385" t="s">
        <v>33</v>
      </c>
      <c r="E6385" t="s">
        <v>9</v>
      </c>
      <c r="F6385" s="3">
        <v>3000</v>
      </c>
      <c r="G6385" s="3">
        <v>3000</v>
      </c>
      <c r="H6385" t="s">
        <v>3</v>
      </c>
      <c r="I6385" t="s">
        <v>3</v>
      </c>
      <c r="J6385" t="s">
        <v>9</v>
      </c>
      <c r="K6385" t="s">
        <v>9</v>
      </c>
      <c r="L6385" t="s">
        <v>12</v>
      </c>
      <c r="M6385" t="s">
        <v>35</v>
      </c>
      <c r="N6385" s="2">
        <v>46022</v>
      </c>
    </row>
    <row r="6386" spans="1:14" x14ac:dyDescent="0.25">
      <c r="A6386" t="s">
        <v>730</v>
      </c>
      <c r="B6386" s="2">
        <v>46007</v>
      </c>
      <c r="C6386" t="s">
        <v>730</v>
      </c>
      <c r="D6386" t="s">
        <v>33</v>
      </c>
      <c r="E6386" t="s">
        <v>9</v>
      </c>
      <c r="F6386" s="3">
        <v>-3000</v>
      </c>
      <c r="G6386" s="3">
        <v>-3000</v>
      </c>
      <c r="H6386" t="s">
        <v>3</v>
      </c>
      <c r="I6386" t="s">
        <v>3</v>
      </c>
      <c r="J6386" t="s">
        <v>9</v>
      </c>
      <c r="K6386" t="s">
        <v>5</v>
      </c>
      <c r="L6386" t="s">
        <v>12</v>
      </c>
      <c r="M6386" t="s">
        <v>35</v>
      </c>
      <c r="N6386" s="2">
        <v>46007</v>
      </c>
    </row>
    <row r="6387" spans="1:14" x14ac:dyDescent="0.25">
      <c r="A6387" s="4" t="s">
        <v>228</v>
      </c>
      <c r="B6387" s="5"/>
      <c r="C6387" s="4" t="s">
        <v>9</v>
      </c>
      <c r="D6387" s="4" t="s">
        <v>9</v>
      </c>
      <c r="E6387" s="4" t="s">
        <v>9</v>
      </c>
      <c r="F6387" s="6">
        <v>0</v>
      </c>
      <c r="G6387" s="6">
        <v>0</v>
      </c>
      <c r="H6387" s="4" t="s">
        <v>9</v>
      </c>
      <c r="I6387" s="4" t="s">
        <v>3</v>
      </c>
      <c r="J6387" s="4" t="s">
        <v>9</v>
      </c>
      <c r="K6387" s="4" t="s">
        <v>9</v>
      </c>
      <c r="L6387" s="4" t="s">
        <v>9</v>
      </c>
      <c r="M6387" s="4" t="s">
        <v>9</v>
      </c>
      <c r="N6387" s="5"/>
    </row>
    <row r="6388" spans="1:14" x14ac:dyDescent="0.25">
      <c r="A6388" s="4" t="s">
        <v>730</v>
      </c>
      <c r="B6388" s="5"/>
      <c r="C6388" s="4" t="s">
        <v>9</v>
      </c>
      <c r="D6388" s="4" t="s">
        <v>9</v>
      </c>
      <c r="E6388" s="4" t="s">
        <v>9</v>
      </c>
      <c r="F6388" s="6">
        <v>0</v>
      </c>
      <c r="G6388" s="6">
        <v>0</v>
      </c>
      <c r="H6388" s="4" t="s">
        <v>9</v>
      </c>
      <c r="I6388" s="4" t="s">
        <v>3</v>
      </c>
      <c r="J6388" s="4" t="s">
        <v>9</v>
      </c>
      <c r="K6388" s="4" t="s">
        <v>9</v>
      </c>
      <c r="L6388" s="4" t="s">
        <v>9</v>
      </c>
      <c r="M6388" s="4" t="s">
        <v>9</v>
      </c>
      <c r="N6388" s="5"/>
    </row>
    <row r="6389" spans="1:14" x14ac:dyDescent="0.25">
      <c r="A6389" t="s">
        <v>731</v>
      </c>
      <c r="B6389" s="2">
        <v>46056</v>
      </c>
      <c r="C6389" t="s">
        <v>731</v>
      </c>
      <c r="D6389" t="s">
        <v>112</v>
      </c>
      <c r="E6389" t="s">
        <v>9</v>
      </c>
      <c r="F6389" s="3">
        <v>-700</v>
      </c>
      <c r="G6389" s="3">
        <v>-700</v>
      </c>
      <c r="H6389" t="s">
        <v>3</v>
      </c>
      <c r="I6389" t="s">
        <v>3</v>
      </c>
      <c r="J6389" t="s">
        <v>9</v>
      </c>
      <c r="K6389" t="s">
        <v>9</v>
      </c>
      <c r="L6389" t="s">
        <v>14</v>
      </c>
      <c r="M6389" t="s">
        <v>114</v>
      </c>
      <c r="N6389" s="2">
        <v>46053</v>
      </c>
    </row>
    <row r="6390" spans="1:14" x14ac:dyDescent="0.25">
      <c r="A6390" t="s">
        <v>731</v>
      </c>
      <c r="B6390" s="2">
        <v>46022</v>
      </c>
      <c r="C6390" t="s">
        <v>731</v>
      </c>
      <c r="D6390" t="s">
        <v>112</v>
      </c>
      <c r="E6390" t="s">
        <v>9</v>
      </c>
      <c r="F6390" s="3">
        <v>-4300</v>
      </c>
      <c r="G6390" s="3">
        <v>-4300</v>
      </c>
      <c r="H6390" t="s">
        <v>3</v>
      </c>
      <c r="I6390" t="s">
        <v>3</v>
      </c>
      <c r="J6390" t="s">
        <v>299</v>
      </c>
      <c r="K6390" t="s">
        <v>13</v>
      </c>
      <c r="L6390" t="s">
        <v>14</v>
      </c>
      <c r="M6390" t="s">
        <v>114</v>
      </c>
      <c r="N6390" s="2">
        <v>46023</v>
      </c>
    </row>
    <row r="6391" spans="1:14" x14ac:dyDescent="0.25">
      <c r="A6391" t="s">
        <v>731</v>
      </c>
      <c r="B6391" s="2">
        <v>46023</v>
      </c>
      <c r="C6391" t="s">
        <v>731</v>
      </c>
      <c r="D6391" t="s">
        <v>112</v>
      </c>
      <c r="E6391" t="s">
        <v>9</v>
      </c>
      <c r="F6391" s="3">
        <v>4300</v>
      </c>
      <c r="G6391" s="3">
        <v>4300</v>
      </c>
      <c r="H6391" t="s">
        <v>3</v>
      </c>
      <c r="I6391" t="s">
        <v>3</v>
      </c>
      <c r="J6391" t="s">
        <v>299</v>
      </c>
      <c r="K6391" t="s">
        <v>13</v>
      </c>
      <c r="L6391" t="s">
        <v>14</v>
      </c>
      <c r="M6391" t="s">
        <v>114</v>
      </c>
      <c r="N6391" s="2">
        <v>46023</v>
      </c>
    </row>
    <row r="6392" spans="1:14" x14ac:dyDescent="0.25">
      <c r="A6392" t="s">
        <v>731</v>
      </c>
      <c r="B6392" s="2">
        <v>46053</v>
      </c>
      <c r="C6392" t="s">
        <v>731</v>
      </c>
      <c r="D6392" t="s">
        <v>112</v>
      </c>
      <c r="E6392" t="s">
        <v>9</v>
      </c>
      <c r="F6392" s="3">
        <v>700</v>
      </c>
      <c r="G6392" s="3">
        <v>700</v>
      </c>
      <c r="H6392" t="s">
        <v>3</v>
      </c>
      <c r="I6392" t="s">
        <v>3</v>
      </c>
      <c r="J6392" t="s">
        <v>367</v>
      </c>
      <c r="K6392" t="s">
        <v>13</v>
      </c>
      <c r="L6392" t="s">
        <v>14</v>
      </c>
      <c r="M6392" t="s">
        <v>114</v>
      </c>
      <c r="N6392" s="2">
        <v>46053</v>
      </c>
    </row>
    <row r="6393" spans="1:14" x14ac:dyDescent="0.25">
      <c r="A6393" s="4" t="s">
        <v>234</v>
      </c>
      <c r="B6393" s="5"/>
      <c r="C6393" s="4" t="s">
        <v>9</v>
      </c>
      <c r="D6393" s="4" t="s">
        <v>9</v>
      </c>
      <c r="E6393" s="4" t="s">
        <v>9</v>
      </c>
      <c r="F6393" s="6">
        <v>0</v>
      </c>
      <c r="G6393" s="6">
        <v>0</v>
      </c>
      <c r="H6393" s="4" t="s">
        <v>9</v>
      </c>
      <c r="I6393" s="4" t="s">
        <v>3</v>
      </c>
      <c r="J6393" s="4" t="s">
        <v>9</v>
      </c>
      <c r="K6393" s="4" t="s">
        <v>9</v>
      </c>
      <c r="L6393" s="4" t="s">
        <v>9</v>
      </c>
      <c r="M6393" s="4" t="s">
        <v>9</v>
      </c>
      <c r="N6393" s="5"/>
    </row>
    <row r="6394" spans="1:14" x14ac:dyDescent="0.25">
      <c r="A6394" t="s">
        <v>731</v>
      </c>
      <c r="B6394" s="2">
        <v>46084</v>
      </c>
      <c r="C6394" t="s">
        <v>731</v>
      </c>
      <c r="D6394" t="s">
        <v>112</v>
      </c>
      <c r="E6394" t="s">
        <v>9</v>
      </c>
      <c r="F6394" s="3">
        <v>-1905</v>
      </c>
      <c r="G6394" s="3">
        <v>-1905</v>
      </c>
      <c r="H6394" t="s">
        <v>3</v>
      </c>
      <c r="I6394" t="s">
        <v>3</v>
      </c>
      <c r="J6394" t="s">
        <v>9</v>
      </c>
      <c r="K6394" t="s">
        <v>9</v>
      </c>
      <c r="L6394" t="s">
        <v>15</v>
      </c>
      <c r="M6394" t="s">
        <v>114</v>
      </c>
      <c r="N6394" s="2">
        <v>46081</v>
      </c>
    </row>
    <row r="6395" spans="1:14" x14ac:dyDescent="0.25">
      <c r="A6395" t="s">
        <v>731</v>
      </c>
      <c r="B6395" s="2">
        <v>46054</v>
      </c>
      <c r="C6395" t="s">
        <v>731</v>
      </c>
      <c r="D6395" t="s">
        <v>112</v>
      </c>
      <c r="E6395" t="s">
        <v>9</v>
      </c>
      <c r="F6395" s="3">
        <v>-700</v>
      </c>
      <c r="G6395" s="3">
        <v>-700</v>
      </c>
      <c r="H6395" t="s">
        <v>3</v>
      </c>
      <c r="I6395" t="s">
        <v>3</v>
      </c>
      <c r="J6395" t="s">
        <v>367</v>
      </c>
      <c r="K6395" t="s">
        <v>13</v>
      </c>
      <c r="L6395" t="s">
        <v>15</v>
      </c>
      <c r="M6395" t="s">
        <v>114</v>
      </c>
      <c r="N6395" s="2">
        <v>46054</v>
      </c>
    </row>
    <row r="6396" spans="1:14" x14ac:dyDescent="0.25">
      <c r="A6396" t="s">
        <v>731</v>
      </c>
      <c r="B6396" s="2">
        <v>46054</v>
      </c>
      <c r="C6396" t="s">
        <v>731</v>
      </c>
      <c r="D6396" t="s">
        <v>112</v>
      </c>
      <c r="E6396" t="s">
        <v>9</v>
      </c>
      <c r="F6396" s="3">
        <v>700</v>
      </c>
      <c r="G6396" s="3">
        <v>700</v>
      </c>
      <c r="H6396" t="s">
        <v>3</v>
      </c>
      <c r="I6396" t="s">
        <v>3</v>
      </c>
      <c r="J6396" t="s">
        <v>367</v>
      </c>
      <c r="K6396" t="s">
        <v>13</v>
      </c>
      <c r="L6396" t="s">
        <v>15</v>
      </c>
      <c r="M6396" t="s">
        <v>114</v>
      </c>
      <c r="N6396" s="2">
        <v>46055</v>
      </c>
    </row>
    <row r="6397" spans="1:14" x14ac:dyDescent="0.25">
      <c r="A6397" t="s">
        <v>731</v>
      </c>
      <c r="B6397" s="2">
        <v>46054</v>
      </c>
      <c r="C6397" t="s">
        <v>731</v>
      </c>
      <c r="D6397" t="s">
        <v>112</v>
      </c>
      <c r="E6397" t="s">
        <v>9</v>
      </c>
      <c r="F6397" s="3">
        <v>-700</v>
      </c>
      <c r="G6397" s="3">
        <v>-700</v>
      </c>
      <c r="H6397" t="s">
        <v>3</v>
      </c>
      <c r="I6397" t="s">
        <v>3</v>
      </c>
      <c r="J6397" t="s">
        <v>367</v>
      </c>
      <c r="K6397" t="s">
        <v>13</v>
      </c>
      <c r="L6397" t="s">
        <v>15</v>
      </c>
      <c r="M6397" t="s">
        <v>114</v>
      </c>
      <c r="N6397" s="2">
        <v>46054</v>
      </c>
    </row>
    <row r="6398" spans="1:14" x14ac:dyDescent="0.25">
      <c r="A6398" t="s">
        <v>731</v>
      </c>
      <c r="B6398" s="2">
        <v>46081</v>
      </c>
      <c r="C6398" t="s">
        <v>731</v>
      </c>
      <c r="D6398" t="s">
        <v>112</v>
      </c>
      <c r="E6398" t="s">
        <v>9</v>
      </c>
      <c r="F6398" s="3">
        <v>2605</v>
      </c>
      <c r="G6398" s="3">
        <v>2605</v>
      </c>
      <c r="H6398" t="s">
        <v>3</v>
      </c>
      <c r="I6398" t="s">
        <v>3</v>
      </c>
      <c r="J6398" t="s">
        <v>368</v>
      </c>
      <c r="K6398" t="s">
        <v>13</v>
      </c>
      <c r="L6398" t="s">
        <v>15</v>
      </c>
      <c r="M6398" t="s">
        <v>114</v>
      </c>
      <c r="N6398" s="2">
        <v>46081</v>
      </c>
    </row>
    <row r="6399" spans="1:14" x14ac:dyDescent="0.25">
      <c r="A6399" s="4" t="s">
        <v>239</v>
      </c>
      <c r="B6399" s="5"/>
      <c r="C6399" s="4" t="s">
        <v>9</v>
      </c>
      <c r="D6399" s="4" t="s">
        <v>9</v>
      </c>
      <c r="E6399" s="4" t="s">
        <v>9</v>
      </c>
      <c r="F6399" s="6">
        <v>0</v>
      </c>
      <c r="G6399" s="6">
        <v>0</v>
      </c>
      <c r="H6399" s="4" t="s">
        <v>9</v>
      </c>
      <c r="I6399" s="4" t="s">
        <v>3</v>
      </c>
      <c r="J6399" s="4" t="s">
        <v>9</v>
      </c>
      <c r="K6399" s="4" t="s">
        <v>9</v>
      </c>
      <c r="L6399" s="4" t="s">
        <v>9</v>
      </c>
      <c r="M6399" s="4" t="s">
        <v>9</v>
      </c>
      <c r="N6399" s="5"/>
    </row>
    <row r="6400" spans="1:14" x14ac:dyDescent="0.25">
      <c r="A6400" t="s">
        <v>731</v>
      </c>
      <c r="B6400" s="2">
        <v>46081</v>
      </c>
      <c r="C6400" t="s">
        <v>731</v>
      </c>
      <c r="D6400" t="s">
        <v>112</v>
      </c>
      <c r="E6400" t="s">
        <v>9</v>
      </c>
      <c r="F6400" s="3">
        <v>-2605</v>
      </c>
      <c r="G6400" s="3">
        <v>-2605</v>
      </c>
      <c r="H6400" t="s">
        <v>3</v>
      </c>
      <c r="I6400" t="s">
        <v>3</v>
      </c>
      <c r="J6400" t="s">
        <v>368</v>
      </c>
      <c r="K6400" t="s">
        <v>13</v>
      </c>
      <c r="L6400" t="s">
        <v>16</v>
      </c>
      <c r="M6400" t="s">
        <v>114</v>
      </c>
      <c r="N6400" s="2">
        <v>46082</v>
      </c>
    </row>
    <row r="6401" spans="1:14" x14ac:dyDescent="0.25">
      <c r="A6401" t="s">
        <v>731</v>
      </c>
      <c r="B6401" s="2">
        <v>46112</v>
      </c>
      <c r="C6401" t="s">
        <v>731</v>
      </c>
      <c r="D6401" t="s">
        <v>112</v>
      </c>
      <c r="E6401" t="s">
        <v>9</v>
      </c>
      <c r="F6401" s="3">
        <v>2605</v>
      </c>
      <c r="G6401" s="3">
        <v>2605</v>
      </c>
      <c r="H6401" t="s">
        <v>3</v>
      </c>
      <c r="I6401" t="s">
        <v>3</v>
      </c>
      <c r="J6401" t="s">
        <v>369</v>
      </c>
      <c r="K6401" t="s">
        <v>13</v>
      </c>
      <c r="L6401" t="s">
        <v>16</v>
      </c>
      <c r="M6401" t="s">
        <v>114</v>
      </c>
      <c r="N6401" s="2">
        <v>46112</v>
      </c>
    </row>
    <row r="6402" spans="1:14" x14ac:dyDescent="0.25">
      <c r="A6402" s="4" t="s">
        <v>244</v>
      </c>
      <c r="B6402" s="5"/>
      <c r="C6402" s="4" t="s">
        <v>9</v>
      </c>
      <c r="D6402" s="4" t="s">
        <v>9</v>
      </c>
      <c r="E6402" s="4" t="s">
        <v>9</v>
      </c>
      <c r="F6402" s="6">
        <v>0</v>
      </c>
      <c r="G6402" s="6">
        <v>0</v>
      </c>
      <c r="H6402" s="4" t="s">
        <v>9</v>
      </c>
      <c r="I6402" s="4" t="s">
        <v>3</v>
      </c>
      <c r="J6402" s="4" t="s">
        <v>9</v>
      </c>
      <c r="K6402" s="4" t="s">
        <v>9</v>
      </c>
      <c r="L6402" s="4" t="s">
        <v>9</v>
      </c>
      <c r="M6402" s="4" t="s">
        <v>9</v>
      </c>
      <c r="N6402" s="5"/>
    </row>
    <row r="6403" spans="1:14" x14ac:dyDescent="0.25">
      <c r="A6403" t="s">
        <v>731</v>
      </c>
      <c r="B6403" s="2">
        <v>46147</v>
      </c>
      <c r="C6403" t="s">
        <v>731</v>
      </c>
      <c r="D6403" t="s">
        <v>112</v>
      </c>
      <c r="E6403" t="s">
        <v>9</v>
      </c>
      <c r="F6403" s="3">
        <v>-100</v>
      </c>
      <c r="G6403" s="3">
        <v>-100</v>
      </c>
      <c r="H6403" t="s">
        <v>3</v>
      </c>
      <c r="I6403" t="s">
        <v>3</v>
      </c>
      <c r="J6403" t="s">
        <v>9</v>
      </c>
      <c r="K6403" t="s">
        <v>9</v>
      </c>
      <c r="L6403" t="s">
        <v>17</v>
      </c>
      <c r="M6403" t="s">
        <v>114</v>
      </c>
      <c r="N6403" s="2">
        <v>46142</v>
      </c>
    </row>
    <row r="6404" spans="1:14" x14ac:dyDescent="0.25">
      <c r="A6404" t="s">
        <v>731</v>
      </c>
      <c r="B6404" s="2">
        <v>46112</v>
      </c>
      <c r="C6404" t="s">
        <v>731</v>
      </c>
      <c r="D6404" t="s">
        <v>112</v>
      </c>
      <c r="E6404" t="s">
        <v>9</v>
      </c>
      <c r="F6404" s="3">
        <v>-2605</v>
      </c>
      <c r="G6404" s="3">
        <v>-2605</v>
      </c>
      <c r="H6404" t="s">
        <v>3</v>
      </c>
      <c r="I6404" t="s">
        <v>3</v>
      </c>
      <c r="J6404" t="s">
        <v>369</v>
      </c>
      <c r="K6404" t="s">
        <v>13</v>
      </c>
      <c r="L6404" t="s">
        <v>17</v>
      </c>
      <c r="M6404" t="s">
        <v>114</v>
      </c>
      <c r="N6404" s="2">
        <v>46113</v>
      </c>
    </row>
    <row r="6405" spans="1:14" x14ac:dyDescent="0.25">
      <c r="A6405" t="s">
        <v>731</v>
      </c>
      <c r="B6405" s="2">
        <v>46142</v>
      </c>
      <c r="C6405" t="s">
        <v>731</v>
      </c>
      <c r="D6405" t="s">
        <v>112</v>
      </c>
      <c r="E6405" t="s">
        <v>9</v>
      </c>
      <c r="F6405" s="3">
        <v>2705</v>
      </c>
      <c r="G6405" s="3">
        <v>2705</v>
      </c>
      <c r="H6405" t="s">
        <v>3</v>
      </c>
      <c r="I6405" t="s">
        <v>3</v>
      </c>
      <c r="J6405" t="s">
        <v>370</v>
      </c>
      <c r="K6405" t="s">
        <v>13</v>
      </c>
      <c r="L6405" t="s">
        <v>17</v>
      </c>
      <c r="M6405" t="s">
        <v>114</v>
      </c>
      <c r="N6405" s="2">
        <v>46142</v>
      </c>
    </row>
    <row r="6406" spans="1:14" x14ac:dyDescent="0.25">
      <c r="A6406" s="4" t="s">
        <v>249</v>
      </c>
      <c r="B6406" s="5"/>
      <c r="C6406" s="4" t="s">
        <v>9</v>
      </c>
      <c r="D6406" s="4" t="s">
        <v>9</v>
      </c>
      <c r="E6406" s="4" t="s">
        <v>9</v>
      </c>
      <c r="F6406" s="6">
        <v>0</v>
      </c>
      <c r="G6406" s="6">
        <v>0</v>
      </c>
      <c r="H6406" s="4" t="s">
        <v>9</v>
      </c>
      <c r="I6406" s="4" t="s">
        <v>3</v>
      </c>
      <c r="J6406" s="4" t="s">
        <v>9</v>
      </c>
      <c r="K6406" s="4" t="s">
        <v>9</v>
      </c>
      <c r="L6406" s="4" t="s">
        <v>9</v>
      </c>
      <c r="M6406" s="4" t="s">
        <v>9</v>
      </c>
      <c r="N6406" s="5"/>
    </row>
    <row r="6407" spans="1:14" x14ac:dyDescent="0.25">
      <c r="A6407" t="s">
        <v>731</v>
      </c>
      <c r="B6407" s="2">
        <v>46142</v>
      </c>
      <c r="C6407" t="s">
        <v>731</v>
      </c>
      <c r="D6407" t="s">
        <v>112</v>
      </c>
      <c r="E6407" t="s">
        <v>9</v>
      </c>
      <c r="F6407" s="3">
        <v>-2705</v>
      </c>
      <c r="G6407" s="3">
        <v>-2705</v>
      </c>
      <c r="H6407" t="s">
        <v>3</v>
      </c>
      <c r="I6407" t="s">
        <v>3</v>
      </c>
      <c r="J6407" t="s">
        <v>370</v>
      </c>
      <c r="K6407" t="s">
        <v>13</v>
      </c>
      <c r="L6407" t="s">
        <v>18</v>
      </c>
      <c r="M6407" t="s">
        <v>114</v>
      </c>
      <c r="N6407" s="2">
        <v>46143</v>
      </c>
    </row>
    <row r="6408" spans="1:14" x14ac:dyDescent="0.25">
      <c r="A6408" t="s">
        <v>731</v>
      </c>
      <c r="B6408" s="2">
        <v>46173</v>
      </c>
      <c r="C6408" t="s">
        <v>731</v>
      </c>
      <c r="D6408" t="s">
        <v>112</v>
      </c>
      <c r="E6408" t="s">
        <v>9</v>
      </c>
      <c r="F6408" s="3">
        <v>2705</v>
      </c>
      <c r="G6408" s="3">
        <v>2705</v>
      </c>
      <c r="H6408" t="s">
        <v>3</v>
      </c>
      <c r="I6408" t="s">
        <v>3</v>
      </c>
      <c r="J6408" t="s">
        <v>371</v>
      </c>
      <c r="K6408" t="s">
        <v>13</v>
      </c>
      <c r="L6408" t="s">
        <v>18</v>
      </c>
      <c r="M6408" t="s">
        <v>114</v>
      </c>
      <c r="N6408" s="2">
        <v>46173</v>
      </c>
    </row>
    <row r="6409" spans="1:14" x14ac:dyDescent="0.25">
      <c r="A6409" s="4" t="s">
        <v>223</v>
      </c>
      <c r="B6409" s="5"/>
      <c r="C6409" s="4" t="s">
        <v>9</v>
      </c>
      <c r="D6409" s="4" t="s">
        <v>9</v>
      </c>
      <c r="E6409" s="4" t="s">
        <v>9</v>
      </c>
      <c r="F6409" s="6">
        <v>0</v>
      </c>
      <c r="G6409" s="6">
        <v>0</v>
      </c>
      <c r="H6409" s="4" t="s">
        <v>9</v>
      </c>
      <c r="I6409" s="4" t="s">
        <v>3</v>
      </c>
      <c r="J6409" s="4" t="s">
        <v>9</v>
      </c>
      <c r="K6409" s="4" t="s">
        <v>9</v>
      </c>
      <c r="L6409" s="4" t="s">
        <v>9</v>
      </c>
      <c r="M6409" s="4" t="s">
        <v>9</v>
      </c>
      <c r="N6409" s="5"/>
    </row>
    <row r="6410" spans="1:14" x14ac:dyDescent="0.25">
      <c r="A6410" t="s">
        <v>731</v>
      </c>
      <c r="B6410" s="2">
        <v>46173</v>
      </c>
      <c r="C6410" t="s">
        <v>731</v>
      </c>
      <c r="D6410" t="s">
        <v>112</v>
      </c>
      <c r="E6410" t="s">
        <v>9</v>
      </c>
      <c r="F6410" s="3">
        <v>-2705</v>
      </c>
      <c r="G6410" s="3">
        <v>-2705</v>
      </c>
      <c r="H6410" t="s">
        <v>3</v>
      </c>
      <c r="I6410" t="s">
        <v>3</v>
      </c>
      <c r="J6410" t="s">
        <v>371</v>
      </c>
      <c r="K6410" t="s">
        <v>13</v>
      </c>
      <c r="L6410" t="s">
        <v>19</v>
      </c>
      <c r="M6410" t="s">
        <v>114</v>
      </c>
      <c r="N6410" s="2">
        <v>46174</v>
      </c>
    </row>
    <row r="6411" spans="1:14" x14ac:dyDescent="0.25">
      <c r="A6411" t="s">
        <v>731</v>
      </c>
      <c r="B6411" s="2">
        <v>46203</v>
      </c>
      <c r="C6411" t="s">
        <v>731</v>
      </c>
      <c r="D6411" t="s">
        <v>112</v>
      </c>
      <c r="E6411" t="s">
        <v>9</v>
      </c>
      <c r="F6411" s="3">
        <v>2705</v>
      </c>
      <c r="G6411" s="3">
        <v>2705</v>
      </c>
      <c r="H6411" t="s">
        <v>3</v>
      </c>
      <c r="I6411" t="s">
        <v>3</v>
      </c>
      <c r="J6411" t="s">
        <v>372</v>
      </c>
      <c r="K6411" t="s">
        <v>13</v>
      </c>
      <c r="L6411" t="s">
        <v>19</v>
      </c>
      <c r="M6411" t="s">
        <v>114</v>
      </c>
      <c r="N6411" s="2">
        <v>46203</v>
      </c>
    </row>
    <row r="6412" spans="1:14" x14ac:dyDescent="0.25">
      <c r="A6412" s="4" t="s">
        <v>224</v>
      </c>
      <c r="B6412" s="5"/>
      <c r="C6412" s="4" t="s">
        <v>9</v>
      </c>
      <c r="D6412" s="4" t="s">
        <v>9</v>
      </c>
      <c r="E6412" s="4" t="s">
        <v>9</v>
      </c>
      <c r="F6412" s="6">
        <v>0</v>
      </c>
      <c r="G6412" s="6">
        <v>0</v>
      </c>
      <c r="H6412" s="4" t="s">
        <v>9</v>
      </c>
      <c r="I6412" s="4" t="s">
        <v>3</v>
      </c>
      <c r="J6412" s="4" t="s">
        <v>9</v>
      </c>
      <c r="K6412" s="4" t="s">
        <v>9</v>
      </c>
      <c r="L6412" s="4" t="s">
        <v>9</v>
      </c>
      <c r="M6412" s="4" t="s">
        <v>9</v>
      </c>
      <c r="N6412" s="5"/>
    </row>
    <row r="6413" spans="1:14" x14ac:dyDescent="0.25">
      <c r="A6413" t="s">
        <v>731</v>
      </c>
      <c r="B6413" s="2">
        <v>46203</v>
      </c>
      <c r="C6413" t="s">
        <v>731</v>
      </c>
      <c r="D6413" t="s">
        <v>112</v>
      </c>
      <c r="E6413" t="s">
        <v>9</v>
      </c>
      <c r="F6413" s="3">
        <v>-2705</v>
      </c>
      <c r="G6413" s="3">
        <v>-2705</v>
      </c>
      <c r="H6413" t="s">
        <v>3</v>
      </c>
      <c r="I6413" t="s">
        <v>3</v>
      </c>
      <c r="J6413" t="s">
        <v>372</v>
      </c>
      <c r="K6413" t="s">
        <v>13</v>
      </c>
      <c r="L6413" t="s">
        <v>21</v>
      </c>
      <c r="M6413" t="s">
        <v>114</v>
      </c>
      <c r="N6413" s="2">
        <v>46204</v>
      </c>
    </row>
    <row r="6414" spans="1:14" x14ac:dyDescent="0.25">
      <c r="A6414" t="s">
        <v>731</v>
      </c>
      <c r="B6414" s="2">
        <v>46234</v>
      </c>
      <c r="C6414" t="s">
        <v>731</v>
      </c>
      <c r="D6414" t="s">
        <v>112</v>
      </c>
      <c r="E6414" t="s">
        <v>9</v>
      </c>
      <c r="F6414" s="3">
        <v>2705</v>
      </c>
      <c r="G6414" s="3">
        <v>2705</v>
      </c>
      <c r="H6414" t="s">
        <v>3</v>
      </c>
      <c r="I6414" t="s">
        <v>3</v>
      </c>
      <c r="J6414" t="s">
        <v>373</v>
      </c>
      <c r="K6414" t="s">
        <v>13</v>
      </c>
      <c r="L6414" t="s">
        <v>21</v>
      </c>
      <c r="M6414" t="s">
        <v>114</v>
      </c>
      <c r="N6414" s="2">
        <v>46234</v>
      </c>
    </row>
    <row r="6415" spans="1:14" x14ac:dyDescent="0.25">
      <c r="A6415" s="4" t="s">
        <v>262</v>
      </c>
      <c r="B6415" s="5"/>
      <c r="C6415" s="4" t="s">
        <v>9</v>
      </c>
      <c r="D6415" s="4" t="s">
        <v>9</v>
      </c>
      <c r="E6415" s="4" t="s">
        <v>9</v>
      </c>
      <c r="F6415" s="6">
        <v>0</v>
      </c>
      <c r="G6415" s="6">
        <v>0</v>
      </c>
      <c r="H6415" s="4" t="s">
        <v>9</v>
      </c>
      <c r="I6415" s="4" t="s">
        <v>3</v>
      </c>
      <c r="J6415" s="4" t="s">
        <v>9</v>
      </c>
      <c r="K6415" s="4" t="s">
        <v>9</v>
      </c>
      <c r="L6415" s="4" t="s">
        <v>9</v>
      </c>
      <c r="M6415" s="4" t="s">
        <v>9</v>
      </c>
      <c r="N6415" s="5"/>
    </row>
    <row r="6416" spans="1:14" x14ac:dyDescent="0.25">
      <c r="A6416" t="s">
        <v>731</v>
      </c>
      <c r="B6416" s="2">
        <v>46234</v>
      </c>
      <c r="C6416" t="s">
        <v>731</v>
      </c>
      <c r="D6416" t="s">
        <v>112</v>
      </c>
      <c r="E6416" t="s">
        <v>9</v>
      </c>
      <c r="F6416" s="3">
        <v>-2705</v>
      </c>
      <c r="G6416" s="3">
        <v>-2705</v>
      </c>
      <c r="H6416" t="s">
        <v>3</v>
      </c>
      <c r="I6416" t="s">
        <v>3</v>
      </c>
      <c r="J6416" t="s">
        <v>373</v>
      </c>
      <c r="K6416" t="s">
        <v>13</v>
      </c>
      <c r="L6416" t="s">
        <v>22</v>
      </c>
      <c r="M6416" t="s">
        <v>114</v>
      </c>
      <c r="N6416" s="2">
        <v>46235</v>
      </c>
    </row>
    <row r="6417" spans="1:14" x14ac:dyDescent="0.25">
      <c r="A6417" t="s">
        <v>731</v>
      </c>
      <c r="B6417" s="2">
        <v>46265</v>
      </c>
      <c r="C6417" t="s">
        <v>731</v>
      </c>
      <c r="D6417" t="s">
        <v>112</v>
      </c>
      <c r="E6417" t="s">
        <v>9</v>
      </c>
      <c r="F6417" s="3">
        <v>2705</v>
      </c>
      <c r="G6417" s="3">
        <v>2705</v>
      </c>
      <c r="H6417" t="s">
        <v>3</v>
      </c>
      <c r="I6417" t="s">
        <v>3</v>
      </c>
      <c r="J6417" t="s">
        <v>430</v>
      </c>
      <c r="K6417" t="s">
        <v>13</v>
      </c>
      <c r="L6417" t="s">
        <v>22</v>
      </c>
      <c r="M6417" t="s">
        <v>114</v>
      </c>
      <c r="N6417" s="2">
        <v>46265</v>
      </c>
    </row>
    <row r="6418" spans="1:14" x14ac:dyDescent="0.25">
      <c r="A6418" s="4" t="s">
        <v>267</v>
      </c>
      <c r="B6418" s="5"/>
      <c r="C6418" s="4" t="s">
        <v>9</v>
      </c>
      <c r="D6418" s="4" t="s">
        <v>9</v>
      </c>
      <c r="E6418" s="4" t="s">
        <v>9</v>
      </c>
      <c r="F6418" s="6">
        <v>0</v>
      </c>
      <c r="G6418" s="6">
        <v>0</v>
      </c>
      <c r="H6418" s="4" t="s">
        <v>9</v>
      </c>
      <c r="I6418" s="4" t="s">
        <v>3</v>
      </c>
      <c r="J6418" s="4" t="s">
        <v>9</v>
      </c>
      <c r="K6418" s="4" t="s">
        <v>9</v>
      </c>
      <c r="L6418" s="4" t="s">
        <v>9</v>
      </c>
      <c r="M6418" s="4" t="s">
        <v>9</v>
      </c>
      <c r="N6418" s="5"/>
    </row>
    <row r="6419" spans="1:14" x14ac:dyDescent="0.25">
      <c r="A6419" t="s">
        <v>731</v>
      </c>
      <c r="B6419" s="2">
        <v>45993</v>
      </c>
      <c r="C6419" t="s">
        <v>731</v>
      </c>
      <c r="D6419" t="s">
        <v>112</v>
      </c>
      <c r="E6419" t="s">
        <v>9</v>
      </c>
      <c r="F6419" s="3">
        <v>-300</v>
      </c>
      <c r="G6419" s="3">
        <v>-300</v>
      </c>
      <c r="H6419" t="s">
        <v>3</v>
      </c>
      <c r="I6419" t="s">
        <v>3</v>
      </c>
      <c r="J6419" t="s">
        <v>9</v>
      </c>
      <c r="K6419" t="s">
        <v>9</v>
      </c>
      <c r="L6419" t="s">
        <v>11</v>
      </c>
      <c r="M6419" t="s">
        <v>114</v>
      </c>
      <c r="N6419" s="2">
        <v>45991</v>
      </c>
    </row>
    <row r="6420" spans="1:14" x14ac:dyDescent="0.25">
      <c r="A6420" t="s">
        <v>731</v>
      </c>
      <c r="B6420" s="2">
        <v>45991</v>
      </c>
      <c r="C6420" t="s">
        <v>731</v>
      </c>
      <c r="D6420" t="s">
        <v>112</v>
      </c>
      <c r="E6420" t="s">
        <v>9</v>
      </c>
      <c r="F6420" s="3">
        <v>300</v>
      </c>
      <c r="G6420" s="3">
        <v>300</v>
      </c>
      <c r="H6420" t="s">
        <v>3</v>
      </c>
      <c r="I6420" t="s">
        <v>3</v>
      </c>
      <c r="J6420" t="s">
        <v>329</v>
      </c>
      <c r="K6420" t="s">
        <v>5</v>
      </c>
      <c r="L6420" t="s">
        <v>11</v>
      </c>
      <c r="M6420" t="s">
        <v>114</v>
      </c>
      <c r="N6420" s="2">
        <v>45991</v>
      </c>
    </row>
    <row r="6421" spans="1:14" x14ac:dyDescent="0.25">
      <c r="A6421" s="4" t="s">
        <v>226</v>
      </c>
      <c r="B6421" s="5"/>
      <c r="C6421" s="4" t="s">
        <v>9</v>
      </c>
      <c r="D6421" s="4" t="s">
        <v>9</v>
      </c>
      <c r="E6421" s="4" t="s">
        <v>9</v>
      </c>
      <c r="F6421" s="6">
        <v>0</v>
      </c>
      <c r="G6421" s="6">
        <v>0</v>
      </c>
      <c r="H6421" s="4" t="s">
        <v>9</v>
      </c>
      <c r="I6421" s="4" t="s">
        <v>3</v>
      </c>
      <c r="J6421" s="4" t="s">
        <v>9</v>
      </c>
      <c r="K6421" s="4" t="s">
        <v>9</v>
      </c>
      <c r="L6421" s="4" t="s">
        <v>9</v>
      </c>
      <c r="M6421" s="4" t="s">
        <v>9</v>
      </c>
      <c r="N6421" s="5"/>
    </row>
    <row r="6422" spans="1:14" x14ac:dyDescent="0.25">
      <c r="A6422" t="s">
        <v>731</v>
      </c>
      <c r="B6422" s="2">
        <v>46028</v>
      </c>
      <c r="C6422" t="s">
        <v>731</v>
      </c>
      <c r="D6422" t="s">
        <v>112</v>
      </c>
      <c r="E6422" t="s">
        <v>9</v>
      </c>
      <c r="F6422" s="3">
        <v>-4000</v>
      </c>
      <c r="G6422" s="3">
        <v>-4000</v>
      </c>
      <c r="H6422" t="s">
        <v>3</v>
      </c>
      <c r="I6422" t="s">
        <v>3</v>
      </c>
      <c r="J6422" t="s">
        <v>9</v>
      </c>
      <c r="K6422" t="s">
        <v>9</v>
      </c>
      <c r="L6422" t="s">
        <v>12</v>
      </c>
      <c r="M6422" t="s">
        <v>114</v>
      </c>
      <c r="N6422" s="2">
        <v>46022</v>
      </c>
    </row>
    <row r="6423" spans="1:14" x14ac:dyDescent="0.25">
      <c r="A6423" t="s">
        <v>731</v>
      </c>
      <c r="B6423" s="2">
        <v>46028</v>
      </c>
      <c r="C6423" t="s">
        <v>731</v>
      </c>
      <c r="D6423" t="s">
        <v>99</v>
      </c>
      <c r="E6423" t="s">
        <v>9</v>
      </c>
      <c r="F6423" s="3">
        <v>-458</v>
      </c>
      <c r="G6423" s="3">
        <v>-458</v>
      </c>
      <c r="H6423" t="s">
        <v>3</v>
      </c>
      <c r="I6423" t="s">
        <v>3</v>
      </c>
      <c r="J6423" t="s">
        <v>9</v>
      </c>
      <c r="K6423" t="s">
        <v>9</v>
      </c>
      <c r="L6423" t="s">
        <v>12</v>
      </c>
      <c r="M6423" t="s">
        <v>102</v>
      </c>
      <c r="N6423" s="2">
        <v>46022</v>
      </c>
    </row>
    <row r="6424" spans="1:14" x14ac:dyDescent="0.25">
      <c r="A6424" t="s">
        <v>731</v>
      </c>
      <c r="B6424" s="2">
        <v>45991</v>
      </c>
      <c r="C6424" t="s">
        <v>731</v>
      </c>
      <c r="D6424" t="s">
        <v>112</v>
      </c>
      <c r="E6424" t="s">
        <v>9</v>
      </c>
      <c r="F6424" s="3">
        <v>-300</v>
      </c>
      <c r="G6424" s="3">
        <v>-300</v>
      </c>
      <c r="H6424" t="s">
        <v>3</v>
      </c>
      <c r="I6424" t="s">
        <v>3</v>
      </c>
      <c r="J6424" t="s">
        <v>329</v>
      </c>
      <c r="K6424" t="s">
        <v>5</v>
      </c>
      <c r="L6424" t="s">
        <v>12</v>
      </c>
      <c r="M6424" t="s">
        <v>114</v>
      </c>
      <c r="N6424" s="2">
        <v>45992</v>
      </c>
    </row>
    <row r="6425" spans="1:14" x14ac:dyDescent="0.25">
      <c r="A6425" t="s">
        <v>731</v>
      </c>
      <c r="B6425" s="2">
        <v>45992</v>
      </c>
      <c r="C6425" t="s">
        <v>731</v>
      </c>
      <c r="D6425" t="s">
        <v>99</v>
      </c>
      <c r="E6425" t="s">
        <v>9</v>
      </c>
      <c r="F6425" s="3">
        <v>458</v>
      </c>
      <c r="G6425" s="3">
        <v>458</v>
      </c>
      <c r="H6425" t="s">
        <v>3</v>
      </c>
      <c r="I6425" t="s">
        <v>3</v>
      </c>
      <c r="J6425" t="s">
        <v>630</v>
      </c>
      <c r="K6425" t="s">
        <v>5</v>
      </c>
      <c r="L6425" t="s">
        <v>12</v>
      </c>
      <c r="M6425" t="s">
        <v>102</v>
      </c>
      <c r="N6425" s="2">
        <v>45992</v>
      </c>
    </row>
    <row r="6426" spans="1:14" x14ac:dyDescent="0.25">
      <c r="A6426" t="s">
        <v>731</v>
      </c>
      <c r="B6426" s="2">
        <v>46022</v>
      </c>
      <c r="C6426" t="s">
        <v>731</v>
      </c>
      <c r="D6426" t="s">
        <v>112</v>
      </c>
      <c r="E6426" t="s">
        <v>9</v>
      </c>
      <c r="F6426" s="3">
        <v>4300</v>
      </c>
      <c r="G6426" s="3">
        <v>4300</v>
      </c>
      <c r="H6426" t="s">
        <v>3</v>
      </c>
      <c r="I6426" t="s">
        <v>3</v>
      </c>
      <c r="J6426" t="s">
        <v>299</v>
      </c>
      <c r="K6426" t="s">
        <v>5</v>
      </c>
      <c r="L6426" t="s">
        <v>12</v>
      </c>
      <c r="M6426" t="s">
        <v>114</v>
      </c>
      <c r="N6426" s="2">
        <v>46022</v>
      </c>
    </row>
    <row r="6427" spans="1:14" x14ac:dyDescent="0.25">
      <c r="A6427" t="s">
        <v>731</v>
      </c>
      <c r="B6427" s="2">
        <v>46022</v>
      </c>
      <c r="C6427" t="s">
        <v>731</v>
      </c>
      <c r="D6427" t="s">
        <v>112</v>
      </c>
      <c r="E6427" t="s">
        <v>9</v>
      </c>
      <c r="F6427" s="3">
        <v>4300</v>
      </c>
      <c r="G6427" s="3">
        <v>4300</v>
      </c>
      <c r="H6427" t="s">
        <v>3</v>
      </c>
      <c r="I6427" t="s">
        <v>3</v>
      </c>
      <c r="J6427" t="s">
        <v>299</v>
      </c>
      <c r="K6427" t="s">
        <v>5</v>
      </c>
      <c r="L6427" t="s">
        <v>12</v>
      </c>
      <c r="M6427" t="s">
        <v>114</v>
      </c>
      <c r="N6427" s="2">
        <v>46022</v>
      </c>
    </row>
    <row r="6428" spans="1:14" x14ac:dyDescent="0.25">
      <c r="A6428" t="s">
        <v>731</v>
      </c>
      <c r="B6428" s="2">
        <v>46022</v>
      </c>
      <c r="C6428" t="s">
        <v>731</v>
      </c>
      <c r="D6428" t="s">
        <v>112</v>
      </c>
      <c r="E6428" t="s">
        <v>9</v>
      </c>
      <c r="F6428" s="3">
        <v>-4300</v>
      </c>
      <c r="G6428" s="3">
        <v>-4300</v>
      </c>
      <c r="H6428" t="s">
        <v>3</v>
      </c>
      <c r="I6428" t="s">
        <v>3</v>
      </c>
      <c r="J6428" t="s">
        <v>299</v>
      </c>
      <c r="K6428" t="s">
        <v>5</v>
      </c>
      <c r="L6428" t="s">
        <v>12</v>
      </c>
      <c r="M6428" t="s">
        <v>114</v>
      </c>
      <c r="N6428" s="2">
        <v>46022</v>
      </c>
    </row>
    <row r="6429" spans="1:14" x14ac:dyDescent="0.25">
      <c r="A6429" s="4" t="s">
        <v>228</v>
      </c>
      <c r="B6429" s="5"/>
      <c r="C6429" s="4" t="s">
        <v>9</v>
      </c>
      <c r="D6429" s="4" t="s">
        <v>9</v>
      </c>
      <c r="E6429" s="4" t="s">
        <v>9</v>
      </c>
      <c r="F6429" s="6">
        <v>0</v>
      </c>
      <c r="G6429" s="6">
        <v>0</v>
      </c>
      <c r="H6429" s="4" t="s">
        <v>9</v>
      </c>
      <c r="I6429" s="4" t="s">
        <v>3</v>
      </c>
      <c r="J6429" s="4" t="s">
        <v>9</v>
      </c>
      <c r="K6429" s="4" t="s">
        <v>9</v>
      </c>
      <c r="L6429" s="4" t="s">
        <v>9</v>
      </c>
      <c r="M6429" s="4" t="s">
        <v>9</v>
      </c>
      <c r="N6429" s="5"/>
    </row>
    <row r="6430" spans="1:14" x14ac:dyDescent="0.25">
      <c r="A6430" s="4" t="s">
        <v>731</v>
      </c>
      <c r="B6430" s="5"/>
      <c r="C6430" s="4" t="s">
        <v>9</v>
      </c>
      <c r="D6430" s="4" t="s">
        <v>9</v>
      </c>
      <c r="E6430" s="4" t="s">
        <v>9</v>
      </c>
      <c r="F6430" s="6">
        <v>0</v>
      </c>
      <c r="G6430" s="6">
        <v>0</v>
      </c>
      <c r="H6430" s="4" t="s">
        <v>9</v>
      </c>
      <c r="I6430" s="4" t="s">
        <v>3</v>
      </c>
      <c r="J6430" s="4" t="s">
        <v>9</v>
      </c>
      <c r="K6430" s="4" t="s">
        <v>9</v>
      </c>
      <c r="L6430" s="4" t="s">
        <v>9</v>
      </c>
      <c r="M6430" s="4" t="s">
        <v>9</v>
      </c>
      <c r="N6430" s="5"/>
    </row>
    <row r="6431" spans="1:14" x14ac:dyDescent="0.25">
      <c r="A6431" t="s">
        <v>732</v>
      </c>
      <c r="B6431" s="2">
        <v>46239</v>
      </c>
      <c r="C6431" t="s">
        <v>732</v>
      </c>
      <c r="D6431" t="s">
        <v>112</v>
      </c>
      <c r="E6431" t="s">
        <v>9</v>
      </c>
      <c r="F6431" s="3">
        <v>-6300</v>
      </c>
      <c r="G6431" s="3">
        <v>-6300</v>
      </c>
      <c r="H6431" t="s">
        <v>3</v>
      </c>
      <c r="I6431" t="s">
        <v>3</v>
      </c>
      <c r="J6431" t="s">
        <v>9</v>
      </c>
      <c r="K6431" t="s">
        <v>9</v>
      </c>
      <c r="L6431" t="s">
        <v>21</v>
      </c>
      <c r="M6431" t="s">
        <v>114</v>
      </c>
      <c r="N6431" s="2">
        <v>46234</v>
      </c>
    </row>
    <row r="6432" spans="1:14" x14ac:dyDescent="0.25">
      <c r="A6432" t="s">
        <v>732</v>
      </c>
      <c r="B6432" s="2">
        <v>46234</v>
      </c>
      <c r="C6432" t="s">
        <v>732</v>
      </c>
      <c r="D6432" t="s">
        <v>112</v>
      </c>
      <c r="E6432" t="s">
        <v>9</v>
      </c>
      <c r="F6432" s="3">
        <v>6300</v>
      </c>
      <c r="G6432" s="3">
        <v>6300</v>
      </c>
      <c r="H6432" t="s">
        <v>3</v>
      </c>
      <c r="I6432" t="s">
        <v>3</v>
      </c>
      <c r="J6432" t="s">
        <v>373</v>
      </c>
      <c r="K6432" t="s">
        <v>13</v>
      </c>
      <c r="L6432" t="s">
        <v>21</v>
      </c>
      <c r="M6432" t="s">
        <v>114</v>
      </c>
      <c r="N6432" s="2">
        <v>46234</v>
      </c>
    </row>
    <row r="6433" spans="1:14" x14ac:dyDescent="0.25">
      <c r="A6433" s="4" t="s">
        <v>262</v>
      </c>
      <c r="B6433" s="5"/>
      <c r="C6433" s="4" t="s">
        <v>9</v>
      </c>
      <c r="D6433" s="4" t="s">
        <v>9</v>
      </c>
      <c r="E6433" s="4" t="s">
        <v>9</v>
      </c>
      <c r="F6433" s="6">
        <v>0</v>
      </c>
      <c r="G6433" s="6">
        <v>0</v>
      </c>
      <c r="H6433" s="4" t="s">
        <v>9</v>
      </c>
      <c r="I6433" s="4" t="s">
        <v>3</v>
      </c>
      <c r="J6433" s="4" t="s">
        <v>9</v>
      </c>
      <c r="K6433" s="4" t="s">
        <v>9</v>
      </c>
      <c r="L6433" s="4" t="s">
        <v>9</v>
      </c>
      <c r="M6433" s="4" t="s">
        <v>9</v>
      </c>
      <c r="N6433" s="5"/>
    </row>
    <row r="6434" spans="1:14" x14ac:dyDescent="0.25">
      <c r="A6434" t="s">
        <v>732</v>
      </c>
      <c r="B6434" s="2">
        <v>46234</v>
      </c>
      <c r="C6434" t="s">
        <v>732</v>
      </c>
      <c r="D6434" t="s">
        <v>112</v>
      </c>
      <c r="E6434" t="s">
        <v>9</v>
      </c>
      <c r="F6434" s="3">
        <v>-6300</v>
      </c>
      <c r="G6434" s="3">
        <v>-6300</v>
      </c>
      <c r="H6434" t="s">
        <v>3</v>
      </c>
      <c r="I6434" t="s">
        <v>3</v>
      </c>
      <c r="J6434" t="s">
        <v>373</v>
      </c>
      <c r="K6434" t="s">
        <v>13</v>
      </c>
      <c r="L6434" t="s">
        <v>22</v>
      </c>
      <c r="M6434" t="s">
        <v>114</v>
      </c>
      <c r="N6434" s="2">
        <v>46235</v>
      </c>
    </row>
    <row r="6435" spans="1:14" x14ac:dyDescent="0.25">
      <c r="A6435" t="s">
        <v>732</v>
      </c>
      <c r="B6435" s="2">
        <v>46265</v>
      </c>
      <c r="C6435" t="s">
        <v>732</v>
      </c>
      <c r="D6435" t="s">
        <v>112</v>
      </c>
      <c r="E6435" t="s">
        <v>9</v>
      </c>
      <c r="F6435" s="3">
        <v>6300</v>
      </c>
      <c r="G6435" s="3">
        <v>6300</v>
      </c>
      <c r="H6435" t="s">
        <v>3</v>
      </c>
      <c r="I6435" t="s">
        <v>3</v>
      </c>
      <c r="J6435" t="s">
        <v>430</v>
      </c>
      <c r="K6435" t="s">
        <v>13</v>
      </c>
      <c r="L6435" t="s">
        <v>22</v>
      </c>
      <c r="M6435" t="s">
        <v>114</v>
      </c>
      <c r="N6435" s="2">
        <v>46265</v>
      </c>
    </row>
    <row r="6436" spans="1:14" x14ac:dyDescent="0.25">
      <c r="A6436" s="4" t="s">
        <v>267</v>
      </c>
      <c r="B6436" s="5"/>
      <c r="C6436" s="4" t="s">
        <v>9</v>
      </c>
      <c r="D6436" s="4" t="s">
        <v>9</v>
      </c>
      <c r="E6436" s="4" t="s">
        <v>9</v>
      </c>
      <c r="F6436" s="6">
        <v>0</v>
      </c>
      <c r="G6436" s="6">
        <v>0</v>
      </c>
      <c r="H6436" s="4" t="s">
        <v>9</v>
      </c>
      <c r="I6436" s="4" t="s">
        <v>3</v>
      </c>
      <c r="J6436" s="4" t="s">
        <v>9</v>
      </c>
      <c r="K6436" s="4" t="s">
        <v>9</v>
      </c>
      <c r="L6436" s="4" t="s">
        <v>9</v>
      </c>
      <c r="M6436" s="4" t="s">
        <v>9</v>
      </c>
      <c r="N6436" s="5"/>
    </row>
    <row r="6437" spans="1:14" x14ac:dyDescent="0.25">
      <c r="A6437" s="4" t="s">
        <v>732</v>
      </c>
      <c r="B6437" s="5"/>
      <c r="C6437" s="4" t="s">
        <v>9</v>
      </c>
      <c r="D6437" s="4" t="s">
        <v>9</v>
      </c>
      <c r="E6437" s="4" t="s">
        <v>9</v>
      </c>
      <c r="F6437" s="6">
        <v>0</v>
      </c>
      <c r="G6437" s="6">
        <v>0</v>
      </c>
      <c r="H6437" s="4" t="s">
        <v>9</v>
      </c>
      <c r="I6437" s="4" t="s">
        <v>3</v>
      </c>
      <c r="J6437" s="4" t="s">
        <v>9</v>
      </c>
      <c r="K6437" s="4" t="s">
        <v>9</v>
      </c>
      <c r="L6437" s="4" t="s">
        <v>9</v>
      </c>
      <c r="M6437" s="4" t="s">
        <v>9</v>
      </c>
      <c r="N6437" s="5"/>
    </row>
    <row r="6438" spans="1:14" x14ac:dyDescent="0.25">
      <c r="A6438" t="s">
        <v>733</v>
      </c>
      <c r="B6438" s="2">
        <v>46267</v>
      </c>
      <c r="C6438" t="s">
        <v>733</v>
      </c>
      <c r="D6438" t="s">
        <v>112</v>
      </c>
      <c r="E6438" t="s">
        <v>9</v>
      </c>
      <c r="F6438" s="3">
        <v>-10850</v>
      </c>
      <c r="G6438" s="3">
        <v>-10850</v>
      </c>
      <c r="H6438" t="s">
        <v>3</v>
      </c>
      <c r="I6438" t="s">
        <v>3</v>
      </c>
      <c r="J6438" t="s">
        <v>9</v>
      </c>
      <c r="K6438" t="s">
        <v>9</v>
      </c>
      <c r="L6438" t="s">
        <v>22</v>
      </c>
      <c r="M6438" t="s">
        <v>114</v>
      </c>
      <c r="N6438" s="2">
        <v>46265</v>
      </c>
    </row>
    <row r="6439" spans="1:14" x14ac:dyDescent="0.25">
      <c r="A6439" t="s">
        <v>733</v>
      </c>
      <c r="B6439" s="2">
        <v>46265</v>
      </c>
      <c r="C6439" t="s">
        <v>733</v>
      </c>
      <c r="D6439" t="s">
        <v>112</v>
      </c>
      <c r="E6439" t="s">
        <v>9</v>
      </c>
      <c r="F6439" s="3">
        <v>10850</v>
      </c>
      <c r="G6439" s="3">
        <v>10850</v>
      </c>
      <c r="H6439" t="s">
        <v>3</v>
      </c>
      <c r="I6439" t="s">
        <v>3</v>
      </c>
      <c r="J6439" t="s">
        <v>430</v>
      </c>
      <c r="K6439" t="s">
        <v>13</v>
      </c>
      <c r="L6439" t="s">
        <v>22</v>
      </c>
      <c r="M6439" t="s">
        <v>114</v>
      </c>
      <c r="N6439" s="2">
        <v>46265</v>
      </c>
    </row>
    <row r="6440" spans="1:14" x14ac:dyDescent="0.25">
      <c r="A6440" s="4" t="s">
        <v>267</v>
      </c>
      <c r="B6440" s="5"/>
      <c r="C6440" s="4" t="s">
        <v>9</v>
      </c>
      <c r="D6440" s="4" t="s">
        <v>9</v>
      </c>
      <c r="E6440" s="4" t="s">
        <v>9</v>
      </c>
      <c r="F6440" s="6">
        <v>0</v>
      </c>
      <c r="G6440" s="6">
        <v>0</v>
      </c>
      <c r="H6440" s="4" t="s">
        <v>9</v>
      </c>
      <c r="I6440" s="4" t="s">
        <v>3</v>
      </c>
      <c r="J6440" s="4" t="s">
        <v>9</v>
      </c>
      <c r="K6440" s="4" t="s">
        <v>9</v>
      </c>
      <c r="L6440" s="4" t="s">
        <v>9</v>
      </c>
      <c r="M6440" s="4" t="s">
        <v>9</v>
      </c>
      <c r="N6440" s="5"/>
    </row>
    <row r="6441" spans="1:14" x14ac:dyDescent="0.25">
      <c r="A6441" s="4" t="s">
        <v>733</v>
      </c>
      <c r="B6441" s="5"/>
      <c r="C6441" s="4" t="s">
        <v>9</v>
      </c>
      <c r="D6441" s="4" t="s">
        <v>9</v>
      </c>
      <c r="E6441" s="4" t="s">
        <v>9</v>
      </c>
      <c r="F6441" s="6">
        <v>0</v>
      </c>
      <c r="G6441" s="6">
        <v>0</v>
      </c>
      <c r="H6441" s="4" t="s">
        <v>9</v>
      </c>
      <c r="I6441" s="4" t="s">
        <v>3</v>
      </c>
      <c r="J6441" s="4" t="s">
        <v>9</v>
      </c>
      <c r="K6441" s="4" t="s">
        <v>9</v>
      </c>
      <c r="L6441" s="4" t="s">
        <v>9</v>
      </c>
      <c r="M6441" s="4" t="s">
        <v>9</v>
      </c>
      <c r="N6441" s="5"/>
    </row>
    <row r="6442" spans="1:14" x14ac:dyDescent="0.25">
      <c r="A6442" t="s">
        <v>734</v>
      </c>
      <c r="B6442" s="2">
        <v>46267</v>
      </c>
      <c r="C6442" t="s">
        <v>734</v>
      </c>
      <c r="D6442" t="s">
        <v>112</v>
      </c>
      <c r="E6442" t="s">
        <v>9</v>
      </c>
      <c r="F6442" s="3">
        <v>-6850</v>
      </c>
      <c r="G6442" s="3">
        <v>-6850</v>
      </c>
      <c r="H6442" t="s">
        <v>3</v>
      </c>
      <c r="I6442" t="s">
        <v>3</v>
      </c>
      <c r="J6442" t="s">
        <v>9</v>
      </c>
      <c r="K6442" t="s">
        <v>9</v>
      </c>
      <c r="L6442" t="s">
        <v>22</v>
      </c>
      <c r="M6442" t="s">
        <v>114</v>
      </c>
      <c r="N6442" s="2">
        <v>46265</v>
      </c>
    </row>
    <row r="6443" spans="1:14" x14ac:dyDescent="0.25">
      <c r="A6443" t="s">
        <v>734</v>
      </c>
      <c r="B6443" s="2">
        <v>46265</v>
      </c>
      <c r="C6443" t="s">
        <v>734</v>
      </c>
      <c r="D6443" t="s">
        <v>112</v>
      </c>
      <c r="E6443" t="s">
        <v>9</v>
      </c>
      <c r="F6443" s="3">
        <v>6850</v>
      </c>
      <c r="G6443" s="3">
        <v>6850</v>
      </c>
      <c r="H6443" t="s">
        <v>3</v>
      </c>
      <c r="I6443" t="s">
        <v>3</v>
      </c>
      <c r="J6443" t="s">
        <v>430</v>
      </c>
      <c r="K6443" t="s">
        <v>13</v>
      </c>
      <c r="L6443" t="s">
        <v>22</v>
      </c>
      <c r="M6443" t="s">
        <v>114</v>
      </c>
      <c r="N6443" s="2">
        <v>46265</v>
      </c>
    </row>
    <row r="6444" spans="1:14" x14ac:dyDescent="0.25">
      <c r="A6444" s="4" t="s">
        <v>267</v>
      </c>
      <c r="B6444" s="5"/>
      <c r="C6444" s="4" t="s">
        <v>9</v>
      </c>
      <c r="D6444" s="4" t="s">
        <v>9</v>
      </c>
      <c r="E6444" s="4" t="s">
        <v>9</v>
      </c>
      <c r="F6444" s="6">
        <v>0</v>
      </c>
      <c r="G6444" s="6">
        <v>0</v>
      </c>
      <c r="H6444" s="4" t="s">
        <v>9</v>
      </c>
      <c r="I6444" s="4" t="s">
        <v>3</v>
      </c>
      <c r="J6444" s="4" t="s">
        <v>9</v>
      </c>
      <c r="K6444" s="4" t="s">
        <v>9</v>
      </c>
      <c r="L6444" s="4" t="s">
        <v>9</v>
      </c>
      <c r="M6444" s="4" t="s">
        <v>9</v>
      </c>
      <c r="N6444" s="5"/>
    </row>
    <row r="6445" spans="1:14" x14ac:dyDescent="0.25">
      <c r="A6445" s="4" t="s">
        <v>734</v>
      </c>
      <c r="B6445" s="5"/>
      <c r="C6445" s="4" t="s">
        <v>9</v>
      </c>
      <c r="D6445" s="4" t="s">
        <v>9</v>
      </c>
      <c r="E6445" s="4" t="s">
        <v>9</v>
      </c>
      <c r="F6445" s="6">
        <v>0</v>
      </c>
      <c r="G6445" s="6">
        <v>0</v>
      </c>
      <c r="H6445" s="4" t="s">
        <v>9</v>
      </c>
      <c r="I6445" s="4" t="s">
        <v>3</v>
      </c>
      <c r="J6445" s="4" t="s">
        <v>9</v>
      </c>
      <c r="K6445" s="4" t="s">
        <v>9</v>
      </c>
      <c r="L6445" s="4" t="s">
        <v>9</v>
      </c>
      <c r="M6445" s="4" t="s">
        <v>9</v>
      </c>
      <c r="N6445" s="5"/>
    </row>
    <row r="6446" spans="1:14" x14ac:dyDescent="0.25">
      <c r="A6446" t="s">
        <v>735</v>
      </c>
      <c r="B6446" s="2">
        <v>46267</v>
      </c>
      <c r="C6446" t="s">
        <v>735</v>
      </c>
      <c r="D6446" t="s">
        <v>112</v>
      </c>
      <c r="E6446" t="s">
        <v>9</v>
      </c>
      <c r="F6446" s="3">
        <v>-6000</v>
      </c>
      <c r="G6446" s="3">
        <v>-6000</v>
      </c>
      <c r="H6446" t="s">
        <v>3</v>
      </c>
      <c r="I6446" t="s">
        <v>3</v>
      </c>
      <c r="J6446" t="s">
        <v>9</v>
      </c>
      <c r="K6446" t="s">
        <v>9</v>
      </c>
      <c r="L6446" t="s">
        <v>22</v>
      </c>
      <c r="M6446" t="s">
        <v>114</v>
      </c>
      <c r="N6446" s="2">
        <v>46265</v>
      </c>
    </row>
    <row r="6447" spans="1:14" x14ac:dyDescent="0.25">
      <c r="A6447" t="s">
        <v>735</v>
      </c>
      <c r="B6447" s="2">
        <v>46265</v>
      </c>
      <c r="C6447" t="s">
        <v>735</v>
      </c>
      <c r="D6447" t="s">
        <v>112</v>
      </c>
      <c r="E6447" t="s">
        <v>9</v>
      </c>
      <c r="F6447" s="3">
        <v>6000</v>
      </c>
      <c r="G6447" s="3">
        <v>6000</v>
      </c>
      <c r="H6447" t="s">
        <v>3</v>
      </c>
      <c r="I6447" t="s">
        <v>3</v>
      </c>
      <c r="J6447" t="s">
        <v>430</v>
      </c>
      <c r="K6447" t="s">
        <v>13</v>
      </c>
      <c r="L6447" t="s">
        <v>22</v>
      </c>
      <c r="M6447" t="s">
        <v>114</v>
      </c>
      <c r="N6447" s="2">
        <v>46265</v>
      </c>
    </row>
    <row r="6448" spans="1:14" x14ac:dyDescent="0.25">
      <c r="A6448" s="4" t="s">
        <v>267</v>
      </c>
      <c r="B6448" s="5"/>
      <c r="C6448" s="4" t="s">
        <v>9</v>
      </c>
      <c r="D6448" s="4" t="s">
        <v>9</v>
      </c>
      <c r="E6448" s="4" t="s">
        <v>9</v>
      </c>
      <c r="F6448" s="6">
        <v>0</v>
      </c>
      <c r="G6448" s="6">
        <v>0</v>
      </c>
      <c r="H6448" s="4" t="s">
        <v>9</v>
      </c>
      <c r="I6448" s="4" t="s">
        <v>3</v>
      </c>
      <c r="J6448" s="4" t="s">
        <v>9</v>
      </c>
      <c r="K6448" s="4" t="s">
        <v>9</v>
      </c>
      <c r="L6448" s="4" t="s">
        <v>9</v>
      </c>
      <c r="M6448" s="4" t="s">
        <v>9</v>
      </c>
      <c r="N6448" s="5"/>
    </row>
    <row r="6449" spans="1:14" x14ac:dyDescent="0.25">
      <c r="A6449" s="4" t="s">
        <v>735</v>
      </c>
      <c r="B6449" s="5"/>
      <c r="C6449" s="4" t="s">
        <v>9</v>
      </c>
      <c r="D6449" s="4" t="s">
        <v>9</v>
      </c>
      <c r="E6449" s="4" t="s">
        <v>9</v>
      </c>
      <c r="F6449" s="6">
        <v>0</v>
      </c>
      <c r="G6449" s="6">
        <v>0</v>
      </c>
      <c r="H6449" s="4" t="s">
        <v>9</v>
      </c>
      <c r="I6449" s="4" t="s">
        <v>3</v>
      </c>
      <c r="J6449" s="4" t="s">
        <v>9</v>
      </c>
      <c r="K6449" s="4" t="s">
        <v>9</v>
      </c>
      <c r="L6449" s="4" t="s">
        <v>9</v>
      </c>
      <c r="M6449" s="4" t="s">
        <v>9</v>
      </c>
      <c r="N6449" s="5"/>
    </row>
    <row r="6450" spans="1:14" x14ac:dyDescent="0.25">
      <c r="A6450" t="s">
        <v>736</v>
      </c>
      <c r="B6450" s="2">
        <v>46205</v>
      </c>
      <c r="C6450" t="s">
        <v>736</v>
      </c>
      <c r="D6450" t="s">
        <v>112</v>
      </c>
      <c r="E6450" t="s">
        <v>9</v>
      </c>
      <c r="F6450" s="3">
        <v>-17331.46</v>
      </c>
      <c r="G6450" s="3">
        <v>-17331.46</v>
      </c>
      <c r="H6450" t="s">
        <v>3</v>
      </c>
      <c r="I6450" t="s">
        <v>3</v>
      </c>
      <c r="J6450" t="s">
        <v>9</v>
      </c>
      <c r="K6450" t="s">
        <v>9</v>
      </c>
      <c r="L6450" t="s">
        <v>19</v>
      </c>
      <c r="M6450" t="s">
        <v>114</v>
      </c>
      <c r="N6450" s="2">
        <v>46203</v>
      </c>
    </row>
    <row r="6451" spans="1:14" x14ac:dyDescent="0.25">
      <c r="A6451" t="s">
        <v>736</v>
      </c>
      <c r="B6451" s="2">
        <v>46205</v>
      </c>
      <c r="C6451" t="s">
        <v>736</v>
      </c>
      <c r="D6451" t="s">
        <v>301</v>
      </c>
      <c r="E6451" t="s">
        <v>9</v>
      </c>
      <c r="F6451" s="3">
        <v>17331</v>
      </c>
      <c r="G6451" s="3">
        <v>17331</v>
      </c>
      <c r="H6451" t="s">
        <v>3</v>
      </c>
      <c r="I6451" t="s">
        <v>3</v>
      </c>
      <c r="J6451" t="s">
        <v>9</v>
      </c>
      <c r="K6451" t="s">
        <v>9</v>
      </c>
      <c r="L6451" t="s">
        <v>19</v>
      </c>
      <c r="M6451" t="s">
        <v>302</v>
      </c>
      <c r="N6451" s="2">
        <v>46203</v>
      </c>
    </row>
    <row r="6452" spans="1:14" x14ac:dyDescent="0.25">
      <c r="A6452" t="s">
        <v>736</v>
      </c>
      <c r="B6452" s="2">
        <v>46203</v>
      </c>
      <c r="C6452" t="s">
        <v>736</v>
      </c>
      <c r="D6452" t="s">
        <v>112</v>
      </c>
      <c r="E6452" t="s">
        <v>9</v>
      </c>
      <c r="F6452" s="3">
        <v>17331.46</v>
      </c>
      <c r="G6452" s="3">
        <v>17331.46</v>
      </c>
      <c r="H6452" t="s">
        <v>3</v>
      </c>
      <c r="I6452" t="s">
        <v>3</v>
      </c>
      <c r="J6452" t="s">
        <v>372</v>
      </c>
      <c r="K6452" t="s">
        <v>13</v>
      </c>
      <c r="L6452" t="s">
        <v>19</v>
      </c>
      <c r="M6452" t="s">
        <v>114</v>
      </c>
      <c r="N6452" s="2">
        <v>46203</v>
      </c>
    </row>
    <row r="6453" spans="1:14" x14ac:dyDescent="0.25">
      <c r="A6453" t="s">
        <v>736</v>
      </c>
      <c r="B6453" s="2">
        <v>46203</v>
      </c>
      <c r="C6453" t="s">
        <v>736</v>
      </c>
      <c r="D6453" t="s">
        <v>301</v>
      </c>
      <c r="E6453" t="s">
        <v>9</v>
      </c>
      <c r="F6453" s="3">
        <v>-17331</v>
      </c>
      <c r="G6453" s="3">
        <v>-17331</v>
      </c>
      <c r="H6453" t="s">
        <v>3</v>
      </c>
      <c r="I6453" t="s">
        <v>3</v>
      </c>
      <c r="J6453" t="s">
        <v>10</v>
      </c>
      <c r="K6453" t="s">
        <v>13</v>
      </c>
      <c r="L6453" t="s">
        <v>19</v>
      </c>
      <c r="M6453" t="s">
        <v>302</v>
      </c>
      <c r="N6453" s="2">
        <v>46203</v>
      </c>
    </row>
    <row r="6454" spans="1:14" x14ac:dyDescent="0.25">
      <c r="A6454" s="4" t="s">
        <v>224</v>
      </c>
      <c r="B6454" s="5"/>
      <c r="C6454" s="4" t="s">
        <v>9</v>
      </c>
      <c r="D6454" s="4" t="s">
        <v>9</v>
      </c>
      <c r="E6454" s="4" t="s">
        <v>9</v>
      </c>
      <c r="F6454" s="6">
        <v>0</v>
      </c>
      <c r="G6454" s="6">
        <v>0</v>
      </c>
      <c r="H6454" s="4" t="s">
        <v>9</v>
      </c>
      <c r="I6454" s="4" t="s">
        <v>3</v>
      </c>
      <c r="J6454" s="4" t="s">
        <v>9</v>
      </c>
      <c r="K6454" s="4" t="s">
        <v>9</v>
      </c>
      <c r="L6454" s="4" t="s">
        <v>9</v>
      </c>
      <c r="M6454" s="4" t="s">
        <v>9</v>
      </c>
      <c r="N6454" s="5"/>
    </row>
    <row r="6455" spans="1:14" x14ac:dyDescent="0.25">
      <c r="A6455" t="s">
        <v>736</v>
      </c>
      <c r="B6455" s="2">
        <v>46239</v>
      </c>
      <c r="C6455" t="s">
        <v>736</v>
      </c>
      <c r="D6455" t="s">
        <v>112</v>
      </c>
      <c r="E6455" t="s">
        <v>9</v>
      </c>
      <c r="F6455" s="3">
        <v>-13218.54</v>
      </c>
      <c r="G6455" s="3">
        <v>-13218.54</v>
      </c>
      <c r="H6455" t="s">
        <v>3</v>
      </c>
      <c r="I6455" t="s">
        <v>3</v>
      </c>
      <c r="J6455" t="s">
        <v>9</v>
      </c>
      <c r="K6455" t="s">
        <v>9</v>
      </c>
      <c r="L6455" t="s">
        <v>21</v>
      </c>
      <c r="M6455" t="s">
        <v>114</v>
      </c>
      <c r="N6455" s="2">
        <v>46234</v>
      </c>
    </row>
    <row r="6456" spans="1:14" x14ac:dyDescent="0.25">
      <c r="A6456" t="s">
        <v>736</v>
      </c>
      <c r="B6456" s="2">
        <v>46239</v>
      </c>
      <c r="C6456" t="s">
        <v>736</v>
      </c>
      <c r="D6456" t="s">
        <v>301</v>
      </c>
      <c r="E6456" t="s">
        <v>9</v>
      </c>
      <c r="F6456" s="3">
        <v>13219</v>
      </c>
      <c r="G6456" s="3">
        <v>13219</v>
      </c>
      <c r="H6456" t="s">
        <v>3</v>
      </c>
      <c r="I6456" t="s">
        <v>3</v>
      </c>
      <c r="J6456" t="s">
        <v>9</v>
      </c>
      <c r="K6456" t="s">
        <v>9</v>
      </c>
      <c r="L6456" t="s">
        <v>21</v>
      </c>
      <c r="M6456" t="s">
        <v>302</v>
      </c>
      <c r="N6456" s="2">
        <v>46234</v>
      </c>
    </row>
    <row r="6457" spans="1:14" x14ac:dyDescent="0.25">
      <c r="A6457" t="s">
        <v>736</v>
      </c>
      <c r="B6457" s="2">
        <v>46203</v>
      </c>
      <c r="C6457" t="s">
        <v>736</v>
      </c>
      <c r="D6457" t="s">
        <v>112</v>
      </c>
      <c r="E6457" t="s">
        <v>9</v>
      </c>
      <c r="F6457" s="3">
        <v>-17331.46</v>
      </c>
      <c r="G6457" s="3">
        <v>-17331.46</v>
      </c>
      <c r="H6457" t="s">
        <v>3</v>
      </c>
      <c r="I6457" t="s">
        <v>3</v>
      </c>
      <c r="J6457" t="s">
        <v>372</v>
      </c>
      <c r="K6457" t="s">
        <v>13</v>
      </c>
      <c r="L6457" t="s">
        <v>21</v>
      </c>
      <c r="M6457" t="s">
        <v>114</v>
      </c>
      <c r="N6457" s="2">
        <v>46204</v>
      </c>
    </row>
    <row r="6458" spans="1:14" x14ac:dyDescent="0.25">
      <c r="A6458" t="s">
        <v>736</v>
      </c>
      <c r="B6458" s="2">
        <v>46234</v>
      </c>
      <c r="C6458" t="s">
        <v>736</v>
      </c>
      <c r="D6458" t="s">
        <v>301</v>
      </c>
      <c r="E6458" t="s">
        <v>9</v>
      </c>
      <c r="F6458" s="3">
        <v>-13219</v>
      </c>
      <c r="G6458" s="3">
        <v>-13219</v>
      </c>
      <c r="H6458" t="s">
        <v>3</v>
      </c>
      <c r="I6458" t="s">
        <v>3</v>
      </c>
      <c r="J6458" t="s">
        <v>10</v>
      </c>
      <c r="K6458" t="s">
        <v>13</v>
      </c>
      <c r="L6458" t="s">
        <v>21</v>
      </c>
      <c r="M6458" t="s">
        <v>302</v>
      </c>
      <c r="N6458" s="2">
        <v>46234</v>
      </c>
    </row>
    <row r="6459" spans="1:14" x14ac:dyDescent="0.25">
      <c r="A6459" t="s">
        <v>736</v>
      </c>
      <c r="B6459" s="2">
        <v>46234</v>
      </c>
      <c r="C6459" t="s">
        <v>736</v>
      </c>
      <c r="D6459" t="s">
        <v>112</v>
      </c>
      <c r="E6459" t="s">
        <v>9</v>
      </c>
      <c r="F6459" s="3">
        <v>30550</v>
      </c>
      <c r="G6459" s="3">
        <v>30550</v>
      </c>
      <c r="H6459" t="s">
        <v>3</v>
      </c>
      <c r="I6459" t="s">
        <v>3</v>
      </c>
      <c r="J6459" t="s">
        <v>373</v>
      </c>
      <c r="K6459" t="s">
        <v>13</v>
      </c>
      <c r="L6459" t="s">
        <v>21</v>
      </c>
      <c r="M6459" t="s">
        <v>114</v>
      </c>
      <c r="N6459" s="2">
        <v>46234</v>
      </c>
    </row>
    <row r="6460" spans="1:14" x14ac:dyDescent="0.25">
      <c r="A6460" s="4" t="s">
        <v>262</v>
      </c>
      <c r="B6460" s="5"/>
      <c r="C6460" s="4" t="s">
        <v>9</v>
      </c>
      <c r="D6460" s="4" t="s">
        <v>9</v>
      </c>
      <c r="E6460" s="4" t="s">
        <v>9</v>
      </c>
      <c r="F6460" s="6">
        <v>0</v>
      </c>
      <c r="G6460" s="6">
        <v>0</v>
      </c>
      <c r="H6460" s="4" t="s">
        <v>9</v>
      </c>
      <c r="I6460" s="4" t="s">
        <v>3</v>
      </c>
      <c r="J6460" s="4" t="s">
        <v>9</v>
      </c>
      <c r="K6460" s="4" t="s">
        <v>9</v>
      </c>
      <c r="L6460" s="4" t="s">
        <v>9</v>
      </c>
      <c r="M6460" s="4" t="s">
        <v>9</v>
      </c>
      <c r="N6460" s="5"/>
    </row>
    <row r="6461" spans="1:14" x14ac:dyDescent="0.25">
      <c r="A6461" t="s">
        <v>736</v>
      </c>
      <c r="B6461" s="2">
        <v>46267</v>
      </c>
      <c r="C6461" t="s">
        <v>736</v>
      </c>
      <c r="D6461" t="s">
        <v>112</v>
      </c>
      <c r="E6461" t="s">
        <v>9</v>
      </c>
      <c r="F6461" s="3">
        <v>-5850</v>
      </c>
      <c r="G6461" s="3">
        <v>-5850</v>
      </c>
      <c r="H6461" t="s">
        <v>3</v>
      </c>
      <c r="I6461" t="s">
        <v>3</v>
      </c>
      <c r="J6461" t="s">
        <v>9</v>
      </c>
      <c r="K6461" t="s">
        <v>9</v>
      </c>
      <c r="L6461" t="s">
        <v>22</v>
      </c>
      <c r="M6461" t="s">
        <v>114</v>
      </c>
      <c r="N6461" s="2">
        <v>46265</v>
      </c>
    </row>
    <row r="6462" spans="1:14" x14ac:dyDescent="0.25">
      <c r="A6462" t="s">
        <v>736</v>
      </c>
      <c r="B6462" s="2">
        <v>46267</v>
      </c>
      <c r="C6462" t="s">
        <v>736</v>
      </c>
      <c r="D6462" t="s">
        <v>301</v>
      </c>
      <c r="E6462" t="s">
        <v>9</v>
      </c>
      <c r="F6462" s="3">
        <v>5850</v>
      </c>
      <c r="G6462" s="3">
        <v>5850</v>
      </c>
      <c r="H6462" t="s">
        <v>3</v>
      </c>
      <c r="I6462" t="s">
        <v>3</v>
      </c>
      <c r="J6462" t="s">
        <v>9</v>
      </c>
      <c r="K6462" t="s">
        <v>9</v>
      </c>
      <c r="L6462" t="s">
        <v>22</v>
      </c>
      <c r="M6462" t="s">
        <v>302</v>
      </c>
      <c r="N6462" s="2">
        <v>46265</v>
      </c>
    </row>
    <row r="6463" spans="1:14" x14ac:dyDescent="0.25">
      <c r="A6463" t="s">
        <v>736</v>
      </c>
      <c r="B6463" s="2">
        <v>46234</v>
      </c>
      <c r="C6463" t="s">
        <v>736</v>
      </c>
      <c r="D6463" t="s">
        <v>112</v>
      </c>
      <c r="E6463" t="s">
        <v>9</v>
      </c>
      <c r="F6463" s="3">
        <v>-30550</v>
      </c>
      <c r="G6463" s="3">
        <v>-30550</v>
      </c>
      <c r="H6463" t="s">
        <v>3</v>
      </c>
      <c r="I6463" t="s">
        <v>3</v>
      </c>
      <c r="J6463" t="s">
        <v>373</v>
      </c>
      <c r="K6463" t="s">
        <v>13</v>
      </c>
      <c r="L6463" t="s">
        <v>22</v>
      </c>
      <c r="M6463" t="s">
        <v>114</v>
      </c>
      <c r="N6463" s="2">
        <v>46235</v>
      </c>
    </row>
    <row r="6464" spans="1:14" x14ac:dyDescent="0.25">
      <c r="A6464" t="s">
        <v>736</v>
      </c>
      <c r="B6464" s="2">
        <v>46265</v>
      </c>
      <c r="C6464" t="s">
        <v>736</v>
      </c>
      <c r="D6464" t="s">
        <v>112</v>
      </c>
      <c r="E6464" t="s">
        <v>9</v>
      </c>
      <c r="F6464" s="3">
        <v>36400</v>
      </c>
      <c r="G6464" s="3">
        <v>36400</v>
      </c>
      <c r="H6464" t="s">
        <v>3</v>
      </c>
      <c r="I6464" t="s">
        <v>3</v>
      </c>
      <c r="J6464" t="s">
        <v>430</v>
      </c>
      <c r="K6464" t="s">
        <v>13</v>
      </c>
      <c r="L6464" t="s">
        <v>22</v>
      </c>
      <c r="M6464" t="s">
        <v>114</v>
      </c>
      <c r="N6464" s="2">
        <v>46265</v>
      </c>
    </row>
    <row r="6465" spans="1:14" x14ac:dyDescent="0.25">
      <c r="A6465" t="s">
        <v>736</v>
      </c>
      <c r="B6465" s="2">
        <v>46265</v>
      </c>
      <c r="C6465" t="s">
        <v>736</v>
      </c>
      <c r="D6465" t="s">
        <v>301</v>
      </c>
      <c r="E6465" t="s">
        <v>9</v>
      </c>
      <c r="F6465" s="3">
        <v>-5850</v>
      </c>
      <c r="G6465" s="3">
        <v>-5850</v>
      </c>
      <c r="H6465" t="s">
        <v>3</v>
      </c>
      <c r="I6465" t="s">
        <v>3</v>
      </c>
      <c r="J6465" t="s">
        <v>10</v>
      </c>
      <c r="K6465" t="s">
        <v>13</v>
      </c>
      <c r="L6465" t="s">
        <v>22</v>
      </c>
      <c r="M6465" t="s">
        <v>302</v>
      </c>
      <c r="N6465" s="2">
        <v>46265</v>
      </c>
    </row>
    <row r="6466" spans="1:14" x14ac:dyDescent="0.25">
      <c r="A6466" s="4" t="s">
        <v>267</v>
      </c>
      <c r="B6466" s="5"/>
      <c r="C6466" s="4" t="s">
        <v>9</v>
      </c>
      <c r="D6466" s="4" t="s">
        <v>9</v>
      </c>
      <c r="E6466" s="4" t="s">
        <v>9</v>
      </c>
      <c r="F6466" s="6">
        <v>0</v>
      </c>
      <c r="G6466" s="6">
        <v>0</v>
      </c>
      <c r="H6466" s="4" t="s">
        <v>9</v>
      </c>
      <c r="I6466" s="4" t="s">
        <v>3</v>
      </c>
      <c r="J6466" s="4" t="s">
        <v>9</v>
      </c>
      <c r="K6466" s="4" t="s">
        <v>9</v>
      </c>
      <c r="L6466" s="4" t="s">
        <v>9</v>
      </c>
      <c r="M6466" s="4" t="s">
        <v>9</v>
      </c>
      <c r="N6466" s="5"/>
    </row>
    <row r="6467" spans="1:14" x14ac:dyDescent="0.25">
      <c r="A6467" s="4" t="s">
        <v>736</v>
      </c>
      <c r="B6467" s="5"/>
      <c r="C6467" s="4" t="s">
        <v>9</v>
      </c>
      <c r="D6467" s="4" t="s">
        <v>9</v>
      </c>
      <c r="E6467" s="4" t="s">
        <v>9</v>
      </c>
      <c r="F6467" s="6">
        <v>0</v>
      </c>
      <c r="G6467" s="6">
        <v>0</v>
      </c>
      <c r="H6467" s="4" t="s">
        <v>9</v>
      </c>
      <c r="I6467" s="4" t="s">
        <v>3</v>
      </c>
      <c r="J6467" s="4" t="s">
        <v>9</v>
      </c>
      <c r="K6467" s="4" t="s">
        <v>9</v>
      </c>
      <c r="L6467" s="4" t="s">
        <v>9</v>
      </c>
      <c r="M6467" s="4" t="s">
        <v>9</v>
      </c>
      <c r="N6467" s="5"/>
    </row>
    <row r="6468" spans="1:14" x14ac:dyDescent="0.25">
      <c r="A6468" t="s">
        <v>737</v>
      </c>
      <c r="B6468" s="2">
        <v>46147</v>
      </c>
      <c r="C6468" t="s">
        <v>737</v>
      </c>
      <c r="D6468" t="s">
        <v>112</v>
      </c>
      <c r="E6468" t="s">
        <v>9</v>
      </c>
      <c r="F6468" s="3">
        <v>-700</v>
      </c>
      <c r="G6468" s="3">
        <v>-700</v>
      </c>
      <c r="H6468" t="s">
        <v>3</v>
      </c>
      <c r="I6468" t="s">
        <v>3</v>
      </c>
      <c r="J6468" t="s">
        <v>9</v>
      </c>
      <c r="K6468" t="s">
        <v>9</v>
      </c>
      <c r="L6468" t="s">
        <v>17</v>
      </c>
      <c r="M6468" t="s">
        <v>114</v>
      </c>
      <c r="N6468" s="2">
        <v>46142</v>
      </c>
    </row>
    <row r="6469" spans="1:14" x14ac:dyDescent="0.25">
      <c r="A6469" t="s">
        <v>737</v>
      </c>
      <c r="B6469" s="2">
        <v>46142</v>
      </c>
      <c r="C6469" t="s">
        <v>737</v>
      </c>
      <c r="D6469" t="s">
        <v>112</v>
      </c>
      <c r="E6469" t="s">
        <v>9</v>
      </c>
      <c r="F6469" s="3">
        <v>700</v>
      </c>
      <c r="G6469" s="3">
        <v>700</v>
      </c>
      <c r="H6469" t="s">
        <v>3</v>
      </c>
      <c r="I6469" t="s">
        <v>3</v>
      </c>
      <c r="J6469" t="s">
        <v>370</v>
      </c>
      <c r="K6469" t="s">
        <v>13</v>
      </c>
      <c r="L6469" t="s">
        <v>17</v>
      </c>
      <c r="M6469" t="s">
        <v>114</v>
      </c>
      <c r="N6469" s="2">
        <v>46142</v>
      </c>
    </row>
    <row r="6470" spans="1:14" x14ac:dyDescent="0.25">
      <c r="A6470" s="4" t="s">
        <v>249</v>
      </c>
      <c r="B6470" s="5"/>
      <c r="C6470" s="4" t="s">
        <v>9</v>
      </c>
      <c r="D6470" s="4" t="s">
        <v>9</v>
      </c>
      <c r="E6470" s="4" t="s">
        <v>9</v>
      </c>
      <c r="F6470" s="6">
        <v>0</v>
      </c>
      <c r="G6470" s="6">
        <v>0</v>
      </c>
      <c r="H6470" s="4" t="s">
        <v>9</v>
      </c>
      <c r="I6470" s="4" t="s">
        <v>3</v>
      </c>
      <c r="J6470" s="4" t="s">
        <v>9</v>
      </c>
      <c r="K6470" s="4" t="s">
        <v>9</v>
      </c>
      <c r="L6470" s="4" t="s">
        <v>9</v>
      </c>
      <c r="M6470" s="4" t="s">
        <v>9</v>
      </c>
      <c r="N6470" s="5"/>
    </row>
    <row r="6471" spans="1:14" x14ac:dyDescent="0.25">
      <c r="A6471" t="s">
        <v>737</v>
      </c>
      <c r="B6471" s="2">
        <v>46142</v>
      </c>
      <c r="C6471" t="s">
        <v>737</v>
      </c>
      <c r="D6471" t="s">
        <v>112</v>
      </c>
      <c r="E6471" t="s">
        <v>9</v>
      </c>
      <c r="F6471" s="3">
        <v>-700</v>
      </c>
      <c r="G6471" s="3">
        <v>-700</v>
      </c>
      <c r="H6471" t="s">
        <v>3</v>
      </c>
      <c r="I6471" t="s">
        <v>3</v>
      </c>
      <c r="J6471" t="s">
        <v>370</v>
      </c>
      <c r="K6471" t="s">
        <v>13</v>
      </c>
      <c r="L6471" t="s">
        <v>18</v>
      </c>
      <c r="M6471" t="s">
        <v>114</v>
      </c>
      <c r="N6471" s="2">
        <v>46143</v>
      </c>
    </row>
    <row r="6472" spans="1:14" x14ac:dyDescent="0.25">
      <c r="A6472" t="s">
        <v>737</v>
      </c>
      <c r="B6472" s="2">
        <v>46173</v>
      </c>
      <c r="C6472" t="s">
        <v>737</v>
      </c>
      <c r="D6472" t="s">
        <v>112</v>
      </c>
      <c r="E6472" t="s">
        <v>9</v>
      </c>
      <c r="F6472" s="3">
        <v>700</v>
      </c>
      <c r="G6472" s="3">
        <v>700</v>
      </c>
      <c r="H6472" t="s">
        <v>3</v>
      </c>
      <c r="I6472" t="s">
        <v>3</v>
      </c>
      <c r="J6472" t="s">
        <v>371</v>
      </c>
      <c r="K6472" t="s">
        <v>13</v>
      </c>
      <c r="L6472" t="s">
        <v>18</v>
      </c>
      <c r="M6472" t="s">
        <v>114</v>
      </c>
      <c r="N6472" s="2">
        <v>46173</v>
      </c>
    </row>
    <row r="6473" spans="1:14" x14ac:dyDescent="0.25">
      <c r="A6473" s="4" t="s">
        <v>223</v>
      </c>
      <c r="B6473" s="5"/>
      <c r="C6473" s="4" t="s">
        <v>9</v>
      </c>
      <c r="D6473" s="4" t="s">
        <v>9</v>
      </c>
      <c r="E6473" s="4" t="s">
        <v>9</v>
      </c>
      <c r="F6473" s="6">
        <v>0</v>
      </c>
      <c r="G6473" s="6">
        <v>0</v>
      </c>
      <c r="H6473" s="4" t="s">
        <v>9</v>
      </c>
      <c r="I6473" s="4" t="s">
        <v>3</v>
      </c>
      <c r="J6473" s="4" t="s">
        <v>9</v>
      </c>
      <c r="K6473" s="4" t="s">
        <v>9</v>
      </c>
      <c r="L6473" s="4" t="s">
        <v>9</v>
      </c>
      <c r="M6473" s="4" t="s">
        <v>9</v>
      </c>
      <c r="N6473" s="5"/>
    </row>
    <row r="6474" spans="1:14" x14ac:dyDescent="0.25">
      <c r="A6474" t="s">
        <v>737</v>
      </c>
      <c r="B6474" s="2">
        <v>46173</v>
      </c>
      <c r="C6474" t="s">
        <v>737</v>
      </c>
      <c r="D6474" t="s">
        <v>112</v>
      </c>
      <c r="E6474" t="s">
        <v>9</v>
      </c>
      <c r="F6474" s="3">
        <v>-700</v>
      </c>
      <c r="G6474" s="3">
        <v>-700</v>
      </c>
      <c r="H6474" t="s">
        <v>3</v>
      </c>
      <c r="I6474" t="s">
        <v>3</v>
      </c>
      <c r="J6474" t="s">
        <v>371</v>
      </c>
      <c r="K6474" t="s">
        <v>13</v>
      </c>
      <c r="L6474" t="s">
        <v>19</v>
      </c>
      <c r="M6474" t="s">
        <v>114</v>
      </c>
      <c r="N6474" s="2">
        <v>46174</v>
      </c>
    </row>
    <row r="6475" spans="1:14" x14ac:dyDescent="0.25">
      <c r="A6475" t="s">
        <v>737</v>
      </c>
      <c r="B6475" s="2">
        <v>46203</v>
      </c>
      <c r="C6475" t="s">
        <v>737</v>
      </c>
      <c r="D6475" t="s">
        <v>112</v>
      </c>
      <c r="E6475" t="s">
        <v>9</v>
      </c>
      <c r="F6475" s="3">
        <v>700</v>
      </c>
      <c r="G6475" s="3">
        <v>700</v>
      </c>
      <c r="H6475" t="s">
        <v>3</v>
      </c>
      <c r="I6475" t="s">
        <v>3</v>
      </c>
      <c r="J6475" t="s">
        <v>372</v>
      </c>
      <c r="K6475" t="s">
        <v>13</v>
      </c>
      <c r="L6475" t="s">
        <v>19</v>
      </c>
      <c r="M6475" t="s">
        <v>114</v>
      </c>
      <c r="N6475" s="2">
        <v>46203</v>
      </c>
    </row>
    <row r="6476" spans="1:14" x14ac:dyDescent="0.25">
      <c r="A6476" s="4" t="s">
        <v>224</v>
      </c>
      <c r="B6476" s="5"/>
      <c r="C6476" s="4" t="s">
        <v>9</v>
      </c>
      <c r="D6476" s="4" t="s">
        <v>9</v>
      </c>
      <c r="E6476" s="4" t="s">
        <v>9</v>
      </c>
      <c r="F6476" s="6">
        <v>0</v>
      </c>
      <c r="G6476" s="6">
        <v>0</v>
      </c>
      <c r="H6476" s="4" t="s">
        <v>9</v>
      </c>
      <c r="I6476" s="4" t="s">
        <v>3</v>
      </c>
      <c r="J6476" s="4" t="s">
        <v>9</v>
      </c>
      <c r="K6476" s="4" t="s">
        <v>9</v>
      </c>
      <c r="L6476" s="4" t="s">
        <v>9</v>
      </c>
      <c r="M6476" s="4" t="s">
        <v>9</v>
      </c>
      <c r="N6476" s="5"/>
    </row>
    <row r="6477" spans="1:14" x14ac:dyDescent="0.25">
      <c r="A6477" t="s">
        <v>737</v>
      </c>
      <c r="B6477" s="2">
        <v>46203</v>
      </c>
      <c r="C6477" t="s">
        <v>737</v>
      </c>
      <c r="D6477" t="s">
        <v>112</v>
      </c>
      <c r="E6477" t="s">
        <v>9</v>
      </c>
      <c r="F6477" s="3">
        <v>-700</v>
      </c>
      <c r="G6477" s="3">
        <v>-700</v>
      </c>
      <c r="H6477" t="s">
        <v>3</v>
      </c>
      <c r="I6477" t="s">
        <v>3</v>
      </c>
      <c r="J6477" t="s">
        <v>372</v>
      </c>
      <c r="K6477" t="s">
        <v>13</v>
      </c>
      <c r="L6477" t="s">
        <v>21</v>
      </c>
      <c r="M6477" t="s">
        <v>114</v>
      </c>
      <c r="N6477" s="2">
        <v>46204</v>
      </c>
    </row>
    <row r="6478" spans="1:14" x14ac:dyDescent="0.25">
      <c r="A6478" t="s">
        <v>737</v>
      </c>
      <c r="B6478" s="2">
        <v>46234</v>
      </c>
      <c r="C6478" t="s">
        <v>737</v>
      </c>
      <c r="D6478" t="s">
        <v>112</v>
      </c>
      <c r="E6478" t="s">
        <v>9</v>
      </c>
      <c r="F6478" s="3">
        <v>700</v>
      </c>
      <c r="G6478" s="3">
        <v>700</v>
      </c>
      <c r="H6478" t="s">
        <v>3</v>
      </c>
      <c r="I6478" t="s">
        <v>3</v>
      </c>
      <c r="J6478" t="s">
        <v>373</v>
      </c>
      <c r="K6478" t="s">
        <v>13</v>
      </c>
      <c r="L6478" t="s">
        <v>21</v>
      </c>
      <c r="M6478" t="s">
        <v>114</v>
      </c>
      <c r="N6478" s="2">
        <v>46234</v>
      </c>
    </row>
    <row r="6479" spans="1:14" x14ac:dyDescent="0.25">
      <c r="A6479" s="4" t="s">
        <v>262</v>
      </c>
      <c r="B6479" s="5"/>
      <c r="C6479" s="4" t="s">
        <v>9</v>
      </c>
      <c r="D6479" s="4" t="s">
        <v>9</v>
      </c>
      <c r="E6479" s="4" t="s">
        <v>9</v>
      </c>
      <c r="F6479" s="6">
        <v>0</v>
      </c>
      <c r="G6479" s="6">
        <v>0</v>
      </c>
      <c r="H6479" s="4" t="s">
        <v>9</v>
      </c>
      <c r="I6479" s="4" t="s">
        <v>3</v>
      </c>
      <c r="J6479" s="4" t="s">
        <v>9</v>
      </c>
      <c r="K6479" s="4" t="s">
        <v>9</v>
      </c>
      <c r="L6479" s="4" t="s">
        <v>9</v>
      </c>
      <c r="M6479" s="4" t="s">
        <v>9</v>
      </c>
      <c r="N6479" s="5"/>
    </row>
    <row r="6480" spans="1:14" x14ac:dyDescent="0.25">
      <c r="A6480" t="s">
        <v>737</v>
      </c>
      <c r="B6480" s="2">
        <v>46234</v>
      </c>
      <c r="C6480" t="s">
        <v>737</v>
      </c>
      <c r="D6480" t="s">
        <v>112</v>
      </c>
      <c r="E6480" t="s">
        <v>9</v>
      </c>
      <c r="F6480" s="3">
        <v>-700</v>
      </c>
      <c r="G6480" s="3">
        <v>-700</v>
      </c>
      <c r="H6480" t="s">
        <v>3</v>
      </c>
      <c r="I6480" t="s">
        <v>3</v>
      </c>
      <c r="J6480" t="s">
        <v>373</v>
      </c>
      <c r="K6480" t="s">
        <v>13</v>
      </c>
      <c r="L6480" t="s">
        <v>22</v>
      </c>
      <c r="M6480" t="s">
        <v>114</v>
      </c>
      <c r="N6480" s="2">
        <v>46235</v>
      </c>
    </row>
    <row r="6481" spans="1:14" x14ac:dyDescent="0.25">
      <c r="A6481" t="s">
        <v>737</v>
      </c>
      <c r="B6481" s="2">
        <v>46265</v>
      </c>
      <c r="C6481" t="s">
        <v>737</v>
      </c>
      <c r="D6481" t="s">
        <v>112</v>
      </c>
      <c r="E6481" t="s">
        <v>9</v>
      </c>
      <c r="F6481" s="3">
        <v>700</v>
      </c>
      <c r="G6481" s="3">
        <v>700</v>
      </c>
      <c r="H6481" t="s">
        <v>3</v>
      </c>
      <c r="I6481" t="s">
        <v>3</v>
      </c>
      <c r="J6481" t="s">
        <v>374</v>
      </c>
      <c r="K6481" t="s">
        <v>13</v>
      </c>
      <c r="L6481" t="s">
        <v>22</v>
      </c>
      <c r="M6481" t="s">
        <v>114</v>
      </c>
      <c r="N6481" s="2">
        <v>46265</v>
      </c>
    </row>
    <row r="6482" spans="1:14" x14ac:dyDescent="0.25">
      <c r="A6482" s="4" t="s">
        <v>267</v>
      </c>
      <c r="B6482" s="5"/>
      <c r="C6482" s="4" t="s">
        <v>9</v>
      </c>
      <c r="D6482" s="4" t="s">
        <v>9</v>
      </c>
      <c r="E6482" s="4" t="s">
        <v>9</v>
      </c>
      <c r="F6482" s="6">
        <v>0</v>
      </c>
      <c r="G6482" s="6">
        <v>0</v>
      </c>
      <c r="H6482" s="4" t="s">
        <v>9</v>
      </c>
      <c r="I6482" s="4" t="s">
        <v>3</v>
      </c>
      <c r="J6482" s="4" t="s">
        <v>9</v>
      </c>
      <c r="K6482" s="4" t="s">
        <v>9</v>
      </c>
      <c r="L6482" s="4" t="s">
        <v>9</v>
      </c>
      <c r="M6482" s="4" t="s">
        <v>9</v>
      </c>
      <c r="N6482" s="5"/>
    </row>
    <row r="6483" spans="1:14" x14ac:dyDescent="0.25">
      <c r="A6483" s="4" t="s">
        <v>737</v>
      </c>
      <c r="B6483" s="5"/>
      <c r="C6483" s="4" t="s">
        <v>9</v>
      </c>
      <c r="D6483" s="4" t="s">
        <v>9</v>
      </c>
      <c r="E6483" s="4" t="s">
        <v>9</v>
      </c>
      <c r="F6483" s="6">
        <v>0</v>
      </c>
      <c r="G6483" s="6">
        <v>0</v>
      </c>
      <c r="H6483" s="4" t="s">
        <v>9</v>
      </c>
      <c r="I6483" s="4" t="s">
        <v>3</v>
      </c>
      <c r="J6483" s="4" t="s">
        <v>9</v>
      </c>
      <c r="K6483" s="4" t="s">
        <v>9</v>
      </c>
      <c r="L6483" s="4" t="s">
        <v>9</v>
      </c>
      <c r="M6483" s="4" t="s">
        <v>9</v>
      </c>
      <c r="N6483" s="5"/>
    </row>
    <row r="6484" spans="1:14" x14ac:dyDescent="0.25">
      <c r="A6484" t="s">
        <v>738</v>
      </c>
      <c r="B6484" s="2">
        <v>46267</v>
      </c>
      <c r="C6484" t="s">
        <v>738</v>
      </c>
      <c r="D6484" t="s">
        <v>33</v>
      </c>
      <c r="E6484" t="s">
        <v>9</v>
      </c>
      <c r="F6484" s="3">
        <v>12000</v>
      </c>
      <c r="G6484" s="3">
        <v>12000</v>
      </c>
      <c r="H6484" t="s">
        <v>3</v>
      </c>
      <c r="I6484" t="s">
        <v>3</v>
      </c>
      <c r="J6484" t="s">
        <v>9</v>
      </c>
      <c r="K6484" t="s">
        <v>9</v>
      </c>
      <c r="L6484" t="s">
        <v>22</v>
      </c>
      <c r="M6484" t="s">
        <v>35</v>
      </c>
      <c r="N6484" s="2">
        <v>46265</v>
      </c>
    </row>
    <row r="6485" spans="1:14" x14ac:dyDescent="0.25">
      <c r="A6485" t="s">
        <v>738</v>
      </c>
      <c r="B6485" s="2">
        <v>46254</v>
      </c>
      <c r="C6485" t="s">
        <v>738</v>
      </c>
      <c r="D6485" t="s">
        <v>33</v>
      </c>
      <c r="E6485" t="s">
        <v>9</v>
      </c>
      <c r="F6485" s="3">
        <v>-12000</v>
      </c>
      <c r="G6485" s="3">
        <v>-12000</v>
      </c>
      <c r="H6485" t="s">
        <v>3</v>
      </c>
      <c r="I6485" t="s">
        <v>3</v>
      </c>
      <c r="J6485" t="s">
        <v>9</v>
      </c>
      <c r="K6485" t="s">
        <v>13</v>
      </c>
      <c r="L6485" t="s">
        <v>22</v>
      </c>
      <c r="M6485" t="s">
        <v>35</v>
      </c>
      <c r="N6485" s="2">
        <v>46254</v>
      </c>
    </row>
    <row r="6486" spans="1:14" x14ac:dyDescent="0.25">
      <c r="A6486" s="4" t="s">
        <v>267</v>
      </c>
      <c r="B6486" s="5"/>
      <c r="C6486" s="4" t="s">
        <v>9</v>
      </c>
      <c r="D6486" s="4" t="s">
        <v>9</v>
      </c>
      <c r="E6486" s="4" t="s">
        <v>9</v>
      </c>
      <c r="F6486" s="6">
        <v>0</v>
      </c>
      <c r="G6486" s="6">
        <v>0</v>
      </c>
      <c r="H6486" s="4" t="s">
        <v>9</v>
      </c>
      <c r="I6486" s="4" t="s">
        <v>3</v>
      </c>
      <c r="J6486" s="4" t="s">
        <v>9</v>
      </c>
      <c r="K6486" s="4" t="s">
        <v>9</v>
      </c>
      <c r="L6486" s="4" t="s">
        <v>9</v>
      </c>
      <c r="M6486" s="4" t="s">
        <v>9</v>
      </c>
      <c r="N6486" s="5"/>
    </row>
    <row r="6487" spans="1:14" x14ac:dyDescent="0.25">
      <c r="A6487" s="4" t="s">
        <v>738</v>
      </c>
      <c r="B6487" s="5"/>
      <c r="C6487" s="4" t="s">
        <v>9</v>
      </c>
      <c r="D6487" s="4" t="s">
        <v>9</v>
      </c>
      <c r="E6487" s="4" t="s">
        <v>9</v>
      </c>
      <c r="F6487" s="6">
        <v>0</v>
      </c>
      <c r="G6487" s="6">
        <v>0</v>
      </c>
      <c r="H6487" s="4" t="s">
        <v>9</v>
      </c>
      <c r="I6487" s="4" t="s">
        <v>3</v>
      </c>
      <c r="J6487" s="4" t="s">
        <v>9</v>
      </c>
      <c r="K6487" s="4" t="s">
        <v>9</v>
      </c>
      <c r="L6487" s="4" t="s">
        <v>9</v>
      </c>
      <c r="M6487" s="4" t="s">
        <v>9</v>
      </c>
      <c r="N6487" s="5"/>
    </row>
    <row r="6488" spans="1:14" x14ac:dyDescent="0.25">
      <c r="A6488" t="s">
        <v>739</v>
      </c>
      <c r="B6488" s="2">
        <v>46205</v>
      </c>
      <c r="C6488" t="s">
        <v>739</v>
      </c>
      <c r="D6488" t="s">
        <v>112</v>
      </c>
      <c r="E6488" t="s">
        <v>9</v>
      </c>
      <c r="F6488" s="3">
        <v>-900</v>
      </c>
      <c r="G6488" s="3">
        <v>-900</v>
      </c>
      <c r="H6488" t="s">
        <v>3</v>
      </c>
      <c r="I6488" t="s">
        <v>3</v>
      </c>
      <c r="J6488" t="s">
        <v>9</v>
      </c>
      <c r="K6488" t="s">
        <v>9</v>
      </c>
      <c r="L6488" t="s">
        <v>19</v>
      </c>
      <c r="M6488" t="s">
        <v>114</v>
      </c>
      <c r="N6488" s="2">
        <v>46203</v>
      </c>
    </row>
    <row r="6489" spans="1:14" x14ac:dyDescent="0.25">
      <c r="A6489" t="s">
        <v>739</v>
      </c>
      <c r="B6489" s="2">
        <v>46203</v>
      </c>
      <c r="C6489" t="s">
        <v>739</v>
      </c>
      <c r="D6489" t="s">
        <v>112</v>
      </c>
      <c r="E6489" t="s">
        <v>9</v>
      </c>
      <c r="F6489" s="3">
        <v>900</v>
      </c>
      <c r="G6489" s="3">
        <v>900</v>
      </c>
      <c r="H6489" t="s">
        <v>3</v>
      </c>
      <c r="I6489" t="s">
        <v>3</v>
      </c>
      <c r="J6489" t="s">
        <v>372</v>
      </c>
      <c r="K6489" t="s">
        <v>13</v>
      </c>
      <c r="L6489" t="s">
        <v>19</v>
      </c>
      <c r="M6489" t="s">
        <v>114</v>
      </c>
      <c r="N6489" s="2">
        <v>46203</v>
      </c>
    </row>
    <row r="6490" spans="1:14" x14ac:dyDescent="0.25">
      <c r="A6490" s="4" t="s">
        <v>224</v>
      </c>
      <c r="B6490" s="5"/>
      <c r="C6490" s="4" t="s">
        <v>9</v>
      </c>
      <c r="D6490" s="4" t="s">
        <v>9</v>
      </c>
      <c r="E6490" s="4" t="s">
        <v>9</v>
      </c>
      <c r="F6490" s="6">
        <v>0</v>
      </c>
      <c r="G6490" s="6">
        <v>0</v>
      </c>
      <c r="H6490" s="4" t="s">
        <v>9</v>
      </c>
      <c r="I6490" s="4" t="s">
        <v>3</v>
      </c>
      <c r="J6490" s="4" t="s">
        <v>9</v>
      </c>
      <c r="K6490" s="4" t="s">
        <v>9</v>
      </c>
      <c r="L6490" s="4" t="s">
        <v>9</v>
      </c>
      <c r="M6490" s="4" t="s">
        <v>9</v>
      </c>
      <c r="N6490" s="5"/>
    </row>
    <row r="6491" spans="1:14" x14ac:dyDescent="0.25">
      <c r="A6491" t="s">
        <v>739</v>
      </c>
      <c r="B6491" s="2">
        <v>46239</v>
      </c>
      <c r="C6491" t="s">
        <v>739</v>
      </c>
      <c r="D6491" t="s">
        <v>112</v>
      </c>
      <c r="E6491" t="s">
        <v>9</v>
      </c>
      <c r="F6491" s="3">
        <v>-2000</v>
      </c>
      <c r="G6491" s="3">
        <v>-2000</v>
      </c>
      <c r="H6491" t="s">
        <v>3</v>
      </c>
      <c r="I6491" t="s">
        <v>3</v>
      </c>
      <c r="J6491" t="s">
        <v>9</v>
      </c>
      <c r="K6491" t="s">
        <v>9</v>
      </c>
      <c r="L6491" t="s">
        <v>21</v>
      </c>
      <c r="M6491" t="s">
        <v>114</v>
      </c>
      <c r="N6491" s="2">
        <v>46234</v>
      </c>
    </row>
    <row r="6492" spans="1:14" x14ac:dyDescent="0.25">
      <c r="A6492" t="s">
        <v>739</v>
      </c>
      <c r="B6492" s="2">
        <v>46203</v>
      </c>
      <c r="C6492" t="s">
        <v>739</v>
      </c>
      <c r="D6492" t="s">
        <v>112</v>
      </c>
      <c r="E6492" t="s">
        <v>9</v>
      </c>
      <c r="F6492" s="3">
        <v>-900</v>
      </c>
      <c r="G6492" s="3">
        <v>-900</v>
      </c>
      <c r="H6492" t="s">
        <v>3</v>
      </c>
      <c r="I6492" t="s">
        <v>3</v>
      </c>
      <c r="J6492" t="s">
        <v>372</v>
      </c>
      <c r="K6492" t="s">
        <v>13</v>
      </c>
      <c r="L6492" t="s">
        <v>21</v>
      </c>
      <c r="M6492" t="s">
        <v>114</v>
      </c>
      <c r="N6492" s="2">
        <v>46204</v>
      </c>
    </row>
    <row r="6493" spans="1:14" x14ac:dyDescent="0.25">
      <c r="A6493" t="s">
        <v>739</v>
      </c>
      <c r="B6493" s="2">
        <v>46234</v>
      </c>
      <c r="C6493" t="s">
        <v>739</v>
      </c>
      <c r="D6493" t="s">
        <v>112</v>
      </c>
      <c r="E6493" t="s">
        <v>9</v>
      </c>
      <c r="F6493" s="3">
        <v>2900</v>
      </c>
      <c r="G6493" s="3">
        <v>2900</v>
      </c>
      <c r="H6493" t="s">
        <v>3</v>
      </c>
      <c r="I6493" t="s">
        <v>3</v>
      </c>
      <c r="J6493" t="s">
        <v>373</v>
      </c>
      <c r="K6493" t="s">
        <v>13</v>
      </c>
      <c r="L6493" t="s">
        <v>21</v>
      </c>
      <c r="M6493" t="s">
        <v>114</v>
      </c>
      <c r="N6493" s="2">
        <v>46234</v>
      </c>
    </row>
    <row r="6494" spans="1:14" x14ac:dyDescent="0.25">
      <c r="A6494" s="4" t="s">
        <v>262</v>
      </c>
      <c r="B6494" s="5"/>
      <c r="C6494" s="4" t="s">
        <v>9</v>
      </c>
      <c r="D6494" s="4" t="s">
        <v>9</v>
      </c>
      <c r="E6494" s="4" t="s">
        <v>9</v>
      </c>
      <c r="F6494" s="6">
        <v>0</v>
      </c>
      <c r="G6494" s="6">
        <v>0</v>
      </c>
      <c r="H6494" s="4" t="s">
        <v>9</v>
      </c>
      <c r="I6494" s="4" t="s">
        <v>3</v>
      </c>
      <c r="J6494" s="4" t="s">
        <v>9</v>
      </c>
      <c r="K6494" s="4" t="s">
        <v>9</v>
      </c>
      <c r="L6494" s="4" t="s">
        <v>9</v>
      </c>
      <c r="M6494" s="4" t="s">
        <v>9</v>
      </c>
      <c r="N6494" s="5"/>
    </row>
    <row r="6495" spans="1:14" x14ac:dyDescent="0.25">
      <c r="A6495" t="s">
        <v>739</v>
      </c>
      <c r="B6495" s="2">
        <v>46267</v>
      </c>
      <c r="C6495" t="s">
        <v>739</v>
      </c>
      <c r="D6495" t="s">
        <v>112</v>
      </c>
      <c r="E6495" t="s">
        <v>9</v>
      </c>
      <c r="F6495" s="3">
        <v>-400</v>
      </c>
      <c r="G6495" s="3">
        <v>-400</v>
      </c>
      <c r="H6495" t="s">
        <v>3</v>
      </c>
      <c r="I6495" t="s">
        <v>3</v>
      </c>
      <c r="J6495" t="s">
        <v>9</v>
      </c>
      <c r="K6495" t="s">
        <v>9</v>
      </c>
      <c r="L6495" t="s">
        <v>22</v>
      </c>
      <c r="M6495" t="s">
        <v>114</v>
      </c>
      <c r="N6495" s="2">
        <v>46265</v>
      </c>
    </row>
    <row r="6496" spans="1:14" x14ac:dyDescent="0.25">
      <c r="A6496" t="s">
        <v>739</v>
      </c>
      <c r="B6496" s="2">
        <v>46234</v>
      </c>
      <c r="C6496" t="s">
        <v>739</v>
      </c>
      <c r="D6496" t="s">
        <v>112</v>
      </c>
      <c r="E6496" t="s">
        <v>9</v>
      </c>
      <c r="F6496" s="3">
        <v>-2900</v>
      </c>
      <c r="G6496" s="3">
        <v>-2900</v>
      </c>
      <c r="H6496" t="s">
        <v>3</v>
      </c>
      <c r="I6496" t="s">
        <v>3</v>
      </c>
      <c r="J6496" t="s">
        <v>373</v>
      </c>
      <c r="K6496" t="s">
        <v>13</v>
      </c>
      <c r="L6496" t="s">
        <v>22</v>
      </c>
      <c r="M6496" t="s">
        <v>114</v>
      </c>
      <c r="N6496" s="2">
        <v>46235</v>
      </c>
    </row>
    <row r="6497" spans="1:14" x14ac:dyDescent="0.25">
      <c r="A6497" t="s">
        <v>739</v>
      </c>
      <c r="B6497" s="2">
        <v>46265</v>
      </c>
      <c r="C6497" t="s">
        <v>739</v>
      </c>
      <c r="D6497" t="s">
        <v>112</v>
      </c>
      <c r="E6497" t="s">
        <v>9</v>
      </c>
      <c r="F6497" s="3">
        <v>3300</v>
      </c>
      <c r="G6497" s="3">
        <v>3300</v>
      </c>
      <c r="H6497" t="s">
        <v>3</v>
      </c>
      <c r="I6497" t="s">
        <v>3</v>
      </c>
      <c r="J6497" t="s">
        <v>430</v>
      </c>
      <c r="K6497" t="s">
        <v>13</v>
      </c>
      <c r="L6497" t="s">
        <v>22</v>
      </c>
      <c r="M6497" t="s">
        <v>114</v>
      </c>
      <c r="N6497" s="2">
        <v>46265</v>
      </c>
    </row>
    <row r="6498" spans="1:14" x14ac:dyDescent="0.25">
      <c r="A6498" s="4" t="s">
        <v>267</v>
      </c>
      <c r="B6498" s="5"/>
      <c r="C6498" s="4" t="s">
        <v>9</v>
      </c>
      <c r="D6498" s="4" t="s">
        <v>9</v>
      </c>
      <c r="E6498" s="4" t="s">
        <v>9</v>
      </c>
      <c r="F6498" s="6">
        <v>0</v>
      </c>
      <c r="G6498" s="6">
        <v>0</v>
      </c>
      <c r="H6498" s="4" t="s">
        <v>9</v>
      </c>
      <c r="I6498" s="4" t="s">
        <v>3</v>
      </c>
      <c r="J6498" s="4" t="s">
        <v>9</v>
      </c>
      <c r="K6498" s="4" t="s">
        <v>9</v>
      </c>
      <c r="L6498" s="4" t="s">
        <v>9</v>
      </c>
      <c r="M6498" s="4" t="s">
        <v>9</v>
      </c>
      <c r="N6498" s="5"/>
    </row>
    <row r="6499" spans="1:14" x14ac:dyDescent="0.25">
      <c r="A6499" s="4" t="s">
        <v>739</v>
      </c>
      <c r="B6499" s="5"/>
      <c r="C6499" s="4" t="s">
        <v>9</v>
      </c>
      <c r="D6499" s="4" t="s">
        <v>9</v>
      </c>
      <c r="E6499" s="4" t="s">
        <v>9</v>
      </c>
      <c r="F6499" s="6">
        <v>0</v>
      </c>
      <c r="G6499" s="6">
        <v>0</v>
      </c>
      <c r="H6499" s="4" t="s">
        <v>9</v>
      </c>
      <c r="I6499" s="4" t="s">
        <v>3</v>
      </c>
      <c r="J6499" s="4" t="s">
        <v>9</v>
      </c>
      <c r="K6499" s="4" t="s">
        <v>9</v>
      </c>
      <c r="L6499" s="4" t="s">
        <v>9</v>
      </c>
      <c r="M6499" s="4" t="s">
        <v>9</v>
      </c>
      <c r="N6499" s="5"/>
    </row>
    <row r="6500" spans="1:14" x14ac:dyDescent="0.25">
      <c r="A6500" t="s">
        <v>740</v>
      </c>
      <c r="B6500" s="2">
        <v>46267</v>
      </c>
      <c r="C6500" t="s">
        <v>740</v>
      </c>
      <c r="D6500" t="s">
        <v>112</v>
      </c>
      <c r="E6500" t="s">
        <v>9</v>
      </c>
      <c r="F6500" s="3">
        <v>-200</v>
      </c>
      <c r="G6500" s="3">
        <v>-200</v>
      </c>
      <c r="H6500" t="s">
        <v>3</v>
      </c>
      <c r="I6500" t="s">
        <v>3</v>
      </c>
      <c r="J6500" t="s">
        <v>9</v>
      </c>
      <c r="K6500" t="s">
        <v>9</v>
      </c>
      <c r="L6500" t="s">
        <v>22</v>
      </c>
      <c r="M6500" t="s">
        <v>114</v>
      </c>
      <c r="N6500" s="2">
        <v>46265</v>
      </c>
    </row>
    <row r="6501" spans="1:14" x14ac:dyDescent="0.25">
      <c r="A6501" t="s">
        <v>740</v>
      </c>
      <c r="B6501" s="2">
        <v>46265</v>
      </c>
      <c r="C6501" t="s">
        <v>740</v>
      </c>
      <c r="D6501" t="s">
        <v>112</v>
      </c>
      <c r="E6501" t="s">
        <v>9</v>
      </c>
      <c r="F6501" s="3">
        <v>200</v>
      </c>
      <c r="G6501" s="3">
        <v>200</v>
      </c>
      <c r="H6501" t="s">
        <v>3</v>
      </c>
      <c r="I6501" t="s">
        <v>3</v>
      </c>
      <c r="J6501" t="s">
        <v>430</v>
      </c>
      <c r="K6501" t="s">
        <v>13</v>
      </c>
      <c r="L6501" t="s">
        <v>22</v>
      </c>
      <c r="M6501" t="s">
        <v>114</v>
      </c>
      <c r="N6501" s="2">
        <v>46265</v>
      </c>
    </row>
    <row r="6502" spans="1:14" x14ac:dyDescent="0.25">
      <c r="A6502" s="4" t="s">
        <v>267</v>
      </c>
      <c r="B6502" s="5"/>
      <c r="C6502" s="4" t="s">
        <v>9</v>
      </c>
      <c r="D6502" s="4" t="s">
        <v>9</v>
      </c>
      <c r="E6502" s="4" t="s">
        <v>9</v>
      </c>
      <c r="F6502" s="6">
        <v>0</v>
      </c>
      <c r="G6502" s="6">
        <v>0</v>
      </c>
      <c r="H6502" s="4" t="s">
        <v>9</v>
      </c>
      <c r="I6502" s="4" t="s">
        <v>3</v>
      </c>
      <c r="J6502" s="4" t="s">
        <v>9</v>
      </c>
      <c r="K6502" s="4" t="s">
        <v>9</v>
      </c>
      <c r="L6502" s="4" t="s">
        <v>9</v>
      </c>
      <c r="M6502" s="4" t="s">
        <v>9</v>
      </c>
      <c r="N6502" s="5"/>
    </row>
    <row r="6503" spans="1:14" x14ac:dyDescent="0.25">
      <c r="A6503" s="4" t="s">
        <v>740</v>
      </c>
      <c r="B6503" s="5"/>
      <c r="C6503" s="4" t="s">
        <v>9</v>
      </c>
      <c r="D6503" s="4" t="s">
        <v>9</v>
      </c>
      <c r="E6503" s="4" t="s">
        <v>9</v>
      </c>
      <c r="F6503" s="6">
        <v>0</v>
      </c>
      <c r="G6503" s="6">
        <v>0</v>
      </c>
      <c r="H6503" s="4" t="s">
        <v>9</v>
      </c>
      <c r="I6503" s="4" t="s">
        <v>3</v>
      </c>
      <c r="J6503" s="4" t="s">
        <v>9</v>
      </c>
      <c r="K6503" s="4" t="s">
        <v>9</v>
      </c>
      <c r="L6503" s="4" t="s">
        <v>9</v>
      </c>
      <c r="M6503" s="4" t="s">
        <v>9</v>
      </c>
      <c r="N6503" s="5"/>
    </row>
    <row r="6504" spans="1:14" x14ac:dyDescent="0.25">
      <c r="A6504" t="s">
        <v>741</v>
      </c>
      <c r="B6504" s="2">
        <v>46115</v>
      </c>
      <c r="C6504" t="s">
        <v>741</v>
      </c>
      <c r="D6504" t="s">
        <v>33</v>
      </c>
      <c r="E6504" t="s">
        <v>9</v>
      </c>
      <c r="F6504" s="3">
        <v>9610</v>
      </c>
      <c r="G6504" s="3">
        <v>9610</v>
      </c>
      <c r="H6504" t="s">
        <v>3</v>
      </c>
      <c r="I6504" t="s">
        <v>3</v>
      </c>
      <c r="J6504" t="s">
        <v>9</v>
      </c>
      <c r="K6504" t="s">
        <v>9</v>
      </c>
      <c r="L6504" t="s">
        <v>16</v>
      </c>
      <c r="M6504" t="s">
        <v>35</v>
      </c>
      <c r="N6504" s="2">
        <v>46112</v>
      </c>
    </row>
    <row r="6505" spans="1:14" x14ac:dyDescent="0.25">
      <c r="A6505" t="s">
        <v>741</v>
      </c>
      <c r="B6505" s="2">
        <v>46100</v>
      </c>
      <c r="C6505" t="s">
        <v>741</v>
      </c>
      <c r="D6505" t="s">
        <v>33</v>
      </c>
      <c r="E6505" t="s">
        <v>9</v>
      </c>
      <c r="F6505" s="3">
        <v>-9610</v>
      </c>
      <c r="G6505" s="3">
        <v>-9610</v>
      </c>
      <c r="H6505" t="s">
        <v>3</v>
      </c>
      <c r="I6505" t="s">
        <v>3</v>
      </c>
      <c r="J6505" t="s">
        <v>9</v>
      </c>
      <c r="K6505" t="s">
        <v>13</v>
      </c>
      <c r="L6505" t="s">
        <v>16</v>
      </c>
      <c r="M6505" t="s">
        <v>35</v>
      </c>
      <c r="N6505" s="2">
        <v>46100</v>
      </c>
    </row>
    <row r="6506" spans="1:14" x14ac:dyDescent="0.25">
      <c r="A6506" s="4" t="s">
        <v>244</v>
      </c>
      <c r="B6506" s="5"/>
      <c r="C6506" s="4" t="s">
        <v>9</v>
      </c>
      <c r="D6506" s="4" t="s">
        <v>9</v>
      </c>
      <c r="E6506" s="4" t="s">
        <v>9</v>
      </c>
      <c r="F6506" s="6">
        <v>0</v>
      </c>
      <c r="G6506" s="6">
        <v>0</v>
      </c>
      <c r="H6506" s="4" t="s">
        <v>9</v>
      </c>
      <c r="I6506" s="4" t="s">
        <v>3</v>
      </c>
      <c r="J6506" s="4" t="s">
        <v>9</v>
      </c>
      <c r="K6506" s="4" t="s">
        <v>9</v>
      </c>
      <c r="L6506" s="4" t="s">
        <v>9</v>
      </c>
      <c r="M6506" s="4" t="s">
        <v>9</v>
      </c>
      <c r="N6506" s="5"/>
    </row>
    <row r="6507" spans="1:14" x14ac:dyDescent="0.25">
      <c r="A6507" t="s">
        <v>741</v>
      </c>
      <c r="B6507" s="2">
        <v>46147</v>
      </c>
      <c r="C6507" t="s">
        <v>741</v>
      </c>
      <c r="D6507" t="s">
        <v>33</v>
      </c>
      <c r="E6507" t="s">
        <v>9</v>
      </c>
      <c r="F6507" s="3">
        <v>6115</v>
      </c>
      <c r="G6507" s="3">
        <v>6115</v>
      </c>
      <c r="H6507" t="s">
        <v>3</v>
      </c>
      <c r="I6507" t="s">
        <v>3</v>
      </c>
      <c r="J6507" t="s">
        <v>9</v>
      </c>
      <c r="K6507" t="s">
        <v>9</v>
      </c>
      <c r="L6507" t="s">
        <v>17</v>
      </c>
      <c r="M6507" t="s">
        <v>35</v>
      </c>
      <c r="N6507" s="2">
        <v>46142</v>
      </c>
    </row>
    <row r="6508" spans="1:14" x14ac:dyDescent="0.25">
      <c r="A6508" t="s">
        <v>741</v>
      </c>
      <c r="B6508" s="2">
        <v>46127</v>
      </c>
      <c r="C6508" t="s">
        <v>741</v>
      </c>
      <c r="D6508" t="s">
        <v>33</v>
      </c>
      <c r="E6508" t="s">
        <v>9</v>
      </c>
      <c r="F6508" s="3">
        <v>-6115</v>
      </c>
      <c r="G6508" s="3">
        <v>-6115</v>
      </c>
      <c r="H6508" t="s">
        <v>3</v>
      </c>
      <c r="I6508" t="s">
        <v>3</v>
      </c>
      <c r="J6508" t="s">
        <v>9</v>
      </c>
      <c r="K6508" t="s">
        <v>13</v>
      </c>
      <c r="L6508" t="s">
        <v>17</v>
      </c>
      <c r="M6508" t="s">
        <v>35</v>
      </c>
      <c r="N6508" s="2">
        <v>46127</v>
      </c>
    </row>
    <row r="6509" spans="1:14" x14ac:dyDescent="0.25">
      <c r="A6509" s="4" t="s">
        <v>249</v>
      </c>
      <c r="B6509" s="5"/>
      <c r="C6509" s="4" t="s">
        <v>9</v>
      </c>
      <c r="D6509" s="4" t="s">
        <v>9</v>
      </c>
      <c r="E6509" s="4" t="s">
        <v>9</v>
      </c>
      <c r="F6509" s="6">
        <v>0</v>
      </c>
      <c r="G6509" s="6">
        <v>0</v>
      </c>
      <c r="H6509" s="4" t="s">
        <v>9</v>
      </c>
      <c r="I6509" s="4" t="s">
        <v>3</v>
      </c>
      <c r="J6509" s="4" t="s">
        <v>9</v>
      </c>
      <c r="K6509" s="4" t="s">
        <v>9</v>
      </c>
      <c r="L6509" s="4" t="s">
        <v>9</v>
      </c>
      <c r="M6509" s="4" t="s">
        <v>9</v>
      </c>
      <c r="N6509" s="5"/>
    </row>
    <row r="6510" spans="1:14" x14ac:dyDescent="0.25">
      <c r="A6510" s="4" t="s">
        <v>741</v>
      </c>
      <c r="B6510" s="5"/>
      <c r="C6510" s="4" t="s">
        <v>9</v>
      </c>
      <c r="D6510" s="4" t="s">
        <v>9</v>
      </c>
      <c r="E6510" s="4" t="s">
        <v>9</v>
      </c>
      <c r="F6510" s="6">
        <v>0</v>
      </c>
      <c r="G6510" s="6">
        <v>0</v>
      </c>
      <c r="H6510" s="4" t="s">
        <v>9</v>
      </c>
      <c r="I6510" s="4" t="s">
        <v>3</v>
      </c>
      <c r="J6510" s="4" t="s">
        <v>9</v>
      </c>
      <c r="K6510" s="4" t="s">
        <v>9</v>
      </c>
      <c r="L6510" s="4" t="s">
        <v>9</v>
      </c>
      <c r="M6510" s="4" t="s">
        <v>9</v>
      </c>
      <c r="N6510" s="5"/>
    </row>
    <row r="6511" spans="1:14" x14ac:dyDescent="0.25">
      <c r="A6511" t="s">
        <v>742</v>
      </c>
      <c r="B6511" s="2">
        <v>46084</v>
      </c>
      <c r="C6511" t="s">
        <v>742</v>
      </c>
      <c r="D6511" t="s">
        <v>112</v>
      </c>
      <c r="E6511" t="s">
        <v>9</v>
      </c>
      <c r="F6511" s="3">
        <v>-9152</v>
      </c>
      <c r="G6511" s="3">
        <v>-9152</v>
      </c>
      <c r="H6511" t="s">
        <v>3</v>
      </c>
      <c r="I6511" t="s">
        <v>3</v>
      </c>
      <c r="J6511" t="s">
        <v>9</v>
      </c>
      <c r="K6511" t="s">
        <v>9</v>
      </c>
      <c r="L6511" t="s">
        <v>15</v>
      </c>
      <c r="M6511" t="s">
        <v>114</v>
      </c>
      <c r="N6511" s="2">
        <v>46081</v>
      </c>
    </row>
    <row r="6512" spans="1:14" x14ac:dyDescent="0.25">
      <c r="A6512" t="s">
        <v>742</v>
      </c>
      <c r="B6512" s="2">
        <v>46081</v>
      </c>
      <c r="C6512" t="s">
        <v>742</v>
      </c>
      <c r="D6512" t="s">
        <v>112</v>
      </c>
      <c r="E6512" t="s">
        <v>9</v>
      </c>
      <c r="F6512" s="3">
        <v>9152</v>
      </c>
      <c r="G6512" s="3">
        <v>9152</v>
      </c>
      <c r="H6512" t="s">
        <v>3</v>
      </c>
      <c r="I6512" t="s">
        <v>3</v>
      </c>
      <c r="J6512" t="s">
        <v>393</v>
      </c>
      <c r="K6512" t="s">
        <v>13</v>
      </c>
      <c r="L6512" t="s">
        <v>15</v>
      </c>
      <c r="M6512" t="s">
        <v>114</v>
      </c>
      <c r="N6512" s="2">
        <v>46081</v>
      </c>
    </row>
    <row r="6513" spans="1:14" x14ac:dyDescent="0.25">
      <c r="A6513" s="4" t="s">
        <v>239</v>
      </c>
      <c r="B6513" s="5"/>
      <c r="C6513" s="4" t="s">
        <v>9</v>
      </c>
      <c r="D6513" s="4" t="s">
        <v>9</v>
      </c>
      <c r="E6513" s="4" t="s">
        <v>9</v>
      </c>
      <c r="F6513" s="6">
        <v>0</v>
      </c>
      <c r="G6513" s="6">
        <v>0</v>
      </c>
      <c r="H6513" s="4" t="s">
        <v>9</v>
      </c>
      <c r="I6513" s="4" t="s">
        <v>3</v>
      </c>
      <c r="J6513" s="4" t="s">
        <v>9</v>
      </c>
      <c r="K6513" s="4" t="s">
        <v>9</v>
      </c>
      <c r="L6513" s="4" t="s">
        <v>9</v>
      </c>
      <c r="M6513" s="4" t="s">
        <v>9</v>
      </c>
      <c r="N6513" s="5"/>
    </row>
    <row r="6514" spans="1:14" x14ac:dyDescent="0.25">
      <c r="A6514" t="s">
        <v>742</v>
      </c>
      <c r="B6514" s="2">
        <v>46115</v>
      </c>
      <c r="C6514" t="s">
        <v>742</v>
      </c>
      <c r="D6514" t="s">
        <v>112</v>
      </c>
      <c r="E6514" t="s">
        <v>9</v>
      </c>
      <c r="F6514" s="3">
        <v>-5824</v>
      </c>
      <c r="G6514" s="3">
        <v>-5824</v>
      </c>
      <c r="H6514" t="s">
        <v>3</v>
      </c>
      <c r="I6514" t="s">
        <v>3</v>
      </c>
      <c r="J6514" t="s">
        <v>9</v>
      </c>
      <c r="K6514" t="s">
        <v>9</v>
      </c>
      <c r="L6514" t="s">
        <v>16</v>
      </c>
      <c r="M6514" t="s">
        <v>114</v>
      </c>
      <c r="N6514" s="2">
        <v>46112</v>
      </c>
    </row>
    <row r="6515" spans="1:14" x14ac:dyDescent="0.25">
      <c r="A6515" t="s">
        <v>742</v>
      </c>
      <c r="B6515" s="2">
        <v>46081</v>
      </c>
      <c r="C6515" t="s">
        <v>742</v>
      </c>
      <c r="D6515" t="s">
        <v>112</v>
      </c>
      <c r="E6515" t="s">
        <v>9</v>
      </c>
      <c r="F6515" s="3">
        <v>-9152</v>
      </c>
      <c r="G6515" s="3">
        <v>-9152</v>
      </c>
      <c r="H6515" t="s">
        <v>3</v>
      </c>
      <c r="I6515" t="s">
        <v>3</v>
      </c>
      <c r="J6515" t="s">
        <v>393</v>
      </c>
      <c r="K6515" t="s">
        <v>13</v>
      </c>
      <c r="L6515" t="s">
        <v>16</v>
      </c>
      <c r="M6515" t="s">
        <v>114</v>
      </c>
      <c r="N6515" s="2">
        <v>46082</v>
      </c>
    </row>
    <row r="6516" spans="1:14" x14ac:dyDescent="0.25">
      <c r="A6516" t="s">
        <v>742</v>
      </c>
      <c r="B6516" s="2">
        <v>46112</v>
      </c>
      <c r="C6516" t="s">
        <v>742</v>
      </c>
      <c r="D6516" t="s">
        <v>112</v>
      </c>
      <c r="E6516" t="s">
        <v>9</v>
      </c>
      <c r="F6516" s="3">
        <v>14976</v>
      </c>
      <c r="G6516" s="3">
        <v>14976</v>
      </c>
      <c r="H6516" t="s">
        <v>3</v>
      </c>
      <c r="I6516" t="s">
        <v>3</v>
      </c>
      <c r="J6516" t="s">
        <v>395</v>
      </c>
      <c r="K6516" t="s">
        <v>13</v>
      </c>
      <c r="L6516" t="s">
        <v>16</v>
      </c>
      <c r="M6516" t="s">
        <v>114</v>
      </c>
      <c r="N6516" s="2">
        <v>46112</v>
      </c>
    </row>
    <row r="6517" spans="1:14" x14ac:dyDescent="0.25">
      <c r="A6517" s="4" t="s">
        <v>244</v>
      </c>
      <c r="B6517" s="5"/>
      <c r="C6517" s="4" t="s">
        <v>9</v>
      </c>
      <c r="D6517" s="4" t="s">
        <v>9</v>
      </c>
      <c r="E6517" s="4" t="s">
        <v>9</v>
      </c>
      <c r="F6517" s="6">
        <v>0</v>
      </c>
      <c r="G6517" s="6">
        <v>0</v>
      </c>
      <c r="H6517" s="4" t="s">
        <v>9</v>
      </c>
      <c r="I6517" s="4" t="s">
        <v>3</v>
      </c>
      <c r="J6517" s="4" t="s">
        <v>9</v>
      </c>
      <c r="K6517" s="4" t="s">
        <v>9</v>
      </c>
      <c r="L6517" s="4" t="s">
        <v>9</v>
      </c>
      <c r="M6517" s="4" t="s">
        <v>9</v>
      </c>
      <c r="N6517" s="5"/>
    </row>
    <row r="6518" spans="1:14" x14ac:dyDescent="0.25">
      <c r="A6518" t="s">
        <v>742</v>
      </c>
      <c r="B6518" s="2">
        <v>46112</v>
      </c>
      <c r="C6518" t="s">
        <v>742</v>
      </c>
      <c r="D6518" t="s">
        <v>112</v>
      </c>
      <c r="E6518" t="s">
        <v>9</v>
      </c>
      <c r="F6518" s="3">
        <v>-14976</v>
      </c>
      <c r="G6518" s="3">
        <v>-14976</v>
      </c>
      <c r="H6518" t="s">
        <v>3</v>
      </c>
      <c r="I6518" t="s">
        <v>3</v>
      </c>
      <c r="J6518" t="s">
        <v>395</v>
      </c>
      <c r="K6518" t="s">
        <v>13</v>
      </c>
      <c r="L6518" t="s">
        <v>17</v>
      </c>
      <c r="M6518" t="s">
        <v>114</v>
      </c>
      <c r="N6518" s="2">
        <v>46113</v>
      </c>
    </row>
    <row r="6519" spans="1:14" x14ac:dyDescent="0.25">
      <c r="A6519" t="s">
        <v>742</v>
      </c>
      <c r="B6519" s="2">
        <v>46142</v>
      </c>
      <c r="C6519" t="s">
        <v>742</v>
      </c>
      <c r="D6519" t="s">
        <v>112</v>
      </c>
      <c r="E6519" t="s">
        <v>9</v>
      </c>
      <c r="F6519" s="3">
        <v>14976</v>
      </c>
      <c r="G6519" s="3">
        <v>14976</v>
      </c>
      <c r="H6519" t="s">
        <v>3</v>
      </c>
      <c r="I6519" t="s">
        <v>3</v>
      </c>
      <c r="J6519" t="s">
        <v>423</v>
      </c>
      <c r="K6519" t="s">
        <v>13</v>
      </c>
      <c r="L6519" t="s">
        <v>17</v>
      </c>
      <c r="M6519" t="s">
        <v>114</v>
      </c>
      <c r="N6519" s="2">
        <v>46142</v>
      </c>
    </row>
    <row r="6520" spans="1:14" x14ac:dyDescent="0.25">
      <c r="A6520" s="4" t="s">
        <v>249</v>
      </c>
      <c r="B6520" s="5"/>
      <c r="C6520" s="4" t="s">
        <v>9</v>
      </c>
      <c r="D6520" s="4" t="s">
        <v>9</v>
      </c>
      <c r="E6520" s="4" t="s">
        <v>9</v>
      </c>
      <c r="F6520" s="6">
        <v>0</v>
      </c>
      <c r="G6520" s="6">
        <v>0</v>
      </c>
      <c r="H6520" s="4" t="s">
        <v>9</v>
      </c>
      <c r="I6520" s="4" t="s">
        <v>3</v>
      </c>
      <c r="J6520" s="4" t="s">
        <v>9</v>
      </c>
      <c r="K6520" s="4" t="s">
        <v>9</v>
      </c>
      <c r="L6520" s="4" t="s">
        <v>9</v>
      </c>
      <c r="M6520" s="4" t="s">
        <v>9</v>
      </c>
      <c r="N6520" s="5"/>
    </row>
    <row r="6521" spans="1:14" x14ac:dyDescent="0.25">
      <c r="A6521" t="s">
        <v>742</v>
      </c>
      <c r="B6521" s="2">
        <v>46142</v>
      </c>
      <c r="C6521" t="s">
        <v>742</v>
      </c>
      <c r="D6521" t="s">
        <v>112</v>
      </c>
      <c r="E6521" t="s">
        <v>9</v>
      </c>
      <c r="F6521" s="3">
        <v>-14976</v>
      </c>
      <c r="G6521" s="3">
        <v>-14976</v>
      </c>
      <c r="H6521" t="s">
        <v>3</v>
      </c>
      <c r="I6521" t="s">
        <v>3</v>
      </c>
      <c r="J6521" t="s">
        <v>423</v>
      </c>
      <c r="K6521" t="s">
        <v>13</v>
      </c>
      <c r="L6521" t="s">
        <v>18</v>
      </c>
      <c r="M6521" t="s">
        <v>114</v>
      </c>
      <c r="N6521" s="2">
        <v>46143</v>
      </c>
    </row>
    <row r="6522" spans="1:14" x14ac:dyDescent="0.25">
      <c r="A6522" t="s">
        <v>742</v>
      </c>
      <c r="B6522" s="2">
        <v>46173</v>
      </c>
      <c r="C6522" t="s">
        <v>742</v>
      </c>
      <c r="D6522" t="s">
        <v>112</v>
      </c>
      <c r="E6522" t="s">
        <v>9</v>
      </c>
      <c r="F6522" s="3">
        <v>14976</v>
      </c>
      <c r="G6522" s="3">
        <v>14976</v>
      </c>
      <c r="H6522" t="s">
        <v>3</v>
      </c>
      <c r="I6522" t="s">
        <v>3</v>
      </c>
      <c r="J6522" t="s">
        <v>427</v>
      </c>
      <c r="K6522" t="s">
        <v>13</v>
      </c>
      <c r="L6522" t="s">
        <v>18</v>
      </c>
      <c r="M6522" t="s">
        <v>114</v>
      </c>
      <c r="N6522" s="2">
        <v>46173</v>
      </c>
    </row>
    <row r="6523" spans="1:14" x14ac:dyDescent="0.25">
      <c r="A6523" s="4" t="s">
        <v>223</v>
      </c>
      <c r="B6523" s="5"/>
      <c r="C6523" s="4" t="s">
        <v>9</v>
      </c>
      <c r="D6523" s="4" t="s">
        <v>9</v>
      </c>
      <c r="E6523" s="4" t="s">
        <v>9</v>
      </c>
      <c r="F6523" s="6">
        <v>0</v>
      </c>
      <c r="G6523" s="6">
        <v>0</v>
      </c>
      <c r="H6523" s="4" t="s">
        <v>9</v>
      </c>
      <c r="I6523" s="4" t="s">
        <v>3</v>
      </c>
      <c r="J6523" s="4" t="s">
        <v>9</v>
      </c>
      <c r="K6523" s="4" t="s">
        <v>9</v>
      </c>
      <c r="L6523" s="4" t="s">
        <v>9</v>
      </c>
      <c r="M6523" s="4" t="s">
        <v>9</v>
      </c>
      <c r="N6523" s="5"/>
    </row>
    <row r="6524" spans="1:14" x14ac:dyDescent="0.25">
      <c r="A6524" t="s">
        <v>742</v>
      </c>
      <c r="B6524" s="2">
        <v>46173</v>
      </c>
      <c r="C6524" t="s">
        <v>742</v>
      </c>
      <c r="D6524" t="s">
        <v>112</v>
      </c>
      <c r="E6524" t="s">
        <v>9</v>
      </c>
      <c r="F6524" s="3">
        <v>-14976</v>
      </c>
      <c r="G6524" s="3">
        <v>-14976</v>
      </c>
      <c r="H6524" t="s">
        <v>3</v>
      </c>
      <c r="I6524" t="s">
        <v>3</v>
      </c>
      <c r="J6524" t="s">
        <v>427</v>
      </c>
      <c r="K6524" t="s">
        <v>13</v>
      </c>
      <c r="L6524" t="s">
        <v>19</v>
      </c>
      <c r="M6524" t="s">
        <v>114</v>
      </c>
      <c r="N6524" s="2">
        <v>46174</v>
      </c>
    </row>
    <row r="6525" spans="1:14" x14ac:dyDescent="0.25">
      <c r="A6525" t="s">
        <v>742</v>
      </c>
      <c r="B6525" s="2">
        <v>46203</v>
      </c>
      <c r="C6525" t="s">
        <v>742</v>
      </c>
      <c r="D6525" t="s">
        <v>112</v>
      </c>
      <c r="E6525" t="s">
        <v>9</v>
      </c>
      <c r="F6525" s="3">
        <v>14976</v>
      </c>
      <c r="G6525" s="3">
        <v>14976</v>
      </c>
      <c r="H6525" t="s">
        <v>3</v>
      </c>
      <c r="I6525" t="s">
        <v>3</v>
      </c>
      <c r="J6525" t="s">
        <v>743</v>
      </c>
      <c r="K6525" t="s">
        <v>13</v>
      </c>
      <c r="L6525" t="s">
        <v>19</v>
      </c>
      <c r="M6525" t="s">
        <v>114</v>
      </c>
      <c r="N6525" s="2">
        <v>46203</v>
      </c>
    </row>
    <row r="6526" spans="1:14" x14ac:dyDescent="0.25">
      <c r="A6526" s="4" t="s">
        <v>224</v>
      </c>
      <c r="B6526" s="5"/>
      <c r="C6526" s="4" t="s">
        <v>9</v>
      </c>
      <c r="D6526" s="4" t="s">
        <v>9</v>
      </c>
      <c r="E6526" s="4" t="s">
        <v>9</v>
      </c>
      <c r="F6526" s="6">
        <v>0</v>
      </c>
      <c r="G6526" s="6">
        <v>0</v>
      </c>
      <c r="H6526" s="4" t="s">
        <v>9</v>
      </c>
      <c r="I6526" s="4" t="s">
        <v>3</v>
      </c>
      <c r="J6526" s="4" t="s">
        <v>9</v>
      </c>
      <c r="K6526" s="4" t="s">
        <v>9</v>
      </c>
      <c r="L6526" s="4" t="s">
        <v>9</v>
      </c>
      <c r="M6526" s="4" t="s">
        <v>9</v>
      </c>
      <c r="N6526" s="5"/>
    </row>
    <row r="6527" spans="1:14" x14ac:dyDescent="0.25">
      <c r="A6527" s="4" t="s">
        <v>742</v>
      </c>
      <c r="B6527" s="5"/>
      <c r="C6527" s="4" t="s">
        <v>9</v>
      </c>
      <c r="D6527" s="4" t="s">
        <v>9</v>
      </c>
      <c r="E6527" s="4" t="s">
        <v>9</v>
      </c>
      <c r="F6527" s="6">
        <v>0</v>
      </c>
      <c r="G6527" s="6">
        <v>0</v>
      </c>
      <c r="H6527" s="4" t="s">
        <v>9</v>
      </c>
      <c r="I6527" s="4" t="s">
        <v>3</v>
      </c>
      <c r="J6527" s="4" t="s">
        <v>9</v>
      </c>
      <c r="K6527" s="4" t="s">
        <v>9</v>
      </c>
      <c r="L6527" s="4" t="s">
        <v>9</v>
      </c>
      <c r="M6527" s="4" t="s">
        <v>9</v>
      </c>
      <c r="N6527" s="5"/>
    </row>
    <row r="6528" spans="1:14" x14ac:dyDescent="0.25">
      <c r="A6528" t="s">
        <v>744</v>
      </c>
      <c r="B6528" s="2">
        <v>46115</v>
      </c>
      <c r="C6528" t="s">
        <v>744</v>
      </c>
      <c r="D6528" t="s">
        <v>33</v>
      </c>
      <c r="E6528" t="s">
        <v>9</v>
      </c>
      <c r="F6528" s="3">
        <v>6615</v>
      </c>
      <c r="G6528" s="3">
        <v>6615</v>
      </c>
      <c r="H6528" t="s">
        <v>3</v>
      </c>
      <c r="I6528" t="s">
        <v>3</v>
      </c>
      <c r="J6528" t="s">
        <v>9</v>
      </c>
      <c r="K6528" t="s">
        <v>9</v>
      </c>
      <c r="L6528" t="s">
        <v>16</v>
      </c>
      <c r="M6528" t="s">
        <v>35</v>
      </c>
      <c r="N6528" s="2">
        <v>46112</v>
      </c>
    </row>
    <row r="6529" spans="1:14" x14ac:dyDescent="0.25">
      <c r="A6529" t="s">
        <v>744</v>
      </c>
      <c r="B6529" s="2">
        <v>46100</v>
      </c>
      <c r="C6529" t="s">
        <v>744</v>
      </c>
      <c r="D6529" t="s">
        <v>33</v>
      </c>
      <c r="E6529" t="s">
        <v>9</v>
      </c>
      <c r="F6529" s="3">
        <v>-6615</v>
      </c>
      <c r="G6529" s="3">
        <v>-6615</v>
      </c>
      <c r="H6529" t="s">
        <v>3</v>
      </c>
      <c r="I6529" t="s">
        <v>3</v>
      </c>
      <c r="J6529" t="s">
        <v>9</v>
      </c>
      <c r="K6529" t="s">
        <v>13</v>
      </c>
      <c r="L6529" t="s">
        <v>16</v>
      </c>
      <c r="M6529" t="s">
        <v>35</v>
      </c>
      <c r="N6529" s="2">
        <v>46100</v>
      </c>
    </row>
    <row r="6530" spans="1:14" x14ac:dyDescent="0.25">
      <c r="A6530" s="4" t="s">
        <v>244</v>
      </c>
      <c r="B6530" s="5"/>
      <c r="C6530" s="4" t="s">
        <v>9</v>
      </c>
      <c r="D6530" s="4" t="s">
        <v>9</v>
      </c>
      <c r="E6530" s="4" t="s">
        <v>9</v>
      </c>
      <c r="F6530" s="6">
        <v>0</v>
      </c>
      <c r="G6530" s="6">
        <v>0</v>
      </c>
      <c r="H6530" s="4" t="s">
        <v>9</v>
      </c>
      <c r="I6530" s="4" t="s">
        <v>3</v>
      </c>
      <c r="J6530" s="4" t="s">
        <v>9</v>
      </c>
      <c r="K6530" s="4" t="s">
        <v>9</v>
      </c>
      <c r="L6530" s="4" t="s">
        <v>9</v>
      </c>
      <c r="M6530" s="4" t="s">
        <v>9</v>
      </c>
      <c r="N6530" s="5"/>
    </row>
    <row r="6531" spans="1:14" x14ac:dyDescent="0.25">
      <c r="A6531" t="s">
        <v>744</v>
      </c>
      <c r="B6531" s="2">
        <v>46147</v>
      </c>
      <c r="C6531" t="s">
        <v>744</v>
      </c>
      <c r="D6531" t="s">
        <v>33</v>
      </c>
      <c r="E6531" t="s">
        <v>9</v>
      </c>
      <c r="F6531" s="3">
        <v>8190</v>
      </c>
      <c r="G6531" s="3">
        <v>8190</v>
      </c>
      <c r="H6531" t="s">
        <v>3</v>
      </c>
      <c r="I6531" t="s">
        <v>3</v>
      </c>
      <c r="J6531" t="s">
        <v>9</v>
      </c>
      <c r="K6531" t="s">
        <v>9</v>
      </c>
      <c r="L6531" t="s">
        <v>17</v>
      </c>
      <c r="M6531" t="s">
        <v>35</v>
      </c>
      <c r="N6531" s="2">
        <v>46142</v>
      </c>
    </row>
    <row r="6532" spans="1:14" x14ac:dyDescent="0.25">
      <c r="A6532" t="s">
        <v>744</v>
      </c>
      <c r="B6532" s="2">
        <v>46127</v>
      </c>
      <c r="C6532" t="s">
        <v>744</v>
      </c>
      <c r="D6532" t="s">
        <v>33</v>
      </c>
      <c r="E6532" t="s">
        <v>9</v>
      </c>
      <c r="F6532" s="3">
        <v>-8190</v>
      </c>
      <c r="G6532" s="3">
        <v>-8190</v>
      </c>
      <c r="H6532" t="s">
        <v>3</v>
      </c>
      <c r="I6532" t="s">
        <v>3</v>
      </c>
      <c r="J6532" t="s">
        <v>9</v>
      </c>
      <c r="K6532" t="s">
        <v>13</v>
      </c>
      <c r="L6532" t="s">
        <v>17</v>
      </c>
      <c r="M6532" t="s">
        <v>35</v>
      </c>
      <c r="N6532" s="2">
        <v>46127</v>
      </c>
    </row>
    <row r="6533" spans="1:14" x14ac:dyDescent="0.25">
      <c r="A6533" s="4" t="s">
        <v>249</v>
      </c>
      <c r="B6533" s="5"/>
      <c r="C6533" s="4" t="s">
        <v>9</v>
      </c>
      <c r="D6533" s="4" t="s">
        <v>9</v>
      </c>
      <c r="E6533" s="4" t="s">
        <v>9</v>
      </c>
      <c r="F6533" s="6">
        <v>0</v>
      </c>
      <c r="G6533" s="6">
        <v>0</v>
      </c>
      <c r="H6533" s="4" t="s">
        <v>9</v>
      </c>
      <c r="I6533" s="4" t="s">
        <v>3</v>
      </c>
      <c r="J6533" s="4" t="s">
        <v>9</v>
      </c>
      <c r="K6533" s="4" t="s">
        <v>9</v>
      </c>
      <c r="L6533" s="4" t="s">
        <v>9</v>
      </c>
      <c r="M6533" s="4" t="s">
        <v>9</v>
      </c>
      <c r="N6533" s="5"/>
    </row>
    <row r="6534" spans="1:14" x14ac:dyDescent="0.25">
      <c r="A6534" t="s">
        <v>744</v>
      </c>
      <c r="B6534" s="2">
        <v>46175</v>
      </c>
      <c r="C6534" t="s">
        <v>744</v>
      </c>
      <c r="D6534" t="s">
        <v>33</v>
      </c>
      <c r="E6534" t="s">
        <v>9</v>
      </c>
      <c r="F6534" s="3">
        <v>7350</v>
      </c>
      <c r="G6534" s="3">
        <v>7350</v>
      </c>
      <c r="H6534" t="s">
        <v>3</v>
      </c>
      <c r="I6534" t="s">
        <v>3</v>
      </c>
      <c r="J6534" t="s">
        <v>9</v>
      </c>
      <c r="K6534" t="s">
        <v>9</v>
      </c>
      <c r="L6534" t="s">
        <v>18</v>
      </c>
      <c r="M6534" t="s">
        <v>35</v>
      </c>
      <c r="N6534" s="2">
        <v>46173</v>
      </c>
    </row>
    <row r="6535" spans="1:14" x14ac:dyDescent="0.25">
      <c r="A6535" t="s">
        <v>744</v>
      </c>
      <c r="B6535" s="2">
        <v>46161</v>
      </c>
      <c r="C6535" t="s">
        <v>744</v>
      </c>
      <c r="D6535" t="s">
        <v>33</v>
      </c>
      <c r="E6535" t="s">
        <v>9</v>
      </c>
      <c r="F6535" s="3">
        <v>-7350</v>
      </c>
      <c r="G6535" s="3">
        <v>-7350</v>
      </c>
      <c r="H6535" t="s">
        <v>3</v>
      </c>
      <c r="I6535" t="s">
        <v>3</v>
      </c>
      <c r="J6535" t="s">
        <v>9</v>
      </c>
      <c r="K6535" t="s">
        <v>13</v>
      </c>
      <c r="L6535" t="s">
        <v>18</v>
      </c>
      <c r="M6535" t="s">
        <v>35</v>
      </c>
      <c r="N6535" s="2">
        <v>46161</v>
      </c>
    </row>
    <row r="6536" spans="1:14" x14ac:dyDescent="0.25">
      <c r="A6536" s="4" t="s">
        <v>223</v>
      </c>
      <c r="B6536" s="5"/>
      <c r="C6536" s="4" t="s">
        <v>9</v>
      </c>
      <c r="D6536" s="4" t="s">
        <v>9</v>
      </c>
      <c r="E6536" s="4" t="s">
        <v>9</v>
      </c>
      <c r="F6536" s="6">
        <v>0</v>
      </c>
      <c r="G6536" s="6">
        <v>0</v>
      </c>
      <c r="H6536" s="4" t="s">
        <v>9</v>
      </c>
      <c r="I6536" s="4" t="s">
        <v>3</v>
      </c>
      <c r="J6536" s="4" t="s">
        <v>9</v>
      </c>
      <c r="K6536" s="4" t="s">
        <v>9</v>
      </c>
      <c r="L6536" s="4" t="s">
        <v>9</v>
      </c>
      <c r="M6536" s="4" t="s">
        <v>9</v>
      </c>
      <c r="N6536" s="5"/>
    </row>
    <row r="6537" spans="1:14" x14ac:dyDescent="0.25">
      <c r="A6537" t="s">
        <v>744</v>
      </c>
      <c r="B6537" s="2">
        <v>46205</v>
      </c>
      <c r="C6537" t="s">
        <v>744</v>
      </c>
      <c r="D6537" t="s">
        <v>33</v>
      </c>
      <c r="E6537" t="s">
        <v>9</v>
      </c>
      <c r="F6537" s="3">
        <v>7560</v>
      </c>
      <c r="G6537" s="3">
        <v>7560</v>
      </c>
      <c r="H6537" t="s">
        <v>3</v>
      </c>
      <c r="I6537" t="s">
        <v>3</v>
      </c>
      <c r="J6537" t="s">
        <v>9</v>
      </c>
      <c r="K6537" t="s">
        <v>9</v>
      </c>
      <c r="L6537" t="s">
        <v>19</v>
      </c>
      <c r="M6537" t="s">
        <v>35</v>
      </c>
      <c r="N6537" s="2">
        <v>46203</v>
      </c>
    </row>
    <row r="6538" spans="1:14" x14ac:dyDescent="0.25">
      <c r="A6538" t="s">
        <v>744</v>
      </c>
      <c r="B6538" s="2">
        <v>46192</v>
      </c>
      <c r="C6538" t="s">
        <v>744</v>
      </c>
      <c r="D6538" t="s">
        <v>33</v>
      </c>
      <c r="E6538" t="s">
        <v>9</v>
      </c>
      <c r="F6538" s="3">
        <v>-7560</v>
      </c>
      <c r="G6538" s="3">
        <v>-7560</v>
      </c>
      <c r="H6538" t="s">
        <v>3</v>
      </c>
      <c r="I6538" t="s">
        <v>3</v>
      </c>
      <c r="J6538" t="s">
        <v>9</v>
      </c>
      <c r="K6538" t="s">
        <v>13</v>
      </c>
      <c r="L6538" t="s">
        <v>19</v>
      </c>
      <c r="M6538" t="s">
        <v>35</v>
      </c>
      <c r="N6538" s="2">
        <v>46192</v>
      </c>
    </row>
    <row r="6539" spans="1:14" x14ac:dyDescent="0.25">
      <c r="A6539" s="4" t="s">
        <v>224</v>
      </c>
      <c r="B6539" s="5"/>
      <c r="C6539" s="4" t="s">
        <v>9</v>
      </c>
      <c r="D6539" s="4" t="s">
        <v>9</v>
      </c>
      <c r="E6539" s="4" t="s">
        <v>9</v>
      </c>
      <c r="F6539" s="6">
        <v>0</v>
      </c>
      <c r="G6539" s="6">
        <v>0</v>
      </c>
      <c r="H6539" s="4" t="s">
        <v>9</v>
      </c>
      <c r="I6539" s="4" t="s">
        <v>3</v>
      </c>
      <c r="J6539" s="4" t="s">
        <v>9</v>
      </c>
      <c r="K6539" s="4" t="s">
        <v>9</v>
      </c>
      <c r="L6539" s="4" t="s">
        <v>9</v>
      </c>
      <c r="M6539" s="4" t="s">
        <v>9</v>
      </c>
      <c r="N6539" s="5"/>
    </row>
    <row r="6540" spans="1:14" x14ac:dyDescent="0.25">
      <c r="A6540" t="s">
        <v>744</v>
      </c>
      <c r="B6540" s="2">
        <v>46239</v>
      </c>
      <c r="C6540" t="s">
        <v>744</v>
      </c>
      <c r="D6540" t="s">
        <v>33</v>
      </c>
      <c r="E6540" t="s">
        <v>9</v>
      </c>
      <c r="F6540" s="3">
        <v>4095</v>
      </c>
      <c r="G6540" s="3">
        <v>4095</v>
      </c>
      <c r="H6540" t="s">
        <v>3</v>
      </c>
      <c r="I6540" t="s">
        <v>3</v>
      </c>
      <c r="J6540" t="s">
        <v>9</v>
      </c>
      <c r="K6540" t="s">
        <v>9</v>
      </c>
      <c r="L6540" t="s">
        <v>21</v>
      </c>
      <c r="M6540" t="s">
        <v>35</v>
      </c>
      <c r="N6540" s="2">
        <v>46234</v>
      </c>
    </row>
    <row r="6541" spans="1:14" x14ac:dyDescent="0.25">
      <c r="A6541" t="s">
        <v>744</v>
      </c>
      <c r="B6541" s="2">
        <v>46218</v>
      </c>
      <c r="C6541" t="s">
        <v>744</v>
      </c>
      <c r="D6541" t="s">
        <v>33</v>
      </c>
      <c r="E6541" t="s">
        <v>9</v>
      </c>
      <c r="F6541" s="3">
        <v>-4095</v>
      </c>
      <c r="G6541" s="3">
        <v>-4095</v>
      </c>
      <c r="H6541" t="s">
        <v>3</v>
      </c>
      <c r="I6541" t="s">
        <v>3</v>
      </c>
      <c r="J6541" t="s">
        <v>9</v>
      </c>
      <c r="K6541" t="s">
        <v>13</v>
      </c>
      <c r="L6541" t="s">
        <v>21</v>
      </c>
      <c r="M6541" t="s">
        <v>35</v>
      </c>
      <c r="N6541" s="2">
        <v>46218</v>
      </c>
    </row>
    <row r="6542" spans="1:14" x14ac:dyDescent="0.25">
      <c r="A6542" s="4" t="s">
        <v>262</v>
      </c>
      <c r="B6542" s="5"/>
      <c r="C6542" s="4" t="s">
        <v>9</v>
      </c>
      <c r="D6542" s="4" t="s">
        <v>9</v>
      </c>
      <c r="E6542" s="4" t="s">
        <v>9</v>
      </c>
      <c r="F6542" s="6">
        <v>0</v>
      </c>
      <c r="G6542" s="6">
        <v>0</v>
      </c>
      <c r="H6542" s="4" t="s">
        <v>9</v>
      </c>
      <c r="I6542" s="4" t="s">
        <v>3</v>
      </c>
      <c r="J6542" s="4" t="s">
        <v>9</v>
      </c>
      <c r="K6542" s="4" t="s">
        <v>9</v>
      </c>
      <c r="L6542" s="4" t="s">
        <v>9</v>
      </c>
      <c r="M6542" s="4" t="s">
        <v>9</v>
      </c>
      <c r="N6542" s="5"/>
    </row>
    <row r="6543" spans="1:14" x14ac:dyDescent="0.25">
      <c r="A6543" t="s">
        <v>744</v>
      </c>
      <c r="B6543" s="2">
        <v>46267</v>
      </c>
      <c r="C6543" t="s">
        <v>744</v>
      </c>
      <c r="D6543" t="s">
        <v>33</v>
      </c>
      <c r="E6543" t="s">
        <v>9</v>
      </c>
      <c r="F6543" s="3">
        <v>2310</v>
      </c>
      <c r="G6543" s="3">
        <v>2310</v>
      </c>
      <c r="H6543" t="s">
        <v>3</v>
      </c>
      <c r="I6543" t="s">
        <v>3</v>
      </c>
      <c r="J6543" t="s">
        <v>9</v>
      </c>
      <c r="K6543" t="s">
        <v>9</v>
      </c>
      <c r="L6543" t="s">
        <v>22</v>
      </c>
      <c r="M6543" t="s">
        <v>35</v>
      </c>
      <c r="N6543" s="2">
        <v>46265</v>
      </c>
    </row>
    <row r="6544" spans="1:14" x14ac:dyDescent="0.25">
      <c r="A6544" t="s">
        <v>744</v>
      </c>
      <c r="B6544" s="2">
        <v>46254</v>
      </c>
      <c r="C6544" t="s">
        <v>744</v>
      </c>
      <c r="D6544" t="s">
        <v>33</v>
      </c>
      <c r="E6544" t="s">
        <v>9</v>
      </c>
      <c r="F6544" s="3">
        <v>-2310</v>
      </c>
      <c r="G6544" s="3">
        <v>-2310</v>
      </c>
      <c r="H6544" t="s">
        <v>3</v>
      </c>
      <c r="I6544" t="s">
        <v>3</v>
      </c>
      <c r="J6544" t="s">
        <v>9</v>
      </c>
      <c r="K6544" t="s">
        <v>13</v>
      </c>
      <c r="L6544" t="s">
        <v>22</v>
      </c>
      <c r="M6544" t="s">
        <v>35</v>
      </c>
      <c r="N6544" s="2">
        <v>46254</v>
      </c>
    </row>
    <row r="6545" spans="1:14" x14ac:dyDescent="0.25">
      <c r="A6545" s="4" t="s">
        <v>267</v>
      </c>
      <c r="B6545" s="5"/>
      <c r="C6545" s="4" t="s">
        <v>9</v>
      </c>
      <c r="D6545" s="4" t="s">
        <v>9</v>
      </c>
      <c r="E6545" s="4" t="s">
        <v>9</v>
      </c>
      <c r="F6545" s="6">
        <v>0</v>
      </c>
      <c r="G6545" s="6">
        <v>0</v>
      </c>
      <c r="H6545" s="4" t="s">
        <v>9</v>
      </c>
      <c r="I6545" s="4" t="s">
        <v>3</v>
      </c>
      <c r="J6545" s="4" t="s">
        <v>9</v>
      </c>
      <c r="K6545" s="4" t="s">
        <v>9</v>
      </c>
      <c r="L6545" s="4" t="s">
        <v>9</v>
      </c>
      <c r="M6545" s="4" t="s">
        <v>9</v>
      </c>
      <c r="N6545" s="5"/>
    </row>
    <row r="6546" spans="1:14" x14ac:dyDescent="0.25">
      <c r="A6546" s="4" t="s">
        <v>744</v>
      </c>
      <c r="B6546" s="5"/>
      <c r="C6546" s="4" t="s">
        <v>9</v>
      </c>
      <c r="D6546" s="4" t="s">
        <v>9</v>
      </c>
      <c r="E6546" s="4" t="s">
        <v>9</v>
      </c>
      <c r="F6546" s="6">
        <v>0</v>
      </c>
      <c r="G6546" s="6">
        <v>0</v>
      </c>
      <c r="H6546" s="4" t="s">
        <v>9</v>
      </c>
      <c r="I6546" s="4" t="s">
        <v>3</v>
      </c>
      <c r="J6546" s="4" t="s">
        <v>9</v>
      </c>
      <c r="K6546" s="4" t="s">
        <v>9</v>
      </c>
      <c r="L6546" s="4" t="s">
        <v>9</v>
      </c>
      <c r="M6546" s="4" t="s">
        <v>9</v>
      </c>
      <c r="N6546" s="5"/>
    </row>
    <row r="6547" spans="1:14" x14ac:dyDescent="0.25">
      <c r="A6547" t="s">
        <v>745</v>
      </c>
      <c r="B6547" s="2">
        <v>46084</v>
      </c>
      <c r="C6547" t="s">
        <v>745</v>
      </c>
      <c r="D6547" t="s">
        <v>112</v>
      </c>
      <c r="E6547" t="s">
        <v>9</v>
      </c>
      <c r="F6547" s="3">
        <v>-6300</v>
      </c>
      <c r="G6547" s="3">
        <v>-6300</v>
      </c>
      <c r="H6547" t="s">
        <v>3</v>
      </c>
      <c r="I6547" t="s">
        <v>3</v>
      </c>
      <c r="J6547" t="s">
        <v>9</v>
      </c>
      <c r="K6547" t="s">
        <v>9</v>
      </c>
      <c r="L6547" t="s">
        <v>15</v>
      </c>
      <c r="M6547" t="s">
        <v>114</v>
      </c>
      <c r="N6547" s="2">
        <v>46081</v>
      </c>
    </row>
    <row r="6548" spans="1:14" x14ac:dyDescent="0.25">
      <c r="A6548" t="s">
        <v>745</v>
      </c>
      <c r="B6548" s="2">
        <v>46081</v>
      </c>
      <c r="C6548" t="s">
        <v>745</v>
      </c>
      <c r="D6548" t="s">
        <v>112</v>
      </c>
      <c r="E6548" t="s">
        <v>9</v>
      </c>
      <c r="F6548" s="3">
        <v>6300</v>
      </c>
      <c r="G6548" s="3">
        <v>6300</v>
      </c>
      <c r="H6548" t="s">
        <v>3</v>
      </c>
      <c r="I6548" t="s">
        <v>3</v>
      </c>
      <c r="J6548" t="s">
        <v>393</v>
      </c>
      <c r="K6548" t="s">
        <v>13</v>
      </c>
      <c r="L6548" t="s">
        <v>15</v>
      </c>
      <c r="M6548" t="s">
        <v>114</v>
      </c>
      <c r="N6548" s="2">
        <v>46081</v>
      </c>
    </row>
    <row r="6549" spans="1:14" x14ac:dyDescent="0.25">
      <c r="A6549" s="4" t="s">
        <v>239</v>
      </c>
      <c r="B6549" s="5"/>
      <c r="C6549" s="4" t="s">
        <v>9</v>
      </c>
      <c r="D6549" s="4" t="s">
        <v>9</v>
      </c>
      <c r="E6549" s="4" t="s">
        <v>9</v>
      </c>
      <c r="F6549" s="6">
        <v>0</v>
      </c>
      <c r="G6549" s="6">
        <v>0</v>
      </c>
      <c r="H6549" s="4" t="s">
        <v>9</v>
      </c>
      <c r="I6549" s="4" t="s">
        <v>3</v>
      </c>
      <c r="J6549" s="4" t="s">
        <v>9</v>
      </c>
      <c r="K6549" s="4" t="s">
        <v>9</v>
      </c>
      <c r="L6549" s="4" t="s">
        <v>9</v>
      </c>
      <c r="M6549" s="4" t="s">
        <v>9</v>
      </c>
      <c r="N6549" s="5"/>
    </row>
    <row r="6550" spans="1:14" x14ac:dyDescent="0.25">
      <c r="A6550" t="s">
        <v>745</v>
      </c>
      <c r="B6550" s="2">
        <v>46115</v>
      </c>
      <c r="C6550" t="s">
        <v>745</v>
      </c>
      <c r="D6550" t="s">
        <v>112</v>
      </c>
      <c r="E6550" t="s">
        <v>9</v>
      </c>
      <c r="F6550" s="3">
        <v>-7800</v>
      </c>
      <c r="G6550" s="3">
        <v>-7800</v>
      </c>
      <c r="H6550" t="s">
        <v>3</v>
      </c>
      <c r="I6550" t="s">
        <v>3</v>
      </c>
      <c r="J6550" t="s">
        <v>9</v>
      </c>
      <c r="K6550" t="s">
        <v>9</v>
      </c>
      <c r="L6550" t="s">
        <v>16</v>
      </c>
      <c r="M6550" t="s">
        <v>114</v>
      </c>
      <c r="N6550" s="2">
        <v>46112</v>
      </c>
    </row>
    <row r="6551" spans="1:14" x14ac:dyDescent="0.25">
      <c r="A6551" t="s">
        <v>745</v>
      </c>
      <c r="B6551" s="2">
        <v>46081</v>
      </c>
      <c r="C6551" t="s">
        <v>745</v>
      </c>
      <c r="D6551" t="s">
        <v>112</v>
      </c>
      <c r="E6551" t="s">
        <v>9</v>
      </c>
      <c r="F6551" s="3">
        <v>-6300</v>
      </c>
      <c r="G6551" s="3">
        <v>-6300</v>
      </c>
      <c r="H6551" t="s">
        <v>3</v>
      </c>
      <c r="I6551" t="s">
        <v>3</v>
      </c>
      <c r="J6551" t="s">
        <v>393</v>
      </c>
      <c r="K6551" t="s">
        <v>13</v>
      </c>
      <c r="L6551" t="s">
        <v>16</v>
      </c>
      <c r="M6551" t="s">
        <v>114</v>
      </c>
      <c r="N6551" s="2">
        <v>46082</v>
      </c>
    </row>
    <row r="6552" spans="1:14" x14ac:dyDescent="0.25">
      <c r="A6552" t="s">
        <v>745</v>
      </c>
      <c r="B6552" s="2">
        <v>46112</v>
      </c>
      <c r="C6552" t="s">
        <v>745</v>
      </c>
      <c r="D6552" t="s">
        <v>112</v>
      </c>
      <c r="E6552" t="s">
        <v>9</v>
      </c>
      <c r="F6552" s="3">
        <v>14100</v>
      </c>
      <c r="G6552" s="3">
        <v>14100</v>
      </c>
      <c r="H6552" t="s">
        <v>3</v>
      </c>
      <c r="I6552" t="s">
        <v>3</v>
      </c>
      <c r="J6552" t="s">
        <v>395</v>
      </c>
      <c r="K6552" t="s">
        <v>13</v>
      </c>
      <c r="L6552" t="s">
        <v>16</v>
      </c>
      <c r="M6552" t="s">
        <v>114</v>
      </c>
      <c r="N6552" s="2">
        <v>46112</v>
      </c>
    </row>
    <row r="6553" spans="1:14" x14ac:dyDescent="0.25">
      <c r="A6553" s="4" t="s">
        <v>244</v>
      </c>
      <c r="B6553" s="5"/>
      <c r="C6553" s="4" t="s">
        <v>9</v>
      </c>
      <c r="D6553" s="4" t="s">
        <v>9</v>
      </c>
      <c r="E6553" s="4" t="s">
        <v>9</v>
      </c>
      <c r="F6553" s="6">
        <v>0</v>
      </c>
      <c r="G6553" s="6">
        <v>0</v>
      </c>
      <c r="H6553" s="4" t="s">
        <v>9</v>
      </c>
      <c r="I6553" s="4" t="s">
        <v>3</v>
      </c>
      <c r="J6553" s="4" t="s">
        <v>9</v>
      </c>
      <c r="K6553" s="4" t="s">
        <v>9</v>
      </c>
      <c r="L6553" s="4" t="s">
        <v>9</v>
      </c>
      <c r="M6553" s="4" t="s">
        <v>9</v>
      </c>
      <c r="N6553" s="5"/>
    </row>
    <row r="6554" spans="1:14" x14ac:dyDescent="0.25">
      <c r="A6554" t="s">
        <v>745</v>
      </c>
      <c r="B6554" s="2">
        <v>46147</v>
      </c>
      <c r="C6554" t="s">
        <v>745</v>
      </c>
      <c r="D6554" t="s">
        <v>112</v>
      </c>
      <c r="E6554" t="s">
        <v>9</v>
      </c>
      <c r="F6554" s="3">
        <v>-7000</v>
      </c>
      <c r="G6554" s="3">
        <v>-7000</v>
      </c>
      <c r="H6554" t="s">
        <v>3</v>
      </c>
      <c r="I6554" t="s">
        <v>3</v>
      </c>
      <c r="J6554" t="s">
        <v>9</v>
      </c>
      <c r="K6554" t="s">
        <v>9</v>
      </c>
      <c r="L6554" t="s">
        <v>17</v>
      </c>
      <c r="M6554" t="s">
        <v>114</v>
      </c>
      <c r="N6554" s="2">
        <v>46142</v>
      </c>
    </row>
    <row r="6555" spans="1:14" x14ac:dyDescent="0.25">
      <c r="A6555" t="s">
        <v>745</v>
      </c>
      <c r="B6555" s="2">
        <v>46112</v>
      </c>
      <c r="C6555" t="s">
        <v>745</v>
      </c>
      <c r="D6555" t="s">
        <v>112</v>
      </c>
      <c r="E6555" t="s">
        <v>9</v>
      </c>
      <c r="F6555" s="3">
        <v>-14100</v>
      </c>
      <c r="G6555" s="3">
        <v>-14100</v>
      </c>
      <c r="H6555" t="s">
        <v>3</v>
      </c>
      <c r="I6555" t="s">
        <v>3</v>
      </c>
      <c r="J6555" t="s">
        <v>395</v>
      </c>
      <c r="K6555" t="s">
        <v>13</v>
      </c>
      <c r="L6555" t="s">
        <v>17</v>
      </c>
      <c r="M6555" t="s">
        <v>114</v>
      </c>
      <c r="N6555" s="2">
        <v>46113</v>
      </c>
    </row>
    <row r="6556" spans="1:14" x14ac:dyDescent="0.25">
      <c r="A6556" t="s">
        <v>745</v>
      </c>
      <c r="B6556" s="2">
        <v>46142</v>
      </c>
      <c r="C6556" t="s">
        <v>745</v>
      </c>
      <c r="D6556" t="s">
        <v>112</v>
      </c>
      <c r="E6556" t="s">
        <v>9</v>
      </c>
      <c r="F6556" s="3">
        <v>21100</v>
      </c>
      <c r="G6556" s="3">
        <v>21100</v>
      </c>
      <c r="H6556" t="s">
        <v>3</v>
      </c>
      <c r="I6556" t="s">
        <v>3</v>
      </c>
      <c r="J6556" t="s">
        <v>423</v>
      </c>
      <c r="K6556" t="s">
        <v>13</v>
      </c>
      <c r="L6556" t="s">
        <v>17</v>
      </c>
      <c r="M6556" t="s">
        <v>114</v>
      </c>
      <c r="N6556" s="2">
        <v>46142</v>
      </c>
    </row>
    <row r="6557" spans="1:14" x14ac:dyDescent="0.25">
      <c r="A6557" s="4" t="s">
        <v>249</v>
      </c>
      <c r="B6557" s="5"/>
      <c r="C6557" s="4" t="s">
        <v>9</v>
      </c>
      <c r="D6557" s="4" t="s">
        <v>9</v>
      </c>
      <c r="E6557" s="4" t="s">
        <v>9</v>
      </c>
      <c r="F6557" s="6">
        <v>0</v>
      </c>
      <c r="G6557" s="6">
        <v>0</v>
      </c>
      <c r="H6557" s="4" t="s">
        <v>9</v>
      </c>
      <c r="I6557" s="4" t="s">
        <v>3</v>
      </c>
      <c r="J6557" s="4" t="s">
        <v>9</v>
      </c>
      <c r="K6557" s="4" t="s">
        <v>9</v>
      </c>
      <c r="L6557" s="4" t="s">
        <v>9</v>
      </c>
      <c r="M6557" s="4" t="s">
        <v>9</v>
      </c>
      <c r="N6557" s="5"/>
    </row>
    <row r="6558" spans="1:14" x14ac:dyDescent="0.25">
      <c r="A6558" t="s">
        <v>745</v>
      </c>
      <c r="B6558" s="2">
        <v>46175</v>
      </c>
      <c r="C6558" t="s">
        <v>745</v>
      </c>
      <c r="D6558" t="s">
        <v>112</v>
      </c>
      <c r="E6558" t="s">
        <v>9</v>
      </c>
      <c r="F6558" s="3">
        <v>-7200</v>
      </c>
      <c r="G6558" s="3">
        <v>-7200</v>
      </c>
      <c r="H6558" t="s">
        <v>3</v>
      </c>
      <c r="I6558" t="s">
        <v>3</v>
      </c>
      <c r="J6558" t="s">
        <v>9</v>
      </c>
      <c r="K6558" t="s">
        <v>9</v>
      </c>
      <c r="L6558" t="s">
        <v>18</v>
      </c>
      <c r="M6558" t="s">
        <v>114</v>
      </c>
      <c r="N6558" s="2">
        <v>46173</v>
      </c>
    </row>
    <row r="6559" spans="1:14" x14ac:dyDescent="0.25">
      <c r="A6559" t="s">
        <v>745</v>
      </c>
      <c r="B6559" s="2">
        <v>46142</v>
      </c>
      <c r="C6559" t="s">
        <v>745</v>
      </c>
      <c r="D6559" t="s">
        <v>112</v>
      </c>
      <c r="E6559" t="s">
        <v>9</v>
      </c>
      <c r="F6559" s="3">
        <v>-21100</v>
      </c>
      <c r="G6559" s="3">
        <v>-21100</v>
      </c>
      <c r="H6559" t="s">
        <v>3</v>
      </c>
      <c r="I6559" t="s">
        <v>3</v>
      </c>
      <c r="J6559" t="s">
        <v>423</v>
      </c>
      <c r="K6559" t="s">
        <v>13</v>
      </c>
      <c r="L6559" t="s">
        <v>18</v>
      </c>
      <c r="M6559" t="s">
        <v>114</v>
      </c>
      <c r="N6559" s="2">
        <v>46143</v>
      </c>
    </row>
    <row r="6560" spans="1:14" x14ac:dyDescent="0.25">
      <c r="A6560" t="s">
        <v>745</v>
      </c>
      <c r="B6560" s="2">
        <v>46173</v>
      </c>
      <c r="C6560" t="s">
        <v>745</v>
      </c>
      <c r="D6560" t="s">
        <v>112</v>
      </c>
      <c r="E6560" t="s">
        <v>9</v>
      </c>
      <c r="F6560" s="3">
        <v>28300</v>
      </c>
      <c r="G6560" s="3">
        <v>28300</v>
      </c>
      <c r="H6560" t="s">
        <v>3</v>
      </c>
      <c r="I6560" t="s">
        <v>3</v>
      </c>
      <c r="J6560" t="s">
        <v>427</v>
      </c>
      <c r="K6560" t="s">
        <v>13</v>
      </c>
      <c r="L6560" t="s">
        <v>18</v>
      </c>
      <c r="M6560" t="s">
        <v>114</v>
      </c>
      <c r="N6560" s="2">
        <v>46173</v>
      </c>
    </row>
    <row r="6561" spans="1:14" x14ac:dyDescent="0.25">
      <c r="A6561" s="4" t="s">
        <v>223</v>
      </c>
      <c r="B6561" s="5"/>
      <c r="C6561" s="4" t="s">
        <v>9</v>
      </c>
      <c r="D6561" s="4" t="s">
        <v>9</v>
      </c>
      <c r="E6561" s="4" t="s">
        <v>9</v>
      </c>
      <c r="F6561" s="6">
        <v>0</v>
      </c>
      <c r="G6561" s="6">
        <v>0</v>
      </c>
      <c r="H6561" s="4" t="s">
        <v>9</v>
      </c>
      <c r="I6561" s="4" t="s">
        <v>3</v>
      </c>
      <c r="J6561" s="4" t="s">
        <v>9</v>
      </c>
      <c r="K6561" s="4" t="s">
        <v>9</v>
      </c>
      <c r="L6561" s="4" t="s">
        <v>9</v>
      </c>
      <c r="M6561" s="4" t="s">
        <v>9</v>
      </c>
      <c r="N6561" s="5"/>
    </row>
    <row r="6562" spans="1:14" x14ac:dyDescent="0.25">
      <c r="A6562" t="s">
        <v>745</v>
      </c>
      <c r="B6562" s="2">
        <v>46205</v>
      </c>
      <c r="C6562" t="s">
        <v>745</v>
      </c>
      <c r="D6562" t="s">
        <v>112</v>
      </c>
      <c r="E6562" t="s">
        <v>9</v>
      </c>
      <c r="F6562" s="3">
        <v>-3900</v>
      </c>
      <c r="G6562" s="3">
        <v>-3900</v>
      </c>
      <c r="H6562" t="s">
        <v>3</v>
      </c>
      <c r="I6562" t="s">
        <v>3</v>
      </c>
      <c r="J6562" t="s">
        <v>9</v>
      </c>
      <c r="K6562" t="s">
        <v>9</v>
      </c>
      <c r="L6562" t="s">
        <v>19</v>
      </c>
      <c r="M6562" t="s">
        <v>114</v>
      </c>
      <c r="N6562" s="2">
        <v>46203</v>
      </c>
    </row>
    <row r="6563" spans="1:14" x14ac:dyDescent="0.25">
      <c r="A6563" t="s">
        <v>745</v>
      </c>
      <c r="B6563" s="2">
        <v>46173</v>
      </c>
      <c r="C6563" t="s">
        <v>745</v>
      </c>
      <c r="D6563" t="s">
        <v>112</v>
      </c>
      <c r="E6563" t="s">
        <v>9</v>
      </c>
      <c r="F6563" s="3">
        <v>-28300</v>
      </c>
      <c r="G6563" s="3">
        <v>-28300</v>
      </c>
      <c r="H6563" t="s">
        <v>3</v>
      </c>
      <c r="I6563" t="s">
        <v>3</v>
      </c>
      <c r="J6563" t="s">
        <v>427</v>
      </c>
      <c r="K6563" t="s">
        <v>13</v>
      </c>
      <c r="L6563" t="s">
        <v>19</v>
      </c>
      <c r="M6563" t="s">
        <v>114</v>
      </c>
      <c r="N6563" s="2">
        <v>46174</v>
      </c>
    </row>
    <row r="6564" spans="1:14" x14ac:dyDescent="0.25">
      <c r="A6564" t="s">
        <v>745</v>
      </c>
      <c r="B6564" s="2">
        <v>46203</v>
      </c>
      <c r="C6564" t="s">
        <v>745</v>
      </c>
      <c r="D6564" t="s">
        <v>112</v>
      </c>
      <c r="E6564" t="s">
        <v>9</v>
      </c>
      <c r="F6564" s="3">
        <v>32200</v>
      </c>
      <c r="G6564" s="3">
        <v>32200</v>
      </c>
      <c r="H6564" t="s">
        <v>3</v>
      </c>
      <c r="I6564" t="s">
        <v>3</v>
      </c>
      <c r="J6564" t="s">
        <v>428</v>
      </c>
      <c r="K6564" t="s">
        <v>13</v>
      </c>
      <c r="L6564" t="s">
        <v>19</v>
      </c>
      <c r="M6564" t="s">
        <v>114</v>
      </c>
      <c r="N6564" s="2">
        <v>46203</v>
      </c>
    </row>
    <row r="6565" spans="1:14" x14ac:dyDescent="0.25">
      <c r="A6565" s="4" t="s">
        <v>224</v>
      </c>
      <c r="B6565" s="5"/>
      <c r="C6565" s="4" t="s">
        <v>9</v>
      </c>
      <c r="D6565" s="4" t="s">
        <v>9</v>
      </c>
      <c r="E6565" s="4" t="s">
        <v>9</v>
      </c>
      <c r="F6565" s="6">
        <v>0</v>
      </c>
      <c r="G6565" s="6">
        <v>0</v>
      </c>
      <c r="H6565" s="4" t="s">
        <v>9</v>
      </c>
      <c r="I6565" s="4" t="s">
        <v>3</v>
      </c>
      <c r="J6565" s="4" t="s">
        <v>9</v>
      </c>
      <c r="K6565" s="4" t="s">
        <v>9</v>
      </c>
      <c r="L6565" s="4" t="s">
        <v>9</v>
      </c>
      <c r="M6565" s="4" t="s">
        <v>9</v>
      </c>
      <c r="N6565" s="5"/>
    </row>
    <row r="6566" spans="1:14" x14ac:dyDescent="0.25">
      <c r="A6566" t="s">
        <v>745</v>
      </c>
      <c r="B6566" s="2">
        <v>46239</v>
      </c>
      <c r="C6566" t="s">
        <v>745</v>
      </c>
      <c r="D6566" t="s">
        <v>112</v>
      </c>
      <c r="E6566" t="s">
        <v>9</v>
      </c>
      <c r="F6566" s="3">
        <v>-2200</v>
      </c>
      <c r="G6566" s="3">
        <v>-2200</v>
      </c>
      <c r="H6566" t="s">
        <v>3</v>
      </c>
      <c r="I6566" t="s">
        <v>3</v>
      </c>
      <c r="J6566" t="s">
        <v>9</v>
      </c>
      <c r="K6566" t="s">
        <v>9</v>
      </c>
      <c r="L6566" t="s">
        <v>21</v>
      </c>
      <c r="M6566" t="s">
        <v>114</v>
      </c>
      <c r="N6566" s="2">
        <v>46234</v>
      </c>
    </row>
    <row r="6567" spans="1:14" x14ac:dyDescent="0.25">
      <c r="A6567" t="s">
        <v>745</v>
      </c>
      <c r="B6567" s="2">
        <v>46203</v>
      </c>
      <c r="C6567" t="s">
        <v>745</v>
      </c>
      <c r="D6567" t="s">
        <v>112</v>
      </c>
      <c r="E6567" t="s">
        <v>9</v>
      </c>
      <c r="F6567" s="3">
        <v>-32200</v>
      </c>
      <c r="G6567" s="3">
        <v>-32200</v>
      </c>
      <c r="H6567" t="s">
        <v>3</v>
      </c>
      <c r="I6567" t="s">
        <v>3</v>
      </c>
      <c r="J6567" t="s">
        <v>428</v>
      </c>
      <c r="K6567" t="s">
        <v>13</v>
      </c>
      <c r="L6567" t="s">
        <v>21</v>
      </c>
      <c r="M6567" t="s">
        <v>114</v>
      </c>
      <c r="N6567" s="2">
        <v>46204</v>
      </c>
    </row>
    <row r="6568" spans="1:14" x14ac:dyDescent="0.25">
      <c r="A6568" t="s">
        <v>745</v>
      </c>
      <c r="B6568" s="2">
        <v>46234</v>
      </c>
      <c r="C6568" t="s">
        <v>745</v>
      </c>
      <c r="D6568" t="s">
        <v>112</v>
      </c>
      <c r="E6568" t="s">
        <v>9</v>
      </c>
      <c r="F6568" s="3">
        <v>34400</v>
      </c>
      <c r="G6568" s="3">
        <v>34400</v>
      </c>
      <c r="H6568" t="s">
        <v>3</v>
      </c>
      <c r="I6568" t="s">
        <v>3</v>
      </c>
      <c r="J6568" t="s">
        <v>429</v>
      </c>
      <c r="K6568" t="s">
        <v>13</v>
      </c>
      <c r="L6568" t="s">
        <v>21</v>
      </c>
      <c r="M6568" t="s">
        <v>114</v>
      </c>
      <c r="N6568" s="2">
        <v>46234</v>
      </c>
    </row>
    <row r="6569" spans="1:14" x14ac:dyDescent="0.25">
      <c r="A6569" s="4" t="s">
        <v>262</v>
      </c>
      <c r="B6569" s="5"/>
      <c r="C6569" s="4" t="s">
        <v>9</v>
      </c>
      <c r="D6569" s="4" t="s">
        <v>9</v>
      </c>
      <c r="E6569" s="4" t="s">
        <v>9</v>
      </c>
      <c r="F6569" s="6">
        <v>0</v>
      </c>
      <c r="G6569" s="6">
        <v>0</v>
      </c>
      <c r="H6569" s="4" t="s">
        <v>9</v>
      </c>
      <c r="I6569" s="4" t="s">
        <v>3</v>
      </c>
      <c r="J6569" s="4" t="s">
        <v>9</v>
      </c>
      <c r="K6569" s="4" t="s">
        <v>9</v>
      </c>
      <c r="L6569" s="4" t="s">
        <v>9</v>
      </c>
      <c r="M6569" s="4" t="s">
        <v>9</v>
      </c>
      <c r="N6569" s="5"/>
    </row>
    <row r="6570" spans="1:14" x14ac:dyDescent="0.25">
      <c r="A6570" t="s">
        <v>745</v>
      </c>
      <c r="B6570" s="2">
        <v>46267</v>
      </c>
      <c r="C6570" t="s">
        <v>745</v>
      </c>
      <c r="D6570" t="s">
        <v>112</v>
      </c>
      <c r="E6570" t="s">
        <v>9</v>
      </c>
      <c r="F6570" s="3">
        <v>-1600</v>
      </c>
      <c r="G6570" s="3">
        <v>-1600</v>
      </c>
      <c r="H6570" t="s">
        <v>3</v>
      </c>
      <c r="I6570" t="s">
        <v>3</v>
      </c>
      <c r="J6570" t="s">
        <v>9</v>
      </c>
      <c r="K6570" t="s">
        <v>9</v>
      </c>
      <c r="L6570" t="s">
        <v>22</v>
      </c>
      <c r="M6570" t="s">
        <v>114</v>
      </c>
      <c r="N6570" s="2">
        <v>46265</v>
      </c>
    </row>
    <row r="6571" spans="1:14" x14ac:dyDescent="0.25">
      <c r="A6571" t="s">
        <v>745</v>
      </c>
      <c r="B6571" s="2">
        <v>46234</v>
      </c>
      <c r="C6571" t="s">
        <v>745</v>
      </c>
      <c r="D6571" t="s">
        <v>112</v>
      </c>
      <c r="E6571" t="s">
        <v>9</v>
      </c>
      <c r="F6571" s="3">
        <v>-34400</v>
      </c>
      <c r="G6571" s="3">
        <v>-34400</v>
      </c>
      <c r="H6571" t="s">
        <v>3</v>
      </c>
      <c r="I6571" t="s">
        <v>3</v>
      </c>
      <c r="J6571" t="s">
        <v>429</v>
      </c>
      <c r="K6571" t="s">
        <v>13</v>
      </c>
      <c r="L6571" t="s">
        <v>22</v>
      </c>
      <c r="M6571" t="s">
        <v>114</v>
      </c>
      <c r="N6571" s="2">
        <v>46235</v>
      </c>
    </row>
    <row r="6572" spans="1:14" x14ac:dyDescent="0.25">
      <c r="A6572" t="s">
        <v>745</v>
      </c>
      <c r="B6572" s="2">
        <v>46265</v>
      </c>
      <c r="C6572" t="s">
        <v>745</v>
      </c>
      <c r="D6572" t="s">
        <v>112</v>
      </c>
      <c r="E6572" t="s">
        <v>9</v>
      </c>
      <c r="F6572" s="3">
        <v>36000</v>
      </c>
      <c r="G6572" s="3">
        <v>36000</v>
      </c>
      <c r="H6572" t="s">
        <v>3</v>
      </c>
      <c r="I6572" t="s">
        <v>3</v>
      </c>
      <c r="J6572" t="s">
        <v>431</v>
      </c>
      <c r="K6572" t="s">
        <v>13</v>
      </c>
      <c r="L6572" t="s">
        <v>22</v>
      </c>
      <c r="M6572" t="s">
        <v>114</v>
      </c>
      <c r="N6572" s="2">
        <v>46265</v>
      </c>
    </row>
    <row r="6573" spans="1:14" x14ac:dyDescent="0.25">
      <c r="A6573" s="4" t="s">
        <v>267</v>
      </c>
      <c r="B6573" s="5"/>
      <c r="C6573" s="4" t="s">
        <v>9</v>
      </c>
      <c r="D6573" s="4" t="s">
        <v>9</v>
      </c>
      <c r="E6573" s="4" t="s">
        <v>9</v>
      </c>
      <c r="F6573" s="6">
        <v>0</v>
      </c>
      <c r="G6573" s="6">
        <v>0</v>
      </c>
      <c r="H6573" s="4" t="s">
        <v>9</v>
      </c>
      <c r="I6573" s="4" t="s">
        <v>3</v>
      </c>
      <c r="J6573" s="4" t="s">
        <v>9</v>
      </c>
      <c r="K6573" s="4" t="s">
        <v>9</v>
      </c>
      <c r="L6573" s="4" t="s">
        <v>9</v>
      </c>
      <c r="M6573" s="4" t="s">
        <v>9</v>
      </c>
      <c r="N6573" s="5"/>
    </row>
    <row r="6574" spans="1:14" x14ac:dyDescent="0.25">
      <c r="A6574" s="4" t="s">
        <v>745</v>
      </c>
      <c r="B6574" s="5"/>
      <c r="C6574" s="4" t="s">
        <v>9</v>
      </c>
      <c r="D6574" s="4" t="s">
        <v>9</v>
      </c>
      <c r="E6574" s="4" t="s">
        <v>9</v>
      </c>
      <c r="F6574" s="6">
        <v>0</v>
      </c>
      <c r="G6574" s="6">
        <v>0</v>
      </c>
      <c r="H6574" s="4" t="s">
        <v>9</v>
      </c>
      <c r="I6574" s="4" t="s">
        <v>3</v>
      </c>
      <c r="J6574" s="4" t="s">
        <v>9</v>
      </c>
      <c r="K6574" s="4" t="s">
        <v>9</v>
      </c>
      <c r="L6574" s="4" t="s">
        <v>9</v>
      </c>
      <c r="M6574" s="4" t="s">
        <v>9</v>
      </c>
      <c r="N6574" s="5"/>
    </row>
    <row r="6575" spans="1:14" x14ac:dyDescent="0.25">
      <c r="A6575" t="s">
        <v>746</v>
      </c>
      <c r="B6575" s="2">
        <v>46147</v>
      </c>
      <c r="C6575" t="s">
        <v>746</v>
      </c>
      <c r="D6575" t="s">
        <v>112</v>
      </c>
      <c r="E6575" t="s">
        <v>9</v>
      </c>
      <c r="F6575" s="3">
        <v>-4815</v>
      </c>
      <c r="G6575" s="3">
        <v>-4815</v>
      </c>
      <c r="H6575" t="s">
        <v>3</v>
      </c>
      <c r="I6575" t="s">
        <v>3</v>
      </c>
      <c r="J6575" t="s">
        <v>9</v>
      </c>
      <c r="K6575" t="s">
        <v>9</v>
      </c>
      <c r="L6575" t="s">
        <v>17</v>
      </c>
      <c r="M6575" t="s">
        <v>114</v>
      </c>
      <c r="N6575" s="2">
        <v>46142</v>
      </c>
    </row>
    <row r="6576" spans="1:14" x14ac:dyDescent="0.25">
      <c r="A6576" t="s">
        <v>746</v>
      </c>
      <c r="B6576" s="2">
        <v>46147</v>
      </c>
      <c r="C6576" t="s">
        <v>746</v>
      </c>
      <c r="D6576" t="s">
        <v>301</v>
      </c>
      <c r="E6576" t="s">
        <v>9</v>
      </c>
      <c r="F6576" s="3">
        <v>4815</v>
      </c>
      <c r="G6576" s="3">
        <v>4815</v>
      </c>
      <c r="H6576" t="s">
        <v>3</v>
      </c>
      <c r="I6576" t="s">
        <v>3</v>
      </c>
      <c r="J6576" t="s">
        <v>9</v>
      </c>
      <c r="K6576" t="s">
        <v>9</v>
      </c>
      <c r="L6576" t="s">
        <v>17</v>
      </c>
      <c r="M6576" t="s">
        <v>302</v>
      </c>
      <c r="N6576" s="2">
        <v>46142</v>
      </c>
    </row>
    <row r="6577" spans="1:14" x14ac:dyDescent="0.25">
      <c r="A6577" t="s">
        <v>746</v>
      </c>
      <c r="B6577" s="2">
        <v>46142</v>
      </c>
      <c r="C6577" t="s">
        <v>746</v>
      </c>
      <c r="D6577" t="s">
        <v>112</v>
      </c>
      <c r="E6577" t="s">
        <v>9</v>
      </c>
      <c r="F6577" s="3">
        <v>4815</v>
      </c>
      <c r="G6577" s="3">
        <v>4815</v>
      </c>
      <c r="H6577" t="s">
        <v>3</v>
      </c>
      <c r="I6577" t="s">
        <v>3</v>
      </c>
      <c r="J6577" t="s">
        <v>423</v>
      </c>
      <c r="K6577" t="s">
        <v>13</v>
      </c>
      <c r="L6577" t="s">
        <v>17</v>
      </c>
      <c r="M6577" t="s">
        <v>114</v>
      </c>
      <c r="N6577" s="2">
        <v>46142</v>
      </c>
    </row>
    <row r="6578" spans="1:14" x14ac:dyDescent="0.25">
      <c r="A6578" t="s">
        <v>746</v>
      </c>
      <c r="B6578" s="2">
        <v>46142</v>
      </c>
      <c r="C6578" t="s">
        <v>746</v>
      </c>
      <c r="D6578" t="s">
        <v>301</v>
      </c>
      <c r="E6578" t="s">
        <v>9</v>
      </c>
      <c r="F6578" s="3">
        <v>-4815</v>
      </c>
      <c r="G6578" s="3">
        <v>-4815</v>
      </c>
      <c r="H6578" t="s">
        <v>3</v>
      </c>
      <c r="I6578" t="s">
        <v>3</v>
      </c>
      <c r="J6578" t="s">
        <v>10</v>
      </c>
      <c r="K6578" t="s">
        <v>13</v>
      </c>
      <c r="L6578" t="s">
        <v>17</v>
      </c>
      <c r="M6578" t="s">
        <v>302</v>
      </c>
      <c r="N6578" s="2">
        <v>46142</v>
      </c>
    </row>
    <row r="6579" spans="1:14" x14ac:dyDescent="0.25">
      <c r="A6579" s="4" t="s">
        <v>249</v>
      </c>
      <c r="B6579" s="5"/>
      <c r="C6579" s="4" t="s">
        <v>9</v>
      </c>
      <c r="D6579" s="4" t="s">
        <v>9</v>
      </c>
      <c r="E6579" s="4" t="s">
        <v>9</v>
      </c>
      <c r="F6579" s="6">
        <v>0</v>
      </c>
      <c r="G6579" s="6">
        <v>0</v>
      </c>
      <c r="H6579" s="4" t="s">
        <v>9</v>
      </c>
      <c r="I6579" s="4" t="s">
        <v>3</v>
      </c>
      <c r="J6579" s="4" t="s">
        <v>9</v>
      </c>
      <c r="K6579" s="4" t="s">
        <v>9</v>
      </c>
      <c r="L6579" s="4" t="s">
        <v>9</v>
      </c>
      <c r="M6579" s="4" t="s">
        <v>9</v>
      </c>
      <c r="N6579" s="5"/>
    </row>
    <row r="6580" spans="1:14" x14ac:dyDescent="0.25">
      <c r="A6580" t="s">
        <v>746</v>
      </c>
      <c r="B6580" s="2">
        <v>46142</v>
      </c>
      <c r="C6580" t="s">
        <v>746</v>
      </c>
      <c r="D6580" t="s">
        <v>112</v>
      </c>
      <c r="E6580" t="s">
        <v>9</v>
      </c>
      <c r="F6580" s="3">
        <v>-4815</v>
      </c>
      <c r="G6580" s="3">
        <v>-4815</v>
      </c>
      <c r="H6580" t="s">
        <v>3</v>
      </c>
      <c r="I6580" t="s">
        <v>3</v>
      </c>
      <c r="J6580" t="s">
        <v>423</v>
      </c>
      <c r="K6580" t="s">
        <v>13</v>
      </c>
      <c r="L6580" t="s">
        <v>18</v>
      </c>
      <c r="M6580" t="s">
        <v>114</v>
      </c>
      <c r="N6580" s="2">
        <v>46143</v>
      </c>
    </row>
    <row r="6581" spans="1:14" x14ac:dyDescent="0.25">
      <c r="A6581" t="s">
        <v>746</v>
      </c>
      <c r="B6581" s="2">
        <v>46173</v>
      </c>
      <c r="C6581" t="s">
        <v>746</v>
      </c>
      <c r="D6581" t="s">
        <v>112</v>
      </c>
      <c r="E6581" t="s">
        <v>9</v>
      </c>
      <c r="F6581" s="3">
        <v>4815</v>
      </c>
      <c r="G6581" s="3">
        <v>4815</v>
      </c>
      <c r="H6581" t="s">
        <v>3</v>
      </c>
      <c r="I6581" t="s">
        <v>3</v>
      </c>
      <c r="J6581" t="s">
        <v>427</v>
      </c>
      <c r="K6581" t="s">
        <v>13</v>
      </c>
      <c r="L6581" t="s">
        <v>18</v>
      </c>
      <c r="M6581" t="s">
        <v>114</v>
      </c>
      <c r="N6581" s="2">
        <v>46173</v>
      </c>
    </row>
    <row r="6582" spans="1:14" x14ac:dyDescent="0.25">
      <c r="A6582" s="4" t="s">
        <v>223</v>
      </c>
      <c r="B6582" s="5"/>
      <c r="C6582" s="4" t="s">
        <v>9</v>
      </c>
      <c r="D6582" s="4" t="s">
        <v>9</v>
      </c>
      <c r="E6582" s="4" t="s">
        <v>9</v>
      </c>
      <c r="F6582" s="6">
        <v>0</v>
      </c>
      <c r="G6582" s="6">
        <v>0</v>
      </c>
      <c r="H6582" s="4" t="s">
        <v>9</v>
      </c>
      <c r="I6582" s="4" t="s">
        <v>3</v>
      </c>
      <c r="J6582" s="4" t="s">
        <v>9</v>
      </c>
      <c r="K6582" s="4" t="s">
        <v>9</v>
      </c>
      <c r="L6582" s="4" t="s">
        <v>9</v>
      </c>
      <c r="M6582" s="4" t="s">
        <v>9</v>
      </c>
      <c r="N6582" s="5"/>
    </row>
    <row r="6583" spans="1:14" x14ac:dyDescent="0.25">
      <c r="A6583" t="s">
        <v>746</v>
      </c>
      <c r="B6583" s="2">
        <v>46205</v>
      </c>
      <c r="C6583" t="s">
        <v>746</v>
      </c>
      <c r="D6583" t="s">
        <v>112</v>
      </c>
      <c r="E6583" t="s">
        <v>9</v>
      </c>
      <c r="F6583" s="3">
        <v>-17274.599999999999</v>
      </c>
      <c r="G6583" s="3">
        <v>-17274.599999999999</v>
      </c>
      <c r="H6583" t="s">
        <v>3</v>
      </c>
      <c r="I6583" t="s">
        <v>3</v>
      </c>
      <c r="J6583" t="s">
        <v>9</v>
      </c>
      <c r="K6583" t="s">
        <v>9</v>
      </c>
      <c r="L6583" t="s">
        <v>19</v>
      </c>
      <c r="M6583" t="s">
        <v>114</v>
      </c>
      <c r="N6583" s="2">
        <v>46203</v>
      </c>
    </row>
    <row r="6584" spans="1:14" x14ac:dyDescent="0.25">
      <c r="A6584" t="s">
        <v>746</v>
      </c>
      <c r="B6584" s="2">
        <v>46205</v>
      </c>
      <c r="C6584" t="s">
        <v>746</v>
      </c>
      <c r="D6584" t="s">
        <v>301</v>
      </c>
      <c r="E6584" t="s">
        <v>9</v>
      </c>
      <c r="F6584" s="3">
        <v>17274.599999999999</v>
      </c>
      <c r="G6584" s="3">
        <v>17274.599999999999</v>
      </c>
      <c r="H6584" t="s">
        <v>3</v>
      </c>
      <c r="I6584" t="s">
        <v>3</v>
      </c>
      <c r="J6584" t="s">
        <v>9</v>
      </c>
      <c r="K6584" t="s">
        <v>9</v>
      </c>
      <c r="L6584" t="s">
        <v>19</v>
      </c>
      <c r="M6584" t="s">
        <v>302</v>
      </c>
      <c r="N6584" s="2">
        <v>46203</v>
      </c>
    </row>
    <row r="6585" spans="1:14" x14ac:dyDescent="0.25">
      <c r="A6585" t="s">
        <v>746</v>
      </c>
      <c r="B6585" s="2">
        <v>46173</v>
      </c>
      <c r="C6585" t="s">
        <v>746</v>
      </c>
      <c r="D6585" t="s">
        <v>112</v>
      </c>
      <c r="E6585" t="s">
        <v>9</v>
      </c>
      <c r="F6585" s="3">
        <v>-4815</v>
      </c>
      <c r="G6585" s="3">
        <v>-4815</v>
      </c>
      <c r="H6585" t="s">
        <v>3</v>
      </c>
      <c r="I6585" t="s">
        <v>3</v>
      </c>
      <c r="J6585" t="s">
        <v>427</v>
      </c>
      <c r="K6585" t="s">
        <v>13</v>
      </c>
      <c r="L6585" t="s">
        <v>19</v>
      </c>
      <c r="M6585" t="s">
        <v>114</v>
      </c>
      <c r="N6585" s="2">
        <v>46174</v>
      </c>
    </row>
    <row r="6586" spans="1:14" x14ac:dyDescent="0.25">
      <c r="A6586" t="s">
        <v>746</v>
      </c>
      <c r="B6586" s="2">
        <v>46203</v>
      </c>
      <c r="C6586" t="s">
        <v>746</v>
      </c>
      <c r="D6586" t="s">
        <v>112</v>
      </c>
      <c r="E6586" t="s">
        <v>9</v>
      </c>
      <c r="F6586" s="3">
        <v>22089.599999999999</v>
      </c>
      <c r="G6586" s="3">
        <v>22089.599999999999</v>
      </c>
      <c r="H6586" t="s">
        <v>3</v>
      </c>
      <c r="I6586" t="s">
        <v>3</v>
      </c>
      <c r="J6586" t="s">
        <v>428</v>
      </c>
      <c r="K6586" t="s">
        <v>13</v>
      </c>
      <c r="L6586" t="s">
        <v>19</v>
      </c>
      <c r="M6586" t="s">
        <v>114</v>
      </c>
      <c r="N6586" s="2">
        <v>46203</v>
      </c>
    </row>
    <row r="6587" spans="1:14" x14ac:dyDescent="0.25">
      <c r="A6587" t="s">
        <v>746</v>
      </c>
      <c r="B6587" s="2">
        <v>46203</v>
      </c>
      <c r="C6587" t="s">
        <v>746</v>
      </c>
      <c r="D6587" t="s">
        <v>301</v>
      </c>
      <c r="E6587" t="s">
        <v>9</v>
      </c>
      <c r="F6587" s="3">
        <v>-17274.599999999999</v>
      </c>
      <c r="G6587" s="3">
        <v>-17274.599999999999</v>
      </c>
      <c r="H6587" t="s">
        <v>3</v>
      </c>
      <c r="I6587" t="s">
        <v>3</v>
      </c>
      <c r="J6587" t="s">
        <v>10</v>
      </c>
      <c r="K6587" t="s">
        <v>13</v>
      </c>
      <c r="L6587" t="s">
        <v>19</v>
      </c>
      <c r="M6587" t="s">
        <v>302</v>
      </c>
      <c r="N6587" s="2">
        <v>46203</v>
      </c>
    </row>
    <row r="6588" spans="1:14" x14ac:dyDescent="0.25">
      <c r="A6588" s="4" t="s">
        <v>224</v>
      </c>
      <c r="B6588" s="5"/>
      <c r="C6588" s="4" t="s">
        <v>9</v>
      </c>
      <c r="D6588" s="4" t="s">
        <v>9</v>
      </c>
      <c r="E6588" s="4" t="s">
        <v>9</v>
      </c>
      <c r="F6588" s="6">
        <v>0</v>
      </c>
      <c r="G6588" s="6">
        <v>0</v>
      </c>
      <c r="H6588" s="4" t="s">
        <v>9</v>
      </c>
      <c r="I6588" s="4" t="s">
        <v>3</v>
      </c>
      <c r="J6588" s="4" t="s">
        <v>9</v>
      </c>
      <c r="K6588" s="4" t="s">
        <v>9</v>
      </c>
      <c r="L6588" s="4" t="s">
        <v>9</v>
      </c>
      <c r="M6588" s="4" t="s">
        <v>9</v>
      </c>
      <c r="N6588" s="5"/>
    </row>
    <row r="6589" spans="1:14" x14ac:dyDescent="0.25">
      <c r="A6589" t="s">
        <v>746</v>
      </c>
      <c r="B6589" s="2">
        <v>46239</v>
      </c>
      <c r="C6589" t="s">
        <v>746</v>
      </c>
      <c r="D6589" t="s">
        <v>112</v>
      </c>
      <c r="E6589" t="s">
        <v>9</v>
      </c>
      <c r="F6589" s="3">
        <v>-17615.400000000001</v>
      </c>
      <c r="G6589" s="3">
        <v>-17615.400000000001</v>
      </c>
      <c r="H6589" t="s">
        <v>3</v>
      </c>
      <c r="I6589" t="s">
        <v>3</v>
      </c>
      <c r="J6589" t="s">
        <v>9</v>
      </c>
      <c r="K6589" t="s">
        <v>9</v>
      </c>
      <c r="L6589" t="s">
        <v>21</v>
      </c>
      <c r="M6589" t="s">
        <v>114</v>
      </c>
      <c r="N6589" s="2">
        <v>46234</v>
      </c>
    </row>
    <row r="6590" spans="1:14" x14ac:dyDescent="0.25">
      <c r="A6590" t="s">
        <v>746</v>
      </c>
      <c r="B6590" s="2">
        <v>46239</v>
      </c>
      <c r="C6590" t="s">
        <v>746</v>
      </c>
      <c r="D6590" t="s">
        <v>301</v>
      </c>
      <c r="E6590" t="s">
        <v>9</v>
      </c>
      <c r="F6590" s="3">
        <v>17615.400000000001</v>
      </c>
      <c r="G6590" s="3">
        <v>17615.400000000001</v>
      </c>
      <c r="H6590" t="s">
        <v>3</v>
      </c>
      <c r="I6590" t="s">
        <v>3</v>
      </c>
      <c r="J6590" t="s">
        <v>9</v>
      </c>
      <c r="K6590" t="s">
        <v>9</v>
      </c>
      <c r="L6590" t="s">
        <v>21</v>
      </c>
      <c r="M6590" t="s">
        <v>302</v>
      </c>
      <c r="N6590" s="2">
        <v>46234</v>
      </c>
    </row>
    <row r="6591" spans="1:14" x14ac:dyDescent="0.25">
      <c r="A6591" t="s">
        <v>746</v>
      </c>
      <c r="B6591" s="2">
        <v>46203</v>
      </c>
      <c r="C6591" t="s">
        <v>746</v>
      </c>
      <c r="D6591" t="s">
        <v>112</v>
      </c>
      <c r="E6591" t="s">
        <v>9</v>
      </c>
      <c r="F6591" s="3">
        <v>-22089.599999999999</v>
      </c>
      <c r="G6591" s="3">
        <v>-22089.599999999999</v>
      </c>
      <c r="H6591" t="s">
        <v>3</v>
      </c>
      <c r="I6591" t="s">
        <v>3</v>
      </c>
      <c r="J6591" t="s">
        <v>428</v>
      </c>
      <c r="K6591" t="s">
        <v>13</v>
      </c>
      <c r="L6591" t="s">
        <v>21</v>
      </c>
      <c r="M6591" t="s">
        <v>114</v>
      </c>
      <c r="N6591" s="2">
        <v>46204</v>
      </c>
    </row>
    <row r="6592" spans="1:14" x14ac:dyDescent="0.25">
      <c r="A6592" t="s">
        <v>746</v>
      </c>
      <c r="B6592" s="2">
        <v>46234</v>
      </c>
      <c r="C6592" t="s">
        <v>746</v>
      </c>
      <c r="D6592" t="s">
        <v>301</v>
      </c>
      <c r="E6592" t="s">
        <v>9</v>
      </c>
      <c r="F6592" s="3">
        <v>-17615.400000000001</v>
      </c>
      <c r="G6592" s="3">
        <v>-17615.400000000001</v>
      </c>
      <c r="H6592" t="s">
        <v>3</v>
      </c>
      <c r="I6592" t="s">
        <v>3</v>
      </c>
      <c r="J6592" t="s">
        <v>10</v>
      </c>
      <c r="K6592" t="s">
        <v>13</v>
      </c>
      <c r="L6592" t="s">
        <v>21</v>
      </c>
      <c r="M6592" t="s">
        <v>302</v>
      </c>
      <c r="N6592" s="2">
        <v>46234</v>
      </c>
    </row>
    <row r="6593" spans="1:14" x14ac:dyDescent="0.25">
      <c r="A6593" t="s">
        <v>746</v>
      </c>
      <c r="B6593" s="2">
        <v>46234</v>
      </c>
      <c r="C6593" t="s">
        <v>746</v>
      </c>
      <c r="D6593" t="s">
        <v>112</v>
      </c>
      <c r="E6593" t="s">
        <v>9</v>
      </c>
      <c r="F6593" s="3">
        <v>39705</v>
      </c>
      <c r="G6593" s="3">
        <v>39705</v>
      </c>
      <c r="H6593" t="s">
        <v>3</v>
      </c>
      <c r="I6593" t="s">
        <v>3</v>
      </c>
      <c r="J6593" t="s">
        <v>429</v>
      </c>
      <c r="K6593" t="s">
        <v>13</v>
      </c>
      <c r="L6593" t="s">
        <v>21</v>
      </c>
      <c r="M6593" t="s">
        <v>114</v>
      </c>
      <c r="N6593" s="2">
        <v>46234</v>
      </c>
    </row>
    <row r="6594" spans="1:14" x14ac:dyDescent="0.25">
      <c r="A6594" s="4" t="s">
        <v>262</v>
      </c>
      <c r="B6594" s="5"/>
      <c r="C6594" s="4" t="s">
        <v>9</v>
      </c>
      <c r="D6594" s="4" t="s">
        <v>9</v>
      </c>
      <c r="E6594" s="4" t="s">
        <v>9</v>
      </c>
      <c r="F6594" s="6">
        <v>0</v>
      </c>
      <c r="G6594" s="6">
        <v>0</v>
      </c>
      <c r="H6594" s="4" t="s">
        <v>9</v>
      </c>
      <c r="I6594" s="4" t="s">
        <v>3</v>
      </c>
      <c r="J6594" s="4" t="s">
        <v>9</v>
      </c>
      <c r="K6594" s="4" t="s">
        <v>9</v>
      </c>
      <c r="L6594" s="4" t="s">
        <v>9</v>
      </c>
      <c r="M6594" s="4" t="s">
        <v>9</v>
      </c>
      <c r="N6594" s="5"/>
    </row>
    <row r="6595" spans="1:14" x14ac:dyDescent="0.25">
      <c r="A6595" t="s">
        <v>746</v>
      </c>
      <c r="B6595" s="2">
        <v>46267</v>
      </c>
      <c r="C6595" t="s">
        <v>746</v>
      </c>
      <c r="D6595" t="s">
        <v>112</v>
      </c>
      <c r="E6595" t="s">
        <v>9</v>
      </c>
      <c r="F6595" s="3">
        <v>-3000</v>
      </c>
      <c r="G6595" s="3">
        <v>-3000</v>
      </c>
      <c r="H6595" t="s">
        <v>3</v>
      </c>
      <c r="I6595" t="s">
        <v>3</v>
      </c>
      <c r="J6595" t="s">
        <v>9</v>
      </c>
      <c r="K6595" t="s">
        <v>9</v>
      </c>
      <c r="L6595" t="s">
        <v>22</v>
      </c>
      <c r="M6595" t="s">
        <v>114</v>
      </c>
      <c r="N6595" s="2">
        <v>46265</v>
      </c>
    </row>
    <row r="6596" spans="1:14" x14ac:dyDescent="0.25">
      <c r="A6596" t="s">
        <v>746</v>
      </c>
      <c r="B6596" s="2">
        <v>46267</v>
      </c>
      <c r="C6596" t="s">
        <v>746</v>
      </c>
      <c r="D6596" t="s">
        <v>301</v>
      </c>
      <c r="E6596" t="s">
        <v>9</v>
      </c>
      <c r="F6596" s="3">
        <v>3000</v>
      </c>
      <c r="G6596" s="3">
        <v>3000</v>
      </c>
      <c r="H6596" t="s">
        <v>3</v>
      </c>
      <c r="I6596" t="s">
        <v>3</v>
      </c>
      <c r="J6596" t="s">
        <v>9</v>
      </c>
      <c r="K6596" t="s">
        <v>9</v>
      </c>
      <c r="L6596" t="s">
        <v>22</v>
      </c>
      <c r="M6596" t="s">
        <v>302</v>
      </c>
      <c r="N6596" s="2">
        <v>46265</v>
      </c>
    </row>
    <row r="6597" spans="1:14" x14ac:dyDescent="0.25">
      <c r="A6597" t="s">
        <v>746</v>
      </c>
      <c r="B6597" s="2">
        <v>46234</v>
      </c>
      <c r="C6597" t="s">
        <v>746</v>
      </c>
      <c r="D6597" t="s">
        <v>112</v>
      </c>
      <c r="E6597" t="s">
        <v>9</v>
      </c>
      <c r="F6597" s="3">
        <v>-39705</v>
      </c>
      <c r="G6597" s="3">
        <v>-39705</v>
      </c>
      <c r="H6597" t="s">
        <v>3</v>
      </c>
      <c r="I6597" t="s">
        <v>3</v>
      </c>
      <c r="J6597" t="s">
        <v>429</v>
      </c>
      <c r="K6597" t="s">
        <v>13</v>
      </c>
      <c r="L6597" t="s">
        <v>22</v>
      </c>
      <c r="M6597" t="s">
        <v>114</v>
      </c>
      <c r="N6597" s="2">
        <v>46235</v>
      </c>
    </row>
    <row r="6598" spans="1:14" x14ac:dyDescent="0.25">
      <c r="A6598" t="s">
        <v>746</v>
      </c>
      <c r="B6598" s="2">
        <v>46265</v>
      </c>
      <c r="C6598" t="s">
        <v>746</v>
      </c>
      <c r="D6598" t="s">
        <v>112</v>
      </c>
      <c r="E6598" t="s">
        <v>9</v>
      </c>
      <c r="F6598" s="3">
        <v>42705</v>
      </c>
      <c r="G6598" s="3">
        <v>42705</v>
      </c>
      <c r="H6598" t="s">
        <v>3</v>
      </c>
      <c r="I6598" t="s">
        <v>3</v>
      </c>
      <c r="J6598" t="s">
        <v>431</v>
      </c>
      <c r="K6598" t="s">
        <v>13</v>
      </c>
      <c r="L6598" t="s">
        <v>22</v>
      </c>
      <c r="M6598" t="s">
        <v>114</v>
      </c>
      <c r="N6598" s="2">
        <v>46265</v>
      </c>
    </row>
    <row r="6599" spans="1:14" x14ac:dyDescent="0.25">
      <c r="A6599" t="s">
        <v>746</v>
      </c>
      <c r="B6599" s="2">
        <v>46265</v>
      </c>
      <c r="C6599" t="s">
        <v>746</v>
      </c>
      <c r="D6599" t="s">
        <v>301</v>
      </c>
      <c r="E6599" t="s">
        <v>9</v>
      </c>
      <c r="F6599" s="3">
        <v>-3000</v>
      </c>
      <c r="G6599" s="3">
        <v>-3000</v>
      </c>
      <c r="H6599" t="s">
        <v>3</v>
      </c>
      <c r="I6599" t="s">
        <v>3</v>
      </c>
      <c r="J6599" t="s">
        <v>10</v>
      </c>
      <c r="K6599" t="s">
        <v>13</v>
      </c>
      <c r="L6599" t="s">
        <v>22</v>
      </c>
      <c r="M6599" t="s">
        <v>302</v>
      </c>
      <c r="N6599" s="2">
        <v>46265</v>
      </c>
    </row>
    <row r="6600" spans="1:14" x14ac:dyDescent="0.25">
      <c r="A6600" s="4" t="s">
        <v>267</v>
      </c>
      <c r="B6600" s="5"/>
      <c r="C6600" s="4" t="s">
        <v>9</v>
      </c>
      <c r="D6600" s="4" t="s">
        <v>9</v>
      </c>
      <c r="E6600" s="4" t="s">
        <v>9</v>
      </c>
      <c r="F6600" s="6">
        <v>0</v>
      </c>
      <c r="G6600" s="6">
        <v>0</v>
      </c>
      <c r="H6600" s="4" t="s">
        <v>9</v>
      </c>
      <c r="I6600" s="4" t="s">
        <v>3</v>
      </c>
      <c r="J6600" s="4" t="s">
        <v>9</v>
      </c>
      <c r="K6600" s="4" t="s">
        <v>9</v>
      </c>
      <c r="L6600" s="4" t="s">
        <v>9</v>
      </c>
      <c r="M6600" s="4" t="s">
        <v>9</v>
      </c>
      <c r="N6600" s="5"/>
    </row>
    <row r="6601" spans="1:14" x14ac:dyDescent="0.25">
      <c r="A6601" s="4" t="s">
        <v>746</v>
      </c>
      <c r="B6601" s="5"/>
      <c r="C6601" s="4" t="s">
        <v>9</v>
      </c>
      <c r="D6601" s="4" t="s">
        <v>9</v>
      </c>
      <c r="E6601" s="4" t="s">
        <v>9</v>
      </c>
      <c r="F6601" s="6">
        <v>0</v>
      </c>
      <c r="G6601" s="6">
        <v>0</v>
      </c>
      <c r="H6601" s="4" t="s">
        <v>9</v>
      </c>
      <c r="I6601" s="4" t="s">
        <v>3</v>
      </c>
      <c r="J6601" s="4" t="s">
        <v>9</v>
      </c>
      <c r="K6601" s="4" t="s">
        <v>9</v>
      </c>
      <c r="L6601" s="4" t="s">
        <v>9</v>
      </c>
      <c r="M6601" s="4" t="s">
        <v>9</v>
      </c>
      <c r="N6601" s="5"/>
    </row>
    <row r="6602" spans="1:14" x14ac:dyDescent="0.25">
      <c r="A6602" t="s">
        <v>747</v>
      </c>
      <c r="B6602" s="2">
        <v>46115</v>
      </c>
      <c r="C6602" t="s">
        <v>747</v>
      </c>
      <c r="D6602" t="s">
        <v>112</v>
      </c>
      <c r="E6602" t="s">
        <v>9</v>
      </c>
      <c r="F6602" s="3">
        <v>-600</v>
      </c>
      <c r="G6602" s="3">
        <v>-600</v>
      </c>
      <c r="H6602" t="s">
        <v>3</v>
      </c>
      <c r="I6602" t="s">
        <v>3</v>
      </c>
      <c r="J6602" t="s">
        <v>9</v>
      </c>
      <c r="K6602" t="s">
        <v>9</v>
      </c>
      <c r="L6602" t="s">
        <v>16</v>
      </c>
      <c r="M6602" t="s">
        <v>114</v>
      </c>
      <c r="N6602" s="2">
        <v>46112</v>
      </c>
    </row>
    <row r="6603" spans="1:14" x14ac:dyDescent="0.25">
      <c r="A6603" t="s">
        <v>747</v>
      </c>
      <c r="B6603" s="2">
        <v>46112</v>
      </c>
      <c r="C6603" t="s">
        <v>747</v>
      </c>
      <c r="D6603" t="s">
        <v>112</v>
      </c>
      <c r="E6603" t="s">
        <v>9</v>
      </c>
      <c r="F6603" s="3">
        <v>600</v>
      </c>
      <c r="G6603" s="3">
        <v>600</v>
      </c>
      <c r="H6603" t="s">
        <v>3</v>
      </c>
      <c r="I6603" t="s">
        <v>3</v>
      </c>
      <c r="J6603" t="s">
        <v>307</v>
      </c>
      <c r="K6603" t="s">
        <v>13</v>
      </c>
      <c r="L6603" t="s">
        <v>16</v>
      </c>
      <c r="M6603" t="s">
        <v>114</v>
      </c>
      <c r="N6603" s="2">
        <v>46112</v>
      </c>
    </row>
    <row r="6604" spans="1:14" x14ac:dyDescent="0.25">
      <c r="A6604" s="4" t="s">
        <v>244</v>
      </c>
      <c r="B6604" s="5"/>
      <c r="C6604" s="4" t="s">
        <v>9</v>
      </c>
      <c r="D6604" s="4" t="s">
        <v>9</v>
      </c>
      <c r="E6604" s="4" t="s">
        <v>9</v>
      </c>
      <c r="F6604" s="6">
        <v>0</v>
      </c>
      <c r="G6604" s="6">
        <v>0</v>
      </c>
      <c r="H6604" s="4" t="s">
        <v>9</v>
      </c>
      <c r="I6604" s="4" t="s">
        <v>3</v>
      </c>
      <c r="J6604" s="4" t="s">
        <v>9</v>
      </c>
      <c r="K6604" s="4" t="s">
        <v>9</v>
      </c>
      <c r="L6604" s="4" t="s">
        <v>9</v>
      </c>
      <c r="M6604" s="4" t="s">
        <v>9</v>
      </c>
      <c r="N6604" s="5"/>
    </row>
    <row r="6605" spans="1:14" x14ac:dyDescent="0.25">
      <c r="A6605" t="s">
        <v>747</v>
      </c>
      <c r="B6605" s="2">
        <v>46147</v>
      </c>
      <c r="C6605" t="s">
        <v>747</v>
      </c>
      <c r="D6605" t="s">
        <v>112</v>
      </c>
      <c r="E6605" t="s">
        <v>9</v>
      </c>
      <c r="F6605" s="3">
        <v>-19300</v>
      </c>
      <c r="G6605" s="3">
        <v>-19300</v>
      </c>
      <c r="H6605" t="s">
        <v>3</v>
      </c>
      <c r="I6605" t="s">
        <v>3</v>
      </c>
      <c r="J6605" t="s">
        <v>9</v>
      </c>
      <c r="K6605" t="s">
        <v>9</v>
      </c>
      <c r="L6605" t="s">
        <v>17</v>
      </c>
      <c r="M6605" t="s">
        <v>114</v>
      </c>
      <c r="N6605" s="2">
        <v>46142</v>
      </c>
    </row>
    <row r="6606" spans="1:14" x14ac:dyDescent="0.25">
      <c r="A6606" t="s">
        <v>747</v>
      </c>
      <c r="B6606" s="2">
        <v>46112</v>
      </c>
      <c r="C6606" t="s">
        <v>747</v>
      </c>
      <c r="D6606" t="s">
        <v>112</v>
      </c>
      <c r="E6606" t="s">
        <v>9</v>
      </c>
      <c r="F6606" s="3">
        <v>-600</v>
      </c>
      <c r="G6606" s="3">
        <v>-600</v>
      </c>
      <c r="H6606" t="s">
        <v>3</v>
      </c>
      <c r="I6606" t="s">
        <v>3</v>
      </c>
      <c r="J6606" t="s">
        <v>307</v>
      </c>
      <c r="K6606" t="s">
        <v>13</v>
      </c>
      <c r="L6606" t="s">
        <v>17</v>
      </c>
      <c r="M6606" t="s">
        <v>114</v>
      </c>
      <c r="N6606" s="2">
        <v>46113</v>
      </c>
    </row>
    <row r="6607" spans="1:14" x14ac:dyDescent="0.25">
      <c r="A6607" t="s">
        <v>747</v>
      </c>
      <c r="B6607" s="2">
        <v>46142</v>
      </c>
      <c r="C6607" t="s">
        <v>747</v>
      </c>
      <c r="D6607" t="s">
        <v>112</v>
      </c>
      <c r="E6607" t="s">
        <v>9</v>
      </c>
      <c r="F6607" s="3">
        <v>3600</v>
      </c>
      <c r="G6607" s="3">
        <v>3600</v>
      </c>
      <c r="H6607" t="s">
        <v>3</v>
      </c>
      <c r="I6607" t="s">
        <v>3</v>
      </c>
      <c r="J6607" t="s">
        <v>310</v>
      </c>
      <c r="K6607" t="s">
        <v>13</v>
      </c>
      <c r="L6607" t="s">
        <v>17</v>
      </c>
      <c r="M6607" t="s">
        <v>114</v>
      </c>
      <c r="N6607" s="2">
        <v>46142</v>
      </c>
    </row>
    <row r="6608" spans="1:14" x14ac:dyDescent="0.25">
      <c r="A6608" t="s">
        <v>747</v>
      </c>
      <c r="B6608" s="2">
        <v>46142</v>
      </c>
      <c r="C6608" t="s">
        <v>747</v>
      </c>
      <c r="D6608" t="s">
        <v>112</v>
      </c>
      <c r="E6608" t="s">
        <v>9</v>
      </c>
      <c r="F6608" s="3">
        <v>16300</v>
      </c>
      <c r="G6608" s="3">
        <v>16300</v>
      </c>
      <c r="H6608" t="s">
        <v>3</v>
      </c>
      <c r="I6608" t="s">
        <v>3</v>
      </c>
      <c r="J6608" t="s">
        <v>573</v>
      </c>
      <c r="K6608" t="s">
        <v>13</v>
      </c>
      <c r="L6608" t="s">
        <v>17</v>
      </c>
      <c r="M6608" t="s">
        <v>114</v>
      </c>
      <c r="N6608" s="2">
        <v>46142</v>
      </c>
    </row>
    <row r="6609" spans="1:14" x14ac:dyDescent="0.25">
      <c r="A6609" s="4" t="s">
        <v>249</v>
      </c>
      <c r="B6609" s="5"/>
      <c r="C6609" s="4" t="s">
        <v>9</v>
      </c>
      <c r="D6609" s="4" t="s">
        <v>9</v>
      </c>
      <c r="E6609" s="4" t="s">
        <v>9</v>
      </c>
      <c r="F6609" s="6">
        <v>0</v>
      </c>
      <c r="G6609" s="6">
        <v>0</v>
      </c>
      <c r="H6609" s="4" t="s">
        <v>9</v>
      </c>
      <c r="I6609" s="4" t="s">
        <v>3</v>
      </c>
      <c r="J6609" s="4" t="s">
        <v>9</v>
      </c>
      <c r="K6609" s="4" t="s">
        <v>9</v>
      </c>
      <c r="L6609" s="4" t="s">
        <v>9</v>
      </c>
      <c r="M6609" s="4" t="s">
        <v>9</v>
      </c>
      <c r="N6609" s="5"/>
    </row>
    <row r="6610" spans="1:14" x14ac:dyDescent="0.25">
      <c r="A6610" t="s">
        <v>747</v>
      </c>
      <c r="B6610" s="2">
        <v>46175</v>
      </c>
      <c r="C6610" t="s">
        <v>747</v>
      </c>
      <c r="D6610" t="s">
        <v>112</v>
      </c>
      <c r="E6610" t="s">
        <v>9</v>
      </c>
      <c r="F6610" s="3">
        <v>-5416</v>
      </c>
      <c r="G6610" s="3">
        <v>-5416</v>
      </c>
      <c r="H6610" t="s">
        <v>3</v>
      </c>
      <c r="I6610" t="s">
        <v>3</v>
      </c>
      <c r="J6610" t="s">
        <v>9</v>
      </c>
      <c r="K6610" t="s">
        <v>9</v>
      </c>
      <c r="L6610" t="s">
        <v>18</v>
      </c>
      <c r="M6610" t="s">
        <v>114</v>
      </c>
      <c r="N6610" s="2">
        <v>46173</v>
      </c>
    </row>
    <row r="6611" spans="1:14" x14ac:dyDescent="0.25">
      <c r="A6611" t="s">
        <v>747</v>
      </c>
      <c r="B6611" s="2">
        <v>46142</v>
      </c>
      <c r="C6611" t="s">
        <v>747</v>
      </c>
      <c r="D6611" t="s">
        <v>112</v>
      </c>
      <c r="E6611" t="s">
        <v>9</v>
      </c>
      <c r="F6611" s="3">
        <v>-3600</v>
      </c>
      <c r="G6611" s="3">
        <v>-3600</v>
      </c>
      <c r="H6611" t="s">
        <v>3</v>
      </c>
      <c r="I6611" t="s">
        <v>3</v>
      </c>
      <c r="J6611" t="s">
        <v>310</v>
      </c>
      <c r="K6611" t="s">
        <v>13</v>
      </c>
      <c r="L6611" t="s">
        <v>18</v>
      </c>
      <c r="M6611" t="s">
        <v>114</v>
      </c>
      <c r="N6611" s="2">
        <v>46143</v>
      </c>
    </row>
    <row r="6612" spans="1:14" x14ac:dyDescent="0.25">
      <c r="A6612" t="s">
        <v>747</v>
      </c>
      <c r="B6612" s="2">
        <v>46142</v>
      </c>
      <c r="C6612" t="s">
        <v>747</v>
      </c>
      <c r="D6612" t="s">
        <v>112</v>
      </c>
      <c r="E6612" t="s">
        <v>9</v>
      </c>
      <c r="F6612" s="3">
        <v>-16300</v>
      </c>
      <c r="G6612" s="3">
        <v>-16300</v>
      </c>
      <c r="H6612" t="s">
        <v>3</v>
      </c>
      <c r="I6612" t="s">
        <v>3</v>
      </c>
      <c r="J6612" t="s">
        <v>573</v>
      </c>
      <c r="K6612" t="s">
        <v>13</v>
      </c>
      <c r="L6612" t="s">
        <v>18</v>
      </c>
      <c r="M6612" t="s">
        <v>114</v>
      </c>
      <c r="N6612" s="2">
        <v>46143</v>
      </c>
    </row>
    <row r="6613" spans="1:14" x14ac:dyDescent="0.25">
      <c r="A6613" t="s">
        <v>747</v>
      </c>
      <c r="B6613" s="2">
        <v>46173</v>
      </c>
      <c r="C6613" t="s">
        <v>747</v>
      </c>
      <c r="D6613" t="s">
        <v>112</v>
      </c>
      <c r="E6613" t="s">
        <v>9</v>
      </c>
      <c r="F6613" s="3">
        <v>6500</v>
      </c>
      <c r="G6613" s="3">
        <v>6500</v>
      </c>
      <c r="H6613" t="s">
        <v>3</v>
      </c>
      <c r="I6613" t="s">
        <v>3</v>
      </c>
      <c r="J6613" t="s">
        <v>313</v>
      </c>
      <c r="K6613" t="s">
        <v>13</v>
      </c>
      <c r="L6613" t="s">
        <v>18</v>
      </c>
      <c r="M6613" t="s">
        <v>114</v>
      </c>
      <c r="N6613" s="2">
        <v>46173</v>
      </c>
    </row>
    <row r="6614" spans="1:14" x14ac:dyDescent="0.25">
      <c r="A6614" t="s">
        <v>747</v>
      </c>
      <c r="B6614" s="2">
        <v>46173</v>
      </c>
      <c r="C6614" t="s">
        <v>747</v>
      </c>
      <c r="D6614" t="s">
        <v>112</v>
      </c>
      <c r="E6614" t="s">
        <v>9</v>
      </c>
      <c r="F6614" s="3">
        <v>18816</v>
      </c>
      <c r="G6614" s="3">
        <v>18816</v>
      </c>
      <c r="H6614" t="s">
        <v>3</v>
      </c>
      <c r="I6614" t="s">
        <v>3</v>
      </c>
      <c r="J6614" t="s">
        <v>562</v>
      </c>
      <c r="K6614" t="s">
        <v>13</v>
      </c>
      <c r="L6614" t="s">
        <v>18</v>
      </c>
      <c r="M6614" t="s">
        <v>114</v>
      </c>
      <c r="N6614" s="2">
        <v>46173</v>
      </c>
    </row>
    <row r="6615" spans="1:14" x14ac:dyDescent="0.25">
      <c r="A6615" s="4" t="s">
        <v>223</v>
      </c>
      <c r="B6615" s="5"/>
      <c r="C6615" s="4" t="s">
        <v>9</v>
      </c>
      <c r="D6615" s="4" t="s">
        <v>9</v>
      </c>
      <c r="E6615" s="4" t="s">
        <v>9</v>
      </c>
      <c r="F6615" s="6">
        <v>0</v>
      </c>
      <c r="G6615" s="6">
        <v>0</v>
      </c>
      <c r="H6615" s="4" t="s">
        <v>9</v>
      </c>
      <c r="I6615" s="4" t="s">
        <v>3</v>
      </c>
      <c r="J6615" s="4" t="s">
        <v>9</v>
      </c>
      <c r="K6615" s="4" t="s">
        <v>9</v>
      </c>
      <c r="L6615" s="4" t="s">
        <v>9</v>
      </c>
      <c r="M6615" s="4" t="s">
        <v>9</v>
      </c>
      <c r="N6615" s="5"/>
    </row>
    <row r="6616" spans="1:14" x14ac:dyDescent="0.25">
      <c r="A6616" t="s">
        <v>747</v>
      </c>
      <c r="B6616" s="2">
        <v>46205</v>
      </c>
      <c r="C6616" t="s">
        <v>747</v>
      </c>
      <c r="D6616" t="s">
        <v>112</v>
      </c>
      <c r="E6616" t="s">
        <v>9</v>
      </c>
      <c r="F6616" s="3">
        <v>-1410</v>
      </c>
      <c r="G6616" s="3">
        <v>-1410</v>
      </c>
      <c r="H6616" t="s">
        <v>3</v>
      </c>
      <c r="I6616" t="s">
        <v>3</v>
      </c>
      <c r="J6616" t="s">
        <v>9</v>
      </c>
      <c r="K6616" t="s">
        <v>9</v>
      </c>
      <c r="L6616" t="s">
        <v>19</v>
      </c>
      <c r="M6616" t="s">
        <v>114</v>
      </c>
      <c r="N6616" s="2">
        <v>46203</v>
      </c>
    </row>
    <row r="6617" spans="1:14" x14ac:dyDescent="0.25">
      <c r="A6617" t="s">
        <v>747</v>
      </c>
      <c r="B6617" s="2">
        <v>46173</v>
      </c>
      <c r="C6617" t="s">
        <v>747</v>
      </c>
      <c r="D6617" t="s">
        <v>112</v>
      </c>
      <c r="E6617" t="s">
        <v>9</v>
      </c>
      <c r="F6617" s="3">
        <v>-6500</v>
      </c>
      <c r="G6617" s="3">
        <v>-6500</v>
      </c>
      <c r="H6617" t="s">
        <v>3</v>
      </c>
      <c r="I6617" t="s">
        <v>3</v>
      </c>
      <c r="J6617" t="s">
        <v>313</v>
      </c>
      <c r="K6617" t="s">
        <v>13</v>
      </c>
      <c r="L6617" t="s">
        <v>19</v>
      </c>
      <c r="M6617" t="s">
        <v>114</v>
      </c>
      <c r="N6617" s="2">
        <v>46174</v>
      </c>
    </row>
    <row r="6618" spans="1:14" x14ac:dyDescent="0.25">
      <c r="A6618" t="s">
        <v>747</v>
      </c>
      <c r="B6618" s="2">
        <v>46173</v>
      </c>
      <c r="C6618" t="s">
        <v>747</v>
      </c>
      <c r="D6618" t="s">
        <v>112</v>
      </c>
      <c r="E6618" t="s">
        <v>9</v>
      </c>
      <c r="F6618" s="3">
        <v>-18816</v>
      </c>
      <c r="G6618" s="3">
        <v>-18816</v>
      </c>
      <c r="H6618" t="s">
        <v>3</v>
      </c>
      <c r="I6618" t="s">
        <v>3</v>
      </c>
      <c r="J6618" t="s">
        <v>562</v>
      </c>
      <c r="K6618" t="s">
        <v>13</v>
      </c>
      <c r="L6618" t="s">
        <v>19</v>
      </c>
      <c r="M6618" t="s">
        <v>114</v>
      </c>
      <c r="N6618" s="2">
        <v>46174</v>
      </c>
    </row>
    <row r="6619" spans="1:14" x14ac:dyDescent="0.25">
      <c r="A6619" t="s">
        <v>747</v>
      </c>
      <c r="B6619" s="2">
        <v>46203</v>
      </c>
      <c r="C6619" t="s">
        <v>747</v>
      </c>
      <c r="D6619" t="s">
        <v>112</v>
      </c>
      <c r="E6619" t="s">
        <v>9</v>
      </c>
      <c r="F6619" s="3">
        <v>7910</v>
      </c>
      <c r="G6619" s="3">
        <v>7910</v>
      </c>
      <c r="H6619" t="s">
        <v>3</v>
      </c>
      <c r="I6619" t="s">
        <v>3</v>
      </c>
      <c r="J6619" t="s">
        <v>316</v>
      </c>
      <c r="K6619" t="s">
        <v>13</v>
      </c>
      <c r="L6619" t="s">
        <v>19</v>
      </c>
      <c r="M6619" t="s">
        <v>114</v>
      </c>
      <c r="N6619" s="2">
        <v>46203</v>
      </c>
    </row>
    <row r="6620" spans="1:14" x14ac:dyDescent="0.25">
      <c r="A6620" t="s">
        <v>747</v>
      </c>
      <c r="B6620" s="2">
        <v>46203</v>
      </c>
      <c r="C6620" t="s">
        <v>747</v>
      </c>
      <c r="D6620" t="s">
        <v>112</v>
      </c>
      <c r="E6620" t="s">
        <v>9</v>
      </c>
      <c r="F6620" s="3">
        <v>18816</v>
      </c>
      <c r="G6620" s="3">
        <v>18816</v>
      </c>
      <c r="H6620" t="s">
        <v>3</v>
      </c>
      <c r="I6620" t="s">
        <v>3</v>
      </c>
      <c r="J6620" t="s">
        <v>563</v>
      </c>
      <c r="K6620" t="s">
        <v>13</v>
      </c>
      <c r="L6620" t="s">
        <v>19</v>
      </c>
      <c r="M6620" t="s">
        <v>114</v>
      </c>
      <c r="N6620" s="2">
        <v>46203</v>
      </c>
    </row>
    <row r="6621" spans="1:14" x14ac:dyDescent="0.25">
      <c r="A6621" s="4" t="s">
        <v>224</v>
      </c>
      <c r="B6621" s="5"/>
      <c r="C6621" s="4" t="s">
        <v>9</v>
      </c>
      <c r="D6621" s="4" t="s">
        <v>9</v>
      </c>
      <c r="E6621" s="4" t="s">
        <v>9</v>
      </c>
      <c r="F6621" s="6">
        <v>0</v>
      </c>
      <c r="G6621" s="6">
        <v>0</v>
      </c>
      <c r="H6621" s="4" t="s">
        <v>9</v>
      </c>
      <c r="I6621" s="4" t="s">
        <v>3</v>
      </c>
      <c r="J6621" s="4" t="s">
        <v>9</v>
      </c>
      <c r="K6621" s="4" t="s">
        <v>9</v>
      </c>
      <c r="L6621" s="4" t="s">
        <v>9</v>
      </c>
      <c r="M6621" s="4" t="s">
        <v>9</v>
      </c>
      <c r="N6621" s="5"/>
    </row>
    <row r="6622" spans="1:14" x14ac:dyDescent="0.25">
      <c r="A6622" t="s">
        <v>747</v>
      </c>
      <c r="B6622" s="2">
        <v>46239</v>
      </c>
      <c r="C6622" t="s">
        <v>747</v>
      </c>
      <c r="D6622" t="s">
        <v>112</v>
      </c>
      <c r="E6622" t="s">
        <v>9</v>
      </c>
      <c r="F6622" s="3">
        <v>-2960</v>
      </c>
      <c r="G6622" s="3">
        <v>-2960</v>
      </c>
      <c r="H6622" t="s">
        <v>3</v>
      </c>
      <c r="I6622" t="s">
        <v>3</v>
      </c>
      <c r="J6622" t="s">
        <v>9</v>
      </c>
      <c r="K6622" t="s">
        <v>9</v>
      </c>
      <c r="L6622" t="s">
        <v>21</v>
      </c>
      <c r="M6622" t="s">
        <v>114</v>
      </c>
      <c r="N6622" s="2">
        <v>46234</v>
      </c>
    </row>
    <row r="6623" spans="1:14" x14ac:dyDescent="0.25">
      <c r="A6623" t="s">
        <v>747</v>
      </c>
      <c r="B6623" s="2">
        <v>46203</v>
      </c>
      <c r="C6623" t="s">
        <v>747</v>
      </c>
      <c r="D6623" t="s">
        <v>112</v>
      </c>
      <c r="E6623" t="s">
        <v>9</v>
      </c>
      <c r="F6623" s="3">
        <v>-7910</v>
      </c>
      <c r="G6623" s="3">
        <v>-7910</v>
      </c>
      <c r="H6623" t="s">
        <v>3</v>
      </c>
      <c r="I6623" t="s">
        <v>3</v>
      </c>
      <c r="J6623" t="s">
        <v>316</v>
      </c>
      <c r="K6623" t="s">
        <v>13</v>
      </c>
      <c r="L6623" t="s">
        <v>21</v>
      </c>
      <c r="M6623" t="s">
        <v>114</v>
      </c>
      <c r="N6623" s="2">
        <v>46204</v>
      </c>
    </row>
    <row r="6624" spans="1:14" x14ac:dyDescent="0.25">
      <c r="A6624" t="s">
        <v>747</v>
      </c>
      <c r="B6624" s="2">
        <v>46203</v>
      </c>
      <c r="C6624" t="s">
        <v>747</v>
      </c>
      <c r="D6624" t="s">
        <v>112</v>
      </c>
      <c r="E6624" t="s">
        <v>9</v>
      </c>
      <c r="F6624" s="3">
        <v>-18816</v>
      </c>
      <c r="G6624" s="3">
        <v>-18816</v>
      </c>
      <c r="H6624" t="s">
        <v>3</v>
      </c>
      <c r="I6624" t="s">
        <v>3</v>
      </c>
      <c r="J6624" t="s">
        <v>563</v>
      </c>
      <c r="K6624" t="s">
        <v>13</v>
      </c>
      <c r="L6624" t="s">
        <v>21</v>
      </c>
      <c r="M6624" t="s">
        <v>114</v>
      </c>
      <c r="N6624" s="2">
        <v>46204</v>
      </c>
    </row>
    <row r="6625" spans="1:14" x14ac:dyDescent="0.25">
      <c r="A6625" t="s">
        <v>747</v>
      </c>
      <c r="B6625" s="2">
        <v>46234</v>
      </c>
      <c r="C6625" t="s">
        <v>747</v>
      </c>
      <c r="D6625" t="s">
        <v>112</v>
      </c>
      <c r="E6625" t="s">
        <v>9</v>
      </c>
      <c r="F6625" s="3">
        <v>10870</v>
      </c>
      <c r="G6625" s="3">
        <v>10870</v>
      </c>
      <c r="H6625" t="s">
        <v>3</v>
      </c>
      <c r="I6625" t="s">
        <v>3</v>
      </c>
      <c r="J6625" t="s">
        <v>319</v>
      </c>
      <c r="K6625" t="s">
        <v>13</v>
      </c>
      <c r="L6625" t="s">
        <v>21</v>
      </c>
      <c r="M6625" t="s">
        <v>114</v>
      </c>
      <c r="N6625" s="2">
        <v>46234</v>
      </c>
    </row>
    <row r="6626" spans="1:14" x14ac:dyDescent="0.25">
      <c r="A6626" t="s">
        <v>747</v>
      </c>
      <c r="B6626" s="2">
        <v>46234</v>
      </c>
      <c r="C6626" t="s">
        <v>747</v>
      </c>
      <c r="D6626" t="s">
        <v>112</v>
      </c>
      <c r="E6626" t="s">
        <v>9</v>
      </c>
      <c r="F6626" s="3">
        <v>18816</v>
      </c>
      <c r="G6626" s="3">
        <v>18816</v>
      </c>
      <c r="H6626" t="s">
        <v>3</v>
      </c>
      <c r="I6626" t="s">
        <v>3</v>
      </c>
      <c r="J6626" t="s">
        <v>564</v>
      </c>
      <c r="K6626" t="s">
        <v>13</v>
      </c>
      <c r="L6626" t="s">
        <v>21</v>
      </c>
      <c r="M6626" t="s">
        <v>114</v>
      </c>
      <c r="N6626" s="2">
        <v>46234</v>
      </c>
    </row>
    <row r="6627" spans="1:14" x14ac:dyDescent="0.25">
      <c r="A6627" s="4" t="s">
        <v>262</v>
      </c>
      <c r="B6627" s="5"/>
      <c r="C6627" s="4" t="s">
        <v>9</v>
      </c>
      <c r="D6627" s="4" t="s">
        <v>9</v>
      </c>
      <c r="E6627" s="4" t="s">
        <v>9</v>
      </c>
      <c r="F6627" s="6">
        <v>0</v>
      </c>
      <c r="G6627" s="6">
        <v>0</v>
      </c>
      <c r="H6627" s="4" t="s">
        <v>9</v>
      </c>
      <c r="I6627" s="4" t="s">
        <v>3</v>
      </c>
      <c r="J6627" s="4" t="s">
        <v>9</v>
      </c>
      <c r="K6627" s="4" t="s">
        <v>9</v>
      </c>
      <c r="L6627" s="4" t="s">
        <v>9</v>
      </c>
      <c r="M6627" s="4" t="s">
        <v>9</v>
      </c>
      <c r="N6627" s="5"/>
    </row>
    <row r="6628" spans="1:14" x14ac:dyDescent="0.25">
      <c r="A6628" t="s">
        <v>747</v>
      </c>
      <c r="B6628" s="2">
        <v>46267</v>
      </c>
      <c r="C6628" t="s">
        <v>747</v>
      </c>
      <c r="D6628" t="s">
        <v>112</v>
      </c>
      <c r="E6628" t="s">
        <v>9</v>
      </c>
      <c r="F6628" s="3">
        <v>-162</v>
      </c>
      <c r="G6628" s="3">
        <v>-162</v>
      </c>
      <c r="H6628" t="s">
        <v>3</v>
      </c>
      <c r="I6628" t="s">
        <v>3</v>
      </c>
      <c r="J6628" t="s">
        <v>9</v>
      </c>
      <c r="K6628" t="s">
        <v>9</v>
      </c>
      <c r="L6628" t="s">
        <v>22</v>
      </c>
      <c r="M6628" t="s">
        <v>114</v>
      </c>
      <c r="N6628" s="2">
        <v>46265</v>
      </c>
    </row>
    <row r="6629" spans="1:14" x14ac:dyDescent="0.25">
      <c r="A6629" t="s">
        <v>747</v>
      </c>
      <c r="B6629" s="2">
        <v>46234</v>
      </c>
      <c r="C6629" t="s">
        <v>747</v>
      </c>
      <c r="D6629" t="s">
        <v>112</v>
      </c>
      <c r="E6629" t="s">
        <v>9</v>
      </c>
      <c r="F6629" s="3">
        <v>-10870</v>
      </c>
      <c r="G6629" s="3">
        <v>-10870</v>
      </c>
      <c r="H6629" t="s">
        <v>3</v>
      </c>
      <c r="I6629" t="s">
        <v>3</v>
      </c>
      <c r="J6629" t="s">
        <v>319</v>
      </c>
      <c r="K6629" t="s">
        <v>13</v>
      </c>
      <c r="L6629" t="s">
        <v>22</v>
      </c>
      <c r="M6629" t="s">
        <v>114</v>
      </c>
      <c r="N6629" s="2">
        <v>46235</v>
      </c>
    </row>
    <row r="6630" spans="1:14" x14ac:dyDescent="0.25">
      <c r="A6630" t="s">
        <v>747</v>
      </c>
      <c r="B6630" s="2">
        <v>46234</v>
      </c>
      <c r="C6630" t="s">
        <v>747</v>
      </c>
      <c r="D6630" t="s">
        <v>112</v>
      </c>
      <c r="E6630" t="s">
        <v>9</v>
      </c>
      <c r="F6630" s="3">
        <v>-18816</v>
      </c>
      <c r="G6630" s="3">
        <v>-18816</v>
      </c>
      <c r="H6630" t="s">
        <v>3</v>
      </c>
      <c r="I6630" t="s">
        <v>3</v>
      </c>
      <c r="J6630" t="s">
        <v>564</v>
      </c>
      <c r="K6630" t="s">
        <v>13</v>
      </c>
      <c r="L6630" t="s">
        <v>22</v>
      </c>
      <c r="M6630" t="s">
        <v>114</v>
      </c>
      <c r="N6630" s="2">
        <v>46235</v>
      </c>
    </row>
    <row r="6631" spans="1:14" x14ac:dyDescent="0.25">
      <c r="A6631" t="s">
        <v>747</v>
      </c>
      <c r="B6631" s="2">
        <v>46265</v>
      </c>
      <c r="C6631" t="s">
        <v>747</v>
      </c>
      <c r="D6631" t="s">
        <v>112</v>
      </c>
      <c r="E6631" t="s">
        <v>9</v>
      </c>
      <c r="F6631" s="3">
        <v>9800</v>
      </c>
      <c r="G6631" s="3">
        <v>9800</v>
      </c>
      <c r="H6631" t="s">
        <v>3</v>
      </c>
      <c r="I6631" t="s">
        <v>3</v>
      </c>
      <c r="J6631" t="s">
        <v>322</v>
      </c>
      <c r="K6631" t="s">
        <v>13</v>
      </c>
      <c r="L6631" t="s">
        <v>22</v>
      </c>
      <c r="M6631" t="s">
        <v>114</v>
      </c>
      <c r="N6631" s="2">
        <v>46265</v>
      </c>
    </row>
    <row r="6632" spans="1:14" x14ac:dyDescent="0.25">
      <c r="A6632" t="s">
        <v>747</v>
      </c>
      <c r="B6632" s="2">
        <v>46265</v>
      </c>
      <c r="C6632" t="s">
        <v>747</v>
      </c>
      <c r="D6632" t="s">
        <v>112</v>
      </c>
      <c r="E6632" t="s">
        <v>9</v>
      </c>
      <c r="F6632" s="3">
        <v>20048</v>
      </c>
      <c r="G6632" s="3">
        <v>20048</v>
      </c>
      <c r="H6632" t="s">
        <v>3</v>
      </c>
      <c r="I6632" t="s">
        <v>3</v>
      </c>
      <c r="J6632" t="s">
        <v>545</v>
      </c>
      <c r="K6632" t="s">
        <v>13</v>
      </c>
      <c r="L6632" t="s">
        <v>22</v>
      </c>
      <c r="M6632" t="s">
        <v>114</v>
      </c>
      <c r="N6632" s="2">
        <v>46265</v>
      </c>
    </row>
    <row r="6633" spans="1:14" x14ac:dyDescent="0.25">
      <c r="A6633" s="4" t="s">
        <v>267</v>
      </c>
      <c r="B6633" s="5"/>
      <c r="C6633" s="4" t="s">
        <v>9</v>
      </c>
      <c r="D6633" s="4" t="s">
        <v>9</v>
      </c>
      <c r="E6633" s="4" t="s">
        <v>9</v>
      </c>
      <c r="F6633" s="6">
        <v>0</v>
      </c>
      <c r="G6633" s="6">
        <v>0</v>
      </c>
      <c r="H6633" s="4" t="s">
        <v>9</v>
      </c>
      <c r="I6633" s="4" t="s">
        <v>3</v>
      </c>
      <c r="J6633" s="4" t="s">
        <v>9</v>
      </c>
      <c r="K6633" s="4" t="s">
        <v>9</v>
      </c>
      <c r="L6633" s="4" t="s">
        <v>9</v>
      </c>
      <c r="M6633" s="4" t="s">
        <v>9</v>
      </c>
      <c r="N6633" s="5"/>
    </row>
    <row r="6634" spans="1:14" x14ac:dyDescent="0.25">
      <c r="A6634" s="4" t="s">
        <v>747</v>
      </c>
      <c r="B6634" s="5"/>
      <c r="C6634" s="4" t="s">
        <v>9</v>
      </c>
      <c r="D6634" s="4" t="s">
        <v>9</v>
      </c>
      <c r="E6634" s="4" t="s">
        <v>9</v>
      </c>
      <c r="F6634" s="6">
        <v>0</v>
      </c>
      <c r="G6634" s="6">
        <v>0</v>
      </c>
      <c r="H6634" s="4" t="s">
        <v>9</v>
      </c>
      <c r="I6634" s="4" t="s">
        <v>3</v>
      </c>
      <c r="J6634" s="4" t="s">
        <v>9</v>
      </c>
      <c r="K6634" s="4" t="s">
        <v>9</v>
      </c>
      <c r="L6634" s="4" t="s">
        <v>9</v>
      </c>
      <c r="M6634" s="4" t="s">
        <v>9</v>
      </c>
      <c r="N6634" s="5"/>
    </row>
    <row r="6635" spans="1:14" x14ac:dyDescent="0.25">
      <c r="A6635" t="s">
        <v>748</v>
      </c>
      <c r="B6635" s="2">
        <v>46267</v>
      </c>
      <c r="C6635" t="s">
        <v>748</v>
      </c>
      <c r="D6635" t="s">
        <v>112</v>
      </c>
      <c r="E6635" t="s">
        <v>9</v>
      </c>
      <c r="F6635" s="3">
        <v>-2950</v>
      </c>
      <c r="G6635" s="3">
        <v>-2950</v>
      </c>
      <c r="H6635" t="s">
        <v>3</v>
      </c>
      <c r="I6635" t="s">
        <v>3</v>
      </c>
      <c r="J6635" t="s">
        <v>9</v>
      </c>
      <c r="K6635" t="s">
        <v>9</v>
      </c>
      <c r="L6635" t="s">
        <v>22</v>
      </c>
      <c r="M6635" t="s">
        <v>114</v>
      </c>
      <c r="N6635" s="2">
        <v>46265</v>
      </c>
    </row>
    <row r="6636" spans="1:14" x14ac:dyDescent="0.25">
      <c r="A6636" t="s">
        <v>748</v>
      </c>
      <c r="B6636" s="2">
        <v>46265</v>
      </c>
      <c r="C6636" t="s">
        <v>748</v>
      </c>
      <c r="D6636" t="s">
        <v>112</v>
      </c>
      <c r="E6636" t="s">
        <v>9</v>
      </c>
      <c r="F6636" s="3">
        <v>2500</v>
      </c>
      <c r="G6636" s="3">
        <v>2500</v>
      </c>
      <c r="H6636" t="s">
        <v>3</v>
      </c>
      <c r="I6636" t="s">
        <v>3</v>
      </c>
      <c r="J6636" t="s">
        <v>430</v>
      </c>
      <c r="K6636" t="s">
        <v>13</v>
      </c>
      <c r="L6636" t="s">
        <v>22</v>
      </c>
      <c r="M6636" t="s">
        <v>114</v>
      </c>
      <c r="N6636" s="2">
        <v>46265</v>
      </c>
    </row>
    <row r="6637" spans="1:14" x14ac:dyDescent="0.25">
      <c r="A6637" t="s">
        <v>748</v>
      </c>
      <c r="B6637" s="2">
        <v>46265</v>
      </c>
      <c r="C6637" t="s">
        <v>748</v>
      </c>
      <c r="D6637" t="s">
        <v>112</v>
      </c>
      <c r="E6637" t="s">
        <v>9</v>
      </c>
      <c r="F6637" s="3">
        <v>450</v>
      </c>
      <c r="G6637" s="3">
        <v>450</v>
      </c>
      <c r="H6637" t="s">
        <v>3</v>
      </c>
      <c r="I6637" t="s">
        <v>3</v>
      </c>
      <c r="J6637" t="s">
        <v>511</v>
      </c>
      <c r="K6637" t="s">
        <v>13</v>
      </c>
      <c r="L6637" t="s">
        <v>22</v>
      </c>
      <c r="M6637" t="s">
        <v>114</v>
      </c>
      <c r="N6637" s="2">
        <v>46265</v>
      </c>
    </row>
    <row r="6638" spans="1:14" x14ac:dyDescent="0.25">
      <c r="A6638" s="4" t="s">
        <v>267</v>
      </c>
      <c r="B6638" s="5"/>
      <c r="C6638" s="4" t="s">
        <v>9</v>
      </c>
      <c r="D6638" s="4" t="s">
        <v>9</v>
      </c>
      <c r="E6638" s="4" t="s">
        <v>9</v>
      </c>
      <c r="F6638" s="6">
        <v>0</v>
      </c>
      <c r="G6638" s="6">
        <v>0</v>
      </c>
      <c r="H6638" s="4" t="s">
        <v>9</v>
      </c>
      <c r="I6638" s="4" t="s">
        <v>3</v>
      </c>
      <c r="J6638" s="4" t="s">
        <v>9</v>
      </c>
      <c r="K6638" s="4" t="s">
        <v>9</v>
      </c>
      <c r="L6638" s="4" t="s">
        <v>9</v>
      </c>
      <c r="M6638" s="4" t="s">
        <v>9</v>
      </c>
      <c r="N6638" s="5"/>
    </row>
    <row r="6639" spans="1:14" x14ac:dyDescent="0.25">
      <c r="A6639" s="4" t="s">
        <v>748</v>
      </c>
      <c r="B6639" s="5"/>
      <c r="C6639" s="4" t="s">
        <v>9</v>
      </c>
      <c r="D6639" s="4" t="s">
        <v>9</v>
      </c>
      <c r="E6639" s="4" t="s">
        <v>9</v>
      </c>
      <c r="F6639" s="6">
        <v>0</v>
      </c>
      <c r="G6639" s="6">
        <v>0</v>
      </c>
      <c r="H6639" s="4" t="s">
        <v>9</v>
      </c>
      <c r="I6639" s="4" t="s">
        <v>3</v>
      </c>
      <c r="J6639" s="4" t="s">
        <v>9</v>
      </c>
      <c r="K6639" s="4" t="s">
        <v>9</v>
      </c>
      <c r="L6639" s="4" t="s">
        <v>9</v>
      </c>
      <c r="M6639" s="4" t="s">
        <v>9</v>
      </c>
      <c r="N6639" s="5"/>
    </row>
    <row r="6640" spans="1:14" x14ac:dyDescent="0.25">
      <c r="A6640" t="s">
        <v>749</v>
      </c>
      <c r="B6640" s="2">
        <v>46267</v>
      </c>
      <c r="C6640" t="s">
        <v>749</v>
      </c>
      <c r="D6640" t="s">
        <v>112</v>
      </c>
      <c r="E6640" t="s">
        <v>9</v>
      </c>
      <c r="F6640" s="3">
        <v>-1900</v>
      </c>
      <c r="G6640" s="3">
        <v>-1900</v>
      </c>
      <c r="H6640" t="s">
        <v>3</v>
      </c>
      <c r="I6640" t="s">
        <v>3</v>
      </c>
      <c r="J6640" t="s">
        <v>9</v>
      </c>
      <c r="K6640" t="s">
        <v>9</v>
      </c>
      <c r="L6640" t="s">
        <v>22</v>
      </c>
      <c r="M6640" t="s">
        <v>114</v>
      </c>
      <c r="N6640" s="2">
        <v>46265</v>
      </c>
    </row>
    <row r="6641" spans="1:14" x14ac:dyDescent="0.25">
      <c r="A6641" t="s">
        <v>749</v>
      </c>
      <c r="B6641" s="2">
        <v>46265</v>
      </c>
      <c r="C6641" t="s">
        <v>749</v>
      </c>
      <c r="D6641" t="s">
        <v>112</v>
      </c>
      <c r="E6641" t="s">
        <v>9</v>
      </c>
      <c r="F6641" s="3">
        <v>1900</v>
      </c>
      <c r="G6641" s="3">
        <v>1900</v>
      </c>
      <c r="H6641" t="s">
        <v>3</v>
      </c>
      <c r="I6641" t="s">
        <v>3</v>
      </c>
      <c r="J6641" t="s">
        <v>430</v>
      </c>
      <c r="K6641" t="s">
        <v>13</v>
      </c>
      <c r="L6641" t="s">
        <v>22</v>
      </c>
      <c r="M6641" t="s">
        <v>114</v>
      </c>
      <c r="N6641" s="2">
        <v>46265</v>
      </c>
    </row>
    <row r="6642" spans="1:14" x14ac:dyDescent="0.25">
      <c r="A6642" s="4" t="s">
        <v>267</v>
      </c>
      <c r="B6642" s="5"/>
      <c r="C6642" s="4" t="s">
        <v>9</v>
      </c>
      <c r="D6642" s="4" t="s">
        <v>9</v>
      </c>
      <c r="E6642" s="4" t="s">
        <v>9</v>
      </c>
      <c r="F6642" s="6">
        <v>0</v>
      </c>
      <c r="G6642" s="6">
        <v>0</v>
      </c>
      <c r="H6642" s="4" t="s">
        <v>9</v>
      </c>
      <c r="I6642" s="4" t="s">
        <v>3</v>
      </c>
      <c r="J6642" s="4" t="s">
        <v>9</v>
      </c>
      <c r="K6642" s="4" t="s">
        <v>9</v>
      </c>
      <c r="L6642" s="4" t="s">
        <v>9</v>
      </c>
      <c r="M6642" s="4" t="s">
        <v>9</v>
      </c>
      <c r="N6642" s="5"/>
    </row>
    <row r="6643" spans="1:14" x14ac:dyDescent="0.25">
      <c r="A6643" s="4" t="s">
        <v>749</v>
      </c>
      <c r="B6643" s="5"/>
      <c r="C6643" s="4" t="s">
        <v>9</v>
      </c>
      <c r="D6643" s="4" t="s">
        <v>9</v>
      </c>
      <c r="E6643" s="4" t="s">
        <v>9</v>
      </c>
      <c r="F6643" s="6">
        <v>0</v>
      </c>
      <c r="G6643" s="6">
        <v>0</v>
      </c>
      <c r="H6643" s="4" t="s">
        <v>9</v>
      </c>
      <c r="I6643" s="4" t="s">
        <v>3</v>
      </c>
      <c r="J6643" s="4" t="s">
        <v>9</v>
      </c>
      <c r="K6643" s="4" t="s">
        <v>9</v>
      </c>
      <c r="L6643" s="4" t="s">
        <v>9</v>
      </c>
      <c r="M6643" s="4" t="s">
        <v>9</v>
      </c>
      <c r="N6643" s="5"/>
    </row>
    <row r="6644" spans="1:14" x14ac:dyDescent="0.25">
      <c r="A6644" t="s">
        <v>750</v>
      </c>
      <c r="B6644" s="2">
        <v>46239</v>
      </c>
      <c r="C6644" t="s">
        <v>750</v>
      </c>
      <c r="D6644" t="s">
        <v>112</v>
      </c>
      <c r="E6644" t="s">
        <v>9</v>
      </c>
      <c r="F6644" s="3">
        <v>-200</v>
      </c>
      <c r="G6644" s="3">
        <v>-200</v>
      </c>
      <c r="H6644" t="s">
        <v>3</v>
      </c>
      <c r="I6644" t="s">
        <v>3</v>
      </c>
      <c r="J6644" t="s">
        <v>9</v>
      </c>
      <c r="K6644" t="s">
        <v>9</v>
      </c>
      <c r="L6644" t="s">
        <v>21</v>
      </c>
      <c r="M6644" t="s">
        <v>114</v>
      </c>
      <c r="N6644" s="2">
        <v>46234</v>
      </c>
    </row>
    <row r="6645" spans="1:14" x14ac:dyDescent="0.25">
      <c r="A6645" t="s">
        <v>750</v>
      </c>
      <c r="B6645" s="2">
        <v>46234</v>
      </c>
      <c r="C6645" t="s">
        <v>750</v>
      </c>
      <c r="D6645" t="s">
        <v>112</v>
      </c>
      <c r="E6645" t="s">
        <v>9</v>
      </c>
      <c r="F6645" s="3">
        <v>200</v>
      </c>
      <c r="G6645" s="3">
        <v>200</v>
      </c>
      <c r="H6645" t="s">
        <v>3</v>
      </c>
      <c r="I6645" t="s">
        <v>3</v>
      </c>
      <c r="J6645" t="s">
        <v>373</v>
      </c>
      <c r="K6645" t="s">
        <v>13</v>
      </c>
      <c r="L6645" t="s">
        <v>21</v>
      </c>
      <c r="M6645" t="s">
        <v>114</v>
      </c>
      <c r="N6645" s="2">
        <v>46234</v>
      </c>
    </row>
    <row r="6646" spans="1:14" x14ac:dyDescent="0.25">
      <c r="A6646" s="4" t="s">
        <v>262</v>
      </c>
      <c r="B6646" s="5"/>
      <c r="C6646" s="4" t="s">
        <v>9</v>
      </c>
      <c r="D6646" s="4" t="s">
        <v>9</v>
      </c>
      <c r="E6646" s="4" t="s">
        <v>9</v>
      </c>
      <c r="F6646" s="6">
        <v>0</v>
      </c>
      <c r="G6646" s="6">
        <v>0</v>
      </c>
      <c r="H6646" s="4" t="s">
        <v>9</v>
      </c>
      <c r="I6646" s="4" t="s">
        <v>3</v>
      </c>
      <c r="J6646" s="4" t="s">
        <v>9</v>
      </c>
      <c r="K6646" s="4" t="s">
        <v>9</v>
      </c>
      <c r="L6646" s="4" t="s">
        <v>9</v>
      </c>
      <c r="M6646" s="4" t="s">
        <v>9</v>
      </c>
      <c r="N6646" s="5"/>
    </row>
    <row r="6647" spans="1:14" x14ac:dyDescent="0.25">
      <c r="A6647" t="s">
        <v>750</v>
      </c>
      <c r="B6647" s="2">
        <v>46234</v>
      </c>
      <c r="C6647" t="s">
        <v>750</v>
      </c>
      <c r="D6647" t="s">
        <v>112</v>
      </c>
      <c r="E6647" t="s">
        <v>9</v>
      </c>
      <c r="F6647" s="3">
        <v>-200</v>
      </c>
      <c r="G6647" s="3">
        <v>-200</v>
      </c>
      <c r="H6647" t="s">
        <v>3</v>
      </c>
      <c r="I6647" t="s">
        <v>3</v>
      </c>
      <c r="J6647" t="s">
        <v>373</v>
      </c>
      <c r="K6647" t="s">
        <v>13</v>
      </c>
      <c r="L6647" t="s">
        <v>22</v>
      </c>
      <c r="M6647" t="s">
        <v>114</v>
      </c>
      <c r="N6647" s="2">
        <v>46235</v>
      </c>
    </row>
    <row r="6648" spans="1:14" x14ac:dyDescent="0.25">
      <c r="A6648" t="s">
        <v>750</v>
      </c>
      <c r="B6648" s="2">
        <v>46265</v>
      </c>
      <c r="C6648" t="s">
        <v>750</v>
      </c>
      <c r="D6648" t="s">
        <v>112</v>
      </c>
      <c r="E6648" t="s">
        <v>9</v>
      </c>
      <c r="F6648" s="3">
        <v>200</v>
      </c>
      <c r="G6648" s="3">
        <v>200</v>
      </c>
      <c r="H6648" t="s">
        <v>3</v>
      </c>
      <c r="I6648" t="s">
        <v>3</v>
      </c>
      <c r="J6648" t="s">
        <v>430</v>
      </c>
      <c r="K6648" t="s">
        <v>13</v>
      </c>
      <c r="L6648" t="s">
        <v>22</v>
      </c>
      <c r="M6648" t="s">
        <v>114</v>
      </c>
      <c r="N6648" s="2">
        <v>46265</v>
      </c>
    </row>
    <row r="6649" spans="1:14" x14ac:dyDescent="0.25">
      <c r="A6649" s="4" t="s">
        <v>267</v>
      </c>
      <c r="B6649" s="5"/>
      <c r="C6649" s="4" t="s">
        <v>9</v>
      </c>
      <c r="D6649" s="4" t="s">
        <v>9</v>
      </c>
      <c r="E6649" s="4" t="s">
        <v>9</v>
      </c>
      <c r="F6649" s="6">
        <v>0</v>
      </c>
      <c r="G6649" s="6">
        <v>0</v>
      </c>
      <c r="H6649" s="4" t="s">
        <v>9</v>
      </c>
      <c r="I6649" s="4" t="s">
        <v>3</v>
      </c>
      <c r="J6649" s="4" t="s">
        <v>9</v>
      </c>
      <c r="K6649" s="4" t="s">
        <v>9</v>
      </c>
      <c r="L6649" s="4" t="s">
        <v>9</v>
      </c>
      <c r="M6649" s="4" t="s">
        <v>9</v>
      </c>
      <c r="N6649" s="5"/>
    </row>
    <row r="6650" spans="1:14" x14ac:dyDescent="0.25">
      <c r="A6650" s="4" t="s">
        <v>750</v>
      </c>
      <c r="B6650" s="5"/>
      <c r="C6650" s="4" t="s">
        <v>9</v>
      </c>
      <c r="D6650" s="4" t="s">
        <v>9</v>
      </c>
      <c r="E6650" s="4" t="s">
        <v>9</v>
      </c>
      <c r="F6650" s="6">
        <v>0</v>
      </c>
      <c r="G6650" s="6">
        <v>0</v>
      </c>
      <c r="H6650" s="4" t="s">
        <v>9</v>
      </c>
      <c r="I6650" s="4" t="s">
        <v>3</v>
      </c>
      <c r="J6650" s="4" t="s">
        <v>9</v>
      </c>
      <c r="K6650" s="4" t="s">
        <v>9</v>
      </c>
      <c r="L6650" s="4" t="s">
        <v>9</v>
      </c>
      <c r="M6650" s="4" t="s">
        <v>9</v>
      </c>
      <c r="N6650" s="5"/>
    </row>
    <row r="6651" spans="1:14" x14ac:dyDescent="0.25">
      <c r="A6651" t="s">
        <v>751</v>
      </c>
      <c r="B6651" s="2">
        <v>46205</v>
      </c>
      <c r="C6651" t="s">
        <v>751</v>
      </c>
      <c r="D6651" t="s">
        <v>112</v>
      </c>
      <c r="E6651" t="s">
        <v>9</v>
      </c>
      <c r="F6651" s="3">
        <v>-1200</v>
      </c>
      <c r="G6651" s="3">
        <v>-1200</v>
      </c>
      <c r="H6651" t="s">
        <v>3</v>
      </c>
      <c r="I6651" t="s">
        <v>3</v>
      </c>
      <c r="J6651" t="s">
        <v>9</v>
      </c>
      <c r="K6651" t="s">
        <v>9</v>
      </c>
      <c r="L6651" t="s">
        <v>19</v>
      </c>
      <c r="M6651" t="s">
        <v>114</v>
      </c>
      <c r="N6651" s="2">
        <v>46203</v>
      </c>
    </row>
    <row r="6652" spans="1:14" x14ac:dyDescent="0.25">
      <c r="A6652" t="s">
        <v>751</v>
      </c>
      <c r="B6652" s="2">
        <v>46203</v>
      </c>
      <c r="C6652" t="s">
        <v>751</v>
      </c>
      <c r="D6652" t="s">
        <v>112</v>
      </c>
      <c r="E6652" t="s">
        <v>9</v>
      </c>
      <c r="F6652" s="3">
        <v>1200</v>
      </c>
      <c r="G6652" s="3">
        <v>1200</v>
      </c>
      <c r="H6652" t="s">
        <v>3</v>
      </c>
      <c r="I6652" t="s">
        <v>3</v>
      </c>
      <c r="J6652" t="s">
        <v>372</v>
      </c>
      <c r="K6652" t="s">
        <v>13</v>
      </c>
      <c r="L6652" t="s">
        <v>19</v>
      </c>
      <c r="M6652" t="s">
        <v>114</v>
      </c>
      <c r="N6652" s="2">
        <v>46203</v>
      </c>
    </row>
    <row r="6653" spans="1:14" x14ac:dyDescent="0.25">
      <c r="A6653" s="4" t="s">
        <v>224</v>
      </c>
      <c r="B6653" s="5"/>
      <c r="C6653" s="4" t="s">
        <v>9</v>
      </c>
      <c r="D6653" s="4" t="s">
        <v>9</v>
      </c>
      <c r="E6653" s="4" t="s">
        <v>9</v>
      </c>
      <c r="F6653" s="6">
        <v>0</v>
      </c>
      <c r="G6653" s="6">
        <v>0</v>
      </c>
      <c r="H6653" s="4" t="s">
        <v>9</v>
      </c>
      <c r="I6653" s="4" t="s">
        <v>3</v>
      </c>
      <c r="J6653" s="4" t="s">
        <v>9</v>
      </c>
      <c r="K6653" s="4" t="s">
        <v>9</v>
      </c>
      <c r="L6653" s="4" t="s">
        <v>9</v>
      </c>
      <c r="M6653" s="4" t="s">
        <v>9</v>
      </c>
      <c r="N6653" s="5"/>
    </row>
    <row r="6654" spans="1:14" x14ac:dyDescent="0.25">
      <c r="A6654" t="s">
        <v>751</v>
      </c>
      <c r="B6654" s="2">
        <v>46239</v>
      </c>
      <c r="C6654" t="s">
        <v>751</v>
      </c>
      <c r="D6654" t="s">
        <v>112</v>
      </c>
      <c r="E6654" t="s">
        <v>9</v>
      </c>
      <c r="F6654" s="3">
        <v>-1600</v>
      </c>
      <c r="G6654" s="3">
        <v>-1600</v>
      </c>
      <c r="H6654" t="s">
        <v>3</v>
      </c>
      <c r="I6654" t="s">
        <v>3</v>
      </c>
      <c r="J6654" t="s">
        <v>9</v>
      </c>
      <c r="K6654" t="s">
        <v>9</v>
      </c>
      <c r="L6654" t="s">
        <v>21</v>
      </c>
      <c r="M6654" t="s">
        <v>114</v>
      </c>
      <c r="N6654" s="2">
        <v>46234</v>
      </c>
    </row>
    <row r="6655" spans="1:14" x14ac:dyDescent="0.25">
      <c r="A6655" t="s">
        <v>751</v>
      </c>
      <c r="B6655" s="2">
        <v>46203</v>
      </c>
      <c r="C6655" t="s">
        <v>751</v>
      </c>
      <c r="D6655" t="s">
        <v>112</v>
      </c>
      <c r="E6655" t="s">
        <v>9</v>
      </c>
      <c r="F6655" s="3">
        <v>-1200</v>
      </c>
      <c r="G6655" s="3">
        <v>-1200</v>
      </c>
      <c r="H6655" t="s">
        <v>3</v>
      </c>
      <c r="I6655" t="s">
        <v>3</v>
      </c>
      <c r="J6655" t="s">
        <v>372</v>
      </c>
      <c r="K6655" t="s">
        <v>13</v>
      </c>
      <c r="L6655" t="s">
        <v>21</v>
      </c>
      <c r="M6655" t="s">
        <v>114</v>
      </c>
      <c r="N6655" s="2">
        <v>46204</v>
      </c>
    </row>
    <row r="6656" spans="1:14" x14ac:dyDescent="0.25">
      <c r="A6656" t="s">
        <v>751</v>
      </c>
      <c r="B6656" s="2">
        <v>46234</v>
      </c>
      <c r="C6656" t="s">
        <v>751</v>
      </c>
      <c r="D6656" t="s">
        <v>112</v>
      </c>
      <c r="E6656" t="s">
        <v>9</v>
      </c>
      <c r="F6656" s="3">
        <v>2800</v>
      </c>
      <c r="G6656" s="3">
        <v>2800</v>
      </c>
      <c r="H6656" t="s">
        <v>3</v>
      </c>
      <c r="I6656" t="s">
        <v>3</v>
      </c>
      <c r="J6656" t="s">
        <v>373</v>
      </c>
      <c r="K6656" t="s">
        <v>13</v>
      </c>
      <c r="L6656" t="s">
        <v>21</v>
      </c>
      <c r="M6656" t="s">
        <v>114</v>
      </c>
      <c r="N6656" s="2">
        <v>46234</v>
      </c>
    </row>
    <row r="6657" spans="1:14" x14ac:dyDescent="0.25">
      <c r="A6657" s="4" t="s">
        <v>262</v>
      </c>
      <c r="B6657" s="5"/>
      <c r="C6657" s="4" t="s">
        <v>9</v>
      </c>
      <c r="D6657" s="4" t="s">
        <v>9</v>
      </c>
      <c r="E6657" s="4" t="s">
        <v>9</v>
      </c>
      <c r="F6657" s="6">
        <v>0</v>
      </c>
      <c r="G6657" s="6">
        <v>0</v>
      </c>
      <c r="H6657" s="4" t="s">
        <v>9</v>
      </c>
      <c r="I6657" s="4" t="s">
        <v>3</v>
      </c>
      <c r="J6657" s="4" t="s">
        <v>9</v>
      </c>
      <c r="K6657" s="4" t="s">
        <v>9</v>
      </c>
      <c r="L6657" s="4" t="s">
        <v>9</v>
      </c>
      <c r="M6657" s="4" t="s">
        <v>9</v>
      </c>
      <c r="N6657" s="5"/>
    </row>
    <row r="6658" spans="1:14" x14ac:dyDescent="0.25">
      <c r="A6658" t="s">
        <v>751</v>
      </c>
      <c r="B6658" s="2">
        <v>46267</v>
      </c>
      <c r="C6658" t="s">
        <v>751</v>
      </c>
      <c r="D6658" t="s">
        <v>112</v>
      </c>
      <c r="E6658" t="s">
        <v>9</v>
      </c>
      <c r="F6658" s="3">
        <v>-300</v>
      </c>
      <c r="G6658" s="3">
        <v>-300</v>
      </c>
      <c r="H6658" t="s">
        <v>3</v>
      </c>
      <c r="I6658" t="s">
        <v>3</v>
      </c>
      <c r="J6658" t="s">
        <v>9</v>
      </c>
      <c r="K6658" t="s">
        <v>9</v>
      </c>
      <c r="L6658" t="s">
        <v>22</v>
      </c>
      <c r="M6658" t="s">
        <v>114</v>
      </c>
      <c r="N6658" s="2">
        <v>46265</v>
      </c>
    </row>
    <row r="6659" spans="1:14" x14ac:dyDescent="0.25">
      <c r="A6659" t="s">
        <v>751</v>
      </c>
      <c r="B6659" s="2">
        <v>46234</v>
      </c>
      <c r="C6659" t="s">
        <v>751</v>
      </c>
      <c r="D6659" t="s">
        <v>112</v>
      </c>
      <c r="E6659" t="s">
        <v>9</v>
      </c>
      <c r="F6659" s="3">
        <v>-2800</v>
      </c>
      <c r="G6659" s="3">
        <v>-2800</v>
      </c>
      <c r="H6659" t="s">
        <v>3</v>
      </c>
      <c r="I6659" t="s">
        <v>3</v>
      </c>
      <c r="J6659" t="s">
        <v>373</v>
      </c>
      <c r="K6659" t="s">
        <v>13</v>
      </c>
      <c r="L6659" t="s">
        <v>22</v>
      </c>
      <c r="M6659" t="s">
        <v>114</v>
      </c>
      <c r="N6659" s="2">
        <v>46235</v>
      </c>
    </row>
    <row r="6660" spans="1:14" x14ac:dyDescent="0.25">
      <c r="A6660" t="s">
        <v>751</v>
      </c>
      <c r="B6660" s="2">
        <v>46265</v>
      </c>
      <c r="C6660" t="s">
        <v>751</v>
      </c>
      <c r="D6660" t="s">
        <v>112</v>
      </c>
      <c r="E6660" t="s">
        <v>9</v>
      </c>
      <c r="F6660" s="3">
        <v>3100</v>
      </c>
      <c r="G6660" s="3">
        <v>3100</v>
      </c>
      <c r="H6660" t="s">
        <v>3</v>
      </c>
      <c r="I6660" t="s">
        <v>3</v>
      </c>
      <c r="J6660" t="s">
        <v>430</v>
      </c>
      <c r="K6660" t="s">
        <v>13</v>
      </c>
      <c r="L6660" t="s">
        <v>22</v>
      </c>
      <c r="M6660" t="s">
        <v>114</v>
      </c>
      <c r="N6660" s="2">
        <v>46265</v>
      </c>
    </row>
    <row r="6661" spans="1:14" x14ac:dyDescent="0.25">
      <c r="A6661" s="4" t="s">
        <v>267</v>
      </c>
      <c r="B6661" s="5"/>
      <c r="C6661" s="4" t="s">
        <v>9</v>
      </c>
      <c r="D6661" s="4" t="s">
        <v>9</v>
      </c>
      <c r="E6661" s="4" t="s">
        <v>9</v>
      </c>
      <c r="F6661" s="6">
        <v>0</v>
      </c>
      <c r="G6661" s="6">
        <v>0</v>
      </c>
      <c r="H6661" s="4" t="s">
        <v>9</v>
      </c>
      <c r="I6661" s="4" t="s">
        <v>3</v>
      </c>
      <c r="J6661" s="4" t="s">
        <v>9</v>
      </c>
      <c r="K6661" s="4" t="s">
        <v>9</v>
      </c>
      <c r="L6661" s="4" t="s">
        <v>9</v>
      </c>
      <c r="M6661" s="4" t="s">
        <v>9</v>
      </c>
      <c r="N6661" s="5"/>
    </row>
    <row r="6662" spans="1:14" x14ac:dyDescent="0.25">
      <c r="A6662" s="4" t="s">
        <v>751</v>
      </c>
      <c r="B6662" s="5"/>
      <c r="C6662" s="4" t="s">
        <v>9</v>
      </c>
      <c r="D6662" s="4" t="s">
        <v>9</v>
      </c>
      <c r="E6662" s="4" t="s">
        <v>9</v>
      </c>
      <c r="F6662" s="6">
        <v>0</v>
      </c>
      <c r="G6662" s="6">
        <v>0</v>
      </c>
      <c r="H6662" s="4" t="s">
        <v>9</v>
      </c>
      <c r="I6662" s="4" t="s">
        <v>3</v>
      </c>
      <c r="J6662" s="4" t="s">
        <v>9</v>
      </c>
      <c r="K6662" s="4" t="s">
        <v>9</v>
      </c>
      <c r="L6662" s="4" t="s">
        <v>9</v>
      </c>
      <c r="M6662" s="4" t="s">
        <v>9</v>
      </c>
      <c r="N6662" s="5"/>
    </row>
    <row r="6663" spans="1:14" x14ac:dyDescent="0.25">
      <c r="A6663" t="s">
        <v>752</v>
      </c>
      <c r="B6663" s="2">
        <v>46205</v>
      </c>
      <c r="C6663" t="s">
        <v>752</v>
      </c>
      <c r="D6663" t="s">
        <v>112</v>
      </c>
      <c r="E6663" t="s">
        <v>9</v>
      </c>
      <c r="F6663" s="3">
        <v>-200</v>
      </c>
      <c r="G6663" s="3">
        <v>-200</v>
      </c>
      <c r="H6663" t="s">
        <v>3</v>
      </c>
      <c r="I6663" t="s">
        <v>3</v>
      </c>
      <c r="J6663" t="s">
        <v>9</v>
      </c>
      <c r="K6663" t="s">
        <v>9</v>
      </c>
      <c r="L6663" t="s">
        <v>19</v>
      </c>
      <c r="M6663" t="s">
        <v>114</v>
      </c>
      <c r="N6663" s="2">
        <v>46203</v>
      </c>
    </row>
    <row r="6664" spans="1:14" x14ac:dyDescent="0.25">
      <c r="A6664" t="s">
        <v>752</v>
      </c>
      <c r="B6664" s="2">
        <v>46203</v>
      </c>
      <c r="C6664" t="s">
        <v>752</v>
      </c>
      <c r="D6664" t="s">
        <v>112</v>
      </c>
      <c r="E6664" t="s">
        <v>9</v>
      </c>
      <c r="F6664" s="3">
        <v>200</v>
      </c>
      <c r="G6664" s="3">
        <v>200</v>
      </c>
      <c r="H6664" t="s">
        <v>3</v>
      </c>
      <c r="I6664" t="s">
        <v>3</v>
      </c>
      <c r="J6664" t="s">
        <v>372</v>
      </c>
      <c r="K6664" t="s">
        <v>13</v>
      </c>
      <c r="L6664" t="s">
        <v>19</v>
      </c>
      <c r="M6664" t="s">
        <v>114</v>
      </c>
      <c r="N6664" s="2">
        <v>46203</v>
      </c>
    </row>
    <row r="6665" spans="1:14" x14ac:dyDescent="0.25">
      <c r="A6665" s="4" t="s">
        <v>224</v>
      </c>
      <c r="B6665" s="5"/>
      <c r="C6665" s="4" t="s">
        <v>9</v>
      </c>
      <c r="D6665" s="4" t="s">
        <v>9</v>
      </c>
      <c r="E6665" s="4" t="s">
        <v>9</v>
      </c>
      <c r="F6665" s="6">
        <v>0</v>
      </c>
      <c r="G6665" s="6">
        <v>0</v>
      </c>
      <c r="H6665" s="4" t="s">
        <v>9</v>
      </c>
      <c r="I6665" s="4" t="s">
        <v>3</v>
      </c>
      <c r="J6665" s="4" t="s">
        <v>9</v>
      </c>
      <c r="K6665" s="4" t="s">
        <v>9</v>
      </c>
      <c r="L6665" s="4" t="s">
        <v>9</v>
      </c>
      <c r="M6665" s="4" t="s">
        <v>9</v>
      </c>
      <c r="N6665" s="5"/>
    </row>
    <row r="6666" spans="1:14" x14ac:dyDescent="0.25">
      <c r="A6666" t="s">
        <v>752</v>
      </c>
      <c r="B6666" s="2">
        <v>46239</v>
      </c>
      <c r="C6666" t="s">
        <v>752</v>
      </c>
      <c r="D6666" t="s">
        <v>112</v>
      </c>
      <c r="E6666" t="s">
        <v>9</v>
      </c>
      <c r="F6666" s="3">
        <v>-200</v>
      </c>
      <c r="G6666" s="3">
        <v>-200</v>
      </c>
      <c r="H6666" t="s">
        <v>3</v>
      </c>
      <c r="I6666" t="s">
        <v>3</v>
      </c>
      <c r="J6666" t="s">
        <v>9</v>
      </c>
      <c r="K6666" t="s">
        <v>9</v>
      </c>
      <c r="L6666" t="s">
        <v>21</v>
      </c>
      <c r="M6666" t="s">
        <v>114</v>
      </c>
      <c r="N6666" s="2">
        <v>46234</v>
      </c>
    </row>
    <row r="6667" spans="1:14" x14ac:dyDescent="0.25">
      <c r="A6667" t="s">
        <v>752</v>
      </c>
      <c r="B6667" s="2">
        <v>46203</v>
      </c>
      <c r="C6667" t="s">
        <v>752</v>
      </c>
      <c r="D6667" t="s">
        <v>112</v>
      </c>
      <c r="E6667" t="s">
        <v>9</v>
      </c>
      <c r="F6667" s="3">
        <v>-200</v>
      </c>
      <c r="G6667" s="3">
        <v>-200</v>
      </c>
      <c r="H6667" t="s">
        <v>3</v>
      </c>
      <c r="I6667" t="s">
        <v>3</v>
      </c>
      <c r="J6667" t="s">
        <v>372</v>
      </c>
      <c r="K6667" t="s">
        <v>13</v>
      </c>
      <c r="L6667" t="s">
        <v>21</v>
      </c>
      <c r="M6667" t="s">
        <v>114</v>
      </c>
      <c r="N6667" s="2">
        <v>46204</v>
      </c>
    </row>
    <row r="6668" spans="1:14" x14ac:dyDescent="0.25">
      <c r="A6668" t="s">
        <v>752</v>
      </c>
      <c r="B6668" s="2">
        <v>46234</v>
      </c>
      <c r="C6668" t="s">
        <v>752</v>
      </c>
      <c r="D6668" t="s">
        <v>112</v>
      </c>
      <c r="E6668" t="s">
        <v>9</v>
      </c>
      <c r="F6668" s="3">
        <v>400</v>
      </c>
      <c r="G6668" s="3">
        <v>400</v>
      </c>
      <c r="H6668" t="s">
        <v>3</v>
      </c>
      <c r="I6668" t="s">
        <v>3</v>
      </c>
      <c r="J6668" t="s">
        <v>373</v>
      </c>
      <c r="K6668" t="s">
        <v>13</v>
      </c>
      <c r="L6668" t="s">
        <v>21</v>
      </c>
      <c r="M6668" t="s">
        <v>114</v>
      </c>
      <c r="N6668" s="2">
        <v>46234</v>
      </c>
    </row>
    <row r="6669" spans="1:14" x14ac:dyDescent="0.25">
      <c r="A6669" s="4" t="s">
        <v>262</v>
      </c>
      <c r="B6669" s="5"/>
      <c r="C6669" s="4" t="s">
        <v>9</v>
      </c>
      <c r="D6669" s="4" t="s">
        <v>9</v>
      </c>
      <c r="E6669" s="4" t="s">
        <v>9</v>
      </c>
      <c r="F6669" s="6">
        <v>0</v>
      </c>
      <c r="G6669" s="6">
        <v>0</v>
      </c>
      <c r="H6669" s="4" t="s">
        <v>9</v>
      </c>
      <c r="I6669" s="4" t="s">
        <v>3</v>
      </c>
      <c r="J6669" s="4" t="s">
        <v>9</v>
      </c>
      <c r="K6669" s="4" t="s">
        <v>9</v>
      </c>
      <c r="L6669" s="4" t="s">
        <v>9</v>
      </c>
      <c r="M6669" s="4" t="s">
        <v>9</v>
      </c>
      <c r="N6669" s="5"/>
    </row>
    <row r="6670" spans="1:14" x14ac:dyDescent="0.25">
      <c r="A6670" t="s">
        <v>752</v>
      </c>
      <c r="B6670" s="2">
        <v>46234</v>
      </c>
      <c r="C6670" t="s">
        <v>752</v>
      </c>
      <c r="D6670" t="s">
        <v>112</v>
      </c>
      <c r="E6670" t="s">
        <v>9</v>
      </c>
      <c r="F6670" s="3">
        <v>-400</v>
      </c>
      <c r="G6670" s="3">
        <v>-400</v>
      </c>
      <c r="H6670" t="s">
        <v>3</v>
      </c>
      <c r="I6670" t="s">
        <v>3</v>
      </c>
      <c r="J6670" t="s">
        <v>373</v>
      </c>
      <c r="K6670" t="s">
        <v>13</v>
      </c>
      <c r="L6670" t="s">
        <v>22</v>
      </c>
      <c r="M6670" t="s">
        <v>114</v>
      </c>
      <c r="N6670" s="2">
        <v>46235</v>
      </c>
    </row>
    <row r="6671" spans="1:14" x14ac:dyDescent="0.25">
      <c r="A6671" t="s">
        <v>752</v>
      </c>
      <c r="B6671" s="2">
        <v>46265</v>
      </c>
      <c r="C6671" t="s">
        <v>752</v>
      </c>
      <c r="D6671" t="s">
        <v>112</v>
      </c>
      <c r="E6671" t="s">
        <v>9</v>
      </c>
      <c r="F6671" s="3">
        <v>400</v>
      </c>
      <c r="G6671" s="3">
        <v>400</v>
      </c>
      <c r="H6671" t="s">
        <v>3</v>
      </c>
      <c r="I6671" t="s">
        <v>3</v>
      </c>
      <c r="J6671" t="s">
        <v>430</v>
      </c>
      <c r="K6671" t="s">
        <v>13</v>
      </c>
      <c r="L6671" t="s">
        <v>22</v>
      </c>
      <c r="M6671" t="s">
        <v>114</v>
      </c>
      <c r="N6671" s="2">
        <v>46265</v>
      </c>
    </row>
    <row r="6672" spans="1:14" x14ac:dyDescent="0.25">
      <c r="A6672" s="4" t="s">
        <v>267</v>
      </c>
      <c r="B6672" s="5"/>
      <c r="C6672" s="4" t="s">
        <v>9</v>
      </c>
      <c r="D6672" s="4" t="s">
        <v>9</v>
      </c>
      <c r="E6672" s="4" t="s">
        <v>9</v>
      </c>
      <c r="F6672" s="6">
        <v>0</v>
      </c>
      <c r="G6672" s="6">
        <v>0</v>
      </c>
      <c r="H6672" s="4" t="s">
        <v>9</v>
      </c>
      <c r="I6672" s="4" t="s">
        <v>3</v>
      </c>
      <c r="J6672" s="4" t="s">
        <v>9</v>
      </c>
      <c r="K6672" s="4" t="s">
        <v>9</v>
      </c>
      <c r="L6672" s="4" t="s">
        <v>9</v>
      </c>
      <c r="M6672" s="4" t="s">
        <v>9</v>
      </c>
      <c r="N6672" s="5"/>
    </row>
    <row r="6673" spans="1:14" x14ac:dyDescent="0.25">
      <c r="A6673" s="4" t="s">
        <v>752</v>
      </c>
      <c r="B6673" s="5"/>
      <c r="C6673" s="4" t="s">
        <v>9</v>
      </c>
      <c r="D6673" s="4" t="s">
        <v>9</v>
      </c>
      <c r="E6673" s="4" t="s">
        <v>9</v>
      </c>
      <c r="F6673" s="6">
        <v>0</v>
      </c>
      <c r="G6673" s="6">
        <v>0</v>
      </c>
      <c r="H6673" s="4" t="s">
        <v>9</v>
      </c>
      <c r="I6673" s="4" t="s">
        <v>3</v>
      </c>
      <c r="J6673" s="4" t="s">
        <v>9</v>
      </c>
      <c r="K6673" s="4" t="s">
        <v>9</v>
      </c>
      <c r="L6673" s="4" t="s">
        <v>9</v>
      </c>
      <c r="M6673" s="4" t="s">
        <v>9</v>
      </c>
      <c r="N6673" s="5"/>
    </row>
    <row r="6674" spans="1:14" x14ac:dyDescent="0.25">
      <c r="A6674" t="s">
        <v>753</v>
      </c>
      <c r="B6674" s="2">
        <v>46239</v>
      </c>
      <c r="C6674" t="s">
        <v>753</v>
      </c>
      <c r="D6674" t="s">
        <v>112</v>
      </c>
      <c r="E6674" t="s">
        <v>9</v>
      </c>
      <c r="F6674" s="3">
        <v>-25250</v>
      </c>
      <c r="G6674" s="3">
        <v>-25250</v>
      </c>
      <c r="H6674" t="s">
        <v>3</v>
      </c>
      <c r="I6674" t="s">
        <v>3</v>
      </c>
      <c r="J6674" t="s">
        <v>9</v>
      </c>
      <c r="K6674" t="s">
        <v>9</v>
      </c>
      <c r="L6674" t="s">
        <v>21</v>
      </c>
      <c r="M6674" t="s">
        <v>114</v>
      </c>
      <c r="N6674" s="2">
        <v>46234</v>
      </c>
    </row>
    <row r="6675" spans="1:14" x14ac:dyDescent="0.25">
      <c r="A6675" t="s">
        <v>753</v>
      </c>
      <c r="B6675" s="2">
        <v>46239</v>
      </c>
      <c r="C6675" t="s">
        <v>753</v>
      </c>
      <c r="D6675" t="s">
        <v>301</v>
      </c>
      <c r="E6675" t="s">
        <v>9</v>
      </c>
      <c r="F6675" s="3">
        <v>25250</v>
      </c>
      <c r="G6675" s="3">
        <v>25250</v>
      </c>
      <c r="H6675" t="s">
        <v>3</v>
      </c>
      <c r="I6675" t="s">
        <v>3</v>
      </c>
      <c r="J6675" t="s">
        <v>9</v>
      </c>
      <c r="K6675" t="s">
        <v>9</v>
      </c>
      <c r="L6675" t="s">
        <v>21</v>
      </c>
      <c r="M6675" t="s">
        <v>302</v>
      </c>
      <c r="N6675" s="2">
        <v>46234</v>
      </c>
    </row>
    <row r="6676" spans="1:14" x14ac:dyDescent="0.25">
      <c r="A6676" t="s">
        <v>753</v>
      </c>
      <c r="B6676" s="2">
        <v>46234</v>
      </c>
      <c r="C6676" t="s">
        <v>753</v>
      </c>
      <c r="D6676" t="s">
        <v>301</v>
      </c>
      <c r="E6676" t="s">
        <v>9</v>
      </c>
      <c r="F6676" s="3">
        <v>-25250</v>
      </c>
      <c r="G6676" s="3">
        <v>-25250</v>
      </c>
      <c r="H6676" t="s">
        <v>3</v>
      </c>
      <c r="I6676" t="s">
        <v>3</v>
      </c>
      <c r="J6676" t="s">
        <v>10</v>
      </c>
      <c r="K6676" t="s">
        <v>13</v>
      </c>
      <c r="L6676" t="s">
        <v>21</v>
      </c>
      <c r="M6676" t="s">
        <v>302</v>
      </c>
      <c r="N6676" s="2">
        <v>46234</v>
      </c>
    </row>
    <row r="6677" spans="1:14" x14ac:dyDescent="0.25">
      <c r="A6677" t="s">
        <v>753</v>
      </c>
      <c r="B6677" s="2">
        <v>46234</v>
      </c>
      <c r="C6677" t="s">
        <v>753</v>
      </c>
      <c r="D6677" t="s">
        <v>112</v>
      </c>
      <c r="E6677" t="s">
        <v>9</v>
      </c>
      <c r="F6677" s="3">
        <v>25250</v>
      </c>
      <c r="G6677" s="3">
        <v>25250</v>
      </c>
      <c r="H6677" t="s">
        <v>3</v>
      </c>
      <c r="I6677" t="s">
        <v>3</v>
      </c>
      <c r="J6677" t="s">
        <v>429</v>
      </c>
      <c r="K6677" t="s">
        <v>13</v>
      </c>
      <c r="L6677" t="s">
        <v>21</v>
      </c>
      <c r="M6677" t="s">
        <v>114</v>
      </c>
      <c r="N6677" s="2">
        <v>46234</v>
      </c>
    </row>
    <row r="6678" spans="1:14" x14ac:dyDescent="0.25">
      <c r="A6678" s="4" t="s">
        <v>262</v>
      </c>
      <c r="B6678" s="5"/>
      <c r="C6678" s="4" t="s">
        <v>9</v>
      </c>
      <c r="D6678" s="4" t="s">
        <v>9</v>
      </c>
      <c r="E6678" s="4" t="s">
        <v>9</v>
      </c>
      <c r="F6678" s="6">
        <v>0</v>
      </c>
      <c r="G6678" s="6">
        <v>0</v>
      </c>
      <c r="H6678" s="4" t="s">
        <v>9</v>
      </c>
      <c r="I6678" s="4" t="s">
        <v>3</v>
      </c>
      <c r="J6678" s="4" t="s">
        <v>9</v>
      </c>
      <c r="K6678" s="4" t="s">
        <v>9</v>
      </c>
      <c r="L6678" s="4" t="s">
        <v>9</v>
      </c>
      <c r="M6678" s="4" t="s">
        <v>9</v>
      </c>
      <c r="N6678" s="5"/>
    </row>
    <row r="6679" spans="1:14" x14ac:dyDescent="0.25">
      <c r="A6679" t="s">
        <v>753</v>
      </c>
      <c r="B6679" s="2">
        <v>46267</v>
      </c>
      <c r="C6679" t="s">
        <v>753</v>
      </c>
      <c r="D6679" t="s">
        <v>112</v>
      </c>
      <c r="E6679" t="s">
        <v>9</v>
      </c>
      <c r="F6679" s="3">
        <v>-19700</v>
      </c>
      <c r="G6679" s="3">
        <v>-19700</v>
      </c>
      <c r="H6679" t="s">
        <v>3</v>
      </c>
      <c r="I6679" t="s">
        <v>3</v>
      </c>
      <c r="J6679" t="s">
        <v>9</v>
      </c>
      <c r="K6679" t="s">
        <v>9</v>
      </c>
      <c r="L6679" t="s">
        <v>22</v>
      </c>
      <c r="M6679" t="s">
        <v>114</v>
      </c>
      <c r="N6679" s="2">
        <v>46265</v>
      </c>
    </row>
    <row r="6680" spans="1:14" x14ac:dyDescent="0.25">
      <c r="A6680" t="s">
        <v>753</v>
      </c>
      <c r="B6680" s="2">
        <v>46267</v>
      </c>
      <c r="C6680" t="s">
        <v>753</v>
      </c>
      <c r="D6680" t="s">
        <v>301</v>
      </c>
      <c r="E6680" t="s">
        <v>9</v>
      </c>
      <c r="F6680" s="3">
        <v>19700</v>
      </c>
      <c r="G6680" s="3">
        <v>19700</v>
      </c>
      <c r="H6680" t="s">
        <v>3</v>
      </c>
      <c r="I6680" t="s">
        <v>3</v>
      </c>
      <c r="J6680" t="s">
        <v>9</v>
      </c>
      <c r="K6680" t="s">
        <v>9</v>
      </c>
      <c r="L6680" t="s">
        <v>22</v>
      </c>
      <c r="M6680" t="s">
        <v>302</v>
      </c>
      <c r="N6680" s="2">
        <v>46265</v>
      </c>
    </row>
    <row r="6681" spans="1:14" x14ac:dyDescent="0.25">
      <c r="A6681" t="s">
        <v>753</v>
      </c>
      <c r="B6681" s="2">
        <v>46234</v>
      </c>
      <c r="C6681" t="s">
        <v>753</v>
      </c>
      <c r="D6681" t="s">
        <v>112</v>
      </c>
      <c r="E6681" t="s">
        <v>9</v>
      </c>
      <c r="F6681" s="3">
        <v>-25250</v>
      </c>
      <c r="G6681" s="3">
        <v>-25250</v>
      </c>
      <c r="H6681" t="s">
        <v>3</v>
      </c>
      <c r="I6681" t="s">
        <v>3</v>
      </c>
      <c r="J6681" t="s">
        <v>429</v>
      </c>
      <c r="K6681" t="s">
        <v>13</v>
      </c>
      <c r="L6681" t="s">
        <v>22</v>
      </c>
      <c r="M6681" t="s">
        <v>114</v>
      </c>
      <c r="N6681" s="2">
        <v>46235</v>
      </c>
    </row>
    <row r="6682" spans="1:14" x14ac:dyDescent="0.25">
      <c r="A6682" t="s">
        <v>753</v>
      </c>
      <c r="B6682" s="2">
        <v>46265</v>
      </c>
      <c r="C6682" t="s">
        <v>753</v>
      </c>
      <c r="D6682" t="s">
        <v>112</v>
      </c>
      <c r="E6682" t="s">
        <v>9</v>
      </c>
      <c r="F6682" s="3">
        <v>44950</v>
      </c>
      <c r="G6682" s="3">
        <v>44950</v>
      </c>
      <c r="H6682" t="s">
        <v>3</v>
      </c>
      <c r="I6682" t="s">
        <v>3</v>
      </c>
      <c r="J6682" t="s">
        <v>431</v>
      </c>
      <c r="K6682" t="s">
        <v>13</v>
      </c>
      <c r="L6682" t="s">
        <v>22</v>
      </c>
      <c r="M6682" t="s">
        <v>114</v>
      </c>
      <c r="N6682" s="2">
        <v>46265</v>
      </c>
    </row>
    <row r="6683" spans="1:14" x14ac:dyDescent="0.25">
      <c r="A6683" t="s">
        <v>753</v>
      </c>
      <c r="B6683" s="2">
        <v>46265</v>
      </c>
      <c r="C6683" t="s">
        <v>753</v>
      </c>
      <c r="D6683" t="s">
        <v>301</v>
      </c>
      <c r="E6683" t="s">
        <v>9</v>
      </c>
      <c r="F6683" s="3">
        <v>-19700</v>
      </c>
      <c r="G6683" s="3">
        <v>-19700</v>
      </c>
      <c r="H6683" t="s">
        <v>3</v>
      </c>
      <c r="I6683" t="s">
        <v>3</v>
      </c>
      <c r="J6683" t="s">
        <v>10</v>
      </c>
      <c r="K6683" t="s">
        <v>13</v>
      </c>
      <c r="L6683" t="s">
        <v>22</v>
      </c>
      <c r="M6683" t="s">
        <v>302</v>
      </c>
      <c r="N6683" s="2">
        <v>46265</v>
      </c>
    </row>
    <row r="6684" spans="1:14" x14ac:dyDescent="0.25">
      <c r="A6684" s="4" t="s">
        <v>267</v>
      </c>
      <c r="B6684" s="5"/>
      <c r="C6684" s="4" t="s">
        <v>9</v>
      </c>
      <c r="D6684" s="4" t="s">
        <v>9</v>
      </c>
      <c r="E6684" s="4" t="s">
        <v>9</v>
      </c>
      <c r="F6684" s="6">
        <v>0</v>
      </c>
      <c r="G6684" s="6">
        <v>0</v>
      </c>
      <c r="H6684" s="4" t="s">
        <v>9</v>
      </c>
      <c r="I6684" s="4" t="s">
        <v>3</v>
      </c>
      <c r="J6684" s="4" t="s">
        <v>9</v>
      </c>
      <c r="K6684" s="4" t="s">
        <v>9</v>
      </c>
      <c r="L6684" s="4" t="s">
        <v>9</v>
      </c>
      <c r="M6684" s="4" t="s">
        <v>9</v>
      </c>
      <c r="N6684" s="5"/>
    </row>
    <row r="6685" spans="1:14" x14ac:dyDescent="0.25">
      <c r="A6685" s="4" t="s">
        <v>753</v>
      </c>
      <c r="B6685" s="5"/>
      <c r="C6685" s="4" t="s">
        <v>9</v>
      </c>
      <c r="D6685" s="4" t="s">
        <v>9</v>
      </c>
      <c r="E6685" s="4" t="s">
        <v>9</v>
      </c>
      <c r="F6685" s="6">
        <v>0</v>
      </c>
      <c r="G6685" s="6">
        <v>0</v>
      </c>
      <c r="H6685" s="4" t="s">
        <v>9</v>
      </c>
      <c r="I6685" s="4" t="s">
        <v>3</v>
      </c>
      <c r="J6685" s="4" t="s">
        <v>9</v>
      </c>
      <c r="K6685" s="4" t="s">
        <v>9</v>
      </c>
      <c r="L6685" s="4" t="s">
        <v>9</v>
      </c>
      <c r="M6685" s="4" t="s">
        <v>9</v>
      </c>
      <c r="N6685" s="5"/>
    </row>
    <row r="6686" spans="1:14" x14ac:dyDescent="0.25">
      <c r="A6686" t="s">
        <v>0</v>
      </c>
      <c r="B6686" s="2">
        <v>46053</v>
      </c>
      <c r="C6686" t="s">
        <v>0</v>
      </c>
      <c r="D6686" t="s">
        <v>1</v>
      </c>
      <c r="E6686" t="s">
        <v>9</v>
      </c>
      <c r="F6686" s="3">
        <v>3300</v>
      </c>
      <c r="G6686" s="3">
        <v>3300</v>
      </c>
      <c r="H6686" t="s">
        <v>3</v>
      </c>
      <c r="I6686" t="s">
        <v>3</v>
      </c>
      <c r="J6686" t="s">
        <v>10</v>
      </c>
      <c r="K6686" t="s">
        <v>13</v>
      </c>
      <c r="L6686" t="s">
        <v>14</v>
      </c>
      <c r="M6686" t="s">
        <v>7</v>
      </c>
      <c r="N6686" s="2">
        <v>46053</v>
      </c>
    </row>
    <row r="6687" spans="1:14" x14ac:dyDescent="0.25">
      <c r="A6687" t="s">
        <v>0</v>
      </c>
      <c r="B6687" s="2">
        <v>46056</v>
      </c>
      <c r="C6687" t="s">
        <v>0</v>
      </c>
      <c r="D6687" t="s">
        <v>1</v>
      </c>
      <c r="E6687" t="s">
        <v>9</v>
      </c>
      <c r="F6687" s="3">
        <v>-3300</v>
      </c>
      <c r="G6687" s="3">
        <v>-3300</v>
      </c>
      <c r="H6687" t="s">
        <v>3</v>
      </c>
      <c r="I6687" t="s">
        <v>3</v>
      </c>
      <c r="J6687" t="s">
        <v>754</v>
      </c>
      <c r="K6687" t="s">
        <v>13</v>
      </c>
      <c r="L6687" t="s">
        <v>14</v>
      </c>
      <c r="M6687" t="s">
        <v>7</v>
      </c>
      <c r="N6687" s="2">
        <v>46053</v>
      </c>
    </row>
    <row r="6688" spans="1:14" x14ac:dyDescent="0.25">
      <c r="A6688" s="4" t="s">
        <v>234</v>
      </c>
      <c r="B6688" s="5"/>
      <c r="C6688" s="4" t="s">
        <v>9</v>
      </c>
      <c r="D6688" s="4" t="s">
        <v>9</v>
      </c>
      <c r="E6688" s="4" t="s">
        <v>9</v>
      </c>
      <c r="F6688" s="6">
        <v>0</v>
      </c>
      <c r="G6688" s="6">
        <v>0</v>
      </c>
      <c r="H6688" s="4" t="s">
        <v>9</v>
      </c>
      <c r="I6688" s="4" t="s">
        <v>3</v>
      </c>
      <c r="J6688" s="4" t="s">
        <v>9</v>
      </c>
      <c r="K6688" s="4" t="s">
        <v>9</v>
      </c>
      <c r="L6688" s="4" t="s">
        <v>9</v>
      </c>
      <c r="M6688" s="4" t="s">
        <v>9</v>
      </c>
      <c r="N6688" s="5"/>
    </row>
    <row r="6689" spans="1:14" x14ac:dyDescent="0.25">
      <c r="A6689" t="s">
        <v>0</v>
      </c>
      <c r="B6689" s="2">
        <v>46081</v>
      </c>
      <c r="C6689" t="s">
        <v>0</v>
      </c>
      <c r="D6689" t="s">
        <v>1</v>
      </c>
      <c r="E6689" t="s">
        <v>9</v>
      </c>
      <c r="F6689" s="3">
        <v>3100</v>
      </c>
      <c r="G6689" s="3">
        <v>3100</v>
      </c>
      <c r="H6689" t="s">
        <v>3</v>
      </c>
      <c r="I6689" t="s">
        <v>3</v>
      </c>
      <c r="J6689" t="s">
        <v>10</v>
      </c>
      <c r="K6689" t="s">
        <v>13</v>
      </c>
      <c r="L6689" t="s">
        <v>15</v>
      </c>
      <c r="M6689" t="s">
        <v>7</v>
      </c>
      <c r="N6689" s="2">
        <v>46081</v>
      </c>
    </row>
    <row r="6690" spans="1:14" x14ac:dyDescent="0.25">
      <c r="A6690" t="s">
        <v>0</v>
      </c>
      <c r="B6690" s="2">
        <v>46084</v>
      </c>
      <c r="C6690" t="s">
        <v>0</v>
      </c>
      <c r="D6690" t="s">
        <v>1</v>
      </c>
      <c r="E6690" t="s">
        <v>9</v>
      </c>
      <c r="F6690" s="3">
        <v>-3100</v>
      </c>
      <c r="G6690" s="3">
        <v>-3100</v>
      </c>
      <c r="H6690" t="s">
        <v>3</v>
      </c>
      <c r="I6690" t="s">
        <v>3</v>
      </c>
      <c r="J6690" t="s">
        <v>754</v>
      </c>
      <c r="K6690" t="s">
        <v>13</v>
      </c>
      <c r="L6690" t="s">
        <v>15</v>
      </c>
      <c r="M6690" t="s">
        <v>7</v>
      </c>
      <c r="N6690" s="2">
        <v>46081</v>
      </c>
    </row>
    <row r="6691" spans="1:14" x14ac:dyDescent="0.25">
      <c r="A6691" s="4" t="s">
        <v>239</v>
      </c>
      <c r="B6691" s="5"/>
      <c r="C6691" s="4" t="s">
        <v>9</v>
      </c>
      <c r="D6691" s="4" t="s">
        <v>9</v>
      </c>
      <c r="E6691" s="4" t="s">
        <v>9</v>
      </c>
      <c r="F6691" s="6">
        <v>0</v>
      </c>
      <c r="G6691" s="6">
        <v>0</v>
      </c>
      <c r="H6691" s="4" t="s">
        <v>9</v>
      </c>
      <c r="I6691" s="4" t="s">
        <v>3</v>
      </c>
      <c r="J6691" s="4" t="s">
        <v>9</v>
      </c>
      <c r="K6691" s="4" t="s">
        <v>9</v>
      </c>
      <c r="L6691" s="4" t="s">
        <v>9</v>
      </c>
      <c r="M6691" s="4" t="s">
        <v>9</v>
      </c>
      <c r="N6691" s="5"/>
    </row>
    <row r="6692" spans="1:14" x14ac:dyDescent="0.25">
      <c r="A6692" t="s">
        <v>0</v>
      </c>
      <c r="B6692" s="2">
        <v>46112</v>
      </c>
      <c r="C6692" t="s">
        <v>0</v>
      </c>
      <c r="D6692" t="s">
        <v>1</v>
      </c>
      <c r="E6692" t="s">
        <v>9</v>
      </c>
      <c r="F6692" s="3">
        <v>1100</v>
      </c>
      <c r="G6692" s="3">
        <v>1100</v>
      </c>
      <c r="H6692" t="s">
        <v>3</v>
      </c>
      <c r="I6692" t="s">
        <v>3</v>
      </c>
      <c r="J6692" t="s">
        <v>10</v>
      </c>
      <c r="K6692" t="s">
        <v>13</v>
      </c>
      <c r="L6692" t="s">
        <v>16</v>
      </c>
      <c r="M6692" t="s">
        <v>7</v>
      </c>
      <c r="N6692" s="2">
        <v>46112</v>
      </c>
    </row>
    <row r="6693" spans="1:14" x14ac:dyDescent="0.25">
      <c r="A6693" t="s">
        <v>0</v>
      </c>
      <c r="B6693" s="2">
        <v>46115</v>
      </c>
      <c r="C6693" t="s">
        <v>0</v>
      </c>
      <c r="D6693" t="s">
        <v>1</v>
      </c>
      <c r="E6693" t="s">
        <v>9</v>
      </c>
      <c r="F6693" s="3">
        <v>-1100</v>
      </c>
      <c r="G6693" s="3">
        <v>-1100</v>
      </c>
      <c r="H6693" t="s">
        <v>3</v>
      </c>
      <c r="I6693" t="s">
        <v>3</v>
      </c>
      <c r="J6693" t="s">
        <v>754</v>
      </c>
      <c r="K6693" t="s">
        <v>13</v>
      </c>
      <c r="L6693" t="s">
        <v>16</v>
      </c>
      <c r="M6693" t="s">
        <v>7</v>
      </c>
      <c r="N6693" s="2">
        <v>46112</v>
      </c>
    </row>
    <row r="6694" spans="1:14" x14ac:dyDescent="0.25">
      <c r="A6694" s="4" t="s">
        <v>244</v>
      </c>
      <c r="B6694" s="5"/>
      <c r="C6694" s="4" t="s">
        <v>9</v>
      </c>
      <c r="D6694" s="4" t="s">
        <v>9</v>
      </c>
      <c r="E6694" s="4" t="s">
        <v>9</v>
      </c>
      <c r="F6694" s="6">
        <v>0</v>
      </c>
      <c r="G6694" s="6">
        <v>0</v>
      </c>
      <c r="H6694" s="4" t="s">
        <v>9</v>
      </c>
      <c r="I6694" s="4" t="s">
        <v>3</v>
      </c>
      <c r="J6694" s="4" t="s">
        <v>9</v>
      </c>
      <c r="K6694" s="4" t="s">
        <v>9</v>
      </c>
      <c r="L6694" s="4" t="s">
        <v>9</v>
      </c>
      <c r="M6694" s="4" t="s">
        <v>9</v>
      </c>
      <c r="N6694" s="5"/>
    </row>
    <row r="6695" spans="1:14" x14ac:dyDescent="0.25">
      <c r="A6695" t="s">
        <v>0</v>
      </c>
      <c r="B6695" s="2">
        <v>46142</v>
      </c>
      <c r="C6695" t="s">
        <v>0</v>
      </c>
      <c r="D6695" t="s">
        <v>1</v>
      </c>
      <c r="E6695" t="s">
        <v>9</v>
      </c>
      <c r="F6695" s="3">
        <v>9400</v>
      </c>
      <c r="G6695" s="3">
        <v>9400</v>
      </c>
      <c r="H6695" t="s">
        <v>3</v>
      </c>
      <c r="I6695" t="s">
        <v>3</v>
      </c>
      <c r="J6695" t="s">
        <v>10</v>
      </c>
      <c r="K6695" t="s">
        <v>13</v>
      </c>
      <c r="L6695" t="s">
        <v>17</v>
      </c>
      <c r="M6695" t="s">
        <v>7</v>
      </c>
      <c r="N6695" s="2">
        <v>46142</v>
      </c>
    </row>
    <row r="6696" spans="1:14" x14ac:dyDescent="0.25">
      <c r="A6696" t="s">
        <v>0</v>
      </c>
      <c r="B6696" s="2">
        <v>46147</v>
      </c>
      <c r="C6696" t="s">
        <v>0</v>
      </c>
      <c r="D6696" t="s">
        <v>1</v>
      </c>
      <c r="E6696" t="s">
        <v>9</v>
      </c>
      <c r="F6696" s="3">
        <v>-9400</v>
      </c>
      <c r="G6696" s="3">
        <v>-9400</v>
      </c>
      <c r="H6696" t="s">
        <v>3</v>
      </c>
      <c r="I6696" t="s">
        <v>3</v>
      </c>
      <c r="J6696" t="s">
        <v>754</v>
      </c>
      <c r="K6696" t="s">
        <v>13</v>
      </c>
      <c r="L6696" t="s">
        <v>17</v>
      </c>
      <c r="M6696" t="s">
        <v>7</v>
      </c>
      <c r="N6696" s="2">
        <v>46142</v>
      </c>
    </row>
    <row r="6697" spans="1:14" x14ac:dyDescent="0.25">
      <c r="A6697" s="4" t="s">
        <v>249</v>
      </c>
      <c r="B6697" s="5"/>
      <c r="C6697" s="4" t="s">
        <v>9</v>
      </c>
      <c r="D6697" s="4" t="s">
        <v>9</v>
      </c>
      <c r="E6697" s="4" t="s">
        <v>9</v>
      </c>
      <c r="F6697" s="6">
        <v>0</v>
      </c>
      <c r="G6697" s="6">
        <v>0</v>
      </c>
      <c r="H6697" s="4" t="s">
        <v>9</v>
      </c>
      <c r="I6697" s="4" t="s">
        <v>3</v>
      </c>
      <c r="J6697" s="4" t="s">
        <v>9</v>
      </c>
      <c r="K6697" s="4" t="s">
        <v>9</v>
      </c>
      <c r="L6697" s="4" t="s">
        <v>9</v>
      </c>
      <c r="M6697" s="4" t="s">
        <v>9</v>
      </c>
      <c r="N6697" s="5"/>
    </row>
    <row r="6698" spans="1:14" x14ac:dyDescent="0.25">
      <c r="A6698" t="s">
        <v>0</v>
      </c>
      <c r="B6698" s="2">
        <v>46173</v>
      </c>
      <c r="C6698" t="s">
        <v>0</v>
      </c>
      <c r="D6698" t="s">
        <v>1</v>
      </c>
      <c r="E6698" t="s">
        <v>9</v>
      </c>
      <c r="F6698" s="3">
        <v>3400</v>
      </c>
      <c r="G6698" s="3">
        <v>3400</v>
      </c>
      <c r="H6698" t="s">
        <v>3</v>
      </c>
      <c r="I6698" t="s">
        <v>3</v>
      </c>
      <c r="J6698" t="s">
        <v>10</v>
      </c>
      <c r="K6698" t="s">
        <v>13</v>
      </c>
      <c r="L6698" t="s">
        <v>18</v>
      </c>
      <c r="M6698" t="s">
        <v>7</v>
      </c>
      <c r="N6698" s="2">
        <v>46173</v>
      </c>
    </row>
    <row r="6699" spans="1:14" x14ac:dyDescent="0.25">
      <c r="A6699" t="s">
        <v>0</v>
      </c>
      <c r="B6699" s="2">
        <v>46175</v>
      </c>
      <c r="C6699" t="s">
        <v>0</v>
      </c>
      <c r="D6699" t="s">
        <v>1</v>
      </c>
      <c r="E6699" t="s">
        <v>9</v>
      </c>
      <c r="F6699" s="3">
        <v>-3400</v>
      </c>
      <c r="G6699" s="3">
        <v>-3400</v>
      </c>
      <c r="H6699" t="s">
        <v>3</v>
      </c>
      <c r="I6699" t="s">
        <v>3</v>
      </c>
      <c r="J6699" t="s">
        <v>754</v>
      </c>
      <c r="K6699" t="s">
        <v>13</v>
      </c>
      <c r="L6699" t="s">
        <v>18</v>
      </c>
      <c r="M6699" t="s">
        <v>7</v>
      </c>
      <c r="N6699" s="2">
        <v>46173</v>
      </c>
    </row>
    <row r="6700" spans="1:14" x14ac:dyDescent="0.25">
      <c r="A6700" s="4" t="s">
        <v>223</v>
      </c>
      <c r="B6700" s="5"/>
      <c r="C6700" s="4" t="s">
        <v>9</v>
      </c>
      <c r="D6700" s="4" t="s">
        <v>9</v>
      </c>
      <c r="E6700" s="4" t="s">
        <v>9</v>
      </c>
      <c r="F6700" s="6">
        <v>0</v>
      </c>
      <c r="G6700" s="6">
        <v>0</v>
      </c>
      <c r="H6700" s="4" t="s">
        <v>9</v>
      </c>
      <c r="I6700" s="4" t="s">
        <v>3</v>
      </c>
      <c r="J6700" s="4" t="s">
        <v>9</v>
      </c>
      <c r="K6700" s="4" t="s">
        <v>9</v>
      </c>
      <c r="L6700" s="4" t="s">
        <v>9</v>
      </c>
      <c r="M6700" s="4" t="s">
        <v>9</v>
      </c>
      <c r="N6700" s="5"/>
    </row>
    <row r="6701" spans="1:14" x14ac:dyDescent="0.25">
      <c r="A6701" t="s">
        <v>0</v>
      </c>
      <c r="B6701" s="2">
        <v>46203</v>
      </c>
      <c r="C6701" t="s">
        <v>0</v>
      </c>
      <c r="D6701" t="s">
        <v>1</v>
      </c>
      <c r="E6701" t="s">
        <v>9</v>
      </c>
      <c r="F6701" s="3">
        <v>6175.28</v>
      </c>
      <c r="G6701" s="3">
        <v>6175.28</v>
      </c>
      <c r="H6701" t="s">
        <v>3</v>
      </c>
      <c r="I6701" t="s">
        <v>3</v>
      </c>
      <c r="J6701" t="s">
        <v>10</v>
      </c>
      <c r="K6701" t="s">
        <v>13</v>
      </c>
      <c r="L6701" t="s">
        <v>19</v>
      </c>
      <c r="M6701" t="s">
        <v>7</v>
      </c>
      <c r="N6701" s="2">
        <v>46203</v>
      </c>
    </row>
    <row r="6702" spans="1:14" x14ac:dyDescent="0.25">
      <c r="A6702" t="s">
        <v>0</v>
      </c>
      <c r="B6702" s="2">
        <v>46205</v>
      </c>
      <c r="C6702" t="s">
        <v>0</v>
      </c>
      <c r="D6702" t="s">
        <v>1</v>
      </c>
      <c r="E6702" t="s">
        <v>9</v>
      </c>
      <c r="F6702" s="3">
        <v>-6175.28</v>
      </c>
      <c r="G6702" s="3">
        <v>-6175.28</v>
      </c>
      <c r="H6702" t="s">
        <v>3</v>
      </c>
      <c r="I6702" t="s">
        <v>3</v>
      </c>
      <c r="J6702" t="s">
        <v>754</v>
      </c>
      <c r="K6702" t="s">
        <v>13</v>
      </c>
      <c r="L6702" t="s">
        <v>19</v>
      </c>
      <c r="M6702" t="s">
        <v>7</v>
      </c>
      <c r="N6702" s="2">
        <v>46203</v>
      </c>
    </row>
    <row r="6703" spans="1:14" x14ac:dyDescent="0.25">
      <c r="A6703" s="4" t="s">
        <v>224</v>
      </c>
      <c r="B6703" s="5"/>
      <c r="C6703" s="4" t="s">
        <v>9</v>
      </c>
      <c r="D6703" s="4" t="s">
        <v>9</v>
      </c>
      <c r="E6703" s="4" t="s">
        <v>9</v>
      </c>
      <c r="F6703" s="6">
        <v>0</v>
      </c>
      <c r="G6703" s="6">
        <v>0</v>
      </c>
      <c r="H6703" s="4" t="s">
        <v>9</v>
      </c>
      <c r="I6703" s="4" t="s">
        <v>3</v>
      </c>
      <c r="J6703" s="4" t="s">
        <v>9</v>
      </c>
      <c r="K6703" s="4" t="s">
        <v>9</v>
      </c>
      <c r="L6703" s="4" t="s">
        <v>9</v>
      </c>
      <c r="M6703" s="4" t="s">
        <v>9</v>
      </c>
      <c r="N6703" s="5"/>
    </row>
    <row r="6704" spans="1:14" x14ac:dyDescent="0.25">
      <c r="A6704" t="s">
        <v>0</v>
      </c>
      <c r="B6704" s="2">
        <v>46219</v>
      </c>
      <c r="C6704" t="s">
        <v>0</v>
      </c>
      <c r="D6704" t="s">
        <v>1</v>
      </c>
      <c r="E6704" t="s">
        <v>2</v>
      </c>
      <c r="F6704" s="3">
        <v>2290</v>
      </c>
      <c r="G6704" s="3">
        <v>2290</v>
      </c>
      <c r="H6704" t="s">
        <v>3</v>
      </c>
      <c r="I6704" t="s">
        <v>3</v>
      </c>
      <c r="J6704" t="s">
        <v>20</v>
      </c>
      <c r="K6704" t="s">
        <v>13</v>
      </c>
      <c r="L6704" t="s">
        <v>21</v>
      </c>
      <c r="M6704" t="s">
        <v>7</v>
      </c>
      <c r="N6704" s="2">
        <v>46219</v>
      </c>
    </row>
    <row r="6705" spans="1:14" x14ac:dyDescent="0.25">
      <c r="A6705" t="s">
        <v>0</v>
      </c>
      <c r="B6705" s="2">
        <v>46234</v>
      </c>
      <c r="C6705" t="s">
        <v>0</v>
      </c>
      <c r="D6705" t="s">
        <v>1</v>
      </c>
      <c r="E6705" t="s">
        <v>9</v>
      </c>
      <c r="F6705" s="3">
        <v>3774.72</v>
      </c>
      <c r="G6705" s="3">
        <v>3774.72</v>
      </c>
      <c r="H6705" t="s">
        <v>3</v>
      </c>
      <c r="I6705" t="s">
        <v>3</v>
      </c>
      <c r="J6705" t="s">
        <v>10</v>
      </c>
      <c r="K6705" t="s">
        <v>13</v>
      </c>
      <c r="L6705" t="s">
        <v>21</v>
      </c>
      <c r="M6705" t="s">
        <v>7</v>
      </c>
      <c r="N6705" s="2">
        <v>46234</v>
      </c>
    </row>
    <row r="6706" spans="1:14" x14ac:dyDescent="0.25">
      <c r="A6706" t="s">
        <v>0</v>
      </c>
      <c r="B6706" s="2">
        <v>46239</v>
      </c>
      <c r="C6706" t="s">
        <v>0</v>
      </c>
      <c r="D6706" t="s">
        <v>1</v>
      </c>
      <c r="E6706" t="s">
        <v>9</v>
      </c>
      <c r="F6706" s="3">
        <v>-6064.72</v>
      </c>
      <c r="G6706" s="3">
        <v>-6064.72</v>
      </c>
      <c r="H6706" t="s">
        <v>3</v>
      </c>
      <c r="I6706" t="s">
        <v>3</v>
      </c>
      <c r="J6706" t="s">
        <v>754</v>
      </c>
      <c r="K6706" t="s">
        <v>13</v>
      </c>
      <c r="L6706" t="s">
        <v>21</v>
      </c>
      <c r="M6706" t="s">
        <v>7</v>
      </c>
      <c r="N6706" s="2">
        <v>46234</v>
      </c>
    </row>
    <row r="6707" spans="1:14" x14ac:dyDescent="0.25">
      <c r="A6707" s="4" t="s">
        <v>262</v>
      </c>
      <c r="B6707" s="5"/>
      <c r="C6707" s="4" t="s">
        <v>9</v>
      </c>
      <c r="D6707" s="4" t="s">
        <v>9</v>
      </c>
      <c r="E6707" s="4" t="s">
        <v>9</v>
      </c>
      <c r="F6707" s="6">
        <v>0</v>
      </c>
      <c r="G6707" s="6">
        <v>0</v>
      </c>
      <c r="H6707" s="4" t="s">
        <v>9</v>
      </c>
      <c r="I6707" s="4" t="s">
        <v>3</v>
      </c>
      <c r="J6707" s="4" t="s">
        <v>9</v>
      </c>
      <c r="K6707" s="4" t="s">
        <v>9</v>
      </c>
      <c r="L6707" s="4" t="s">
        <v>9</v>
      </c>
      <c r="M6707" s="4" t="s">
        <v>9</v>
      </c>
      <c r="N6707" s="5"/>
    </row>
    <row r="6708" spans="1:14" x14ac:dyDescent="0.25">
      <c r="A6708" t="s">
        <v>0</v>
      </c>
      <c r="B6708" s="2">
        <v>46265</v>
      </c>
      <c r="C6708" t="s">
        <v>0</v>
      </c>
      <c r="D6708" t="s">
        <v>1</v>
      </c>
      <c r="E6708" t="s">
        <v>9</v>
      </c>
      <c r="F6708" s="3">
        <v>14668</v>
      </c>
      <c r="G6708" s="3">
        <v>14668</v>
      </c>
      <c r="H6708" t="s">
        <v>3</v>
      </c>
      <c r="I6708" t="s">
        <v>3</v>
      </c>
      <c r="J6708" t="s">
        <v>10</v>
      </c>
      <c r="K6708" t="s">
        <v>13</v>
      </c>
      <c r="L6708" t="s">
        <v>22</v>
      </c>
      <c r="M6708" t="s">
        <v>7</v>
      </c>
      <c r="N6708" s="2">
        <v>46265</v>
      </c>
    </row>
    <row r="6709" spans="1:14" x14ac:dyDescent="0.25">
      <c r="A6709" t="s">
        <v>0</v>
      </c>
      <c r="B6709" s="2">
        <v>46267</v>
      </c>
      <c r="C6709" t="s">
        <v>0</v>
      </c>
      <c r="D6709" t="s">
        <v>1</v>
      </c>
      <c r="E6709" t="s">
        <v>9</v>
      </c>
      <c r="F6709" s="3">
        <v>-14668</v>
      </c>
      <c r="G6709" s="3">
        <v>-14668</v>
      </c>
      <c r="H6709" t="s">
        <v>3</v>
      </c>
      <c r="I6709" t="s">
        <v>3</v>
      </c>
      <c r="J6709" t="s">
        <v>754</v>
      </c>
      <c r="K6709" t="s">
        <v>13</v>
      </c>
      <c r="L6709" t="s">
        <v>22</v>
      </c>
      <c r="M6709" t="s">
        <v>7</v>
      </c>
      <c r="N6709" s="2">
        <v>46265</v>
      </c>
    </row>
    <row r="6710" spans="1:14" x14ac:dyDescent="0.25">
      <c r="A6710" s="4" t="s">
        <v>267</v>
      </c>
      <c r="B6710" s="5"/>
      <c r="C6710" s="4" t="s">
        <v>9</v>
      </c>
      <c r="D6710" s="4" t="s">
        <v>9</v>
      </c>
      <c r="E6710" s="4" t="s">
        <v>9</v>
      </c>
      <c r="F6710" s="6">
        <v>0</v>
      </c>
      <c r="G6710" s="6">
        <v>0</v>
      </c>
      <c r="H6710" s="4" t="s">
        <v>9</v>
      </c>
      <c r="I6710" s="4" t="s">
        <v>3</v>
      </c>
      <c r="J6710" s="4" t="s">
        <v>9</v>
      </c>
      <c r="K6710" s="4" t="s">
        <v>9</v>
      </c>
      <c r="L6710" s="4" t="s">
        <v>9</v>
      </c>
      <c r="M6710" s="4" t="s">
        <v>9</v>
      </c>
      <c r="N6710" s="5"/>
    </row>
    <row r="6711" spans="1:14" x14ac:dyDescent="0.25">
      <c r="A6711" t="s">
        <v>0</v>
      </c>
      <c r="B6711" s="2">
        <v>45929</v>
      </c>
      <c r="C6711" t="s">
        <v>0</v>
      </c>
      <c r="D6711" t="s">
        <v>1</v>
      </c>
      <c r="E6711" t="s">
        <v>2</v>
      </c>
      <c r="F6711" s="3">
        <v>1145</v>
      </c>
      <c r="G6711" s="3">
        <v>1145</v>
      </c>
      <c r="H6711" t="s">
        <v>3</v>
      </c>
      <c r="I6711" t="s">
        <v>3</v>
      </c>
      <c r="J6711" t="s">
        <v>4</v>
      </c>
      <c r="K6711" t="s">
        <v>5</v>
      </c>
      <c r="L6711" t="s">
        <v>6</v>
      </c>
      <c r="M6711" t="s">
        <v>7</v>
      </c>
      <c r="N6711" s="2">
        <v>45929</v>
      </c>
    </row>
    <row r="6712" spans="1:14" x14ac:dyDescent="0.25">
      <c r="A6712" t="s">
        <v>0</v>
      </c>
      <c r="B6712" s="2">
        <v>45932</v>
      </c>
      <c r="C6712" t="s">
        <v>0</v>
      </c>
      <c r="D6712" t="s">
        <v>1</v>
      </c>
      <c r="E6712" t="s">
        <v>9</v>
      </c>
      <c r="F6712" s="3">
        <v>-1145</v>
      </c>
      <c r="G6712" s="3">
        <v>-1145</v>
      </c>
      <c r="H6712" t="s">
        <v>3</v>
      </c>
      <c r="I6712" t="s">
        <v>3</v>
      </c>
      <c r="J6712" t="s">
        <v>754</v>
      </c>
      <c r="K6712" t="s">
        <v>5</v>
      </c>
      <c r="L6712" t="s">
        <v>6</v>
      </c>
      <c r="M6712" t="s">
        <v>7</v>
      </c>
      <c r="N6712" s="2">
        <v>45930</v>
      </c>
    </row>
    <row r="6713" spans="1:14" x14ac:dyDescent="0.25">
      <c r="A6713" s="4" t="s">
        <v>272</v>
      </c>
      <c r="B6713" s="5"/>
      <c r="C6713" s="4" t="s">
        <v>9</v>
      </c>
      <c r="D6713" s="4" t="s">
        <v>9</v>
      </c>
      <c r="E6713" s="4" t="s">
        <v>9</v>
      </c>
      <c r="F6713" s="6">
        <v>0</v>
      </c>
      <c r="G6713" s="6">
        <v>0</v>
      </c>
      <c r="H6713" s="4" t="s">
        <v>9</v>
      </c>
      <c r="I6713" s="4" t="s">
        <v>3</v>
      </c>
      <c r="J6713" s="4" t="s">
        <v>9</v>
      </c>
      <c r="K6713" s="4" t="s">
        <v>9</v>
      </c>
      <c r="L6713" s="4" t="s">
        <v>9</v>
      </c>
      <c r="M6713" s="4" t="s">
        <v>9</v>
      </c>
      <c r="N6713" s="5"/>
    </row>
    <row r="6714" spans="1:14" x14ac:dyDescent="0.25">
      <c r="A6714" t="s">
        <v>0</v>
      </c>
      <c r="B6714" s="2">
        <v>45950</v>
      </c>
      <c r="C6714" t="s">
        <v>0</v>
      </c>
      <c r="D6714" t="s">
        <v>1</v>
      </c>
      <c r="E6714" t="s">
        <v>2</v>
      </c>
      <c r="F6714" s="3">
        <v>2290</v>
      </c>
      <c r="G6714" s="3">
        <v>2290</v>
      </c>
      <c r="H6714" t="s">
        <v>3</v>
      </c>
      <c r="I6714" t="s">
        <v>3</v>
      </c>
      <c r="J6714" t="s">
        <v>4</v>
      </c>
      <c r="K6714" t="s">
        <v>5</v>
      </c>
      <c r="L6714" t="s">
        <v>8</v>
      </c>
      <c r="M6714" t="s">
        <v>7</v>
      </c>
      <c r="N6714" s="2">
        <v>45950</v>
      </c>
    </row>
    <row r="6715" spans="1:14" x14ac:dyDescent="0.25">
      <c r="A6715" t="s">
        <v>0</v>
      </c>
      <c r="B6715" s="2">
        <v>45961</v>
      </c>
      <c r="C6715" t="s">
        <v>0</v>
      </c>
      <c r="D6715" t="s">
        <v>1</v>
      </c>
      <c r="E6715" t="s">
        <v>9</v>
      </c>
      <c r="F6715" s="3">
        <v>10950</v>
      </c>
      <c r="G6715" s="3">
        <v>10950</v>
      </c>
      <c r="H6715" t="s">
        <v>3</v>
      </c>
      <c r="I6715" t="s">
        <v>3</v>
      </c>
      <c r="J6715" t="s">
        <v>10</v>
      </c>
      <c r="K6715" t="s">
        <v>5</v>
      </c>
      <c r="L6715" t="s">
        <v>8</v>
      </c>
      <c r="M6715" t="s">
        <v>7</v>
      </c>
      <c r="N6715" s="2">
        <v>45961</v>
      </c>
    </row>
    <row r="6716" spans="1:14" x14ac:dyDescent="0.25">
      <c r="A6716" t="s">
        <v>0</v>
      </c>
      <c r="B6716" s="2">
        <v>45965</v>
      </c>
      <c r="C6716" t="s">
        <v>0</v>
      </c>
      <c r="D6716" t="s">
        <v>1</v>
      </c>
      <c r="E6716" t="s">
        <v>9</v>
      </c>
      <c r="F6716" s="3">
        <v>-13240</v>
      </c>
      <c r="G6716" s="3">
        <v>-13240</v>
      </c>
      <c r="H6716" t="s">
        <v>3</v>
      </c>
      <c r="I6716" t="s">
        <v>3</v>
      </c>
      <c r="J6716" t="s">
        <v>754</v>
      </c>
      <c r="K6716" t="s">
        <v>5</v>
      </c>
      <c r="L6716" t="s">
        <v>8</v>
      </c>
      <c r="M6716" t="s">
        <v>7</v>
      </c>
      <c r="N6716" s="2">
        <v>45961</v>
      </c>
    </row>
    <row r="6717" spans="1:14" x14ac:dyDescent="0.25">
      <c r="A6717" s="4" t="s">
        <v>278</v>
      </c>
      <c r="B6717" s="5"/>
      <c r="C6717" s="4" t="s">
        <v>9</v>
      </c>
      <c r="D6717" s="4" t="s">
        <v>9</v>
      </c>
      <c r="E6717" s="4" t="s">
        <v>9</v>
      </c>
      <c r="F6717" s="6">
        <v>0</v>
      </c>
      <c r="G6717" s="6">
        <v>0</v>
      </c>
      <c r="H6717" s="4" t="s">
        <v>9</v>
      </c>
      <c r="I6717" s="4" t="s">
        <v>3</v>
      </c>
      <c r="J6717" s="4" t="s">
        <v>9</v>
      </c>
      <c r="K6717" s="4" t="s">
        <v>9</v>
      </c>
      <c r="L6717" s="4" t="s">
        <v>9</v>
      </c>
      <c r="M6717" s="4" t="s">
        <v>9</v>
      </c>
      <c r="N6717" s="5"/>
    </row>
    <row r="6718" spans="1:14" x14ac:dyDescent="0.25">
      <c r="A6718" t="s">
        <v>0</v>
      </c>
      <c r="B6718" s="2">
        <v>45991</v>
      </c>
      <c r="C6718" t="s">
        <v>0</v>
      </c>
      <c r="D6718" t="s">
        <v>1</v>
      </c>
      <c r="E6718" t="s">
        <v>9</v>
      </c>
      <c r="F6718" s="3">
        <v>1400</v>
      </c>
      <c r="G6718" s="3">
        <v>1400</v>
      </c>
      <c r="H6718" t="s">
        <v>3</v>
      </c>
      <c r="I6718" t="s">
        <v>3</v>
      </c>
      <c r="J6718" t="s">
        <v>10</v>
      </c>
      <c r="K6718" t="s">
        <v>5</v>
      </c>
      <c r="L6718" t="s">
        <v>11</v>
      </c>
      <c r="M6718" t="s">
        <v>7</v>
      </c>
      <c r="N6718" s="2">
        <v>45991</v>
      </c>
    </row>
    <row r="6719" spans="1:14" x14ac:dyDescent="0.25">
      <c r="A6719" t="s">
        <v>0</v>
      </c>
      <c r="B6719" s="2">
        <v>45993</v>
      </c>
      <c r="C6719" t="s">
        <v>0</v>
      </c>
      <c r="D6719" t="s">
        <v>1</v>
      </c>
      <c r="E6719" t="s">
        <v>9</v>
      </c>
      <c r="F6719" s="3">
        <v>-1400</v>
      </c>
      <c r="G6719" s="3">
        <v>-1400</v>
      </c>
      <c r="H6719" t="s">
        <v>3</v>
      </c>
      <c r="I6719" t="s">
        <v>3</v>
      </c>
      <c r="J6719" t="s">
        <v>754</v>
      </c>
      <c r="K6719" t="s">
        <v>5</v>
      </c>
      <c r="L6719" t="s">
        <v>11</v>
      </c>
      <c r="M6719" t="s">
        <v>7</v>
      </c>
      <c r="N6719" s="2">
        <v>45991</v>
      </c>
    </row>
    <row r="6720" spans="1:14" x14ac:dyDescent="0.25">
      <c r="A6720" s="4" t="s">
        <v>226</v>
      </c>
      <c r="B6720" s="5"/>
      <c r="C6720" s="4" t="s">
        <v>9</v>
      </c>
      <c r="D6720" s="4" t="s">
        <v>9</v>
      </c>
      <c r="E6720" s="4" t="s">
        <v>9</v>
      </c>
      <c r="F6720" s="6">
        <v>0</v>
      </c>
      <c r="G6720" s="6">
        <v>0</v>
      </c>
      <c r="H6720" s="4" t="s">
        <v>9</v>
      </c>
      <c r="I6720" s="4" t="s">
        <v>3</v>
      </c>
      <c r="J6720" s="4" t="s">
        <v>9</v>
      </c>
      <c r="K6720" s="4" t="s">
        <v>9</v>
      </c>
      <c r="L6720" s="4" t="s">
        <v>9</v>
      </c>
      <c r="M6720" s="4" t="s">
        <v>9</v>
      </c>
      <c r="N6720" s="5"/>
    </row>
    <row r="6721" spans="1:14" x14ac:dyDescent="0.25">
      <c r="A6721" t="s">
        <v>0</v>
      </c>
      <c r="B6721" s="2">
        <v>45995</v>
      </c>
      <c r="C6721" t="s">
        <v>0</v>
      </c>
      <c r="D6721" t="s">
        <v>1</v>
      </c>
      <c r="E6721" t="s">
        <v>2</v>
      </c>
      <c r="F6721" s="3">
        <v>2290</v>
      </c>
      <c r="G6721" s="3">
        <v>2290</v>
      </c>
      <c r="H6721" t="s">
        <v>3</v>
      </c>
      <c r="I6721" t="s">
        <v>3</v>
      </c>
      <c r="J6721" t="s">
        <v>4</v>
      </c>
      <c r="K6721" t="s">
        <v>5</v>
      </c>
      <c r="L6721" t="s">
        <v>12</v>
      </c>
      <c r="M6721" t="s">
        <v>7</v>
      </c>
      <c r="N6721" s="2">
        <v>45995</v>
      </c>
    </row>
    <row r="6722" spans="1:14" x14ac:dyDescent="0.25">
      <c r="A6722" t="s">
        <v>0</v>
      </c>
      <c r="B6722" s="2">
        <v>46005</v>
      </c>
      <c r="C6722" t="s">
        <v>0</v>
      </c>
      <c r="D6722" t="s">
        <v>1</v>
      </c>
      <c r="E6722" t="s">
        <v>2</v>
      </c>
      <c r="F6722" s="3">
        <v>2290</v>
      </c>
      <c r="G6722" s="3">
        <v>2290</v>
      </c>
      <c r="H6722" t="s">
        <v>3</v>
      </c>
      <c r="I6722" t="s">
        <v>3</v>
      </c>
      <c r="J6722" t="s">
        <v>4</v>
      </c>
      <c r="K6722" t="s">
        <v>5</v>
      </c>
      <c r="L6722" t="s">
        <v>12</v>
      </c>
      <c r="M6722" t="s">
        <v>7</v>
      </c>
      <c r="N6722" s="2">
        <v>46005</v>
      </c>
    </row>
    <row r="6723" spans="1:14" x14ac:dyDescent="0.25">
      <c r="A6723" t="s">
        <v>0</v>
      </c>
      <c r="B6723" s="2">
        <v>46022</v>
      </c>
      <c r="C6723" t="s">
        <v>0</v>
      </c>
      <c r="D6723" t="s">
        <v>1</v>
      </c>
      <c r="E6723" t="s">
        <v>9</v>
      </c>
      <c r="F6723" s="3">
        <v>800</v>
      </c>
      <c r="G6723" s="3">
        <v>800</v>
      </c>
      <c r="H6723" t="s">
        <v>3</v>
      </c>
      <c r="I6723" t="s">
        <v>3</v>
      </c>
      <c r="J6723" t="s">
        <v>10</v>
      </c>
      <c r="K6723" t="s">
        <v>5</v>
      </c>
      <c r="L6723" t="s">
        <v>12</v>
      </c>
      <c r="M6723" t="s">
        <v>7</v>
      </c>
      <c r="N6723" s="2">
        <v>46022</v>
      </c>
    </row>
    <row r="6724" spans="1:14" x14ac:dyDescent="0.25">
      <c r="A6724" t="s">
        <v>0</v>
      </c>
      <c r="B6724" s="2">
        <v>46028</v>
      </c>
      <c r="C6724" t="s">
        <v>0</v>
      </c>
      <c r="D6724" t="s">
        <v>1</v>
      </c>
      <c r="E6724" t="s">
        <v>9</v>
      </c>
      <c r="F6724" s="3">
        <v>-5380</v>
      </c>
      <c r="G6724" s="3">
        <v>-5380</v>
      </c>
      <c r="H6724" t="s">
        <v>3</v>
      </c>
      <c r="I6724" t="s">
        <v>3</v>
      </c>
      <c r="J6724" t="s">
        <v>754</v>
      </c>
      <c r="K6724" t="s">
        <v>5</v>
      </c>
      <c r="L6724" t="s">
        <v>12</v>
      </c>
      <c r="M6724" t="s">
        <v>7</v>
      </c>
      <c r="N6724" s="2">
        <v>46022</v>
      </c>
    </row>
    <row r="6725" spans="1:14" x14ac:dyDescent="0.25">
      <c r="A6725" s="4" t="s">
        <v>228</v>
      </c>
      <c r="B6725" s="5"/>
      <c r="C6725" s="4" t="s">
        <v>9</v>
      </c>
      <c r="D6725" s="4" t="s">
        <v>9</v>
      </c>
      <c r="E6725" s="4" t="s">
        <v>9</v>
      </c>
      <c r="F6725" s="6">
        <v>0</v>
      </c>
      <c r="G6725" s="6">
        <v>0</v>
      </c>
      <c r="H6725" s="4" t="s">
        <v>9</v>
      </c>
      <c r="I6725" s="4" t="s">
        <v>3</v>
      </c>
      <c r="J6725" s="4" t="s">
        <v>9</v>
      </c>
      <c r="K6725" s="4" t="s">
        <v>9</v>
      </c>
      <c r="L6725" s="4" t="s">
        <v>9</v>
      </c>
      <c r="M6725" s="4" t="s">
        <v>9</v>
      </c>
      <c r="N6725" s="5"/>
    </row>
    <row r="6726" spans="1:14" x14ac:dyDescent="0.25">
      <c r="A6726" s="4" t="s">
        <v>0</v>
      </c>
      <c r="B6726" s="5"/>
      <c r="C6726" s="4" t="s">
        <v>9</v>
      </c>
      <c r="D6726" s="4" t="s">
        <v>9</v>
      </c>
      <c r="E6726" s="4" t="s">
        <v>9</v>
      </c>
      <c r="F6726" s="6">
        <v>0</v>
      </c>
      <c r="G6726" s="6">
        <v>0</v>
      </c>
      <c r="H6726" s="4" t="s">
        <v>9</v>
      </c>
      <c r="I6726" s="4" t="s">
        <v>3</v>
      </c>
      <c r="J6726" s="4" t="s">
        <v>9</v>
      </c>
      <c r="K6726" s="4" t="s">
        <v>9</v>
      </c>
      <c r="L6726" s="4" t="s">
        <v>9</v>
      </c>
      <c r="M6726" s="4" t="s">
        <v>9</v>
      </c>
      <c r="N6726" s="5"/>
    </row>
    <row r="6727" spans="1:14" x14ac:dyDescent="0.25">
      <c r="A6727" t="s">
        <v>755</v>
      </c>
      <c r="B6727" s="2">
        <v>46262</v>
      </c>
      <c r="C6727" t="s">
        <v>755</v>
      </c>
      <c r="D6727" t="s">
        <v>756</v>
      </c>
      <c r="E6727" t="s">
        <v>757</v>
      </c>
      <c r="F6727" s="3">
        <v>7467.98</v>
      </c>
      <c r="G6727" s="3">
        <v>1450.6</v>
      </c>
      <c r="H6727" t="s">
        <v>3</v>
      </c>
      <c r="I6727" t="s">
        <v>3</v>
      </c>
      <c r="J6727" t="s">
        <v>758</v>
      </c>
      <c r="K6727" t="s">
        <v>13</v>
      </c>
      <c r="L6727" t="s">
        <v>22</v>
      </c>
      <c r="M6727" t="s">
        <v>759</v>
      </c>
      <c r="N6727" s="2">
        <v>46262</v>
      </c>
    </row>
    <row r="6728" spans="1:14" x14ac:dyDescent="0.25">
      <c r="A6728" t="s">
        <v>755</v>
      </c>
      <c r="B6728" s="2">
        <v>46268</v>
      </c>
      <c r="C6728" t="s">
        <v>755</v>
      </c>
      <c r="D6728" t="s">
        <v>756</v>
      </c>
      <c r="E6728" t="s">
        <v>9</v>
      </c>
      <c r="F6728" s="3">
        <v>-7467.98</v>
      </c>
      <c r="G6728" s="3">
        <v>-7467.98</v>
      </c>
      <c r="H6728" t="s">
        <v>3</v>
      </c>
      <c r="I6728" t="s">
        <v>760</v>
      </c>
      <c r="J6728" t="s">
        <v>761</v>
      </c>
      <c r="K6728" t="s">
        <v>13</v>
      </c>
      <c r="L6728" t="s">
        <v>22</v>
      </c>
      <c r="M6728" t="s">
        <v>759</v>
      </c>
      <c r="N6728" s="2">
        <v>46265</v>
      </c>
    </row>
    <row r="6729" spans="1:14" x14ac:dyDescent="0.25">
      <c r="A6729" s="4" t="s">
        <v>267</v>
      </c>
      <c r="B6729" s="5"/>
      <c r="C6729" s="4" t="s">
        <v>9</v>
      </c>
      <c r="D6729" s="4" t="s">
        <v>9</v>
      </c>
      <c r="E6729" s="4" t="s">
        <v>9</v>
      </c>
      <c r="F6729" s="6">
        <v>0</v>
      </c>
      <c r="G6729" s="6">
        <v>1450.6</v>
      </c>
      <c r="H6729" s="4" t="s">
        <v>9</v>
      </c>
      <c r="I6729" s="4" t="s">
        <v>3</v>
      </c>
      <c r="J6729" s="4" t="s">
        <v>9</v>
      </c>
      <c r="K6729" s="4" t="s">
        <v>9</v>
      </c>
      <c r="L6729" s="4" t="s">
        <v>9</v>
      </c>
      <c r="M6729" s="4" t="s">
        <v>9</v>
      </c>
      <c r="N6729" s="5"/>
    </row>
    <row r="6730" spans="1:14" x14ac:dyDescent="0.25">
      <c r="A6730" s="4" t="s">
        <v>9</v>
      </c>
      <c r="B6730" s="5"/>
      <c r="C6730" s="4" t="s">
        <v>9</v>
      </c>
      <c r="D6730" s="4" t="s">
        <v>9</v>
      </c>
      <c r="E6730" s="4" t="s">
        <v>9</v>
      </c>
      <c r="F6730" s="7"/>
      <c r="G6730" s="6">
        <v>-7467.98</v>
      </c>
      <c r="H6730" s="4" t="s">
        <v>9</v>
      </c>
      <c r="I6730" s="4" t="s">
        <v>760</v>
      </c>
      <c r="J6730" s="4" t="s">
        <v>9</v>
      </c>
      <c r="K6730" s="4" t="s">
        <v>9</v>
      </c>
      <c r="L6730" s="4" t="s">
        <v>9</v>
      </c>
      <c r="M6730" s="4" t="s">
        <v>9</v>
      </c>
      <c r="N6730" s="5"/>
    </row>
    <row r="6731" spans="1:14" x14ac:dyDescent="0.25">
      <c r="A6731" s="4" t="s">
        <v>755</v>
      </c>
      <c r="B6731" s="5"/>
      <c r="C6731" s="4" t="s">
        <v>9</v>
      </c>
      <c r="D6731" s="4" t="s">
        <v>9</v>
      </c>
      <c r="E6731" s="4" t="s">
        <v>9</v>
      </c>
      <c r="F6731" s="6">
        <v>0</v>
      </c>
      <c r="G6731" s="6">
        <v>1450.6</v>
      </c>
      <c r="H6731" s="4" t="s">
        <v>9</v>
      </c>
      <c r="I6731" s="4" t="s">
        <v>3</v>
      </c>
      <c r="J6731" s="4" t="s">
        <v>9</v>
      </c>
      <c r="K6731" s="4" t="s">
        <v>9</v>
      </c>
      <c r="L6731" s="4" t="s">
        <v>9</v>
      </c>
      <c r="M6731" s="4" t="s">
        <v>9</v>
      </c>
      <c r="N6731" s="5"/>
    </row>
    <row r="6732" spans="1:14" x14ac:dyDescent="0.25">
      <c r="A6732" s="4" t="s">
        <v>9</v>
      </c>
      <c r="B6732" s="5"/>
      <c r="C6732" s="4" t="s">
        <v>9</v>
      </c>
      <c r="D6732" s="4" t="s">
        <v>9</v>
      </c>
      <c r="E6732" s="4" t="s">
        <v>9</v>
      </c>
      <c r="F6732" s="7"/>
      <c r="G6732" s="6">
        <v>-7467.98</v>
      </c>
      <c r="H6732" s="4" t="s">
        <v>9</v>
      </c>
      <c r="I6732" s="4" t="s">
        <v>760</v>
      </c>
      <c r="J6732" s="4" t="s">
        <v>9</v>
      </c>
      <c r="K6732" s="4" t="s">
        <v>9</v>
      </c>
      <c r="L6732" s="4" t="s">
        <v>9</v>
      </c>
      <c r="M6732" s="4" t="s">
        <v>9</v>
      </c>
      <c r="N6732" s="5"/>
    </row>
    <row r="6733" spans="1:14" x14ac:dyDescent="0.25">
      <c r="A6733" t="s">
        <v>23</v>
      </c>
      <c r="B6733" s="2">
        <v>46239</v>
      </c>
      <c r="C6733" t="s">
        <v>23</v>
      </c>
      <c r="D6733" t="s">
        <v>1</v>
      </c>
      <c r="E6733" t="s">
        <v>24</v>
      </c>
      <c r="F6733" s="3">
        <v>571.85</v>
      </c>
      <c r="G6733" s="3">
        <v>571.85</v>
      </c>
      <c r="H6733" t="s">
        <v>3</v>
      </c>
      <c r="I6733" t="s">
        <v>3</v>
      </c>
      <c r="J6733" t="s">
        <v>25</v>
      </c>
      <c r="K6733" t="s">
        <v>13</v>
      </c>
      <c r="L6733" t="s">
        <v>22</v>
      </c>
      <c r="M6733" t="s">
        <v>7</v>
      </c>
      <c r="N6733" s="2">
        <v>46258</v>
      </c>
    </row>
    <row r="6734" spans="1:14" x14ac:dyDescent="0.25">
      <c r="A6734" t="s">
        <v>23</v>
      </c>
      <c r="B6734" s="2">
        <v>46268</v>
      </c>
      <c r="C6734" t="s">
        <v>23</v>
      </c>
      <c r="D6734" t="s">
        <v>1</v>
      </c>
      <c r="E6734" t="s">
        <v>9</v>
      </c>
      <c r="F6734" s="3">
        <v>-571.85</v>
      </c>
      <c r="G6734" s="3">
        <v>-571.85</v>
      </c>
      <c r="H6734" t="s">
        <v>3</v>
      </c>
      <c r="I6734" t="s">
        <v>3</v>
      </c>
      <c r="J6734" t="s">
        <v>762</v>
      </c>
      <c r="K6734" t="s">
        <v>13</v>
      </c>
      <c r="L6734" t="s">
        <v>22</v>
      </c>
      <c r="M6734" t="s">
        <v>7</v>
      </c>
      <c r="N6734" s="2">
        <v>46265</v>
      </c>
    </row>
    <row r="6735" spans="1:14" x14ac:dyDescent="0.25">
      <c r="A6735" s="4" t="s">
        <v>267</v>
      </c>
      <c r="B6735" s="5"/>
      <c r="C6735" s="4" t="s">
        <v>9</v>
      </c>
      <c r="D6735" s="4" t="s">
        <v>9</v>
      </c>
      <c r="E6735" s="4" t="s">
        <v>9</v>
      </c>
      <c r="F6735" s="6">
        <v>0</v>
      </c>
      <c r="G6735" s="6">
        <v>0</v>
      </c>
      <c r="H6735" s="4" t="s">
        <v>9</v>
      </c>
      <c r="I6735" s="4" t="s">
        <v>3</v>
      </c>
      <c r="J6735" s="4" t="s">
        <v>9</v>
      </c>
      <c r="K6735" s="4" t="s">
        <v>9</v>
      </c>
      <c r="L6735" s="4" t="s">
        <v>9</v>
      </c>
      <c r="M6735" s="4" t="s">
        <v>9</v>
      </c>
      <c r="N6735" s="5"/>
    </row>
    <row r="6736" spans="1:14" x14ac:dyDescent="0.25">
      <c r="A6736" s="4" t="s">
        <v>23</v>
      </c>
      <c r="B6736" s="5"/>
      <c r="C6736" s="4" t="s">
        <v>9</v>
      </c>
      <c r="D6736" s="4" t="s">
        <v>9</v>
      </c>
      <c r="E6736" s="4" t="s">
        <v>9</v>
      </c>
      <c r="F6736" s="6">
        <v>0</v>
      </c>
      <c r="G6736" s="6">
        <v>0</v>
      </c>
      <c r="H6736" s="4" t="s">
        <v>9</v>
      </c>
      <c r="I6736" s="4" t="s">
        <v>3</v>
      </c>
      <c r="J6736" s="4" t="s">
        <v>9</v>
      </c>
      <c r="K6736" s="4" t="s">
        <v>9</v>
      </c>
      <c r="L6736" s="4" t="s">
        <v>9</v>
      </c>
      <c r="M6736" s="4" t="s">
        <v>9</v>
      </c>
      <c r="N6736" s="5"/>
    </row>
    <row r="6737" spans="1:14" x14ac:dyDescent="0.25">
      <c r="A6737" t="s">
        <v>763</v>
      </c>
      <c r="B6737" s="2">
        <v>46126</v>
      </c>
      <c r="C6737" t="s">
        <v>763</v>
      </c>
      <c r="D6737" t="s">
        <v>1</v>
      </c>
      <c r="E6737" t="s">
        <v>764</v>
      </c>
      <c r="F6737" s="3">
        <v>192.19</v>
      </c>
      <c r="G6737" s="3">
        <v>192.19</v>
      </c>
      <c r="H6737" t="s">
        <v>3</v>
      </c>
      <c r="I6737" t="s">
        <v>3</v>
      </c>
      <c r="J6737" t="s">
        <v>765</v>
      </c>
      <c r="K6737" t="s">
        <v>13</v>
      </c>
      <c r="L6737" t="s">
        <v>17</v>
      </c>
      <c r="M6737" t="s">
        <v>7</v>
      </c>
      <c r="N6737" s="2">
        <v>46126</v>
      </c>
    </row>
    <row r="6738" spans="1:14" x14ac:dyDescent="0.25">
      <c r="A6738" t="s">
        <v>763</v>
      </c>
      <c r="B6738" s="2">
        <v>46139</v>
      </c>
      <c r="C6738" t="s">
        <v>763</v>
      </c>
      <c r="D6738" t="s">
        <v>1</v>
      </c>
      <c r="E6738" t="s">
        <v>9</v>
      </c>
      <c r="F6738" s="3">
        <v>-192.19</v>
      </c>
      <c r="G6738" s="3">
        <v>-192.19</v>
      </c>
      <c r="H6738" t="s">
        <v>3</v>
      </c>
      <c r="I6738" t="s">
        <v>3</v>
      </c>
      <c r="J6738" t="s">
        <v>766</v>
      </c>
      <c r="K6738" t="s">
        <v>13</v>
      </c>
      <c r="L6738" t="s">
        <v>17</v>
      </c>
      <c r="M6738" t="s">
        <v>7</v>
      </c>
      <c r="N6738" s="2">
        <v>46142</v>
      </c>
    </row>
    <row r="6739" spans="1:14" x14ac:dyDescent="0.25">
      <c r="A6739" s="4" t="s">
        <v>249</v>
      </c>
      <c r="B6739" s="5"/>
      <c r="C6739" s="4" t="s">
        <v>9</v>
      </c>
      <c r="D6739" s="4" t="s">
        <v>9</v>
      </c>
      <c r="E6739" s="4" t="s">
        <v>9</v>
      </c>
      <c r="F6739" s="6">
        <v>0</v>
      </c>
      <c r="G6739" s="6">
        <v>0</v>
      </c>
      <c r="H6739" s="4" t="s">
        <v>9</v>
      </c>
      <c r="I6739" s="4" t="s">
        <v>3</v>
      </c>
      <c r="J6739" s="4" t="s">
        <v>9</v>
      </c>
      <c r="K6739" s="4" t="s">
        <v>9</v>
      </c>
      <c r="L6739" s="4" t="s">
        <v>9</v>
      </c>
      <c r="M6739" s="4" t="s">
        <v>9</v>
      </c>
      <c r="N6739" s="5"/>
    </row>
    <row r="6740" spans="1:14" x14ac:dyDescent="0.25">
      <c r="A6740" t="s">
        <v>763</v>
      </c>
      <c r="B6740" s="2">
        <v>45793</v>
      </c>
      <c r="C6740" t="s">
        <v>763</v>
      </c>
      <c r="D6740" t="s">
        <v>1</v>
      </c>
      <c r="E6740" t="s">
        <v>764</v>
      </c>
      <c r="F6740" s="3">
        <v>320.31</v>
      </c>
      <c r="G6740" s="3">
        <v>320.31</v>
      </c>
      <c r="H6740" t="s">
        <v>3</v>
      </c>
      <c r="I6740" t="s">
        <v>3</v>
      </c>
      <c r="J6740" t="s">
        <v>765</v>
      </c>
      <c r="K6740" t="s">
        <v>5</v>
      </c>
      <c r="L6740" t="s">
        <v>18</v>
      </c>
      <c r="M6740" t="s">
        <v>7</v>
      </c>
      <c r="N6740" s="2">
        <v>45793</v>
      </c>
    </row>
    <row r="6741" spans="1:14" x14ac:dyDescent="0.25">
      <c r="A6741" t="s">
        <v>763</v>
      </c>
      <c r="B6741" s="2">
        <v>45793</v>
      </c>
      <c r="C6741" t="s">
        <v>763</v>
      </c>
      <c r="D6741" t="s">
        <v>1</v>
      </c>
      <c r="E6741" t="s">
        <v>764</v>
      </c>
      <c r="F6741" s="3">
        <v>352.4</v>
      </c>
      <c r="G6741" s="3">
        <v>352.4</v>
      </c>
      <c r="H6741" t="s">
        <v>3</v>
      </c>
      <c r="I6741" t="s">
        <v>3</v>
      </c>
      <c r="J6741" t="s">
        <v>765</v>
      </c>
      <c r="K6741" t="s">
        <v>5</v>
      </c>
      <c r="L6741" t="s">
        <v>18</v>
      </c>
      <c r="M6741" t="s">
        <v>7</v>
      </c>
      <c r="N6741" s="2">
        <v>45793</v>
      </c>
    </row>
    <row r="6742" spans="1:14" x14ac:dyDescent="0.25">
      <c r="A6742" t="s">
        <v>763</v>
      </c>
      <c r="B6742" s="2">
        <v>45793</v>
      </c>
      <c r="C6742" t="s">
        <v>763</v>
      </c>
      <c r="D6742" t="s">
        <v>1</v>
      </c>
      <c r="E6742" t="s">
        <v>764</v>
      </c>
      <c r="F6742" s="3">
        <v>512.5</v>
      </c>
      <c r="G6742" s="3">
        <v>512.5</v>
      </c>
      <c r="H6742" t="s">
        <v>3</v>
      </c>
      <c r="I6742" t="s">
        <v>3</v>
      </c>
      <c r="J6742" t="s">
        <v>765</v>
      </c>
      <c r="K6742" t="s">
        <v>5</v>
      </c>
      <c r="L6742" t="s">
        <v>18</v>
      </c>
      <c r="M6742" t="s">
        <v>7</v>
      </c>
      <c r="N6742" s="2">
        <v>45793</v>
      </c>
    </row>
    <row r="6743" spans="1:14" x14ac:dyDescent="0.25">
      <c r="A6743" t="s">
        <v>763</v>
      </c>
      <c r="B6743" s="2">
        <v>45810</v>
      </c>
      <c r="C6743" t="s">
        <v>763</v>
      </c>
      <c r="D6743" t="s">
        <v>1</v>
      </c>
      <c r="E6743" t="s">
        <v>9</v>
      </c>
      <c r="F6743" s="3">
        <v>-1185.21</v>
      </c>
      <c r="G6743" s="3">
        <v>-1185.21</v>
      </c>
      <c r="H6743" t="s">
        <v>3</v>
      </c>
      <c r="I6743" t="s">
        <v>3</v>
      </c>
      <c r="J6743" t="s">
        <v>766</v>
      </c>
      <c r="K6743" t="s">
        <v>5</v>
      </c>
      <c r="L6743" t="s">
        <v>18</v>
      </c>
      <c r="M6743" t="s">
        <v>7</v>
      </c>
      <c r="N6743" s="2">
        <v>45808</v>
      </c>
    </row>
    <row r="6744" spans="1:14" x14ac:dyDescent="0.25">
      <c r="A6744" s="4" t="s">
        <v>223</v>
      </c>
      <c r="B6744" s="5"/>
      <c r="C6744" s="4" t="s">
        <v>9</v>
      </c>
      <c r="D6744" s="4" t="s">
        <v>9</v>
      </c>
      <c r="E6744" s="4" t="s">
        <v>9</v>
      </c>
      <c r="F6744" s="6">
        <v>0</v>
      </c>
      <c r="G6744" s="6">
        <v>0</v>
      </c>
      <c r="H6744" s="4" t="s">
        <v>9</v>
      </c>
      <c r="I6744" s="4" t="s">
        <v>3</v>
      </c>
      <c r="J6744" s="4" t="s">
        <v>9</v>
      </c>
      <c r="K6744" s="4" t="s">
        <v>9</v>
      </c>
      <c r="L6744" s="4" t="s">
        <v>9</v>
      </c>
      <c r="M6744" s="4" t="s">
        <v>9</v>
      </c>
      <c r="N6744" s="5"/>
    </row>
    <row r="6745" spans="1:14" x14ac:dyDescent="0.25">
      <c r="A6745" t="s">
        <v>763</v>
      </c>
      <c r="B6745" s="2">
        <v>45833</v>
      </c>
      <c r="C6745" t="s">
        <v>763</v>
      </c>
      <c r="D6745" t="s">
        <v>1</v>
      </c>
      <c r="E6745" t="s">
        <v>764</v>
      </c>
      <c r="F6745" s="3">
        <v>2114.06</v>
      </c>
      <c r="G6745" s="3">
        <v>2114.06</v>
      </c>
      <c r="H6745" t="s">
        <v>3</v>
      </c>
      <c r="I6745" t="s">
        <v>3</v>
      </c>
      <c r="J6745" t="s">
        <v>765</v>
      </c>
      <c r="K6745" t="s">
        <v>5</v>
      </c>
      <c r="L6745" t="s">
        <v>19</v>
      </c>
      <c r="M6745" t="s">
        <v>7</v>
      </c>
      <c r="N6745" s="2">
        <v>45833</v>
      </c>
    </row>
    <row r="6746" spans="1:14" x14ac:dyDescent="0.25">
      <c r="A6746" t="s">
        <v>763</v>
      </c>
      <c r="B6746" s="2">
        <v>45833</v>
      </c>
      <c r="C6746" t="s">
        <v>763</v>
      </c>
      <c r="D6746" t="s">
        <v>1</v>
      </c>
      <c r="E6746" t="s">
        <v>764</v>
      </c>
      <c r="F6746" s="3">
        <v>384.38</v>
      </c>
      <c r="G6746" s="3">
        <v>384.38</v>
      </c>
      <c r="H6746" t="s">
        <v>3</v>
      </c>
      <c r="I6746" t="s">
        <v>3</v>
      </c>
      <c r="J6746" t="s">
        <v>765</v>
      </c>
      <c r="K6746" t="s">
        <v>5</v>
      </c>
      <c r="L6746" t="s">
        <v>19</v>
      </c>
      <c r="M6746" t="s">
        <v>7</v>
      </c>
      <c r="N6746" s="2">
        <v>45833</v>
      </c>
    </row>
    <row r="6747" spans="1:14" x14ac:dyDescent="0.25">
      <c r="A6747" t="s">
        <v>763</v>
      </c>
      <c r="B6747" s="2">
        <v>45833</v>
      </c>
      <c r="C6747" t="s">
        <v>763</v>
      </c>
      <c r="D6747" t="s">
        <v>1</v>
      </c>
      <c r="E6747" t="s">
        <v>764</v>
      </c>
      <c r="F6747" s="3">
        <v>1089.06</v>
      </c>
      <c r="G6747" s="3">
        <v>1089.06</v>
      </c>
      <c r="H6747" t="s">
        <v>3</v>
      </c>
      <c r="I6747" t="s">
        <v>3</v>
      </c>
      <c r="J6747" t="s">
        <v>765</v>
      </c>
      <c r="K6747" t="s">
        <v>5</v>
      </c>
      <c r="L6747" t="s">
        <v>19</v>
      </c>
      <c r="M6747" t="s">
        <v>7</v>
      </c>
      <c r="N6747" s="2">
        <v>45833</v>
      </c>
    </row>
    <row r="6748" spans="1:14" x14ac:dyDescent="0.25">
      <c r="A6748" t="s">
        <v>763</v>
      </c>
      <c r="B6748" s="2">
        <v>45839</v>
      </c>
      <c r="C6748" t="s">
        <v>763</v>
      </c>
      <c r="D6748" t="s">
        <v>1</v>
      </c>
      <c r="E6748" t="s">
        <v>9</v>
      </c>
      <c r="F6748" s="3">
        <v>-3587.5</v>
      </c>
      <c r="G6748" s="3">
        <v>-3587.5</v>
      </c>
      <c r="H6748" t="s">
        <v>3</v>
      </c>
      <c r="I6748" t="s">
        <v>3</v>
      </c>
      <c r="J6748" t="s">
        <v>766</v>
      </c>
      <c r="K6748" t="s">
        <v>5</v>
      </c>
      <c r="L6748" t="s">
        <v>19</v>
      </c>
      <c r="M6748" t="s">
        <v>7</v>
      </c>
      <c r="N6748" s="2">
        <v>45838</v>
      </c>
    </row>
    <row r="6749" spans="1:14" x14ac:dyDescent="0.25">
      <c r="A6749" s="4" t="s">
        <v>224</v>
      </c>
      <c r="B6749" s="5"/>
      <c r="C6749" s="4" t="s">
        <v>9</v>
      </c>
      <c r="D6749" s="4" t="s">
        <v>9</v>
      </c>
      <c r="E6749" s="4" t="s">
        <v>9</v>
      </c>
      <c r="F6749" s="6">
        <v>0</v>
      </c>
      <c r="G6749" s="6">
        <v>0</v>
      </c>
      <c r="H6749" s="4" t="s">
        <v>9</v>
      </c>
      <c r="I6749" s="4" t="s">
        <v>3</v>
      </c>
      <c r="J6749" s="4" t="s">
        <v>9</v>
      </c>
      <c r="K6749" s="4" t="s">
        <v>9</v>
      </c>
      <c r="L6749" s="4" t="s">
        <v>9</v>
      </c>
      <c r="M6749" s="4" t="s">
        <v>9</v>
      </c>
      <c r="N6749" s="5"/>
    </row>
    <row r="6750" spans="1:14" x14ac:dyDescent="0.25">
      <c r="A6750" t="s">
        <v>763</v>
      </c>
      <c r="B6750" s="2">
        <v>45841</v>
      </c>
      <c r="C6750" t="s">
        <v>763</v>
      </c>
      <c r="D6750" t="s">
        <v>1</v>
      </c>
      <c r="E6750" t="s">
        <v>764</v>
      </c>
      <c r="F6750" s="3">
        <v>1025</v>
      </c>
      <c r="G6750" s="3">
        <v>1025</v>
      </c>
      <c r="H6750" t="s">
        <v>3</v>
      </c>
      <c r="I6750" t="s">
        <v>3</v>
      </c>
      <c r="J6750" t="s">
        <v>765</v>
      </c>
      <c r="K6750" t="s">
        <v>5</v>
      </c>
      <c r="L6750" t="s">
        <v>21</v>
      </c>
      <c r="M6750" t="s">
        <v>7</v>
      </c>
      <c r="N6750" s="2">
        <v>45841</v>
      </c>
    </row>
    <row r="6751" spans="1:14" x14ac:dyDescent="0.25">
      <c r="A6751" t="s">
        <v>763</v>
      </c>
      <c r="B6751" s="2">
        <v>45841</v>
      </c>
      <c r="C6751" t="s">
        <v>763</v>
      </c>
      <c r="D6751" t="s">
        <v>1</v>
      </c>
      <c r="E6751" t="s">
        <v>764</v>
      </c>
      <c r="F6751" s="3">
        <v>574</v>
      </c>
      <c r="G6751" s="3">
        <v>574</v>
      </c>
      <c r="H6751" t="s">
        <v>3</v>
      </c>
      <c r="I6751" t="s">
        <v>3</v>
      </c>
      <c r="J6751" t="s">
        <v>765</v>
      </c>
      <c r="K6751" t="s">
        <v>5</v>
      </c>
      <c r="L6751" t="s">
        <v>21</v>
      </c>
      <c r="M6751" t="s">
        <v>7</v>
      </c>
      <c r="N6751" s="2">
        <v>45841</v>
      </c>
    </row>
    <row r="6752" spans="1:14" x14ac:dyDescent="0.25">
      <c r="A6752" t="s">
        <v>763</v>
      </c>
      <c r="B6752" s="2">
        <v>45841</v>
      </c>
      <c r="C6752" t="s">
        <v>763</v>
      </c>
      <c r="D6752" t="s">
        <v>1</v>
      </c>
      <c r="E6752" t="s">
        <v>764</v>
      </c>
      <c r="F6752" s="3">
        <v>5637.5</v>
      </c>
      <c r="G6752" s="3">
        <v>5637.5</v>
      </c>
      <c r="H6752" t="s">
        <v>3</v>
      </c>
      <c r="I6752" t="s">
        <v>3</v>
      </c>
      <c r="J6752" t="s">
        <v>765</v>
      </c>
      <c r="K6752" t="s">
        <v>5</v>
      </c>
      <c r="L6752" t="s">
        <v>21</v>
      </c>
      <c r="M6752" t="s">
        <v>7</v>
      </c>
      <c r="N6752" s="2">
        <v>45841</v>
      </c>
    </row>
    <row r="6753" spans="1:14" x14ac:dyDescent="0.25">
      <c r="A6753" t="s">
        <v>763</v>
      </c>
      <c r="B6753" s="2">
        <v>45870</v>
      </c>
      <c r="C6753" t="s">
        <v>763</v>
      </c>
      <c r="D6753" t="s">
        <v>1</v>
      </c>
      <c r="E6753" t="s">
        <v>9</v>
      </c>
      <c r="F6753" s="3">
        <v>-7236.5</v>
      </c>
      <c r="G6753" s="3">
        <v>-7236.5</v>
      </c>
      <c r="H6753" t="s">
        <v>3</v>
      </c>
      <c r="I6753" t="s">
        <v>3</v>
      </c>
      <c r="J6753" t="s">
        <v>766</v>
      </c>
      <c r="K6753" t="s">
        <v>5</v>
      </c>
      <c r="L6753" t="s">
        <v>21</v>
      </c>
      <c r="M6753" t="s">
        <v>7</v>
      </c>
      <c r="N6753" s="2">
        <v>45869</v>
      </c>
    </row>
    <row r="6754" spans="1:14" x14ac:dyDescent="0.25">
      <c r="A6754" s="4" t="s">
        <v>262</v>
      </c>
      <c r="B6754" s="5"/>
      <c r="C6754" s="4" t="s">
        <v>9</v>
      </c>
      <c r="D6754" s="4" t="s">
        <v>9</v>
      </c>
      <c r="E6754" s="4" t="s">
        <v>9</v>
      </c>
      <c r="F6754" s="6">
        <v>0</v>
      </c>
      <c r="G6754" s="6">
        <v>0</v>
      </c>
      <c r="H6754" s="4" t="s">
        <v>9</v>
      </c>
      <c r="I6754" s="4" t="s">
        <v>3</v>
      </c>
      <c r="J6754" s="4" t="s">
        <v>9</v>
      </c>
      <c r="K6754" s="4" t="s">
        <v>9</v>
      </c>
      <c r="L6754" s="4" t="s">
        <v>9</v>
      </c>
      <c r="M6754" s="4" t="s">
        <v>9</v>
      </c>
      <c r="N6754" s="5"/>
    </row>
    <row r="6755" spans="1:14" x14ac:dyDescent="0.25">
      <c r="A6755" t="s">
        <v>763</v>
      </c>
      <c r="B6755" s="2">
        <v>45875</v>
      </c>
      <c r="C6755" t="s">
        <v>763</v>
      </c>
      <c r="D6755" t="s">
        <v>1</v>
      </c>
      <c r="E6755" t="s">
        <v>764</v>
      </c>
      <c r="F6755" s="3">
        <v>506.15</v>
      </c>
      <c r="G6755" s="3">
        <v>506.15</v>
      </c>
      <c r="H6755" t="s">
        <v>3</v>
      </c>
      <c r="I6755" t="s">
        <v>3</v>
      </c>
      <c r="J6755" t="s">
        <v>765</v>
      </c>
      <c r="K6755" t="s">
        <v>5</v>
      </c>
      <c r="L6755" t="s">
        <v>22</v>
      </c>
      <c r="M6755" t="s">
        <v>7</v>
      </c>
      <c r="N6755" s="2">
        <v>45875</v>
      </c>
    </row>
    <row r="6756" spans="1:14" x14ac:dyDescent="0.25">
      <c r="A6756" t="s">
        <v>763</v>
      </c>
      <c r="B6756" s="2">
        <v>45875</v>
      </c>
      <c r="C6756" t="s">
        <v>763</v>
      </c>
      <c r="D6756" t="s">
        <v>1</v>
      </c>
      <c r="E6756" t="s">
        <v>764</v>
      </c>
      <c r="F6756" s="3">
        <v>6342.19</v>
      </c>
      <c r="G6756" s="3">
        <v>6342.19</v>
      </c>
      <c r="H6756" t="s">
        <v>3</v>
      </c>
      <c r="I6756" t="s">
        <v>3</v>
      </c>
      <c r="J6756" t="s">
        <v>765</v>
      </c>
      <c r="K6756" t="s">
        <v>5</v>
      </c>
      <c r="L6756" t="s">
        <v>22</v>
      </c>
      <c r="M6756" t="s">
        <v>7</v>
      </c>
      <c r="N6756" s="2">
        <v>45875</v>
      </c>
    </row>
    <row r="6757" spans="1:14" x14ac:dyDescent="0.25">
      <c r="A6757" t="s">
        <v>763</v>
      </c>
      <c r="B6757" s="2">
        <v>45875</v>
      </c>
      <c r="C6757" t="s">
        <v>763</v>
      </c>
      <c r="D6757" t="s">
        <v>1</v>
      </c>
      <c r="E6757" t="s">
        <v>764</v>
      </c>
      <c r="F6757" s="3">
        <v>1089.06</v>
      </c>
      <c r="G6757" s="3">
        <v>1089.06</v>
      </c>
      <c r="H6757" t="s">
        <v>3</v>
      </c>
      <c r="I6757" t="s">
        <v>3</v>
      </c>
      <c r="J6757" t="s">
        <v>765</v>
      </c>
      <c r="K6757" t="s">
        <v>5</v>
      </c>
      <c r="L6757" t="s">
        <v>22</v>
      </c>
      <c r="M6757" t="s">
        <v>7</v>
      </c>
      <c r="N6757" s="2">
        <v>45875</v>
      </c>
    </row>
    <row r="6758" spans="1:14" x14ac:dyDescent="0.25">
      <c r="A6758" t="s">
        <v>763</v>
      </c>
      <c r="B6758" s="2">
        <v>45875</v>
      </c>
      <c r="C6758" t="s">
        <v>763</v>
      </c>
      <c r="D6758" t="s">
        <v>1</v>
      </c>
      <c r="E6758" t="s">
        <v>764</v>
      </c>
      <c r="F6758" s="3">
        <v>288.33</v>
      </c>
      <c r="G6758" s="3">
        <v>288.33</v>
      </c>
      <c r="H6758" t="s">
        <v>3</v>
      </c>
      <c r="I6758" t="s">
        <v>3</v>
      </c>
      <c r="J6758" t="s">
        <v>765</v>
      </c>
      <c r="K6758" t="s">
        <v>5</v>
      </c>
      <c r="L6758" t="s">
        <v>22</v>
      </c>
      <c r="M6758" t="s">
        <v>7</v>
      </c>
      <c r="N6758" s="2">
        <v>45875</v>
      </c>
    </row>
    <row r="6759" spans="1:14" x14ac:dyDescent="0.25">
      <c r="A6759" t="s">
        <v>763</v>
      </c>
      <c r="B6759" s="2">
        <v>45901</v>
      </c>
      <c r="C6759" t="s">
        <v>763</v>
      </c>
      <c r="D6759" t="s">
        <v>1</v>
      </c>
      <c r="E6759" t="s">
        <v>9</v>
      </c>
      <c r="F6759" s="3">
        <v>-8225.73</v>
      </c>
      <c r="G6759" s="3">
        <v>-8225.73</v>
      </c>
      <c r="H6759" t="s">
        <v>3</v>
      </c>
      <c r="I6759" t="s">
        <v>3</v>
      </c>
      <c r="J6759" t="s">
        <v>766</v>
      </c>
      <c r="K6759" t="s">
        <v>5</v>
      </c>
      <c r="L6759" t="s">
        <v>22</v>
      </c>
      <c r="M6759" t="s">
        <v>7</v>
      </c>
      <c r="N6759" s="2">
        <v>45900</v>
      </c>
    </row>
    <row r="6760" spans="1:14" x14ac:dyDescent="0.25">
      <c r="A6760" s="4" t="s">
        <v>267</v>
      </c>
      <c r="B6760" s="5"/>
      <c r="C6760" s="4" t="s">
        <v>9</v>
      </c>
      <c r="D6760" s="4" t="s">
        <v>9</v>
      </c>
      <c r="E6760" s="4" t="s">
        <v>9</v>
      </c>
      <c r="F6760" s="6">
        <v>0</v>
      </c>
      <c r="G6760" s="6">
        <v>0</v>
      </c>
      <c r="H6760" s="4" t="s">
        <v>9</v>
      </c>
      <c r="I6760" s="4" t="s">
        <v>3</v>
      </c>
      <c r="J6760" s="4" t="s">
        <v>9</v>
      </c>
      <c r="K6760" s="4" t="s">
        <v>9</v>
      </c>
      <c r="L6760" s="4" t="s">
        <v>9</v>
      </c>
      <c r="M6760" s="4" t="s">
        <v>9</v>
      </c>
      <c r="N6760" s="5"/>
    </row>
    <row r="6761" spans="1:14" x14ac:dyDescent="0.25">
      <c r="A6761" t="s">
        <v>763</v>
      </c>
      <c r="B6761" s="2">
        <v>45908</v>
      </c>
      <c r="C6761" t="s">
        <v>763</v>
      </c>
      <c r="D6761" t="s">
        <v>1</v>
      </c>
      <c r="E6761" t="s">
        <v>764</v>
      </c>
      <c r="F6761" s="3">
        <v>1793.75</v>
      </c>
      <c r="G6761" s="3">
        <v>1793.75</v>
      </c>
      <c r="H6761" t="s">
        <v>3</v>
      </c>
      <c r="I6761" t="s">
        <v>3</v>
      </c>
      <c r="J6761" t="s">
        <v>765</v>
      </c>
      <c r="K6761" t="s">
        <v>5</v>
      </c>
      <c r="L6761" t="s">
        <v>6</v>
      </c>
      <c r="M6761" t="s">
        <v>7</v>
      </c>
      <c r="N6761" s="2">
        <v>45908</v>
      </c>
    </row>
    <row r="6762" spans="1:14" x14ac:dyDescent="0.25">
      <c r="A6762" t="s">
        <v>763</v>
      </c>
      <c r="B6762" s="2">
        <v>45908</v>
      </c>
      <c r="C6762" t="s">
        <v>763</v>
      </c>
      <c r="D6762" t="s">
        <v>1</v>
      </c>
      <c r="E6762" t="s">
        <v>764</v>
      </c>
      <c r="F6762" s="3">
        <v>640.63</v>
      </c>
      <c r="G6762" s="3">
        <v>640.63</v>
      </c>
      <c r="H6762" t="s">
        <v>3</v>
      </c>
      <c r="I6762" t="s">
        <v>3</v>
      </c>
      <c r="J6762" t="s">
        <v>765</v>
      </c>
      <c r="K6762" t="s">
        <v>5</v>
      </c>
      <c r="L6762" t="s">
        <v>6</v>
      </c>
      <c r="M6762" t="s">
        <v>7</v>
      </c>
      <c r="N6762" s="2">
        <v>45908</v>
      </c>
    </row>
    <row r="6763" spans="1:14" x14ac:dyDescent="0.25">
      <c r="A6763" t="s">
        <v>763</v>
      </c>
      <c r="B6763" s="2">
        <v>45908</v>
      </c>
      <c r="C6763" t="s">
        <v>763</v>
      </c>
      <c r="D6763" t="s">
        <v>1</v>
      </c>
      <c r="E6763" t="s">
        <v>764</v>
      </c>
      <c r="F6763" s="3">
        <v>64.06</v>
      </c>
      <c r="G6763" s="3">
        <v>64.06</v>
      </c>
      <c r="H6763" t="s">
        <v>3</v>
      </c>
      <c r="I6763" t="s">
        <v>3</v>
      </c>
      <c r="J6763" t="s">
        <v>765</v>
      </c>
      <c r="K6763" t="s">
        <v>5</v>
      </c>
      <c r="L6763" t="s">
        <v>6</v>
      </c>
      <c r="M6763" t="s">
        <v>7</v>
      </c>
      <c r="N6763" s="2">
        <v>45908</v>
      </c>
    </row>
    <row r="6764" spans="1:14" x14ac:dyDescent="0.25">
      <c r="A6764" t="s">
        <v>763</v>
      </c>
      <c r="B6764" s="2">
        <v>45932</v>
      </c>
      <c r="C6764" t="s">
        <v>763</v>
      </c>
      <c r="D6764" t="s">
        <v>1</v>
      </c>
      <c r="E6764" t="s">
        <v>9</v>
      </c>
      <c r="F6764" s="3">
        <v>-2498.44</v>
      </c>
      <c r="G6764" s="3">
        <v>-2498.44</v>
      </c>
      <c r="H6764" t="s">
        <v>3</v>
      </c>
      <c r="I6764" t="s">
        <v>3</v>
      </c>
      <c r="J6764" t="s">
        <v>766</v>
      </c>
      <c r="K6764" t="s">
        <v>5</v>
      </c>
      <c r="L6764" t="s">
        <v>6</v>
      </c>
      <c r="M6764" t="s">
        <v>7</v>
      </c>
      <c r="N6764" s="2">
        <v>45930</v>
      </c>
    </row>
    <row r="6765" spans="1:14" x14ac:dyDescent="0.25">
      <c r="A6765" s="4" t="s">
        <v>272</v>
      </c>
      <c r="B6765" s="5"/>
      <c r="C6765" s="4" t="s">
        <v>9</v>
      </c>
      <c r="D6765" s="4" t="s">
        <v>9</v>
      </c>
      <c r="E6765" s="4" t="s">
        <v>9</v>
      </c>
      <c r="F6765" s="6">
        <v>0</v>
      </c>
      <c r="G6765" s="6">
        <v>0</v>
      </c>
      <c r="H6765" s="4" t="s">
        <v>9</v>
      </c>
      <c r="I6765" s="4" t="s">
        <v>3</v>
      </c>
      <c r="J6765" s="4" t="s">
        <v>9</v>
      </c>
      <c r="K6765" s="4" t="s">
        <v>9</v>
      </c>
      <c r="L6765" s="4" t="s">
        <v>9</v>
      </c>
      <c r="M6765" s="4" t="s">
        <v>9</v>
      </c>
      <c r="N6765" s="5"/>
    </row>
    <row r="6766" spans="1:14" x14ac:dyDescent="0.25">
      <c r="A6766" t="s">
        <v>763</v>
      </c>
      <c r="B6766" s="2">
        <v>45978</v>
      </c>
      <c r="C6766" t="s">
        <v>763</v>
      </c>
      <c r="D6766" t="s">
        <v>1</v>
      </c>
      <c r="E6766" t="s">
        <v>764</v>
      </c>
      <c r="F6766" s="3">
        <v>7879.69</v>
      </c>
      <c r="G6766" s="3">
        <v>7879.69</v>
      </c>
      <c r="H6766" t="s">
        <v>3</v>
      </c>
      <c r="I6766" t="s">
        <v>3</v>
      </c>
      <c r="J6766" t="s">
        <v>765</v>
      </c>
      <c r="K6766" t="s">
        <v>5</v>
      </c>
      <c r="L6766" t="s">
        <v>11</v>
      </c>
      <c r="M6766" t="s">
        <v>7</v>
      </c>
      <c r="N6766" s="2">
        <v>45978</v>
      </c>
    </row>
    <row r="6767" spans="1:14" x14ac:dyDescent="0.25">
      <c r="A6767" t="s">
        <v>763</v>
      </c>
      <c r="B6767" s="2">
        <v>45978</v>
      </c>
      <c r="C6767" t="s">
        <v>763</v>
      </c>
      <c r="D6767" t="s">
        <v>1</v>
      </c>
      <c r="E6767" t="s">
        <v>764</v>
      </c>
      <c r="F6767" s="3">
        <v>448.44</v>
      </c>
      <c r="G6767" s="3">
        <v>448.44</v>
      </c>
      <c r="H6767" t="s">
        <v>3</v>
      </c>
      <c r="I6767" t="s">
        <v>3</v>
      </c>
      <c r="J6767" t="s">
        <v>765</v>
      </c>
      <c r="K6767" t="s">
        <v>5</v>
      </c>
      <c r="L6767" t="s">
        <v>11</v>
      </c>
      <c r="M6767" t="s">
        <v>7</v>
      </c>
      <c r="N6767" s="2">
        <v>45978</v>
      </c>
    </row>
    <row r="6768" spans="1:14" x14ac:dyDescent="0.25">
      <c r="A6768" t="s">
        <v>763</v>
      </c>
      <c r="B6768" s="2">
        <v>45978</v>
      </c>
      <c r="C6768" t="s">
        <v>763</v>
      </c>
      <c r="D6768" t="s">
        <v>1</v>
      </c>
      <c r="E6768" t="s">
        <v>764</v>
      </c>
      <c r="F6768" s="3">
        <v>4484.38</v>
      </c>
      <c r="G6768" s="3">
        <v>4484.38</v>
      </c>
      <c r="H6768" t="s">
        <v>3</v>
      </c>
      <c r="I6768" t="s">
        <v>3</v>
      </c>
      <c r="J6768" t="s">
        <v>765</v>
      </c>
      <c r="K6768" t="s">
        <v>5</v>
      </c>
      <c r="L6768" t="s">
        <v>11</v>
      </c>
      <c r="M6768" t="s">
        <v>7</v>
      </c>
      <c r="N6768" s="2">
        <v>45978</v>
      </c>
    </row>
    <row r="6769" spans="1:14" x14ac:dyDescent="0.25">
      <c r="A6769" t="s">
        <v>763</v>
      </c>
      <c r="B6769" s="2">
        <v>45978</v>
      </c>
      <c r="C6769" t="s">
        <v>763</v>
      </c>
      <c r="D6769" t="s">
        <v>1</v>
      </c>
      <c r="E6769" t="s">
        <v>764</v>
      </c>
      <c r="F6769" s="3">
        <v>256.25</v>
      </c>
      <c r="G6769" s="3">
        <v>256.25</v>
      </c>
      <c r="H6769" t="s">
        <v>3</v>
      </c>
      <c r="I6769" t="s">
        <v>3</v>
      </c>
      <c r="J6769" t="s">
        <v>765</v>
      </c>
      <c r="K6769" t="s">
        <v>5</v>
      </c>
      <c r="L6769" t="s">
        <v>11</v>
      </c>
      <c r="M6769" t="s">
        <v>7</v>
      </c>
      <c r="N6769" s="2">
        <v>45978</v>
      </c>
    </row>
    <row r="6770" spans="1:14" x14ac:dyDescent="0.25">
      <c r="A6770" t="s">
        <v>763</v>
      </c>
      <c r="B6770" s="2">
        <v>45993</v>
      </c>
      <c r="C6770" t="s">
        <v>763</v>
      </c>
      <c r="D6770" t="s">
        <v>1</v>
      </c>
      <c r="E6770" t="s">
        <v>9</v>
      </c>
      <c r="F6770" s="3">
        <v>-13068.76</v>
      </c>
      <c r="G6770" s="3">
        <v>-13068.76</v>
      </c>
      <c r="H6770" t="s">
        <v>3</v>
      </c>
      <c r="I6770" t="s">
        <v>3</v>
      </c>
      <c r="J6770" t="s">
        <v>766</v>
      </c>
      <c r="K6770" t="s">
        <v>5</v>
      </c>
      <c r="L6770" t="s">
        <v>11</v>
      </c>
      <c r="M6770" t="s">
        <v>7</v>
      </c>
      <c r="N6770" s="2">
        <v>45991</v>
      </c>
    </row>
    <row r="6771" spans="1:14" x14ac:dyDescent="0.25">
      <c r="A6771" s="4" t="s">
        <v>226</v>
      </c>
      <c r="B6771" s="5"/>
      <c r="C6771" s="4" t="s">
        <v>9</v>
      </c>
      <c r="D6771" s="4" t="s">
        <v>9</v>
      </c>
      <c r="E6771" s="4" t="s">
        <v>9</v>
      </c>
      <c r="F6771" s="6">
        <v>0</v>
      </c>
      <c r="G6771" s="6">
        <v>0</v>
      </c>
      <c r="H6771" s="4" t="s">
        <v>9</v>
      </c>
      <c r="I6771" s="4" t="s">
        <v>3</v>
      </c>
      <c r="J6771" s="4" t="s">
        <v>9</v>
      </c>
      <c r="K6771" s="4" t="s">
        <v>9</v>
      </c>
      <c r="L6771" s="4" t="s">
        <v>9</v>
      </c>
      <c r="M6771" s="4" t="s">
        <v>9</v>
      </c>
      <c r="N6771" s="5"/>
    </row>
    <row r="6772" spans="1:14" x14ac:dyDescent="0.25">
      <c r="A6772" t="s">
        <v>763</v>
      </c>
      <c r="B6772" s="2">
        <v>45999</v>
      </c>
      <c r="C6772" t="s">
        <v>763</v>
      </c>
      <c r="D6772" t="s">
        <v>1</v>
      </c>
      <c r="E6772" t="s">
        <v>764</v>
      </c>
      <c r="F6772" s="3">
        <v>2754.69</v>
      </c>
      <c r="G6772" s="3">
        <v>2754.69</v>
      </c>
      <c r="H6772" t="s">
        <v>3</v>
      </c>
      <c r="I6772" t="s">
        <v>3</v>
      </c>
      <c r="J6772" t="s">
        <v>765</v>
      </c>
      <c r="K6772" t="s">
        <v>5</v>
      </c>
      <c r="L6772" t="s">
        <v>12</v>
      </c>
      <c r="M6772" t="s">
        <v>7</v>
      </c>
      <c r="N6772" s="2">
        <v>45999</v>
      </c>
    </row>
    <row r="6773" spans="1:14" x14ac:dyDescent="0.25">
      <c r="A6773" t="s">
        <v>763</v>
      </c>
      <c r="B6773" s="2">
        <v>46014</v>
      </c>
      <c r="C6773" t="s">
        <v>763</v>
      </c>
      <c r="D6773" t="s">
        <v>1</v>
      </c>
      <c r="E6773" t="s">
        <v>764</v>
      </c>
      <c r="F6773" s="3">
        <v>2500</v>
      </c>
      <c r="G6773" s="3">
        <v>2500</v>
      </c>
      <c r="H6773" t="s">
        <v>3</v>
      </c>
      <c r="I6773" t="s">
        <v>3</v>
      </c>
      <c r="J6773" t="s">
        <v>765</v>
      </c>
      <c r="K6773" t="s">
        <v>5</v>
      </c>
      <c r="L6773" t="s">
        <v>12</v>
      </c>
      <c r="M6773" t="s">
        <v>7</v>
      </c>
      <c r="N6773" s="2">
        <v>46014</v>
      </c>
    </row>
    <row r="6774" spans="1:14" x14ac:dyDescent="0.25">
      <c r="A6774" t="s">
        <v>763</v>
      </c>
      <c r="B6774" s="2">
        <v>46027</v>
      </c>
      <c r="C6774" t="s">
        <v>763</v>
      </c>
      <c r="D6774" t="s">
        <v>1</v>
      </c>
      <c r="E6774" t="s">
        <v>764</v>
      </c>
      <c r="F6774" s="3">
        <v>2500</v>
      </c>
      <c r="G6774" s="3">
        <v>2500</v>
      </c>
      <c r="H6774" t="s">
        <v>3</v>
      </c>
      <c r="I6774" t="s">
        <v>3</v>
      </c>
      <c r="J6774" t="s">
        <v>765</v>
      </c>
      <c r="K6774" t="s">
        <v>5</v>
      </c>
      <c r="L6774" t="s">
        <v>12</v>
      </c>
      <c r="M6774" t="s">
        <v>7</v>
      </c>
      <c r="N6774" s="2">
        <v>46020</v>
      </c>
    </row>
    <row r="6775" spans="1:14" x14ac:dyDescent="0.25">
      <c r="A6775" t="s">
        <v>763</v>
      </c>
      <c r="B6775" s="2">
        <v>46027</v>
      </c>
      <c r="C6775" t="s">
        <v>763</v>
      </c>
      <c r="D6775" t="s">
        <v>1</v>
      </c>
      <c r="E6775" t="s">
        <v>764</v>
      </c>
      <c r="F6775" s="3">
        <v>-2500</v>
      </c>
      <c r="G6775" s="3">
        <v>-2500</v>
      </c>
      <c r="H6775" t="s">
        <v>3</v>
      </c>
      <c r="I6775" t="s">
        <v>3</v>
      </c>
      <c r="J6775" t="s">
        <v>765</v>
      </c>
      <c r="K6775" t="s">
        <v>5</v>
      </c>
      <c r="L6775" t="s">
        <v>12</v>
      </c>
      <c r="M6775" t="s">
        <v>7</v>
      </c>
      <c r="N6775" s="2">
        <v>46020</v>
      </c>
    </row>
    <row r="6776" spans="1:14" x14ac:dyDescent="0.25">
      <c r="A6776" t="s">
        <v>763</v>
      </c>
      <c r="B6776" s="2">
        <v>46028</v>
      </c>
      <c r="C6776" t="s">
        <v>763</v>
      </c>
      <c r="D6776" t="s">
        <v>1</v>
      </c>
      <c r="E6776" t="s">
        <v>9</v>
      </c>
      <c r="F6776" s="3">
        <v>-5254.69</v>
      </c>
      <c r="G6776" s="3">
        <v>-5254.69</v>
      </c>
      <c r="H6776" t="s">
        <v>3</v>
      </c>
      <c r="I6776" t="s">
        <v>3</v>
      </c>
      <c r="J6776" t="s">
        <v>766</v>
      </c>
      <c r="K6776" t="s">
        <v>5</v>
      </c>
      <c r="L6776" t="s">
        <v>12</v>
      </c>
      <c r="M6776" t="s">
        <v>7</v>
      </c>
      <c r="N6776" s="2">
        <v>46022</v>
      </c>
    </row>
    <row r="6777" spans="1:14" x14ac:dyDescent="0.25">
      <c r="A6777" s="4" t="s">
        <v>228</v>
      </c>
      <c r="B6777" s="5"/>
      <c r="C6777" s="4" t="s">
        <v>9</v>
      </c>
      <c r="D6777" s="4" t="s">
        <v>9</v>
      </c>
      <c r="E6777" s="4" t="s">
        <v>9</v>
      </c>
      <c r="F6777" s="6">
        <v>0</v>
      </c>
      <c r="G6777" s="6">
        <v>0</v>
      </c>
      <c r="H6777" s="4" t="s">
        <v>9</v>
      </c>
      <c r="I6777" s="4" t="s">
        <v>3</v>
      </c>
      <c r="J6777" s="4" t="s">
        <v>9</v>
      </c>
      <c r="K6777" s="4" t="s">
        <v>9</v>
      </c>
      <c r="L6777" s="4" t="s">
        <v>9</v>
      </c>
      <c r="M6777" s="4" t="s">
        <v>9</v>
      </c>
      <c r="N6777" s="5"/>
    </row>
    <row r="6778" spans="1:14" x14ac:dyDescent="0.25">
      <c r="A6778" s="4" t="s">
        <v>763</v>
      </c>
      <c r="B6778" s="5"/>
      <c r="C6778" s="4" t="s">
        <v>9</v>
      </c>
      <c r="D6778" s="4" t="s">
        <v>9</v>
      </c>
      <c r="E6778" s="4" t="s">
        <v>9</v>
      </c>
      <c r="F6778" s="6">
        <v>0</v>
      </c>
      <c r="G6778" s="6">
        <v>0</v>
      </c>
      <c r="H6778" s="4" t="s">
        <v>9</v>
      </c>
      <c r="I6778" s="4" t="s">
        <v>3</v>
      </c>
      <c r="J6778" s="4" t="s">
        <v>9</v>
      </c>
      <c r="K6778" s="4" t="s">
        <v>9</v>
      </c>
      <c r="L6778" s="4" t="s">
        <v>9</v>
      </c>
      <c r="M6778" s="4" t="s">
        <v>9</v>
      </c>
      <c r="N6778" s="5"/>
    </row>
    <row r="6779" spans="1:14" x14ac:dyDescent="0.25">
      <c r="A6779" t="s">
        <v>26</v>
      </c>
      <c r="B6779" s="2">
        <v>46053</v>
      </c>
      <c r="C6779" t="s">
        <v>26</v>
      </c>
      <c r="D6779" t="s">
        <v>33</v>
      </c>
      <c r="E6779" t="s">
        <v>9</v>
      </c>
      <c r="F6779" s="3">
        <v>26475</v>
      </c>
      <c r="G6779" s="3">
        <v>26475</v>
      </c>
      <c r="H6779" t="s">
        <v>3</v>
      </c>
      <c r="I6779" t="s">
        <v>3</v>
      </c>
      <c r="J6779" t="s">
        <v>34</v>
      </c>
      <c r="K6779" t="s">
        <v>13</v>
      </c>
      <c r="L6779" t="s">
        <v>14</v>
      </c>
      <c r="M6779" t="s">
        <v>35</v>
      </c>
      <c r="N6779" s="2">
        <v>46053</v>
      </c>
    </row>
    <row r="6780" spans="1:14" x14ac:dyDescent="0.25">
      <c r="A6780" t="s">
        <v>26</v>
      </c>
      <c r="B6780" s="2">
        <v>46053</v>
      </c>
      <c r="C6780" t="s">
        <v>26</v>
      </c>
      <c r="D6780" t="s">
        <v>33</v>
      </c>
      <c r="E6780" t="s">
        <v>9</v>
      </c>
      <c r="F6780" s="3">
        <v>-26475</v>
      </c>
      <c r="G6780" s="3">
        <v>-26475</v>
      </c>
      <c r="H6780" t="s">
        <v>3</v>
      </c>
      <c r="I6780" t="s">
        <v>3</v>
      </c>
      <c r="J6780" t="s">
        <v>34</v>
      </c>
      <c r="K6780" t="s">
        <v>13</v>
      </c>
      <c r="L6780" t="s">
        <v>14</v>
      </c>
      <c r="M6780" t="s">
        <v>35</v>
      </c>
      <c r="N6780" s="2">
        <v>46053</v>
      </c>
    </row>
    <row r="6781" spans="1:14" x14ac:dyDescent="0.25">
      <c r="A6781" t="s">
        <v>26</v>
      </c>
      <c r="B6781" s="2">
        <v>46053</v>
      </c>
      <c r="C6781" t="s">
        <v>26</v>
      </c>
      <c r="D6781" t="s">
        <v>33</v>
      </c>
      <c r="E6781" t="s">
        <v>9</v>
      </c>
      <c r="F6781" s="3">
        <v>2675</v>
      </c>
      <c r="G6781" s="3">
        <v>2675</v>
      </c>
      <c r="H6781" t="s">
        <v>3</v>
      </c>
      <c r="I6781" t="s">
        <v>3</v>
      </c>
      <c r="J6781" t="s">
        <v>34</v>
      </c>
      <c r="K6781" t="s">
        <v>13</v>
      </c>
      <c r="L6781" t="s">
        <v>14</v>
      </c>
      <c r="M6781" t="s">
        <v>35</v>
      </c>
      <c r="N6781" s="2">
        <v>46053</v>
      </c>
    </row>
    <row r="6782" spans="1:14" x14ac:dyDescent="0.25">
      <c r="A6782" t="s">
        <v>26</v>
      </c>
      <c r="B6782" s="2">
        <v>46053</v>
      </c>
      <c r="C6782" t="s">
        <v>26</v>
      </c>
      <c r="D6782" t="s">
        <v>1</v>
      </c>
      <c r="E6782" t="s">
        <v>9</v>
      </c>
      <c r="F6782" s="3">
        <v>1800</v>
      </c>
      <c r="G6782" s="3">
        <v>1800</v>
      </c>
      <c r="H6782" t="s">
        <v>3</v>
      </c>
      <c r="I6782" t="s">
        <v>3</v>
      </c>
      <c r="J6782" t="s">
        <v>10</v>
      </c>
      <c r="K6782" t="s">
        <v>13</v>
      </c>
      <c r="L6782" t="s">
        <v>14</v>
      </c>
      <c r="M6782" t="s">
        <v>7</v>
      </c>
      <c r="N6782" s="2">
        <v>46053</v>
      </c>
    </row>
    <row r="6783" spans="1:14" x14ac:dyDescent="0.25">
      <c r="A6783" t="s">
        <v>26</v>
      </c>
      <c r="B6783" s="2">
        <v>46053</v>
      </c>
      <c r="C6783" t="s">
        <v>26</v>
      </c>
      <c r="D6783" t="s">
        <v>33</v>
      </c>
      <c r="E6783" t="s">
        <v>9</v>
      </c>
      <c r="F6783" s="3">
        <v>-2675</v>
      </c>
      <c r="G6783" s="3">
        <v>-2675</v>
      </c>
      <c r="H6783" t="s">
        <v>3</v>
      </c>
      <c r="I6783" t="s">
        <v>3</v>
      </c>
      <c r="J6783" t="s">
        <v>38</v>
      </c>
      <c r="K6783" t="s">
        <v>13</v>
      </c>
      <c r="L6783" t="s">
        <v>14</v>
      </c>
      <c r="M6783" t="s">
        <v>35</v>
      </c>
      <c r="N6783" s="2">
        <v>46053</v>
      </c>
    </row>
    <row r="6784" spans="1:14" x14ac:dyDescent="0.25">
      <c r="A6784" t="s">
        <v>26</v>
      </c>
      <c r="B6784" s="2">
        <v>46053</v>
      </c>
      <c r="C6784" t="s">
        <v>26</v>
      </c>
      <c r="D6784" t="s">
        <v>1</v>
      </c>
      <c r="E6784" t="s">
        <v>9</v>
      </c>
      <c r="F6784" s="3">
        <v>2675</v>
      </c>
      <c r="G6784" s="3">
        <v>2675</v>
      </c>
      <c r="H6784" t="s">
        <v>3</v>
      </c>
      <c r="I6784" t="s">
        <v>3</v>
      </c>
      <c r="J6784" t="s">
        <v>38</v>
      </c>
      <c r="K6784" t="s">
        <v>13</v>
      </c>
      <c r="L6784" t="s">
        <v>14</v>
      </c>
      <c r="M6784" t="s">
        <v>7</v>
      </c>
      <c r="N6784" s="2">
        <v>46053</v>
      </c>
    </row>
    <row r="6785" spans="1:14" x14ac:dyDescent="0.25">
      <c r="A6785" t="s">
        <v>26</v>
      </c>
      <c r="B6785" s="2">
        <v>46057</v>
      </c>
      <c r="C6785" t="s">
        <v>26</v>
      </c>
      <c r="D6785" t="s">
        <v>1</v>
      </c>
      <c r="E6785" t="s">
        <v>9</v>
      </c>
      <c r="F6785" s="3">
        <v>-4475</v>
      </c>
      <c r="G6785" s="3">
        <v>-4475</v>
      </c>
      <c r="H6785" t="s">
        <v>3</v>
      </c>
      <c r="I6785" t="s">
        <v>3</v>
      </c>
      <c r="J6785" t="s">
        <v>767</v>
      </c>
      <c r="K6785" t="s">
        <v>13</v>
      </c>
      <c r="L6785" t="s">
        <v>14</v>
      </c>
      <c r="M6785" t="s">
        <v>7</v>
      </c>
      <c r="N6785" s="2">
        <v>46053</v>
      </c>
    </row>
    <row r="6786" spans="1:14" x14ac:dyDescent="0.25">
      <c r="A6786" s="4" t="s">
        <v>234</v>
      </c>
      <c r="B6786" s="5"/>
      <c r="C6786" s="4" t="s">
        <v>9</v>
      </c>
      <c r="D6786" s="4" t="s">
        <v>9</v>
      </c>
      <c r="E6786" s="4" t="s">
        <v>9</v>
      </c>
      <c r="F6786" s="6">
        <v>0</v>
      </c>
      <c r="G6786" s="6">
        <v>0</v>
      </c>
      <c r="H6786" s="4" t="s">
        <v>9</v>
      </c>
      <c r="I6786" s="4" t="s">
        <v>3</v>
      </c>
      <c r="J6786" s="4" t="s">
        <v>9</v>
      </c>
      <c r="K6786" s="4" t="s">
        <v>9</v>
      </c>
      <c r="L6786" s="4" t="s">
        <v>9</v>
      </c>
      <c r="M6786" s="4" t="s">
        <v>9</v>
      </c>
      <c r="N6786" s="5"/>
    </row>
    <row r="6787" spans="1:14" x14ac:dyDescent="0.25">
      <c r="A6787" t="s">
        <v>26</v>
      </c>
      <c r="B6787" s="2">
        <v>46063</v>
      </c>
      <c r="C6787" t="s">
        <v>26</v>
      </c>
      <c r="D6787" t="s">
        <v>1</v>
      </c>
      <c r="E6787" t="s">
        <v>30</v>
      </c>
      <c r="F6787" s="3">
        <v>3570</v>
      </c>
      <c r="G6787" s="3">
        <v>3570</v>
      </c>
      <c r="H6787" t="s">
        <v>3</v>
      </c>
      <c r="I6787" t="s">
        <v>3</v>
      </c>
      <c r="J6787" t="s">
        <v>39</v>
      </c>
      <c r="K6787" t="s">
        <v>13</v>
      </c>
      <c r="L6787" t="s">
        <v>15</v>
      </c>
      <c r="M6787" t="s">
        <v>7</v>
      </c>
      <c r="N6787" s="2">
        <v>46063</v>
      </c>
    </row>
    <row r="6788" spans="1:14" x14ac:dyDescent="0.25">
      <c r="A6788" t="s">
        <v>26</v>
      </c>
      <c r="B6788" s="2">
        <v>46066</v>
      </c>
      <c r="C6788" t="s">
        <v>26</v>
      </c>
      <c r="D6788" t="s">
        <v>33</v>
      </c>
      <c r="E6788" t="s">
        <v>9</v>
      </c>
      <c r="F6788" s="3">
        <v>7543.5</v>
      </c>
      <c r="G6788" s="3">
        <v>7543.5</v>
      </c>
      <c r="H6788" t="s">
        <v>3</v>
      </c>
      <c r="I6788" t="s">
        <v>3</v>
      </c>
      <c r="J6788" t="s">
        <v>34</v>
      </c>
      <c r="K6788" t="s">
        <v>13</v>
      </c>
      <c r="L6788" t="s">
        <v>15</v>
      </c>
      <c r="M6788" t="s">
        <v>35</v>
      </c>
      <c r="N6788" s="2">
        <v>46066</v>
      </c>
    </row>
    <row r="6789" spans="1:14" x14ac:dyDescent="0.25">
      <c r="A6789" t="s">
        <v>26</v>
      </c>
      <c r="B6789" s="2">
        <v>46081</v>
      </c>
      <c r="C6789" t="s">
        <v>26</v>
      </c>
      <c r="D6789" t="s">
        <v>1</v>
      </c>
      <c r="E6789" t="s">
        <v>9</v>
      </c>
      <c r="F6789" s="3">
        <v>5085</v>
      </c>
      <c r="G6789" s="3">
        <v>5085</v>
      </c>
      <c r="H6789" t="s">
        <v>3</v>
      </c>
      <c r="I6789" t="s">
        <v>3</v>
      </c>
      <c r="J6789" t="s">
        <v>10</v>
      </c>
      <c r="K6789" t="s">
        <v>13</v>
      </c>
      <c r="L6789" t="s">
        <v>15</v>
      </c>
      <c r="M6789" t="s">
        <v>7</v>
      </c>
      <c r="N6789" s="2">
        <v>46081</v>
      </c>
    </row>
    <row r="6790" spans="1:14" x14ac:dyDescent="0.25">
      <c r="A6790" t="s">
        <v>26</v>
      </c>
      <c r="B6790" s="2">
        <v>46081</v>
      </c>
      <c r="C6790" t="s">
        <v>26</v>
      </c>
      <c r="D6790" t="s">
        <v>33</v>
      </c>
      <c r="E6790" t="s">
        <v>9</v>
      </c>
      <c r="F6790" s="3">
        <v>-7543.5</v>
      </c>
      <c r="G6790" s="3">
        <v>-7543.5</v>
      </c>
      <c r="H6790" t="s">
        <v>3</v>
      </c>
      <c r="I6790" t="s">
        <v>3</v>
      </c>
      <c r="J6790" t="s">
        <v>38</v>
      </c>
      <c r="K6790" t="s">
        <v>13</v>
      </c>
      <c r="L6790" t="s">
        <v>15</v>
      </c>
      <c r="M6790" t="s">
        <v>35</v>
      </c>
      <c r="N6790" s="2">
        <v>46081</v>
      </c>
    </row>
    <row r="6791" spans="1:14" x14ac:dyDescent="0.25">
      <c r="A6791" t="s">
        <v>26</v>
      </c>
      <c r="B6791" s="2">
        <v>46081</v>
      </c>
      <c r="C6791" t="s">
        <v>26</v>
      </c>
      <c r="D6791" t="s">
        <v>1</v>
      </c>
      <c r="E6791" t="s">
        <v>9</v>
      </c>
      <c r="F6791" s="3">
        <v>7543.5</v>
      </c>
      <c r="G6791" s="3">
        <v>7543.5</v>
      </c>
      <c r="H6791" t="s">
        <v>3</v>
      </c>
      <c r="I6791" t="s">
        <v>3</v>
      </c>
      <c r="J6791" t="s">
        <v>38</v>
      </c>
      <c r="K6791" t="s">
        <v>13</v>
      </c>
      <c r="L6791" t="s">
        <v>15</v>
      </c>
      <c r="M6791" t="s">
        <v>7</v>
      </c>
      <c r="N6791" s="2">
        <v>46081</v>
      </c>
    </row>
    <row r="6792" spans="1:14" x14ac:dyDescent="0.25">
      <c r="A6792" t="s">
        <v>26</v>
      </c>
      <c r="B6792" s="2">
        <v>46084</v>
      </c>
      <c r="C6792" t="s">
        <v>26</v>
      </c>
      <c r="D6792" t="s">
        <v>1</v>
      </c>
      <c r="E6792" t="s">
        <v>9</v>
      </c>
      <c r="F6792" s="3">
        <v>-16198.5</v>
      </c>
      <c r="G6792" s="3">
        <v>-16198.5</v>
      </c>
      <c r="H6792" t="s">
        <v>3</v>
      </c>
      <c r="I6792" t="s">
        <v>3</v>
      </c>
      <c r="J6792" t="s">
        <v>767</v>
      </c>
      <c r="K6792" t="s">
        <v>13</v>
      </c>
      <c r="L6792" t="s">
        <v>15</v>
      </c>
      <c r="M6792" t="s">
        <v>7</v>
      </c>
      <c r="N6792" s="2">
        <v>46081</v>
      </c>
    </row>
    <row r="6793" spans="1:14" x14ac:dyDescent="0.25">
      <c r="A6793" s="4" t="s">
        <v>239</v>
      </c>
      <c r="B6793" s="5"/>
      <c r="C6793" s="4" t="s">
        <v>9</v>
      </c>
      <c r="D6793" s="4" t="s">
        <v>9</v>
      </c>
      <c r="E6793" s="4" t="s">
        <v>9</v>
      </c>
      <c r="F6793" s="6">
        <v>0</v>
      </c>
      <c r="G6793" s="6">
        <v>0</v>
      </c>
      <c r="H6793" s="4" t="s">
        <v>9</v>
      </c>
      <c r="I6793" s="4" t="s">
        <v>3</v>
      </c>
      <c r="J6793" s="4" t="s">
        <v>9</v>
      </c>
      <c r="K6793" s="4" t="s">
        <v>9</v>
      </c>
      <c r="L6793" s="4" t="s">
        <v>9</v>
      </c>
      <c r="M6793" s="4" t="s">
        <v>9</v>
      </c>
      <c r="N6793" s="5"/>
    </row>
    <row r="6794" spans="1:14" x14ac:dyDescent="0.25">
      <c r="A6794" t="s">
        <v>26</v>
      </c>
      <c r="B6794" s="2">
        <v>46083</v>
      </c>
      <c r="C6794" t="s">
        <v>26</v>
      </c>
      <c r="D6794" t="s">
        <v>1</v>
      </c>
      <c r="E6794" t="s">
        <v>30</v>
      </c>
      <c r="F6794" s="3">
        <v>5600</v>
      </c>
      <c r="G6794" s="3">
        <v>5600</v>
      </c>
      <c r="H6794" t="s">
        <v>3</v>
      </c>
      <c r="I6794" t="s">
        <v>3</v>
      </c>
      <c r="J6794" t="s">
        <v>39</v>
      </c>
      <c r="K6794" t="s">
        <v>13</v>
      </c>
      <c r="L6794" t="s">
        <v>16</v>
      </c>
      <c r="M6794" t="s">
        <v>7</v>
      </c>
      <c r="N6794" s="2">
        <v>46083</v>
      </c>
    </row>
    <row r="6795" spans="1:14" x14ac:dyDescent="0.25">
      <c r="A6795" t="s">
        <v>26</v>
      </c>
      <c r="B6795" s="2">
        <v>46092</v>
      </c>
      <c r="C6795" t="s">
        <v>26</v>
      </c>
      <c r="D6795" t="s">
        <v>1</v>
      </c>
      <c r="E6795" t="s">
        <v>40</v>
      </c>
      <c r="F6795" s="3">
        <v>15000</v>
      </c>
      <c r="G6795" s="3">
        <v>15000</v>
      </c>
      <c r="H6795" t="s">
        <v>3</v>
      </c>
      <c r="I6795" t="s">
        <v>3</v>
      </c>
      <c r="J6795" t="s">
        <v>41</v>
      </c>
      <c r="K6795" t="s">
        <v>13</v>
      </c>
      <c r="L6795" t="s">
        <v>16</v>
      </c>
      <c r="M6795" t="s">
        <v>7</v>
      </c>
      <c r="N6795" s="2">
        <v>46092</v>
      </c>
    </row>
    <row r="6796" spans="1:14" x14ac:dyDescent="0.25">
      <c r="A6796" t="s">
        <v>26</v>
      </c>
      <c r="B6796" s="2">
        <v>46092</v>
      </c>
      <c r="C6796" t="s">
        <v>26</v>
      </c>
      <c r="D6796" t="s">
        <v>1</v>
      </c>
      <c r="E6796" t="s">
        <v>40</v>
      </c>
      <c r="F6796" s="3">
        <v>40000</v>
      </c>
      <c r="G6796" s="3">
        <v>40000</v>
      </c>
      <c r="H6796" t="s">
        <v>3</v>
      </c>
      <c r="I6796" t="s">
        <v>3</v>
      </c>
      <c r="J6796" t="s">
        <v>42</v>
      </c>
      <c r="K6796" t="s">
        <v>13</v>
      </c>
      <c r="L6796" t="s">
        <v>16</v>
      </c>
      <c r="M6796" t="s">
        <v>7</v>
      </c>
      <c r="N6796" s="2">
        <v>46092</v>
      </c>
    </row>
    <row r="6797" spans="1:14" x14ac:dyDescent="0.25">
      <c r="A6797" t="s">
        <v>26</v>
      </c>
      <c r="B6797" s="2">
        <v>46092</v>
      </c>
      <c r="C6797" t="s">
        <v>26</v>
      </c>
      <c r="D6797" t="s">
        <v>1</v>
      </c>
      <c r="E6797" t="s">
        <v>40</v>
      </c>
      <c r="F6797" s="3">
        <v>382.98</v>
      </c>
      <c r="G6797" s="3">
        <v>382.98</v>
      </c>
      <c r="H6797" t="s">
        <v>3</v>
      </c>
      <c r="I6797" t="s">
        <v>3</v>
      </c>
      <c r="J6797" t="s">
        <v>43</v>
      </c>
      <c r="K6797" t="s">
        <v>13</v>
      </c>
      <c r="L6797" t="s">
        <v>16</v>
      </c>
      <c r="M6797" t="s">
        <v>7</v>
      </c>
      <c r="N6797" s="2">
        <v>46092</v>
      </c>
    </row>
    <row r="6798" spans="1:14" x14ac:dyDescent="0.25">
      <c r="A6798" t="s">
        <v>26</v>
      </c>
      <c r="B6798" s="2">
        <v>46082</v>
      </c>
      <c r="C6798" t="s">
        <v>26</v>
      </c>
      <c r="D6798" t="s">
        <v>33</v>
      </c>
      <c r="E6798" t="s">
        <v>9</v>
      </c>
      <c r="F6798" s="3">
        <v>17708.5</v>
      </c>
      <c r="G6798" s="3">
        <v>17708.5</v>
      </c>
      <c r="H6798" t="s">
        <v>3</v>
      </c>
      <c r="I6798" t="s">
        <v>3</v>
      </c>
      <c r="J6798" t="s">
        <v>34</v>
      </c>
      <c r="K6798" t="s">
        <v>13</v>
      </c>
      <c r="L6798" t="s">
        <v>16</v>
      </c>
      <c r="M6798" t="s">
        <v>35</v>
      </c>
      <c r="N6798" s="2">
        <v>46082</v>
      </c>
    </row>
    <row r="6799" spans="1:14" x14ac:dyDescent="0.25">
      <c r="A6799" t="s">
        <v>26</v>
      </c>
      <c r="B6799" s="2">
        <v>46097</v>
      </c>
      <c r="C6799" t="s">
        <v>26</v>
      </c>
      <c r="D6799" t="s">
        <v>1</v>
      </c>
      <c r="E6799" t="s">
        <v>40</v>
      </c>
      <c r="F6799" s="3">
        <v>40000</v>
      </c>
      <c r="G6799" s="3">
        <v>40000</v>
      </c>
      <c r="H6799" t="s">
        <v>3</v>
      </c>
      <c r="I6799" t="s">
        <v>3</v>
      </c>
      <c r="J6799" t="s">
        <v>42</v>
      </c>
      <c r="K6799" t="s">
        <v>13</v>
      </c>
      <c r="L6799" t="s">
        <v>16</v>
      </c>
      <c r="M6799" t="s">
        <v>7</v>
      </c>
      <c r="N6799" s="2">
        <v>46097</v>
      </c>
    </row>
    <row r="6800" spans="1:14" x14ac:dyDescent="0.25">
      <c r="A6800" t="s">
        <v>26</v>
      </c>
      <c r="B6800" s="2">
        <v>46097</v>
      </c>
      <c r="C6800" t="s">
        <v>26</v>
      </c>
      <c r="D6800" t="s">
        <v>1</v>
      </c>
      <c r="E6800" t="s">
        <v>40</v>
      </c>
      <c r="F6800" s="3">
        <v>343.2</v>
      </c>
      <c r="G6800" s="3">
        <v>343.2</v>
      </c>
      <c r="H6800" t="s">
        <v>3</v>
      </c>
      <c r="I6800" t="s">
        <v>3</v>
      </c>
      <c r="J6800" t="s">
        <v>43</v>
      </c>
      <c r="K6800" t="s">
        <v>13</v>
      </c>
      <c r="L6800" t="s">
        <v>16</v>
      </c>
      <c r="M6800" t="s">
        <v>7</v>
      </c>
      <c r="N6800" s="2">
        <v>46097</v>
      </c>
    </row>
    <row r="6801" spans="1:14" x14ac:dyDescent="0.25">
      <c r="A6801" t="s">
        <v>26</v>
      </c>
      <c r="B6801" s="2">
        <v>46112</v>
      </c>
      <c r="C6801" t="s">
        <v>26</v>
      </c>
      <c r="D6801" t="s">
        <v>1</v>
      </c>
      <c r="E6801" t="s">
        <v>9</v>
      </c>
      <c r="F6801" s="3">
        <v>10105</v>
      </c>
      <c r="G6801" s="3">
        <v>10105</v>
      </c>
      <c r="H6801" t="s">
        <v>3</v>
      </c>
      <c r="I6801" t="s">
        <v>3</v>
      </c>
      <c r="J6801" t="s">
        <v>10</v>
      </c>
      <c r="K6801" t="s">
        <v>13</v>
      </c>
      <c r="L6801" t="s">
        <v>16</v>
      </c>
      <c r="M6801" t="s">
        <v>7</v>
      </c>
      <c r="N6801" s="2">
        <v>46112</v>
      </c>
    </row>
    <row r="6802" spans="1:14" x14ac:dyDescent="0.25">
      <c r="A6802" t="s">
        <v>26</v>
      </c>
      <c r="B6802" s="2">
        <v>46112</v>
      </c>
      <c r="C6802" t="s">
        <v>26</v>
      </c>
      <c r="D6802" t="s">
        <v>33</v>
      </c>
      <c r="E6802" t="s">
        <v>9</v>
      </c>
      <c r="F6802" s="3">
        <v>-343.2</v>
      </c>
      <c r="G6802" s="3">
        <v>-343.2</v>
      </c>
      <c r="H6802" t="s">
        <v>3</v>
      </c>
      <c r="I6802" t="s">
        <v>3</v>
      </c>
      <c r="J6802" t="s">
        <v>44</v>
      </c>
      <c r="K6802" t="s">
        <v>13</v>
      </c>
      <c r="L6802" t="s">
        <v>16</v>
      </c>
      <c r="M6802" t="s">
        <v>35</v>
      </c>
      <c r="N6802" s="2">
        <v>46112</v>
      </c>
    </row>
    <row r="6803" spans="1:14" x14ac:dyDescent="0.25">
      <c r="A6803" t="s">
        <v>26</v>
      </c>
      <c r="B6803" s="2">
        <v>46112</v>
      </c>
      <c r="C6803" t="s">
        <v>26</v>
      </c>
      <c r="D6803" t="s">
        <v>33</v>
      </c>
      <c r="E6803" t="s">
        <v>9</v>
      </c>
      <c r="F6803" s="3">
        <v>-382.98</v>
      </c>
      <c r="G6803" s="3">
        <v>-382.98</v>
      </c>
      <c r="H6803" t="s">
        <v>3</v>
      </c>
      <c r="I6803" t="s">
        <v>3</v>
      </c>
      <c r="J6803" t="s">
        <v>44</v>
      </c>
      <c r="K6803" t="s">
        <v>13</v>
      </c>
      <c r="L6803" t="s">
        <v>16</v>
      </c>
      <c r="M6803" t="s">
        <v>35</v>
      </c>
      <c r="N6803" s="2">
        <v>46112</v>
      </c>
    </row>
    <row r="6804" spans="1:14" x14ac:dyDescent="0.25">
      <c r="A6804" t="s">
        <v>26</v>
      </c>
      <c r="B6804" s="2">
        <v>46112</v>
      </c>
      <c r="C6804" t="s">
        <v>26</v>
      </c>
      <c r="D6804" t="s">
        <v>33</v>
      </c>
      <c r="E6804" t="s">
        <v>9</v>
      </c>
      <c r="F6804" s="3">
        <v>-5600</v>
      </c>
      <c r="G6804" s="3">
        <v>-5600</v>
      </c>
      <c r="H6804" t="s">
        <v>3</v>
      </c>
      <c r="I6804" t="s">
        <v>3</v>
      </c>
      <c r="J6804" t="s">
        <v>44</v>
      </c>
      <c r="K6804" t="s">
        <v>13</v>
      </c>
      <c r="L6804" t="s">
        <v>16</v>
      </c>
      <c r="M6804" t="s">
        <v>35</v>
      </c>
      <c r="N6804" s="2">
        <v>46112</v>
      </c>
    </row>
    <row r="6805" spans="1:14" x14ac:dyDescent="0.25">
      <c r="A6805" t="s">
        <v>26</v>
      </c>
      <c r="B6805" s="2">
        <v>46112</v>
      </c>
      <c r="C6805" t="s">
        <v>26</v>
      </c>
      <c r="D6805" t="s">
        <v>33</v>
      </c>
      <c r="E6805" t="s">
        <v>9</v>
      </c>
      <c r="F6805" s="3">
        <v>-10105</v>
      </c>
      <c r="G6805" s="3">
        <v>-10105</v>
      </c>
      <c r="H6805" t="s">
        <v>3</v>
      </c>
      <c r="I6805" t="s">
        <v>3</v>
      </c>
      <c r="J6805" t="s">
        <v>44</v>
      </c>
      <c r="K6805" t="s">
        <v>13</v>
      </c>
      <c r="L6805" t="s">
        <v>16</v>
      </c>
      <c r="M6805" t="s">
        <v>35</v>
      </c>
      <c r="N6805" s="2">
        <v>46112</v>
      </c>
    </row>
    <row r="6806" spans="1:14" x14ac:dyDescent="0.25">
      <c r="A6806" t="s">
        <v>26</v>
      </c>
      <c r="B6806" s="2">
        <v>46112</v>
      </c>
      <c r="C6806" t="s">
        <v>26</v>
      </c>
      <c r="D6806" t="s">
        <v>33</v>
      </c>
      <c r="E6806" t="s">
        <v>9</v>
      </c>
      <c r="F6806" s="3">
        <v>-15000</v>
      </c>
      <c r="G6806" s="3">
        <v>-15000</v>
      </c>
      <c r="H6806" t="s">
        <v>3</v>
      </c>
      <c r="I6806" t="s">
        <v>3</v>
      </c>
      <c r="J6806" t="s">
        <v>44</v>
      </c>
      <c r="K6806" t="s">
        <v>13</v>
      </c>
      <c r="L6806" t="s">
        <v>16</v>
      </c>
      <c r="M6806" t="s">
        <v>35</v>
      </c>
      <c r="N6806" s="2">
        <v>46112</v>
      </c>
    </row>
    <row r="6807" spans="1:14" x14ac:dyDescent="0.25">
      <c r="A6807" t="s">
        <v>26</v>
      </c>
      <c r="B6807" s="2">
        <v>46112</v>
      </c>
      <c r="C6807" t="s">
        <v>26</v>
      </c>
      <c r="D6807" t="s">
        <v>33</v>
      </c>
      <c r="E6807" t="s">
        <v>9</v>
      </c>
      <c r="F6807" s="3">
        <v>-40000</v>
      </c>
      <c r="G6807" s="3">
        <v>-40000</v>
      </c>
      <c r="H6807" t="s">
        <v>3</v>
      </c>
      <c r="I6807" t="s">
        <v>3</v>
      </c>
      <c r="J6807" t="s">
        <v>44</v>
      </c>
      <c r="K6807" t="s">
        <v>13</v>
      </c>
      <c r="L6807" t="s">
        <v>16</v>
      </c>
      <c r="M6807" t="s">
        <v>35</v>
      </c>
      <c r="N6807" s="2">
        <v>46112</v>
      </c>
    </row>
    <row r="6808" spans="1:14" x14ac:dyDescent="0.25">
      <c r="A6808" t="s">
        <v>26</v>
      </c>
      <c r="B6808" s="2">
        <v>46112</v>
      </c>
      <c r="C6808" t="s">
        <v>26</v>
      </c>
      <c r="D6808" t="s">
        <v>33</v>
      </c>
      <c r="E6808" t="s">
        <v>9</v>
      </c>
      <c r="F6808" s="3">
        <v>-40000</v>
      </c>
      <c r="G6808" s="3">
        <v>-40000</v>
      </c>
      <c r="H6808" t="s">
        <v>3</v>
      </c>
      <c r="I6808" t="s">
        <v>3</v>
      </c>
      <c r="J6808" t="s">
        <v>44</v>
      </c>
      <c r="K6808" t="s">
        <v>13</v>
      </c>
      <c r="L6808" t="s">
        <v>16</v>
      </c>
      <c r="M6808" t="s">
        <v>35</v>
      </c>
      <c r="N6808" s="2">
        <v>46112</v>
      </c>
    </row>
    <row r="6809" spans="1:14" x14ac:dyDescent="0.25">
      <c r="A6809" t="s">
        <v>26</v>
      </c>
      <c r="B6809" s="2">
        <v>46112</v>
      </c>
      <c r="C6809" t="s">
        <v>26</v>
      </c>
      <c r="D6809" t="s">
        <v>1</v>
      </c>
      <c r="E6809" t="s">
        <v>9</v>
      </c>
      <c r="F6809" s="3">
        <v>343.2</v>
      </c>
      <c r="G6809" s="3">
        <v>343.2</v>
      </c>
      <c r="H6809" t="s">
        <v>3</v>
      </c>
      <c r="I6809" t="s">
        <v>3</v>
      </c>
      <c r="J6809" t="s">
        <v>44</v>
      </c>
      <c r="K6809" t="s">
        <v>13</v>
      </c>
      <c r="L6809" t="s">
        <v>16</v>
      </c>
      <c r="M6809" t="s">
        <v>7</v>
      </c>
      <c r="N6809" s="2">
        <v>46112</v>
      </c>
    </row>
    <row r="6810" spans="1:14" x14ac:dyDescent="0.25">
      <c r="A6810" t="s">
        <v>26</v>
      </c>
      <c r="B6810" s="2">
        <v>46112</v>
      </c>
      <c r="C6810" t="s">
        <v>26</v>
      </c>
      <c r="D6810" t="s">
        <v>1</v>
      </c>
      <c r="E6810" t="s">
        <v>9</v>
      </c>
      <c r="F6810" s="3">
        <v>382.98</v>
      </c>
      <c r="G6810" s="3">
        <v>382.98</v>
      </c>
      <c r="H6810" t="s">
        <v>3</v>
      </c>
      <c r="I6810" t="s">
        <v>3</v>
      </c>
      <c r="J6810" t="s">
        <v>44</v>
      </c>
      <c r="K6810" t="s">
        <v>13</v>
      </c>
      <c r="L6810" t="s">
        <v>16</v>
      </c>
      <c r="M6810" t="s">
        <v>7</v>
      </c>
      <c r="N6810" s="2">
        <v>46112</v>
      </c>
    </row>
    <row r="6811" spans="1:14" x14ac:dyDescent="0.25">
      <c r="A6811" t="s">
        <v>26</v>
      </c>
      <c r="B6811" s="2">
        <v>46112</v>
      </c>
      <c r="C6811" t="s">
        <v>26</v>
      </c>
      <c r="D6811" t="s">
        <v>1</v>
      </c>
      <c r="E6811" t="s">
        <v>9</v>
      </c>
      <c r="F6811" s="3">
        <v>5600</v>
      </c>
      <c r="G6811" s="3">
        <v>5600</v>
      </c>
      <c r="H6811" t="s">
        <v>3</v>
      </c>
      <c r="I6811" t="s">
        <v>3</v>
      </c>
      <c r="J6811" t="s">
        <v>44</v>
      </c>
      <c r="K6811" t="s">
        <v>13</v>
      </c>
      <c r="L6811" t="s">
        <v>16</v>
      </c>
      <c r="M6811" t="s">
        <v>7</v>
      </c>
      <c r="N6811" s="2">
        <v>46112</v>
      </c>
    </row>
    <row r="6812" spans="1:14" x14ac:dyDescent="0.25">
      <c r="A6812" t="s">
        <v>26</v>
      </c>
      <c r="B6812" s="2">
        <v>46112</v>
      </c>
      <c r="C6812" t="s">
        <v>26</v>
      </c>
      <c r="D6812" t="s">
        <v>1</v>
      </c>
      <c r="E6812" t="s">
        <v>9</v>
      </c>
      <c r="F6812" s="3">
        <v>10105</v>
      </c>
      <c r="G6812" s="3">
        <v>10105</v>
      </c>
      <c r="H6812" t="s">
        <v>3</v>
      </c>
      <c r="I6812" t="s">
        <v>3</v>
      </c>
      <c r="J6812" t="s">
        <v>44</v>
      </c>
      <c r="K6812" t="s">
        <v>13</v>
      </c>
      <c r="L6812" t="s">
        <v>16</v>
      </c>
      <c r="M6812" t="s">
        <v>7</v>
      </c>
      <c r="N6812" s="2">
        <v>46112</v>
      </c>
    </row>
    <row r="6813" spans="1:14" x14ac:dyDescent="0.25">
      <c r="A6813" t="s">
        <v>26</v>
      </c>
      <c r="B6813" s="2">
        <v>46112</v>
      </c>
      <c r="C6813" t="s">
        <v>26</v>
      </c>
      <c r="D6813" t="s">
        <v>1</v>
      </c>
      <c r="E6813" t="s">
        <v>9</v>
      </c>
      <c r="F6813" s="3">
        <v>15000</v>
      </c>
      <c r="G6813" s="3">
        <v>15000</v>
      </c>
      <c r="H6813" t="s">
        <v>3</v>
      </c>
      <c r="I6813" t="s">
        <v>3</v>
      </c>
      <c r="J6813" t="s">
        <v>44</v>
      </c>
      <c r="K6813" t="s">
        <v>13</v>
      </c>
      <c r="L6813" t="s">
        <v>16</v>
      </c>
      <c r="M6813" t="s">
        <v>7</v>
      </c>
      <c r="N6813" s="2">
        <v>46112</v>
      </c>
    </row>
    <row r="6814" spans="1:14" x14ac:dyDescent="0.25">
      <c r="A6814" t="s">
        <v>26</v>
      </c>
      <c r="B6814" s="2">
        <v>46112</v>
      </c>
      <c r="C6814" t="s">
        <v>26</v>
      </c>
      <c r="D6814" t="s">
        <v>1</v>
      </c>
      <c r="E6814" t="s">
        <v>9</v>
      </c>
      <c r="F6814" s="3">
        <v>40000</v>
      </c>
      <c r="G6814" s="3">
        <v>40000</v>
      </c>
      <c r="H6814" t="s">
        <v>3</v>
      </c>
      <c r="I6814" t="s">
        <v>3</v>
      </c>
      <c r="J6814" t="s">
        <v>44</v>
      </c>
      <c r="K6814" t="s">
        <v>13</v>
      </c>
      <c r="L6814" t="s">
        <v>16</v>
      </c>
      <c r="M6814" t="s">
        <v>7</v>
      </c>
      <c r="N6814" s="2">
        <v>46112</v>
      </c>
    </row>
    <row r="6815" spans="1:14" x14ac:dyDescent="0.25">
      <c r="A6815" t="s">
        <v>26</v>
      </c>
      <c r="B6815" s="2">
        <v>46112</v>
      </c>
      <c r="C6815" t="s">
        <v>26</v>
      </c>
      <c r="D6815" t="s">
        <v>1</v>
      </c>
      <c r="E6815" t="s">
        <v>9</v>
      </c>
      <c r="F6815" s="3">
        <v>40000</v>
      </c>
      <c r="G6815" s="3">
        <v>40000</v>
      </c>
      <c r="H6815" t="s">
        <v>3</v>
      </c>
      <c r="I6815" t="s">
        <v>3</v>
      </c>
      <c r="J6815" t="s">
        <v>44</v>
      </c>
      <c r="K6815" t="s">
        <v>13</v>
      </c>
      <c r="L6815" t="s">
        <v>16</v>
      </c>
      <c r="M6815" t="s">
        <v>7</v>
      </c>
      <c r="N6815" s="2">
        <v>46112</v>
      </c>
    </row>
    <row r="6816" spans="1:14" x14ac:dyDescent="0.25">
      <c r="A6816" t="s">
        <v>26</v>
      </c>
      <c r="B6816" s="2">
        <v>46112</v>
      </c>
      <c r="C6816" t="s">
        <v>26</v>
      </c>
      <c r="D6816" t="s">
        <v>1</v>
      </c>
      <c r="E6816" t="s">
        <v>9</v>
      </c>
      <c r="F6816" s="3">
        <v>-343.2</v>
      </c>
      <c r="G6816" s="3">
        <v>-343.2</v>
      </c>
      <c r="H6816" t="s">
        <v>3</v>
      </c>
      <c r="I6816" t="s">
        <v>3</v>
      </c>
      <c r="J6816" t="s">
        <v>44</v>
      </c>
      <c r="K6816" t="s">
        <v>13</v>
      </c>
      <c r="L6816" t="s">
        <v>16</v>
      </c>
      <c r="M6816" t="s">
        <v>7</v>
      </c>
      <c r="N6816" s="2">
        <v>46112</v>
      </c>
    </row>
    <row r="6817" spans="1:14" x14ac:dyDescent="0.25">
      <c r="A6817" t="s">
        <v>26</v>
      </c>
      <c r="B6817" s="2">
        <v>46112</v>
      </c>
      <c r="C6817" t="s">
        <v>26</v>
      </c>
      <c r="D6817" t="s">
        <v>1</v>
      </c>
      <c r="E6817" t="s">
        <v>9</v>
      </c>
      <c r="F6817" s="3">
        <v>-382.98</v>
      </c>
      <c r="G6817" s="3">
        <v>-382.98</v>
      </c>
      <c r="H6817" t="s">
        <v>3</v>
      </c>
      <c r="I6817" t="s">
        <v>3</v>
      </c>
      <c r="J6817" t="s">
        <v>44</v>
      </c>
      <c r="K6817" t="s">
        <v>13</v>
      </c>
      <c r="L6817" t="s">
        <v>16</v>
      </c>
      <c r="M6817" t="s">
        <v>7</v>
      </c>
      <c r="N6817" s="2">
        <v>46112</v>
      </c>
    </row>
    <row r="6818" spans="1:14" x14ac:dyDescent="0.25">
      <c r="A6818" t="s">
        <v>26</v>
      </c>
      <c r="B6818" s="2">
        <v>46112</v>
      </c>
      <c r="C6818" t="s">
        <v>26</v>
      </c>
      <c r="D6818" t="s">
        <v>1</v>
      </c>
      <c r="E6818" t="s">
        <v>9</v>
      </c>
      <c r="F6818" s="3">
        <v>-5600</v>
      </c>
      <c r="G6818" s="3">
        <v>-5600</v>
      </c>
      <c r="H6818" t="s">
        <v>3</v>
      </c>
      <c r="I6818" t="s">
        <v>3</v>
      </c>
      <c r="J6818" t="s">
        <v>44</v>
      </c>
      <c r="K6818" t="s">
        <v>13</v>
      </c>
      <c r="L6818" t="s">
        <v>16</v>
      </c>
      <c r="M6818" t="s">
        <v>7</v>
      </c>
      <c r="N6818" s="2">
        <v>46112</v>
      </c>
    </row>
    <row r="6819" spans="1:14" x14ac:dyDescent="0.25">
      <c r="A6819" t="s">
        <v>26</v>
      </c>
      <c r="B6819" s="2">
        <v>46112</v>
      </c>
      <c r="C6819" t="s">
        <v>26</v>
      </c>
      <c r="D6819" t="s">
        <v>1</v>
      </c>
      <c r="E6819" t="s">
        <v>9</v>
      </c>
      <c r="F6819" s="3">
        <v>-10105</v>
      </c>
      <c r="G6819" s="3">
        <v>-10105</v>
      </c>
      <c r="H6819" t="s">
        <v>3</v>
      </c>
      <c r="I6819" t="s">
        <v>3</v>
      </c>
      <c r="J6819" t="s">
        <v>44</v>
      </c>
      <c r="K6819" t="s">
        <v>13</v>
      </c>
      <c r="L6819" t="s">
        <v>16</v>
      </c>
      <c r="M6819" t="s">
        <v>7</v>
      </c>
      <c r="N6819" s="2">
        <v>46112</v>
      </c>
    </row>
    <row r="6820" spans="1:14" x14ac:dyDescent="0.25">
      <c r="A6820" t="s">
        <v>26</v>
      </c>
      <c r="B6820" s="2">
        <v>46112</v>
      </c>
      <c r="C6820" t="s">
        <v>26</v>
      </c>
      <c r="D6820" t="s">
        <v>1</v>
      </c>
      <c r="E6820" t="s">
        <v>9</v>
      </c>
      <c r="F6820" s="3">
        <v>-15000</v>
      </c>
      <c r="G6820" s="3">
        <v>-15000</v>
      </c>
      <c r="H6820" t="s">
        <v>3</v>
      </c>
      <c r="I6820" t="s">
        <v>3</v>
      </c>
      <c r="J6820" t="s">
        <v>44</v>
      </c>
      <c r="K6820" t="s">
        <v>13</v>
      </c>
      <c r="L6820" t="s">
        <v>16</v>
      </c>
      <c r="M6820" t="s">
        <v>7</v>
      </c>
      <c r="N6820" s="2">
        <v>46112</v>
      </c>
    </row>
    <row r="6821" spans="1:14" x14ac:dyDescent="0.25">
      <c r="A6821" t="s">
        <v>26</v>
      </c>
      <c r="B6821" s="2">
        <v>46112</v>
      </c>
      <c r="C6821" t="s">
        <v>26</v>
      </c>
      <c r="D6821" t="s">
        <v>1</v>
      </c>
      <c r="E6821" t="s">
        <v>9</v>
      </c>
      <c r="F6821" s="3">
        <v>-40000</v>
      </c>
      <c r="G6821" s="3">
        <v>-40000</v>
      </c>
      <c r="H6821" t="s">
        <v>3</v>
      </c>
      <c r="I6821" t="s">
        <v>3</v>
      </c>
      <c r="J6821" t="s">
        <v>44</v>
      </c>
      <c r="K6821" t="s">
        <v>13</v>
      </c>
      <c r="L6821" t="s">
        <v>16</v>
      </c>
      <c r="M6821" t="s">
        <v>7</v>
      </c>
      <c r="N6821" s="2">
        <v>46112</v>
      </c>
    </row>
    <row r="6822" spans="1:14" x14ac:dyDescent="0.25">
      <c r="A6822" t="s">
        <v>26</v>
      </c>
      <c r="B6822" s="2">
        <v>46112</v>
      </c>
      <c r="C6822" t="s">
        <v>26</v>
      </c>
      <c r="D6822" t="s">
        <v>1</v>
      </c>
      <c r="E6822" t="s">
        <v>9</v>
      </c>
      <c r="F6822" s="3">
        <v>-40000</v>
      </c>
      <c r="G6822" s="3">
        <v>-40000</v>
      </c>
      <c r="H6822" t="s">
        <v>3</v>
      </c>
      <c r="I6822" t="s">
        <v>3</v>
      </c>
      <c r="J6822" t="s">
        <v>44</v>
      </c>
      <c r="K6822" t="s">
        <v>13</v>
      </c>
      <c r="L6822" t="s">
        <v>16</v>
      </c>
      <c r="M6822" t="s">
        <v>7</v>
      </c>
      <c r="N6822" s="2">
        <v>46112</v>
      </c>
    </row>
    <row r="6823" spans="1:14" x14ac:dyDescent="0.25">
      <c r="A6823" t="s">
        <v>26</v>
      </c>
      <c r="B6823" s="2">
        <v>46112</v>
      </c>
      <c r="C6823" t="s">
        <v>26</v>
      </c>
      <c r="D6823" t="s">
        <v>33</v>
      </c>
      <c r="E6823" t="s">
        <v>9</v>
      </c>
      <c r="F6823" s="3">
        <v>343.2</v>
      </c>
      <c r="G6823" s="3">
        <v>343.2</v>
      </c>
      <c r="H6823" t="s">
        <v>3</v>
      </c>
      <c r="I6823" t="s">
        <v>3</v>
      </c>
      <c r="J6823" t="s">
        <v>44</v>
      </c>
      <c r="K6823" t="s">
        <v>13</v>
      </c>
      <c r="L6823" t="s">
        <v>16</v>
      </c>
      <c r="M6823" t="s">
        <v>35</v>
      </c>
      <c r="N6823" s="2">
        <v>46112</v>
      </c>
    </row>
    <row r="6824" spans="1:14" x14ac:dyDescent="0.25">
      <c r="A6824" t="s">
        <v>26</v>
      </c>
      <c r="B6824" s="2">
        <v>46112</v>
      </c>
      <c r="C6824" t="s">
        <v>26</v>
      </c>
      <c r="D6824" t="s">
        <v>33</v>
      </c>
      <c r="E6824" t="s">
        <v>9</v>
      </c>
      <c r="F6824" s="3">
        <v>382.98</v>
      </c>
      <c r="G6824" s="3">
        <v>382.98</v>
      </c>
      <c r="H6824" t="s">
        <v>3</v>
      </c>
      <c r="I6824" t="s">
        <v>3</v>
      </c>
      <c r="J6824" t="s">
        <v>44</v>
      </c>
      <c r="K6824" t="s">
        <v>13</v>
      </c>
      <c r="L6824" t="s">
        <v>16</v>
      </c>
      <c r="M6824" t="s">
        <v>35</v>
      </c>
      <c r="N6824" s="2">
        <v>46112</v>
      </c>
    </row>
    <row r="6825" spans="1:14" x14ac:dyDescent="0.25">
      <c r="A6825" t="s">
        <v>26</v>
      </c>
      <c r="B6825" s="2">
        <v>46112</v>
      </c>
      <c r="C6825" t="s">
        <v>26</v>
      </c>
      <c r="D6825" t="s">
        <v>33</v>
      </c>
      <c r="E6825" t="s">
        <v>9</v>
      </c>
      <c r="F6825" s="3">
        <v>5600</v>
      </c>
      <c r="G6825" s="3">
        <v>5600</v>
      </c>
      <c r="H6825" t="s">
        <v>3</v>
      </c>
      <c r="I6825" t="s">
        <v>3</v>
      </c>
      <c r="J6825" t="s">
        <v>44</v>
      </c>
      <c r="K6825" t="s">
        <v>13</v>
      </c>
      <c r="L6825" t="s">
        <v>16</v>
      </c>
      <c r="M6825" t="s">
        <v>35</v>
      </c>
      <c r="N6825" s="2">
        <v>46112</v>
      </c>
    </row>
    <row r="6826" spans="1:14" x14ac:dyDescent="0.25">
      <c r="A6826" t="s">
        <v>26</v>
      </c>
      <c r="B6826" s="2">
        <v>46112</v>
      </c>
      <c r="C6826" t="s">
        <v>26</v>
      </c>
      <c r="D6826" t="s">
        <v>33</v>
      </c>
      <c r="E6826" t="s">
        <v>9</v>
      </c>
      <c r="F6826" s="3">
        <v>10105</v>
      </c>
      <c r="G6826" s="3">
        <v>10105</v>
      </c>
      <c r="H6826" t="s">
        <v>3</v>
      </c>
      <c r="I6826" t="s">
        <v>3</v>
      </c>
      <c r="J6826" t="s">
        <v>44</v>
      </c>
      <c r="K6826" t="s">
        <v>13</v>
      </c>
      <c r="L6826" t="s">
        <v>16</v>
      </c>
      <c r="M6826" t="s">
        <v>35</v>
      </c>
      <c r="N6826" s="2">
        <v>46112</v>
      </c>
    </row>
    <row r="6827" spans="1:14" x14ac:dyDescent="0.25">
      <c r="A6827" t="s">
        <v>26</v>
      </c>
      <c r="B6827" s="2">
        <v>46112</v>
      </c>
      <c r="C6827" t="s">
        <v>26</v>
      </c>
      <c r="D6827" t="s">
        <v>33</v>
      </c>
      <c r="E6827" t="s">
        <v>9</v>
      </c>
      <c r="F6827" s="3">
        <v>15000</v>
      </c>
      <c r="G6827" s="3">
        <v>15000</v>
      </c>
      <c r="H6827" t="s">
        <v>3</v>
      </c>
      <c r="I6827" t="s">
        <v>3</v>
      </c>
      <c r="J6827" t="s">
        <v>44</v>
      </c>
      <c r="K6827" t="s">
        <v>13</v>
      </c>
      <c r="L6827" t="s">
        <v>16</v>
      </c>
      <c r="M6827" t="s">
        <v>35</v>
      </c>
      <c r="N6827" s="2">
        <v>46112</v>
      </c>
    </row>
    <row r="6828" spans="1:14" x14ac:dyDescent="0.25">
      <c r="A6828" t="s">
        <v>26</v>
      </c>
      <c r="B6828" s="2">
        <v>46112</v>
      </c>
      <c r="C6828" t="s">
        <v>26</v>
      </c>
      <c r="D6828" t="s">
        <v>33</v>
      </c>
      <c r="E6828" t="s">
        <v>9</v>
      </c>
      <c r="F6828" s="3">
        <v>40000</v>
      </c>
      <c r="G6828" s="3">
        <v>40000</v>
      </c>
      <c r="H6828" t="s">
        <v>3</v>
      </c>
      <c r="I6828" t="s">
        <v>3</v>
      </c>
      <c r="J6828" t="s">
        <v>44</v>
      </c>
      <c r="K6828" t="s">
        <v>13</v>
      </c>
      <c r="L6828" t="s">
        <v>16</v>
      </c>
      <c r="M6828" t="s">
        <v>35</v>
      </c>
      <c r="N6828" s="2">
        <v>46112</v>
      </c>
    </row>
    <row r="6829" spans="1:14" x14ac:dyDescent="0.25">
      <c r="A6829" t="s">
        <v>26</v>
      </c>
      <c r="B6829" s="2">
        <v>46112</v>
      </c>
      <c r="C6829" t="s">
        <v>26</v>
      </c>
      <c r="D6829" t="s">
        <v>33</v>
      </c>
      <c r="E6829" t="s">
        <v>9</v>
      </c>
      <c r="F6829" s="3">
        <v>40000</v>
      </c>
      <c r="G6829" s="3">
        <v>40000</v>
      </c>
      <c r="H6829" t="s">
        <v>3</v>
      </c>
      <c r="I6829" t="s">
        <v>3</v>
      </c>
      <c r="J6829" t="s">
        <v>44</v>
      </c>
      <c r="K6829" t="s">
        <v>13</v>
      </c>
      <c r="L6829" t="s">
        <v>16</v>
      </c>
      <c r="M6829" t="s">
        <v>35</v>
      </c>
      <c r="N6829" s="2">
        <v>46112</v>
      </c>
    </row>
    <row r="6830" spans="1:14" x14ac:dyDescent="0.25">
      <c r="A6830" t="s">
        <v>26</v>
      </c>
      <c r="B6830" s="2">
        <v>46112</v>
      </c>
      <c r="C6830" t="s">
        <v>26</v>
      </c>
      <c r="D6830" t="s">
        <v>1</v>
      </c>
      <c r="E6830" t="s">
        <v>9</v>
      </c>
      <c r="F6830" s="3">
        <v>-343.2</v>
      </c>
      <c r="G6830" s="3">
        <v>-343.2</v>
      </c>
      <c r="H6830" t="s">
        <v>3</v>
      </c>
      <c r="I6830" t="s">
        <v>3</v>
      </c>
      <c r="J6830" t="s">
        <v>44</v>
      </c>
      <c r="K6830" t="s">
        <v>13</v>
      </c>
      <c r="L6830" t="s">
        <v>16</v>
      </c>
      <c r="M6830" t="s">
        <v>7</v>
      </c>
      <c r="N6830" s="2">
        <v>46112</v>
      </c>
    </row>
    <row r="6831" spans="1:14" x14ac:dyDescent="0.25">
      <c r="A6831" t="s">
        <v>26</v>
      </c>
      <c r="B6831" s="2">
        <v>46112</v>
      </c>
      <c r="C6831" t="s">
        <v>26</v>
      </c>
      <c r="D6831" t="s">
        <v>1</v>
      </c>
      <c r="E6831" t="s">
        <v>9</v>
      </c>
      <c r="F6831" s="3">
        <v>-382.98</v>
      </c>
      <c r="G6831" s="3">
        <v>-382.98</v>
      </c>
      <c r="H6831" t="s">
        <v>3</v>
      </c>
      <c r="I6831" t="s">
        <v>3</v>
      </c>
      <c r="J6831" t="s">
        <v>44</v>
      </c>
      <c r="K6831" t="s">
        <v>13</v>
      </c>
      <c r="L6831" t="s">
        <v>16</v>
      </c>
      <c r="M6831" t="s">
        <v>7</v>
      </c>
      <c r="N6831" s="2">
        <v>46112</v>
      </c>
    </row>
    <row r="6832" spans="1:14" x14ac:dyDescent="0.25">
      <c r="A6832" t="s">
        <v>26</v>
      </c>
      <c r="B6832" s="2">
        <v>46112</v>
      </c>
      <c r="C6832" t="s">
        <v>26</v>
      </c>
      <c r="D6832" t="s">
        <v>1</v>
      </c>
      <c r="E6832" t="s">
        <v>9</v>
      </c>
      <c r="F6832" s="3">
        <v>-5600</v>
      </c>
      <c r="G6832" s="3">
        <v>-5600</v>
      </c>
      <c r="H6832" t="s">
        <v>3</v>
      </c>
      <c r="I6832" t="s">
        <v>3</v>
      </c>
      <c r="J6832" t="s">
        <v>44</v>
      </c>
      <c r="K6832" t="s">
        <v>13</v>
      </c>
      <c r="L6832" t="s">
        <v>16</v>
      </c>
      <c r="M6832" t="s">
        <v>7</v>
      </c>
      <c r="N6832" s="2">
        <v>46112</v>
      </c>
    </row>
    <row r="6833" spans="1:14" x14ac:dyDescent="0.25">
      <c r="A6833" t="s">
        <v>26</v>
      </c>
      <c r="B6833" s="2">
        <v>46112</v>
      </c>
      <c r="C6833" t="s">
        <v>26</v>
      </c>
      <c r="D6833" t="s">
        <v>1</v>
      </c>
      <c r="E6833" t="s">
        <v>9</v>
      </c>
      <c r="F6833" s="3">
        <v>-10105</v>
      </c>
      <c r="G6833" s="3">
        <v>-10105</v>
      </c>
      <c r="H6833" t="s">
        <v>3</v>
      </c>
      <c r="I6833" t="s">
        <v>3</v>
      </c>
      <c r="J6833" t="s">
        <v>44</v>
      </c>
      <c r="K6833" t="s">
        <v>13</v>
      </c>
      <c r="L6833" t="s">
        <v>16</v>
      </c>
      <c r="M6833" t="s">
        <v>7</v>
      </c>
      <c r="N6833" s="2">
        <v>46112</v>
      </c>
    </row>
    <row r="6834" spans="1:14" x14ac:dyDescent="0.25">
      <c r="A6834" t="s">
        <v>26</v>
      </c>
      <c r="B6834" s="2">
        <v>46112</v>
      </c>
      <c r="C6834" t="s">
        <v>26</v>
      </c>
      <c r="D6834" t="s">
        <v>1</v>
      </c>
      <c r="E6834" t="s">
        <v>9</v>
      </c>
      <c r="F6834" s="3">
        <v>-15000</v>
      </c>
      <c r="G6834" s="3">
        <v>-15000</v>
      </c>
      <c r="H6834" t="s">
        <v>3</v>
      </c>
      <c r="I6834" t="s">
        <v>3</v>
      </c>
      <c r="J6834" t="s">
        <v>44</v>
      </c>
      <c r="K6834" t="s">
        <v>13</v>
      </c>
      <c r="L6834" t="s">
        <v>16</v>
      </c>
      <c r="M6834" t="s">
        <v>7</v>
      </c>
      <c r="N6834" s="2">
        <v>46112</v>
      </c>
    </row>
    <row r="6835" spans="1:14" x14ac:dyDescent="0.25">
      <c r="A6835" t="s">
        <v>26</v>
      </c>
      <c r="B6835" s="2">
        <v>46112</v>
      </c>
      <c r="C6835" t="s">
        <v>26</v>
      </c>
      <c r="D6835" t="s">
        <v>1</v>
      </c>
      <c r="E6835" t="s">
        <v>9</v>
      </c>
      <c r="F6835" s="3">
        <v>-40000</v>
      </c>
      <c r="G6835" s="3">
        <v>-40000</v>
      </c>
      <c r="H6835" t="s">
        <v>3</v>
      </c>
      <c r="I6835" t="s">
        <v>3</v>
      </c>
      <c r="J6835" t="s">
        <v>44</v>
      </c>
      <c r="K6835" t="s">
        <v>13</v>
      </c>
      <c r="L6835" t="s">
        <v>16</v>
      </c>
      <c r="M6835" t="s">
        <v>7</v>
      </c>
      <c r="N6835" s="2">
        <v>46112</v>
      </c>
    </row>
    <row r="6836" spans="1:14" x14ac:dyDescent="0.25">
      <c r="A6836" t="s">
        <v>26</v>
      </c>
      <c r="B6836" s="2">
        <v>46112</v>
      </c>
      <c r="C6836" t="s">
        <v>26</v>
      </c>
      <c r="D6836" t="s">
        <v>1</v>
      </c>
      <c r="E6836" t="s">
        <v>9</v>
      </c>
      <c r="F6836" s="3">
        <v>-40000</v>
      </c>
      <c r="G6836" s="3">
        <v>-40000</v>
      </c>
      <c r="H6836" t="s">
        <v>3</v>
      </c>
      <c r="I6836" t="s">
        <v>3</v>
      </c>
      <c r="J6836" t="s">
        <v>44</v>
      </c>
      <c r="K6836" t="s">
        <v>13</v>
      </c>
      <c r="L6836" t="s">
        <v>16</v>
      </c>
      <c r="M6836" t="s">
        <v>7</v>
      </c>
      <c r="N6836" s="2">
        <v>46112</v>
      </c>
    </row>
    <row r="6837" spans="1:14" x14ac:dyDescent="0.25">
      <c r="A6837" t="s">
        <v>26</v>
      </c>
      <c r="B6837" s="2">
        <v>46112</v>
      </c>
      <c r="C6837" t="s">
        <v>26</v>
      </c>
      <c r="D6837" t="s">
        <v>33</v>
      </c>
      <c r="E6837" t="s">
        <v>9</v>
      </c>
      <c r="F6837" s="3">
        <v>343.2</v>
      </c>
      <c r="G6837" s="3">
        <v>343.2</v>
      </c>
      <c r="H6837" t="s">
        <v>3</v>
      </c>
      <c r="I6837" t="s">
        <v>3</v>
      </c>
      <c r="J6837" t="s">
        <v>44</v>
      </c>
      <c r="K6837" t="s">
        <v>13</v>
      </c>
      <c r="L6837" t="s">
        <v>16</v>
      </c>
      <c r="M6837" t="s">
        <v>35</v>
      </c>
      <c r="N6837" s="2">
        <v>46112</v>
      </c>
    </row>
    <row r="6838" spans="1:14" x14ac:dyDescent="0.25">
      <c r="A6838" t="s">
        <v>26</v>
      </c>
      <c r="B6838" s="2">
        <v>46112</v>
      </c>
      <c r="C6838" t="s">
        <v>26</v>
      </c>
      <c r="D6838" t="s">
        <v>33</v>
      </c>
      <c r="E6838" t="s">
        <v>9</v>
      </c>
      <c r="F6838" s="3">
        <v>382.98</v>
      </c>
      <c r="G6838" s="3">
        <v>382.98</v>
      </c>
      <c r="H6838" t="s">
        <v>3</v>
      </c>
      <c r="I6838" t="s">
        <v>3</v>
      </c>
      <c r="J6838" t="s">
        <v>44</v>
      </c>
      <c r="K6838" t="s">
        <v>13</v>
      </c>
      <c r="L6838" t="s">
        <v>16</v>
      </c>
      <c r="M6838" t="s">
        <v>35</v>
      </c>
      <c r="N6838" s="2">
        <v>46112</v>
      </c>
    </row>
    <row r="6839" spans="1:14" x14ac:dyDescent="0.25">
      <c r="A6839" t="s">
        <v>26</v>
      </c>
      <c r="B6839" s="2">
        <v>46112</v>
      </c>
      <c r="C6839" t="s">
        <v>26</v>
      </c>
      <c r="D6839" t="s">
        <v>33</v>
      </c>
      <c r="E6839" t="s">
        <v>9</v>
      </c>
      <c r="F6839" s="3">
        <v>5600</v>
      </c>
      <c r="G6839" s="3">
        <v>5600</v>
      </c>
      <c r="H6839" t="s">
        <v>3</v>
      </c>
      <c r="I6839" t="s">
        <v>3</v>
      </c>
      <c r="J6839" t="s">
        <v>44</v>
      </c>
      <c r="K6839" t="s">
        <v>13</v>
      </c>
      <c r="L6839" t="s">
        <v>16</v>
      </c>
      <c r="M6839" t="s">
        <v>35</v>
      </c>
      <c r="N6839" s="2">
        <v>46112</v>
      </c>
    </row>
    <row r="6840" spans="1:14" x14ac:dyDescent="0.25">
      <c r="A6840" t="s">
        <v>26</v>
      </c>
      <c r="B6840" s="2">
        <v>46112</v>
      </c>
      <c r="C6840" t="s">
        <v>26</v>
      </c>
      <c r="D6840" t="s">
        <v>33</v>
      </c>
      <c r="E6840" t="s">
        <v>9</v>
      </c>
      <c r="F6840" s="3">
        <v>10105</v>
      </c>
      <c r="G6840" s="3">
        <v>10105</v>
      </c>
      <c r="H6840" t="s">
        <v>3</v>
      </c>
      <c r="I6840" t="s">
        <v>3</v>
      </c>
      <c r="J6840" t="s">
        <v>44</v>
      </c>
      <c r="K6840" t="s">
        <v>13</v>
      </c>
      <c r="L6840" t="s">
        <v>16</v>
      </c>
      <c r="M6840" t="s">
        <v>35</v>
      </c>
      <c r="N6840" s="2">
        <v>46112</v>
      </c>
    </row>
    <row r="6841" spans="1:14" x14ac:dyDescent="0.25">
      <c r="A6841" t="s">
        <v>26</v>
      </c>
      <c r="B6841" s="2">
        <v>46112</v>
      </c>
      <c r="C6841" t="s">
        <v>26</v>
      </c>
      <c r="D6841" t="s">
        <v>33</v>
      </c>
      <c r="E6841" t="s">
        <v>9</v>
      </c>
      <c r="F6841" s="3">
        <v>15000</v>
      </c>
      <c r="G6841" s="3">
        <v>15000</v>
      </c>
      <c r="H6841" t="s">
        <v>3</v>
      </c>
      <c r="I6841" t="s">
        <v>3</v>
      </c>
      <c r="J6841" t="s">
        <v>44</v>
      </c>
      <c r="K6841" t="s">
        <v>13</v>
      </c>
      <c r="L6841" t="s">
        <v>16</v>
      </c>
      <c r="M6841" t="s">
        <v>35</v>
      </c>
      <c r="N6841" s="2">
        <v>46112</v>
      </c>
    </row>
    <row r="6842" spans="1:14" x14ac:dyDescent="0.25">
      <c r="A6842" t="s">
        <v>26</v>
      </c>
      <c r="B6842" s="2">
        <v>46112</v>
      </c>
      <c r="C6842" t="s">
        <v>26</v>
      </c>
      <c r="D6842" t="s">
        <v>33</v>
      </c>
      <c r="E6842" t="s">
        <v>9</v>
      </c>
      <c r="F6842" s="3">
        <v>40000</v>
      </c>
      <c r="G6842" s="3">
        <v>40000</v>
      </c>
      <c r="H6842" t="s">
        <v>3</v>
      </c>
      <c r="I6842" t="s">
        <v>3</v>
      </c>
      <c r="J6842" t="s">
        <v>44</v>
      </c>
      <c r="K6842" t="s">
        <v>13</v>
      </c>
      <c r="L6842" t="s">
        <v>16</v>
      </c>
      <c r="M6842" t="s">
        <v>35</v>
      </c>
      <c r="N6842" s="2">
        <v>46112</v>
      </c>
    </row>
    <row r="6843" spans="1:14" x14ac:dyDescent="0.25">
      <c r="A6843" t="s">
        <v>26</v>
      </c>
      <c r="B6843" s="2">
        <v>46112</v>
      </c>
      <c r="C6843" t="s">
        <v>26</v>
      </c>
      <c r="D6843" t="s">
        <v>33</v>
      </c>
      <c r="E6843" t="s">
        <v>9</v>
      </c>
      <c r="F6843" s="3">
        <v>40000</v>
      </c>
      <c r="G6843" s="3">
        <v>40000</v>
      </c>
      <c r="H6843" t="s">
        <v>3</v>
      </c>
      <c r="I6843" t="s">
        <v>3</v>
      </c>
      <c r="J6843" t="s">
        <v>44</v>
      </c>
      <c r="K6843" t="s">
        <v>13</v>
      </c>
      <c r="L6843" t="s">
        <v>16</v>
      </c>
      <c r="M6843" t="s">
        <v>35</v>
      </c>
      <c r="N6843" s="2">
        <v>46112</v>
      </c>
    </row>
    <row r="6844" spans="1:14" x14ac:dyDescent="0.25">
      <c r="A6844" t="s">
        <v>26</v>
      </c>
      <c r="B6844" s="2">
        <v>46120</v>
      </c>
      <c r="C6844" t="s">
        <v>26</v>
      </c>
      <c r="D6844" t="s">
        <v>1</v>
      </c>
      <c r="E6844" t="s">
        <v>9</v>
      </c>
      <c r="F6844" s="3">
        <v>-129139.68</v>
      </c>
      <c r="G6844" s="3">
        <v>-129139.68</v>
      </c>
      <c r="H6844" t="s">
        <v>3</v>
      </c>
      <c r="I6844" t="s">
        <v>3</v>
      </c>
      <c r="J6844" t="s">
        <v>767</v>
      </c>
      <c r="K6844" t="s">
        <v>13</v>
      </c>
      <c r="L6844" t="s">
        <v>16</v>
      </c>
      <c r="M6844" t="s">
        <v>7</v>
      </c>
      <c r="N6844" s="2">
        <v>46112</v>
      </c>
    </row>
    <row r="6845" spans="1:14" x14ac:dyDescent="0.25">
      <c r="A6845" t="s">
        <v>26</v>
      </c>
      <c r="B6845" s="2">
        <v>46112</v>
      </c>
      <c r="C6845" t="s">
        <v>26</v>
      </c>
      <c r="D6845" t="s">
        <v>33</v>
      </c>
      <c r="E6845" t="s">
        <v>9</v>
      </c>
      <c r="F6845" s="3">
        <v>-343.2</v>
      </c>
      <c r="G6845" s="3">
        <v>-343.2</v>
      </c>
      <c r="H6845" t="s">
        <v>3</v>
      </c>
      <c r="I6845" t="s">
        <v>3</v>
      </c>
      <c r="J6845" t="s">
        <v>45</v>
      </c>
      <c r="K6845" t="s">
        <v>13</v>
      </c>
      <c r="L6845" t="s">
        <v>16</v>
      </c>
      <c r="M6845" t="s">
        <v>35</v>
      </c>
      <c r="N6845" s="2">
        <v>46112</v>
      </c>
    </row>
    <row r="6846" spans="1:14" x14ac:dyDescent="0.25">
      <c r="A6846" t="s">
        <v>26</v>
      </c>
      <c r="B6846" s="2">
        <v>46112</v>
      </c>
      <c r="C6846" t="s">
        <v>26</v>
      </c>
      <c r="D6846" t="s">
        <v>33</v>
      </c>
      <c r="E6846" t="s">
        <v>9</v>
      </c>
      <c r="F6846" s="3">
        <v>-382.98</v>
      </c>
      <c r="G6846" s="3">
        <v>-382.98</v>
      </c>
      <c r="H6846" t="s">
        <v>3</v>
      </c>
      <c r="I6846" t="s">
        <v>3</v>
      </c>
      <c r="J6846" t="s">
        <v>45</v>
      </c>
      <c r="K6846" t="s">
        <v>13</v>
      </c>
      <c r="L6846" t="s">
        <v>16</v>
      </c>
      <c r="M6846" t="s">
        <v>35</v>
      </c>
      <c r="N6846" s="2">
        <v>46112</v>
      </c>
    </row>
    <row r="6847" spans="1:14" x14ac:dyDescent="0.25">
      <c r="A6847" t="s">
        <v>26</v>
      </c>
      <c r="B6847" s="2">
        <v>46112</v>
      </c>
      <c r="C6847" t="s">
        <v>26</v>
      </c>
      <c r="D6847" t="s">
        <v>33</v>
      </c>
      <c r="E6847" t="s">
        <v>9</v>
      </c>
      <c r="F6847" s="3">
        <v>-5600</v>
      </c>
      <c r="G6847" s="3">
        <v>-5600</v>
      </c>
      <c r="H6847" t="s">
        <v>3</v>
      </c>
      <c r="I6847" t="s">
        <v>3</v>
      </c>
      <c r="J6847" t="s">
        <v>45</v>
      </c>
      <c r="K6847" t="s">
        <v>13</v>
      </c>
      <c r="L6847" t="s">
        <v>16</v>
      </c>
      <c r="M6847" t="s">
        <v>35</v>
      </c>
      <c r="N6847" s="2">
        <v>46112</v>
      </c>
    </row>
    <row r="6848" spans="1:14" x14ac:dyDescent="0.25">
      <c r="A6848" t="s">
        <v>26</v>
      </c>
      <c r="B6848" s="2">
        <v>46112</v>
      </c>
      <c r="C6848" t="s">
        <v>26</v>
      </c>
      <c r="D6848" t="s">
        <v>33</v>
      </c>
      <c r="E6848" t="s">
        <v>9</v>
      </c>
      <c r="F6848" s="3">
        <v>-10105</v>
      </c>
      <c r="G6848" s="3">
        <v>-10105</v>
      </c>
      <c r="H6848" t="s">
        <v>3</v>
      </c>
      <c r="I6848" t="s">
        <v>3</v>
      </c>
      <c r="J6848" t="s">
        <v>45</v>
      </c>
      <c r="K6848" t="s">
        <v>13</v>
      </c>
      <c r="L6848" t="s">
        <v>16</v>
      </c>
      <c r="M6848" t="s">
        <v>35</v>
      </c>
      <c r="N6848" s="2">
        <v>46112</v>
      </c>
    </row>
    <row r="6849" spans="1:14" x14ac:dyDescent="0.25">
      <c r="A6849" t="s">
        <v>26</v>
      </c>
      <c r="B6849" s="2">
        <v>46112</v>
      </c>
      <c r="C6849" t="s">
        <v>26</v>
      </c>
      <c r="D6849" t="s">
        <v>33</v>
      </c>
      <c r="E6849" t="s">
        <v>9</v>
      </c>
      <c r="F6849" s="3">
        <v>-15000</v>
      </c>
      <c r="G6849" s="3">
        <v>-15000</v>
      </c>
      <c r="H6849" t="s">
        <v>3</v>
      </c>
      <c r="I6849" t="s">
        <v>3</v>
      </c>
      <c r="J6849" t="s">
        <v>45</v>
      </c>
      <c r="K6849" t="s">
        <v>13</v>
      </c>
      <c r="L6849" t="s">
        <v>16</v>
      </c>
      <c r="M6849" t="s">
        <v>35</v>
      </c>
      <c r="N6849" s="2">
        <v>46112</v>
      </c>
    </row>
    <row r="6850" spans="1:14" x14ac:dyDescent="0.25">
      <c r="A6850" t="s">
        <v>26</v>
      </c>
      <c r="B6850" s="2">
        <v>46112</v>
      </c>
      <c r="C6850" t="s">
        <v>26</v>
      </c>
      <c r="D6850" t="s">
        <v>33</v>
      </c>
      <c r="E6850" t="s">
        <v>9</v>
      </c>
      <c r="F6850" s="3">
        <v>-40000</v>
      </c>
      <c r="G6850" s="3">
        <v>-40000</v>
      </c>
      <c r="H6850" t="s">
        <v>3</v>
      </c>
      <c r="I6850" t="s">
        <v>3</v>
      </c>
      <c r="J6850" t="s">
        <v>45</v>
      </c>
      <c r="K6850" t="s">
        <v>13</v>
      </c>
      <c r="L6850" t="s">
        <v>16</v>
      </c>
      <c r="M6850" t="s">
        <v>35</v>
      </c>
      <c r="N6850" s="2">
        <v>46112</v>
      </c>
    </row>
    <row r="6851" spans="1:14" x14ac:dyDescent="0.25">
      <c r="A6851" t="s">
        <v>26</v>
      </c>
      <c r="B6851" s="2">
        <v>46112</v>
      </c>
      <c r="C6851" t="s">
        <v>26</v>
      </c>
      <c r="D6851" t="s">
        <v>33</v>
      </c>
      <c r="E6851" t="s">
        <v>9</v>
      </c>
      <c r="F6851" s="3">
        <v>-40000</v>
      </c>
      <c r="G6851" s="3">
        <v>-40000</v>
      </c>
      <c r="H6851" t="s">
        <v>3</v>
      </c>
      <c r="I6851" t="s">
        <v>3</v>
      </c>
      <c r="J6851" t="s">
        <v>45</v>
      </c>
      <c r="K6851" t="s">
        <v>13</v>
      </c>
      <c r="L6851" t="s">
        <v>16</v>
      </c>
      <c r="M6851" t="s">
        <v>35</v>
      </c>
      <c r="N6851" s="2">
        <v>46112</v>
      </c>
    </row>
    <row r="6852" spans="1:14" x14ac:dyDescent="0.25">
      <c r="A6852" t="s">
        <v>26</v>
      </c>
      <c r="B6852" s="2">
        <v>46112</v>
      </c>
      <c r="C6852" t="s">
        <v>26</v>
      </c>
      <c r="D6852" t="s">
        <v>33</v>
      </c>
      <c r="E6852" t="s">
        <v>9</v>
      </c>
      <c r="F6852" s="3">
        <v>-17708.5</v>
      </c>
      <c r="G6852" s="3">
        <v>-17708.5</v>
      </c>
      <c r="H6852" t="s">
        <v>3</v>
      </c>
      <c r="I6852" t="s">
        <v>3</v>
      </c>
      <c r="J6852" t="s">
        <v>45</v>
      </c>
      <c r="K6852" t="s">
        <v>13</v>
      </c>
      <c r="L6852" t="s">
        <v>16</v>
      </c>
      <c r="M6852" t="s">
        <v>35</v>
      </c>
      <c r="N6852" s="2">
        <v>46112</v>
      </c>
    </row>
    <row r="6853" spans="1:14" x14ac:dyDescent="0.25">
      <c r="A6853" t="s">
        <v>26</v>
      </c>
      <c r="B6853" s="2">
        <v>46112</v>
      </c>
      <c r="C6853" t="s">
        <v>26</v>
      </c>
      <c r="D6853" t="s">
        <v>1</v>
      </c>
      <c r="E6853" t="s">
        <v>9</v>
      </c>
      <c r="F6853" s="3">
        <v>343.2</v>
      </c>
      <c r="G6853" s="3">
        <v>343.2</v>
      </c>
      <c r="H6853" t="s">
        <v>3</v>
      </c>
      <c r="I6853" t="s">
        <v>3</v>
      </c>
      <c r="J6853" t="s">
        <v>45</v>
      </c>
      <c r="K6853" t="s">
        <v>13</v>
      </c>
      <c r="L6853" t="s">
        <v>16</v>
      </c>
      <c r="M6853" t="s">
        <v>7</v>
      </c>
      <c r="N6853" s="2">
        <v>46112</v>
      </c>
    </row>
    <row r="6854" spans="1:14" x14ac:dyDescent="0.25">
      <c r="A6854" t="s">
        <v>26</v>
      </c>
      <c r="B6854" s="2">
        <v>46112</v>
      </c>
      <c r="C6854" t="s">
        <v>26</v>
      </c>
      <c r="D6854" t="s">
        <v>1</v>
      </c>
      <c r="E6854" t="s">
        <v>9</v>
      </c>
      <c r="F6854" s="3">
        <v>382.98</v>
      </c>
      <c r="G6854" s="3">
        <v>382.98</v>
      </c>
      <c r="H6854" t="s">
        <v>3</v>
      </c>
      <c r="I6854" t="s">
        <v>3</v>
      </c>
      <c r="J6854" t="s">
        <v>45</v>
      </c>
      <c r="K6854" t="s">
        <v>13</v>
      </c>
      <c r="L6854" t="s">
        <v>16</v>
      </c>
      <c r="M6854" t="s">
        <v>7</v>
      </c>
      <c r="N6854" s="2">
        <v>46112</v>
      </c>
    </row>
    <row r="6855" spans="1:14" x14ac:dyDescent="0.25">
      <c r="A6855" t="s">
        <v>26</v>
      </c>
      <c r="B6855" s="2">
        <v>46112</v>
      </c>
      <c r="C6855" t="s">
        <v>26</v>
      </c>
      <c r="D6855" t="s">
        <v>1</v>
      </c>
      <c r="E6855" t="s">
        <v>9</v>
      </c>
      <c r="F6855" s="3">
        <v>5600</v>
      </c>
      <c r="G6855" s="3">
        <v>5600</v>
      </c>
      <c r="H6855" t="s">
        <v>3</v>
      </c>
      <c r="I6855" t="s">
        <v>3</v>
      </c>
      <c r="J6855" t="s">
        <v>45</v>
      </c>
      <c r="K6855" t="s">
        <v>13</v>
      </c>
      <c r="L6855" t="s">
        <v>16</v>
      </c>
      <c r="M6855" t="s">
        <v>7</v>
      </c>
      <c r="N6855" s="2">
        <v>46112</v>
      </c>
    </row>
    <row r="6856" spans="1:14" x14ac:dyDescent="0.25">
      <c r="A6856" t="s">
        <v>26</v>
      </c>
      <c r="B6856" s="2">
        <v>46112</v>
      </c>
      <c r="C6856" t="s">
        <v>26</v>
      </c>
      <c r="D6856" t="s">
        <v>1</v>
      </c>
      <c r="E6856" t="s">
        <v>9</v>
      </c>
      <c r="F6856" s="3">
        <v>10105</v>
      </c>
      <c r="G6856" s="3">
        <v>10105</v>
      </c>
      <c r="H6856" t="s">
        <v>3</v>
      </c>
      <c r="I6856" t="s">
        <v>3</v>
      </c>
      <c r="J6856" t="s">
        <v>45</v>
      </c>
      <c r="K6856" t="s">
        <v>13</v>
      </c>
      <c r="L6856" t="s">
        <v>16</v>
      </c>
      <c r="M6856" t="s">
        <v>7</v>
      </c>
      <c r="N6856" s="2">
        <v>46112</v>
      </c>
    </row>
    <row r="6857" spans="1:14" x14ac:dyDescent="0.25">
      <c r="A6857" t="s">
        <v>26</v>
      </c>
      <c r="B6857" s="2">
        <v>46112</v>
      </c>
      <c r="C6857" t="s">
        <v>26</v>
      </c>
      <c r="D6857" t="s">
        <v>1</v>
      </c>
      <c r="E6857" t="s">
        <v>9</v>
      </c>
      <c r="F6857" s="3">
        <v>15000</v>
      </c>
      <c r="G6857" s="3">
        <v>15000</v>
      </c>
      <c r="H6857" t="s">
        <v>3</v>
      </c>
      <c r="I6857" t="s">
        <v>3</v>
      </c>
      <c r="J6857" t="s">
        <v>45</v>
      </c>
      <c r="K6857" t="s">
        <v>13</v>
      </c>
      <c r="L6857" t="s">
        <v>16</v>
      </c>
      <c r="M6857" t="s">
        <v>7</v>
      </c>
      <c r="N6857" s="2">
        <v>46112</v>
      </c>
    </row>
    <row r="6858" spans="1:14" x14ac:dyDescent="0.25">
      <c r="A6858" t="s">
        <v>26</v>
      </c>
      <c r="B6858" s="2">
        <v>46112</v>
      </c>
      <c r="C6858" t="s">
        <v>26</v>
      </c>
      <c r="D6858" t="s">
        <v>1</v>
      </c>
      <c r="E6858" t="s">
        <v>9</v>
      </c>
      <c r="F6858" s="3">
        <v>40000</v>
      </c>
      <c r="G6858" s="3">
        <v>40000</v>
      </c>
      <c r="H6858" t="s">
        <v>3</v>
      </c>
      <c r="I6858" t="s">
        <v>3</v>
      </c>
      <c r="J6858" t="s">
        <v>45</v>
      </c>
      <c r="K6858" t="s">
        <v>13</v>
      </c>
      <c r="L6858" t="s">
        <v>16</v>
      </c>
      <c r="M6858" t="s">
        <v>7</v>
      </c>
      <c r="N6858" s="2">
        <v>46112</v>
      </c>
    </row>
    <row r="6859" spans="1:14" x14ac:dyDescent="0.25">
      <c r="A6859" t="s">
        <v>26</v>
      </c>
      <c r="B6859" s="2">
        <v>46112</v>
      </c>
      <c r="C6859" t="s">
        <v>26</v>
      </c>
      <c r="D6859" t="s">
        <v>1</v>
      </c>
      <c r="E6859" t="s">
        <v>9</v>
      </c>
      <c r="F6859" s="3">
        <v>40000</v>
      </c>
      <c r="G6859" s="3">
        <v>40000</v>
      </c>
      <c r="H6859" t="s">
        <v>3</v>
      </c>
      <c r="I6859" t="s">
        <v>3</v>
      </c>
      <c r="J6859" t="s">
        <v>45</v>
      </c>
      <c r="K6859" t="s">
        <v>13</v>
      </c>
      <c r="L6859" t="s">
        <v>16</v>
      </c>
      <c r="M6859" t="s">
        <v>7</v>
      </c>
      <c r="N6859" s="2">
        <v>46112</v>
      </c>
    </row>
    <row r="6860" spans="1:14" x14ac:dyDescent="0.25">
      <c r="A6860" t="s">
        <v>26</v>
      </c>
      <c r="B6860" s="2">
        <v>46112</v>
      </c>
      <c r="C6860" t="s">
        <v>26</v>
      </c>
      <c r="D6860" t="s">
        <v>1</v>
      </c>
      <c r="E6860" t="s">
        <v>9</v>
      </c>
      <c r="F6860" s="3">
        <v>17708.5</v>
      </c>
      <c r="G6860" s="3">
        <v>17708.5</v>
      </c>
      <c r="H6860" t="s">
        <v>3</v>
      </c>
      <c r="I6860" t="s">
        <v>3</v>
      </c>
      <c r="J6860" t="s">
        <v>45</v>
      </c>
      <c r="K6860" t="s">
        <v>13</v>
      </c>
      <c r="L6860" t="s">
        <v>16</v>
      </c>
      <c r="M6860" t="s">
        <v>7</v>
      </c>
      <c r="N6860" s="2">
        <v>46112</v>
      </c>
    </row>
    <row r="6861" spans="1:14" x14ac:dyDescent="0.25">
      <c r="A6861" s="4" t="s">
        <v>244</v>
      </c>
      <c r="B6861" s="5"/>
      <c r="C6861" s="4" t="s">
        <v>9</v>
      </c>
      <c r="D6861" s="4" t="s">
        <v>9</v>
      </c>
      <c r="E6861" s="4" t="s">
        <v>9</v>
      </c>
      <c r="F6861" s="6">
        <v>0</v>
      </c>
      <c r="G6861" s="6">
        <v>0</v>
      </c>
      <c r="H6861" s="4" t="s">
        <v>9</v>
      </c>
      <c r="I6861" s="4" t="s">
        <v>3</v>
      </c>
      <c r="J6861" s="4" t="s">
        <v>9</v>
      </c>
      <c r="K6861" s="4" t="s">
        <v>9</v>
      </c>
      <c r="L6861" s="4" t="s">
        <v>9</v>
      </c>
      <c r="M6861" s="4" t="s">
        <v>9</v>
      </c>
      <c r="N6861" s="5"/>
    </row>
    <row r="6862" spans="1:14" x14ac:dyDescent="0.25">
      <c r="A6862" t="s">
        <v>26</v>
      </c>
      <c r="B6862" s="2">
        <v>46114</v>
      </c>
      <c r="C6862" t="s">
        <v>26</v>
      </c>
      <c r="D6862" t="s">
        <v>1</v>
      </c>
      <c r="E6862" t="s">
        <v>30</v>
      </c>
      <c r="F6862" s="3">
        <v>6090</v>
      </c>
      <c r="G6862" s="3">
        <v>6090</v>
      </c>
      <c r="H6862" t="s">
        <v>3</v>
      </c>
      <c r="I6862" t="s">
        <v>3</v>
      </c>
      <c r="J6862" t="s">
        <v>39</v>
      </c>
      <c r="K6862" t="s">
        <v>13</v>
      </c>
      <c r="L6862" t="s">
        <v>17</v>
      </c>
      <c r="M6862" t="s">
        <v>7</v>
      </c>
      <c r="N6862" s="2">
        <v>46114</v>
      </c>
    </row>
    <row r="6863" spans="1:14" x14ac:dyDescent="0.25">
      <c r="A6863" t="s">
        <v>26</v>
      </c>
      <c r="B6863" s="2">
        <v>46142</v>
      </c>
      <c r="C6863" t="s">
        <v>26</v>
      </c>
      <c r="D6863" t="s">
        <v>33</v>
      </c>
      <c r="E6863" t="s">
        <v>9</v>
      </c>
      <c r="F6863" s="3">
        <v>17922.5</v>
      </c>
      <c r="G6863" s="3">
        <v>17922.5</v>
      </c>
      <c r="H6863" t="s">
        <v>3</v>
      </c>
      <c r="I6863" t="s">
        <v>3</v>
      </c>
      <c r="J6863" t="s">
        <v>34</v>
      </c>
      <c r="K6863" t="s">
        <v>13</v>
      </c>
      <c r="L6863" t="s">
        <v>17</v>
      </c>
      <c r="M6863" t="s">
        <v>35</v>
      </c>
      <c r="N6863" s="2">
        <v>46142</v>
      </c>
    </row>
    <row r="6864" spans="1:14" x14ac:dyDescent="0.25">
      <c r="A6864" t="s">
        <v>26</v>
      </c>
      <c r="B6864" s="2">
        <v>46132</v>
      </c>
      <c r="C6864" t="s">
        <v>26</v>
      </c>
      <c r="D6864" t="s">
        <v>1</v>
      </c>
      <c r="E6864" t="s">
        <v>40</v>
      </c>
      <c r="F6864" s="3">
        <v>20000</v>
      </c>
      <c r="G6864" s="3">
        <v>20000</v>
      </c>
      <c r="H6864" t="s">
        <v>3</v>
      </c>
      <c r="I6864" t="s">
        <v>3</v>
      </c>
      <c r="J6864" t="s">
        <v>42</v>
      </c>
      <c r="K6864" t="s">
        <v>13</v>
      </c>
      <c r="L6864" t="s">
        <v>17</v>
      </c>
      <c r="M6864" t="s">
        <v>7</v>
      </c>
      <c r="N6864" s="2">
        <v>46132</v>
      </c>
    </row>
    <row r="6865" spans="1:14" x14ac:dyDescent="0.25">
      <c r="A6865" t="s">
        <v>26</v>
      </c>
      <c r="B6865" s="2">
        <v>46132</v>
      </c>
      <c r="C6865" t="s">
        <v>26</v>
      </c>
      <c r="D6865" t="s">
        <v>1</v>
      </c>
      <c r="E6865" t="s">
        <v>40</v>
      </c>
      <c r="F6865" s="3">
        <v>648.48</v>
      </c>
      <c r="G6865" s="3">
        <v>648.48</v>
      </c>
      <c r="H6865" t="s">
        <v>3</v>
      </c>
      <c r="I6865" t="s">
        <v>3</v>
      </c>
      <c r="J6865" t="s">
        <v>43</v>
      </c>
      <c r="K6865" t="s">
        <v>13</v>
      </c>
      <c r="L6865" t="s">
        <v>17</v>
      </c>
      <c r="M6865" t="s">
        <v>7</v>
      </c>
      <c r="N6865" s="2">
        <v>46132</v>
      </c>
    </row>
    <row r="6866" spans="1:14" x14ac:dyDescent="0.25">
      <c r="A6866" t="s">
        <v>26</v>
      </c>
      <c r="B6866" s="2">
        <v>46142</v>
      </c>
      <c r="C6866" t="s">
        <v>26</v>
      </c>
      <c r="D6866" t="s">
        <v>33</v>
      </c>
      <c r="E6866" t="s">
        <v>9</v>
      </c>
      <c r="F6866" s="3">
        <v>-17922.5</v>
      </c>
      <c r="G6866" s="3">
        <v>-17922.5</v>
      </c>
      <c r="H6866" t="s">
        <v>3</v>
      </c>
      <c r="I6866" t="s">
        <v>3</v>
      </c>
      <c r="J6866" t="s">
        <v>45</v>
      </c>
      <c r="K6866" t="s">
        <v>13</v>
      </c>
      <c r="L6866" t="s">
        <v>17</v>
      </c>
      <c r="M6866" t="s">
        <v>35</v>
      </c>
      <c r="N6866" s="2">
        <v>46142</v>
      </c>
    </row>
    <row r="6867" spans="1:14" x14ac:dyDescent="0.25">
      <c r="A6867" t="s">
        <v>26</v>
      </c>
      <c r="B6867" s="2">
        <v>46142</v>
      </c>
      <c r="C6867" t="s">
        <v>26</v>
      </c>
      <c r="D6867" t="s">
        <v>1</v>
      </c>
      <c r="E6867" t="s">
        <v>9</v>
      </c>
      <c r="F6867" s="3">
        <v>17922.5</v>
      </c>
      <c r="G6867" s="3">
        <v>17922.5</v>
      </c>
      <c r="H6867" t="s">
        <v>3</v>
      </c>
      <c r="I6867" t="s">
        <v>3</v>
      </c>
      <c r="J6867" t="s">
        <v>45</v>
      </c>
      <c r="K6867" t="s">
        <v>13</v>
      </c>
      <c r="L6867" t="s">
        <v>17</v>
      </c>
      <c r="M6867" t="s">
        <v>7</v>
      </c>
      <c r="N6867" s="2">
        <v>46142</v>
      </c>
    </row>
    <row r="6868" spans="1:14" x14ac:dyDescent="0.25">
      <c r="A6868" t="s">
        <v>26</v>
      </c>
      <c r="B6868" s="2">
        <v>46142</v>
      </c>
      <c r="C6868" t="s">
        <v>26</v>
      </c>
      <c r="D6868" t="s">
        <v>1</v>
      </c>
      <c r="E6868" t="s">
        <v>9</v>
      </c>
      <c r="F6868" s="3">
        <v>4700</v>
      </c>
      <c r="G6868" s="3">
        <v>4700</v>
      </c>
      <c r="H6868" t="s">
        <v>3</v>
      </c>
      <c r="I6868" t="s">
        <v>3</v>
      </c>
      <c r="J6868" t="s">
        <v>10</v>
      </c>
      <c r="K6868" t="s">
        <v>13</v>
      </c>
      <c r="L6868" t="s">
        <v>17</v>
      </c>
      <c r="M6868" t="s">
        <v>7</v>
      </c>
      <c r="N6868" s="2">
        <v>46142</v>
      </c>
    </row>
    <row r="6869" spans="1:14" x14ac:dyDescent="0.25">
      <c r="A6869" t="s">
        <v>26</v>
      </c>
      <c r="B6869" s="2">
        <v>46147</v>
      </c>
      <c r="C6869" t="s">
        <v>26</v>
      </c>
      <c r="D6869" t="s">
        <v>1</v>
      </c>
      <c r="E6869" t="s">
        <v>9</v>
      </c>
      <c r="F6869" s="3">
        <v>-49360.98</v>
      </c>
      <c r="G6869" s="3">
        <v>-49360.98</v>
      </c>
      <c r="H6869" t="s">
        <v>3</v>
      </c>
      <c r="I6869" t="s">
        <v>3</v>
      </c>
      <c r="J6869" t="s">
        <v>767</v>
      </c>
      <c r="K6869" t="s">
        <v>13</v>
      </c>
      <c r="L6869" t="s">
        <v>17</v>
      </c>
      <c r="M6869" t="s">
        <v>7</v>
      </c>
      <c r="N6869" s="2">
        <v>46142</v>
      </c>
    </row>
    <row r="6870" spans="1:14" x14ac:dyDescent="0.25">
      <c r="A6870" s="4" t="s">
        <v>249</v>
      </c>
      <c r="B6870" s="5"/>
      <c r="C6870" s="4" t="s">
        <v>9</v>
      </c>
      <c r="D6870" s="4" t="s">
        <v>9</v>
      </c>
      <c r="E6870" s="4" t="s">
        <v>9</v>
      </c>
      <c r="F6870" s="6">
        <v>0</v>
      </c>
      <c r="G6870" s="6">
        <v>0</v>
      </c>
      <c r="H6870" s="4" t="s">
        <v>9</v>
      </c>
      <c r="I6870" s="4" t="s">
        <v>3</v>
      </c>
      <c r="J6870" s="4" t="s">
        <v>9</v>
      </c>
      <c r="K6870" s="4" t="s">
        <v>9</v>
      </c>
      <c r="L6870" s="4" t="s">
        <v>9</v>
      </c>
      <c r="M6870" s="4" t="s">
        <v>9</v>
      </c>
      <c r="N6870" s="5"/>
    </row>
    <row r="6871" spans="1:14" x14ac:dyDescent="0.25">
      <c r="A6871" t="s">
        <v>26</v>
      </c>
      <c r="B6871" s="2">
        <v>46146</v>
      </c>
      <c r="C6871" t="s">
        <v>26</v>
      </c>
      <c r="D6871" t="s">
        <v>1</v>
      </c>
      <c r="E6871" t="s">
        <v>30</v>
      </c>
      <c r="F6871" s="3">
        <v>2800</v>
      </c>
      <c r="G6871" s="3">
        <v>2800</v>
      </c>
      <c r="H6871" t="s">
        <v>3</v>
      </c>
      <c r="I6871" t="s">
        <v>3</v>
      </c>
      <c r="J6871" t="s">
        <v>39</v>
      </c>
      <c r="K6871" t="s">
        <v>13</v>
      </c>
      <c r="L6871" t="s">
        <v>18</v>
      </c>
      <c r="M6871" t="s">
        <v>7</v>
      </c>
      <c r="N6871" s="2">
        <v>46146</v>
      </c>
    </row>
    <row r="6872" spans="1:14" x14ac:dyDescent="0.25">
      <c r="A6872" t="s">
        <v>26</v>
      </c>
      <c r="B6872" s="2">
        <v>46150</v>
      </c>
      <c r="C6872" t="s">
        <v>26</v>
      </c>
      <c r="D6872" t="s">
        <v>1</v>
      </c>
      <c r="E6872" t="s">
        <v>40</v>
      </c>
      <c r="F6872" s="3">
        <v>413.49</v>
      </c>
      <c r="G6872" s="3">
        <v>413.49</v>
      </c>
      <c r="H6872" t="s">
        <v>3</v>
      </c>
      <c r="I6872" t="s">
        <v>3</v>
      </c>
      <c r="J6872" t="s">
        <v>43</v>
      </c>
      <c r="K6872" t="s">
        <v>13</v>
      </c>
      <c r="L6872" t="s">
        <v>18</v>
      </c>
      <c r="M6872" t="s">
        <v>7</v>
      </c>
      <c r="N6872" s="2">
        <v>46150</v>
      </c>
    </row>
    <row r="6873" spans="1:14" x14ac:dyDescent="0.25">
      <c r="A6873" t="s">
        <v>26</v>
      </c>
      <c r="B6873" s="2">
        <v>46153</v>
      </c>
      <c r="C6873" t="s">
        <v>26</v>
      </c>
      <c r="D6873" t="s">
        <v>1</v>
      </c>
      <c r="E6873" t="s">
        <v>46</v>
      </c>
      <c r="F6873" s="3">
        <v>20000</v>
      </c>
      <c r="G6873" s="3">
        <v>20000</v>
      </c>
      <c r="H6873" t="s">
        <v>3</v>
      </c>
      <c r="I6873" t="s">
        <v>3</v>
      </c>
      <c r="J6873" t="s">
        <v>47</v>
      </c>
      <c r="K6873" t="s">
        <v>13</v>
      </c>
      <c r="L6873" t="s">
        <v>18</v>
      </c>
      <c r="M6873" t="s">
        <v>7</v>
      </c>
      <c r="N6873" s="2">
        <v>46153</v>
      </c>
    </row>
    <row r="6874" spans="1:14" x14ac:dyDescent="0.25">
      <c r="A6874" t="s">
        <v>26</v>
      </c>
      <c r="B6874" s="2">
        <v>46173</v>
      </c>
      <c r="C6874" t="s">
        <v>26</v>
      </c>
      <c r="D6874" t="s">
        <v>33</v>
      </c>
      <c r="E6874" t="s">
        <v>9</v>
      </c>
      <c r="F6874" s="3">
        <v>8667</v>
      </c>
      <c r="G6874" s="3">
        <v>8667</v>
      </c>
      <c r="H6874" t="s">
        <v>3</v>
      </c>
      <c r="I6874" t="s">
        <v>3</v>
      </c>
      <c r="J6874" t="s">
        <v>34</v>
      </c>
      <c r="K6874" t="s">
        <v>13</v>
      </c>
      <c r="L6874" t="s">
        <v>18</v>
      </c>
      <c r="M6874" t="s">
        <v>35</v>
      </c>
      <c r="N6874" s="2">
        <v>46173</v>
      </c>
    </row>
    <row r="6875" spans="1:14" x14ac:dyDescent="0.25">
      <c r="A6875" t="s">
        <v>26</v>
      </c>
      <c r="B6875" s="2">
        <v>46173</v>
      </c>
      <c r="C6875" t="s">
        <v>26</v>
      </c>
      <c r="D6875" t="s">
        <v>1</v>
      </c>
      <c r="E6875" t="s">
        <v>9</v>
      </c>
      <c r="F6875" s="3">
        <v>9000</v>
      </c>
      <c r="G6875" s="3">
        <v>9000</v>
      </c>
      <c r="H6875" t="s">
        <v>3</v>
      </c>
      <c r="I6875" t="s">
        <v>3</v>
      </c>
      <c r="J6875" t="s">
        <v>10</v>
      </c>
      <c r="K6875" t="s">
        <v>13</v>
      </c>
      <c r="L6875" t="s">
        <v>18</v>
      </c>
      <c r="M6875" t="s">
        <v>7</v>
      </c>
      <c r="N6875" s="2">
        <v>46173</v>
      </c>
    </row>
    <row r="6876" spans="1:14" x14ac:dyDescent="0.25">
      <c r="A6876" t="s">
        <v>26</v>
      </c>
      <c r="B6876" s="2">
        <v>46175</v>
      </c>
      <c r="C6876" t="s">
        <v>26</v>
      </c>
      <c r="D6876" t="s">
        <v>1</v>
      </c>
      <c r="E6876" t="s">
        <v>9</v>
      </c>
      <c r="F6876" s="3">
        <v>-40880.49</v>
      </c>
      <c r="G6876" s="3">
        <v>-40880.49</v>
      </c>
      <c r="H6876" t="s">
        <v>3</v>
      </c>
      <c r="I6876" t="s">
        <v>3</v>
      </c>
      <c r="J6876" t="s">
        <v>767</v>
      </c>
      <c r="K6876" t="s">
        <v>13</v>
      </c>
      <c r="L6876" t="s">
        <v>18</v>
      </c>
      <c r="M6876" t="s">
        <v>7</v>
      </c>
      <c r="N6876" s="2">
        <v>46173</v>
      </c>
    </row>
    <row r="6877" spans="1:14" x14ac:dyDescent="0.25">
      <c r="A6877" t="s">
        <v>26</v>
      </c>
      <c r="B6877" s="2">
        <v>46173</v>
      </c>
      <c r="C6877" t="s">
        <v>26</v>
      </c>
      <c r="D6877" t="s">
        <v>33</v>
      </c>
      <c r="E6877" t="s">
        <v>9</v>
      </c>
      <c r="F6877" s="3">
        <v>-8667</v>
      </c>
      <c r="G6877" s="3">
        <v>-8667</v>
      </c>
      <c r="H6877" t="s">
        <v>3</v>
      </c>
      <c r="I6877" t="s">
        <v>3</v>
      </c>
      <c r="J6877" t="s">
        <v>45</v>
      </c>
      <c r="K6877" t="s">
        <v>13</v>
      </c>
      <c r="L6877" t="s">
        <v>18</v>
      </c>
      <c r="M6877" t="s">
        <v>35</v>
      </c>
      <c r="N6877" s="2">
        <v>46173</v>
      </c>
    </row>
    <row r="6878" spans="1:14" x14ac:dyDescent="0.25">
      <c r="A6878" t="s">
        <v>26</v>
      </c>
      <c r="B6878" s="2">
        <v>46173</v>
      </c>
      <c r="C6878" t="s">
        <v>26</v>
      </c>
      <c r="D6878" t="s">
        <v>1</v>
      </c>
      <c r="E6878" t="s">
        <v>9</v>
      </c>
      <c r="F6878" s="3">
        <v>8667</v>
      </c>
      <c r="G6878" s="3">
        <v>8667</v>
      </c>
      <c r="H6878" t="s">
        <v>3</v>
      </c>
      <c r="I6878" t="s">
        <v>3</v>
      </c>
      <c r="J6878" t="s">
        <v>45</v>
      </c>
      <c r="K6878" t="s">
        <v>13</v>
      </c>
      <c r="L6878" t="s">
        <v>18</v>
      </c>
      <c r="M6878" t="s">
        <v>7</v>
      </c>
      <c r="N6878" s="2">
        <v>46173</v>
      </c>
    </row>
    <row r="6879" spans="1:14" x14ac:dyDescent="0.25">
      <c r="A6879" s="4" t="s">
        <v>223</v>
      </c>
      <c r="B6879" s="5"/>
      <c r="C6879" s="4" t="s">
        <v>9</v>
      </c>
      <c r="D6879" s="4" t="s">
        <v>9</v>
      </c>
      <c r="E6879" s="4" t="s">
        <v>9</v>
      </c>
      <c r="F6879" s="6">
        <v>0</v>
      </c>
      <c r="G6879" s="6">
        <v>0</v>
      </c>
      <c r="H6879" s="4" t="s">
        <v>9</v>
      </c>
      <c r="I6879" s="4" t="s">
        <v>3</v>
      </c>
      <c r="J6879" s="4" t="s">
        <v>9</v>
      </c>
      <c r="K6879" s="4" t="s">
        <v>9</v>
      </c>
      <c r="L6879" s="4" t="s">
        <v>9</v>
      </c>
      <c r="M6879" s="4" t="s">
        <v>9</v>
      </c>
      <c r="N6879" s="5"/>
    </row>
    <row r="6880" spans="1:14" x14ac:dyDescent="0.25">
      <c r="A6880" t="s">
        <v>26</v>
      </c>
      <c r="B6880" s="2">
        <v>46174</v>
      </c>
      <c r="C6880" t="s">
        <v>26</v>
      </c>
      <c r="D6880" t="s">
        <v>1</v>
      </c>
      <c r="E6880" t="s">
        <v>30</v>
      </c>
      <c r="F6880" s="3">
        <v>2520</v>
      </c>
      <c r="G6880" s="3">
        <v>2520</v>
      </c>
      <c r="H6880" t="s">
        <v>3</v>
      </c>
      <c r="I6880" t="s">
        <v>3</v>
      </c>
      <c r="J6880" t="s">
        <v>39</v>
      </c>
      <c r="K6880" t="s">
        <v>13</v>
      </c>
      <c r="L6880" t="s">
        <v>19</v>
      </c>
      <c r="M6880" t="s">
        <v>7</v>
      </c>
      <c r="N6880" s="2">
        <v>46174</v>
      </c>
    </row>
    <row r="6881" spans="1:14" x14ac:dyDescent="0.25">
      <c r="A6881" t="s">
        <v>26</v>
      </c>
      <c r="B6881" s="2">
        <v>46203</v>
      </c>
      <c r="C6881" t="s">
        <v>26</v>
      </c>
      <c r="D6881" t="s">
        <v>33</v>
      </c>
      <c r="E6881" t="s">
        <v>9</v>
      </c>
      <c r="F6881" s="3">
        <v>9737</v>
      </c>
      <c r="G6881" s="3">
        <v>9737</v>
      </c>
      <c r="H6881" t="s">
        <v>3</v>
      </c>
      <c r="I6881" t="s">
        <v>3</v>
      </c>
      <c r="J6881" t="s">
        <v>34</v>
      </c>
      <c r="K6881" t="s">
        <v>13</v>
      </c>
      <c r="L6881" t="s">
        <v>19</v>
      </c>
      <c r="M6881" t="s">
        <v>35</v>
      </c>
      <c r="N6881" s="2">
        <v>46203</v>
      </c>
    </row>
    <row r="6882" spans="1:14" x14ac:dyDescent="0.25">
      <c r="A6882" t="s">
        <v>26</v>
      </c>
      <c r="B6882" s="2">
        <v>46198</v>
      </c>
      <c r="C6882" t="s">
        <v>26</v>
      </c>
      <c r="D6882" t="s">
        <v>1</v>
      </c>
      <c r="E6882" t="s">
        <v>46</v>
      </c>
      <c r="F6882" s="3">
        <v>23062.5</v>
      </c>
      <c r="G6882" s="3">
        <v>23062.5</v>
      </c>
      <c r="H6882" t="s">
        <v>3</v>
      </c>
      <c r="I6882" t="s">
        <v>3</v>
      </c>
      <c r="J6882" t="s">
        <v>47</v>
      </c>
      <c r="K6882" t="s">
        <v>13</v>
      </c>
      <c r="L6882" t="s">
        <v>19</v>
      </c>
      <c r="M6882" t="s">
        <v>7</v>
      </c>
      <c r="N6882" s="2">
        <v>46198</v>
      </c>
    </row>
    <row r="6883" spans="1:14" x14ac:dyDescent="0.25">
      <c r="A6883" t="s">
        <v>26</v>
      </c>
      <c r="B6883" s="2">
        <v>46203</v>
      </c>
      <c r="C6883" t="s">
        <v>26</v>
      </c>
      <c r="D6883" t="s">
        <v>1</v>
      </c>
      <c r="E6883" t="s">
        <v>9</v>
      </c>
      <c r="F6883" s="3">
        <v>18000</v>
      </c>
      <c r="G6883" s="3">
        <v>18000</v>
      </c>
      <c r="H6883" t="s">
        <v>3</v>
      </c>
      <c r="I6883" t="s">
        <v>3</v>
      </c>
      <c r="J6883" t="s">
        <v>10</v>
      </c>
      <c r="K6883" t="s">
        <v>13</v>
      </c>
      <c r="L6883" t="s">
        <v>19</v>
      </c>
      <c r="M6883" t="s">
        <v>7</v>
      </c>
      <c r="N6883" s="2">
        <v>46203</v>
      </c>
    </row>
    <row r="6884" spans="1:14" x14ac:dyDescent="0.25">
      <c r="A6884" t="s">
        <v>26</v>
      </c>
      <c r="B6884" s="2">
        <v>46203</v>
      </c>
      <c r="C6884" t="s">
        <v>26</v>
      </c>
      <c r="D6884" t="s">
        <v>33</v>
      </c>
      <c r="E6884" t="s">
        <v>9</v>
      </c>
      <c r="F6884" s="3">
        <v>-9737</v>
      </c>
      <c r="G6884" s="3">
        <v>-9737</v>
      </c>
      <c r="H6884" t="s">
        <v>3</v>
      </c>
      <c r="I6884" t="s">
        <v>3</v>
      </c>
      <c r="J6884" t="s">
        <v>45</v>
      </c>
      <c r="K6884" t="s">
        <v>13</v>
      </c>
      <c r="L6884" t="s">
        <v>19</v>
      </c>
      <c r="M6884" t="s">
        <v>35</v>
      </c>
      <c r="N6884" s="2">
        <v>46203</v>
      </c>
    </row>
    <row r="6885" spans="1:14" x14ac:dyDescent="0.25">
      <c r="A6885" t="s">
        <v>26</v>
      </c>
      <c r="B6885" s="2">
        <v>46203</v>
      </c>
      <c r="C6885" t="s">
        <v>26</v>
      </c>
      <c r="D6885" t="s">
        <v>1</v>
      </c>
      <c r="E6885" t="s">
        <v>9</v>
      </c>
      <c r="F6885" s="3">
        <v>9737</v>
      </c>
      <c r="G6885" s="3">
        <v>9737</v>
      </c>
      <c r="H6885" t="s">
        <v>3</v>
      </c>
      <c r="I6885" t="s">
        <v>3</v>
      </c>
      <c r="J6885" t="s">
        <v>45</v>
      </c>
      <c r="K6885" t="s">
        <v>13</v>
      </c>
      <c r="L6885" t="s">
        <v>19</v>
      </c>
      <c r="M6885" t="s">
        <v>7</v>
      </c>
      <c r="N6885" s="2">
        <v>46203</v>
      </c>
    </row>
    <row r="6886" spans="1:14" x14ac:dyDescent="0.25">
      <c r="A6886" t="s">
        <v>26</v>
      </c>
      <c r="B6886" s="2">
        <v>46205</v>
      </c>
      <c r="C6886" t="s">
        <v>26</v>
      </c>
      <c r="D6886" t="s">
        <v>1</v>
      </c>
      <c r="E6886" t="s">
        <v>9</v>
      </c>
      <c r="F6886" s="3">
        <v>-53319.5</v>
      </c>
      <c r="G6886" s="3">
        <v>-53319.5</v>
      </c>
      <c r="H6886" t="s">
        <v>3</v>
      </c>
      <c r="I6886" t="s">
        <v>3</v>
      </c>
      <c r="J6886" t="s">
        <v>767</v>
      </c>
      <c r="K6886" t="s">
        <v>13</v>
      </c>
      <c r="L6886" t="s">
        <v>19</v>
      </c>
      <c r="M6886" t="s">
        <v>7</v>
      </c>
      <c r="N6886" s="2">
        <v>46203</v>
      </c>
    </row>
    <row r="6887" spans="1:14" x14ac:dyDescent="0.25">
      <c r="A6887" s="4" t="s">
        <v>224</v>
      </c>
      <c r="B6887" s="5"/>
      <c r="C6887" s="4" t="s">
        <v>9</v>
      </c>
      <c r="D6887" s="4" t="s">
        <v>9</v>
      </c>
      <c r="E6887" s="4" t="s">
        <v>9</v>
      </c>
      <c r="F6887" s="6">
        <v>0</v>
      </c>
      <c r="G6887" s="6">
        <v>0</v>
      </c>
      <c r="H6887" s="4" t="s">
        <v>9</v>
      </c>
      <c r="I6887" s="4" t="s">
        <v>3</v>
      </c>
      <c r="J6887" s="4" t="s">
        <v>9</v>
      </c>
      <c r="K6887" s="4" t="s">
        <v>9</v>
      </c>
      <c r="L6887" s="4" t="s">
        <v>9</v>
      </c>
      <c r="M6887" s="4" t="s">
        <v>9</v>
      </c>
      <c r="N6887" s="5"/>
    </row>
    <row r="6888" spans="1:14" x14ac:dyDescent="0.25">
      <c r="A6888" t="s">
        <v>26</v>
      </c>
      <c r="B6888" s="2">
        <v>46205</v>
      </c>
      <c r="C6888" t="s">
        <v>26</v>
      </c>
      <c r="D6888" t="s">
        <v>1</v>
      </c>
      <c r="E6888" t="s">
        <v>30</v>
      </c>
      <c r="F6888" s="3">
        <v>5059.3999999999996</v>
      </c>
      <c r="G6888" s="3">
        <v>5059.3999999999996</v>
      </c>
      <c r="H6888" t="s">
        <v>3</v>
      </c>
      <c r="I6888" t="s">
        <v>3</v>
      </c>
      <c r="J6888" t="s">
        <v>39</v>
      </c>
      <c r="K6888" t="s">
        <v>13</v>
      </c>
      <c r="L6888" t="s">
        <v>21</v>
      </c>
      <c r="M6888" t="s">
        <v>7</v>
      </c>
      <c r="N6888" s="2">
        <v>46205</v>
      </c>
    </row>
    <row r="6889" spans="1:14" x14ac:dyDescent="0.25">
      <c r="A6889" t="s">
        <v>26</v>
      </c>
      <c r="B6889" s="2">
        <v>46234</v>
      </c>
      <c r="C6889" t="s">
        <v>26</v>
      </c>
      <c r="D6889" t="s">
        <v>33</v>
      </c>
      <c r="E6889" t="s">
        <v>9</v>
      </c>
      <c r="F6889" s="3">
        <v>12840</v>
      </c>
      <c r="G6889" s="3">
        <v>12840</v>
      </c>
      <c r="H6889" t="s">
        <v>3</v>
      </c>
      <c r="I6889" t="s">
        <v>3</v>
      </c>
      <c r="J6889" t="s">
        <v>48</v>
      </c>
      <c r="K6889" t="s">
        <v>13</v>
      </c>
      <c r="L6889" t="s">
        <v>21</v>
      </c>
      <c r="M6889" t="s">
        <v>35</v>
      </c>
      <c r="N6889" s="2">
        <v>46234</v>
      </c>
    </row>
    <row r="6890" spans="1:14" x14ac:dyDescent="0.25">
      <c r="A6890" t="s">
        <v>26</v>
      </c>
      <c r="B6890" s="2">
        <v>46234</v>
      </c>
      <c r="C6890" t="s">
        <v>26</v>
      </c>
      <c r="D6890" t="s">
        <v>33</v>
      </c>
      <c r="E6890" t="s">
        <v>9</v>
      </c>
      <c r="F6890" s="3">
        <v>-12840</v>
      </c>
      <c r="G6890" s="3">
        <v>-12840</v>
      </c>
      <c r="H6890" t="s">
        <v>3</v>
      </c>
      <c r="I6890" t="s">
        <v>3</v>
      </c>
      <c r="J6890" t="s">
        <v>45</v>
      </c>
      <c r="K6890" t="s">
        <v>13</v>
      </c>
      <c r="L6890" t="s">
        <v>21</v>
      </c>
      <c r="M6890" t="s">
        <v>35</v>
      </c>
      <c r="N6890" s="2">
        <v>46234</v>
      </c>
    </row>
    <row r="6891" spans="1:14" x14ac:dyDescent="0.25">
      <c r="A6891" t="s">
        <v>26</v>
      </c>
      <c r="B6891" s="2">
        <v>46234</v>
      </c>
      <c r="C6891" t="s">
        <v>26</v>
      </c>
      <c r="D6891" t="s">
        <v>1</v>
      </c>
      <c r="E6891" t="s">
        <v>9</v>
      </c>
      <c r="F6891" s="3">
        <v>12840</v>
      </c>
      <c r="G6891" s="3">
        <v>12840</v>
      </c>
      <c r="H6891" t="s">
        <v>3</v>
      </c>
      <c r="I6891" t="s">
        <v>3</v>
      </c>
      <c r="J6891" t="s">
        <v>45</v>
      </c>
      <c r="K6891" t="s">
        <v>13</v>
      </c>
      <c r="L6891" t="s">
        <v>21</v>
      </c>
      <c r="M6891" t="s">
        <v>7</v>
      </c>
      <c r="N6891" s="2">
        <v>46234</v>
      </c>
    </row>
    <row r="6892" spans="1:14" x14ac:dyDescent="0.25">
      <c r="A6892" t="s">
        <v>26</v>
      </c>
      <c r="B6892" s="2">
        <v>46239</v>
      </c>
      <c r="C6892" t="s">
        <v>26</v>
      </c>
      <c r="D6892" t="s">
        <v>1</v>
      </c>
      <c r="E6892" t="s">
        <v>9</v>
      </c>
      <c r="F6892" s="3">
        <v>-17899.400000000001</v>
      </c>
      <c r="G6892" s="3">
        <v>-17899.400000000001</v>
      </c>
      <c r="H6892" t="s">
        <v>3</v>
      </c>
      <c r="I6892" t="s">
        <v>3</v>
      </c>
      <c r="J6892" t="s">
        <v>767</v>
      </c>
      <c r="K6892" t="s">
        <v>13</v>
      </c>
      <c r="L6892" t="s">
        <v>21</v>
      </c>
      <c r="M6892" t="s">
        <v>7</v>
      </c>
      <c r="N6892" s="2">
        <v>46234</v>
      </c>
    </row>
    <row r="6893" spans="1:14" x14ac:dyDescent="0.25">
      <c r="A6893" s="4" t="s">
        <v>262</v>
      </c>
      <c r="B6893" s="5"/>
      <c r="C6893" s="4" t="s">
        <v>9</v>
      </c>
      <c r="D6893" s="4" t="s">
        <v>9</v>
      </c>
      <c r="E6893" s="4" t="s">
        <v>9</v>
      </c>
      <c r="F6893" s="6">
        <v>0</v>
      </c>
      <c r="G6893" s="6">
        <v>0</v>
      </c>
      <c r="H6893" s="4" t="s">
        <v>9</v>
      </c>
      <c r="I6893" s="4" t="s">
        <v>3</v>
      </c>
      <c r="J6893" s="4" t="s">
        <v>9</v>
      </c>
      <c r="K6893" s="4" t="s">
        <v>9</v>
      </c>
      <c r="L6893" s="4" t="s">
        <v>9</v>
      </c>
      <c r="M6893" s="4" t="s">
        <v>9</v>
      </c>
      <c r="N6893" s="5"/>
    </row>
    <row r="6894" spans="1:14" x14ac:dyDescent="0.25">
      <c r="A6894" t="s">
        <v>26</v>
      </c>
      <c r="B6894" s="2">
        <v>46238</v>
      </c>
      <c r="C6894" t="s">
        <v>26</v>
      </c>
      <c r="D6894" t="s">
        <v>1</v>
      </c>
      <c r="E6894" t="s">
        <v>30</v>
      </c>
      <c r="F6894" s="3">
        <v>560</v>
      </c>
      <c r="G6894" s="3">
        <v>560</v>
      </c>
      <c r="H6894" t="s">
        <v>3</v>
      </c>
      <c r="I6894" t="s">
        <v>3</v>
      </c>
      <c r="J6894" t="s">
        <v>39</v>
      </c>
      <c r="K6894" t="s">
        <v>13</v>
      </c>
      <c r="L6894" t="s">
        <v>22</v>
      </c>
      <c r="M6894" t="s">
        <v>7</v>
      </c>
      <c r="N6894" s="2">
        <v>46238</v>
      </c>
    </row>
    <row r="6895" spans="1:14" x14ac:dyDescent="0.25">
      <c r="A6895" t="s">
        <v>26</v>
      </c>
      <c r="B6895" s="2">
        <v>46265</v>
      </c>
      <c r="C6895" t="s">
        <v>26</v>
      </c>
      <c r="D6895" t="s">
        <v>33</v>
      </c>
      <c r="E6895" t="s">
        <v>9</v>
      </c>
      <c r="F6895" s="3">
        <v>16906</v>
      </c>
      <c r="G6895" s="3">
        <v>16906</v>
      </c>
      <c r="H6895" t="s">
        <v>3</v>
      </c>
      <c r="I6895" t="s">
        <v>3</v>
      </c>
      <c r="J6895" t="s">
        <v>49</v>
      </c>
      <c r="K6895" t="s">
        <v>13</v>
      </c>
      <c r="L6895" t="s">
        <v>22</v>
      </c>
      <c r="M6895" t="s">
        <v>35</v>
      </c>
      <c r="N6895" s="2">
        <v>46265</v>
      </c>
    </row>
    <row r="6896" spans="1:14" x14ac:dyDescent="0.25">
      <c r="A6896" t="s">
        <v>26</v>
      </c>
      <c r="B6896" s="2">
        <v>46265</v>
      </c>
      <c r="C6896" t="s">
        <v>26</v>
      </c>
      <c r="D6896" t="s">
        <v>33</v>
      </c>
      <c r="E6896" t="s">
        <v>9</v>
      </c>
      <c r="F6896" s="3">
        <v>-16906</v>
      </c>
      <c r="G6896" s="3">
        <v>-16906</v>
      </c>
      <c r="H6896" t="s">
        <v>3</v>
      </c>
      <c r="I6896" t="s">
        <v>3</v>
      </c>
      <c r="J6896" t="s">
        <v>45</v>
      </c>
      <c r="K6896" t="s">
        <v>13</v>
      </c>
      <c r="L6896" t="s">
        <v>22</v>
      </c>
      <c r="M6896" t="s">
        <v>35</v>
      </c>
      <c r="N6896" s="2">
        <v>46265</v>
      </c>
    </row>
    <row r="6897" spans="1:14" x14ac:dyDescent="0.25">
      <c r="A6897" t="s">
        <v>26</v>
      </c>
      <c r="B6897" s="2">
        <v>46265</v>
      </c>
      <c r="C6897" t="s">
        <v>26</v>
      </c>
      <c r="D6897" t="s">
        <v>1</v>
      </c>
      <c r="E6897" t="s">
        <v>9</v>
      </c>
      <c r="F6897" s="3">
        <v>16906</v>
      </c>
      <c r="G6897" s="3">
        <v>16906</v>
      </c>
      <c r="H6897" t="s">
        <v>3</v>
      </c>
      <c r="I6897" t="s">
        <v>3</v>
      </c>
      <c r="J6897" t="s">
        <v>45</v>
      </c>
      <c r="K6897" t="s">
        <v>13</v>
      </c>
      <c r="L6897" t="s">
        <v>22</v>
      </c>
      <c r="M6897" t="s">
        <v>7</v>
      </c>
      <c r="N6897" s="2">
        <v>46265</v>
      </c>
    </row>
    <row r="6898" spans="1:14" x14ac:dyDescent="0.25">
      <c r="A6898" t="s">
        <v>26</v>
      </c>
      <c r="B6898" s="2">
        <v>46267</v>
      </c>
      <c r="C6898" t="s">
        <v>26</v>
      </c>
      <c r="D6898" t="s">
        <v>1</v>
      </c>
      <c r="E6898" t="s">
        <v>9</v>
      </c>
      <c r="F6898" s="3">
        <v>-17466</v>
      </c>
      <c r="G6898" s="3">
        <v>-17466</v>
      </c>
      <c r="H6898" t="s">
        <v>3</v>
      </c>
      <c r="I6898" t="s">
        <v>3</v>
      </c>
      <c r="J6898" t="s">
        <v>767</v>
      </c>
      <c r="K6898" t="s">
        <v>13</v>
      </c>
      <c r="L6898" t="s">
        <v>22</v>
      </c>
      <c r="M6898" t="s">
        <v>7</v>
      </c>
      <c r="N6898" s="2">
        <v>46265</v>
      </c>
    </row>
    <row r="6899" spans="1:14" x14ac:dyDescent="0.25">
      <c r="A6899" s="4" t="s">
        <v>267</v>
      </c>
      <c r="B6899" s="5"/>
      <c r="C6899" s="4" t="s">
        <v>9</v>
      </c>
      <c r="D6899" s="4" t="s">
        <v>9</v>
      </c>
      <c r="E6899" s="4" t="s">
        <v>9</v>
      </c>
      <c r="F6899" s="6">
        <v>0</v>
      </c>
      <c r="G6899" s="6">
        <v>0</v>
      </c>
      <c r="H6899" s="4" t="s">
        <v>9</v>
      </c>
      <c r="I6899" s="4" t="s">
        <v>3</v>
      </c>
      <c r="J6899" s="4" t="s">
        <v>9</v>
      </c>
      <c r="K6899" s="4" t="s">
        <v>9</v>
      </c>
      <c r="L6899" s="4" t="s">
        <v>9</v>
      </c>
      <c r="M6899" s="4" t="s">
        <v>9</v>
      </c>
      <c r="N6899" s="5"/>
    </row>
    <row r="6900" spans="1:14" x14ac:dyDescent="0.25">
      <c r="A6900" t="s">
        <v>26</v>
      </c>
      <c r="B6900" s="2">
        <v>46269</v>
      </c>
      <c r="C6900" t="s">
        <v>26</v>
      </c>
      <c r="D6900" t="s">
        <v>1</v>
      </c>
      <c r="E6900" t="s">
        <v>30</v>
      </c>
      <c r="F6900" s="3">
        <v>2030</v>
      </c>
      <c r="G6900" s="3">
        <v>2030</v>
      </c>
      <c r="H6900" t="s">
        <v>3</v>
      </c>
      <c r="I6900" t="s">
        <v>3</v>
      </c>
      <c r="J6900" t="s">
        <v>39</v>
      </c>
      <c r="K6900" t="s">
        <v>13</v>
      </c>
      <c r="L6900" t="s">
        <v>6</v>
      </c>
      <c r="M6900" t="s">
        <v>7</v>
      </c>
      <c r="N6900" s="2">
        <v>46269</v>
      </c>
    </row>
    <row r="6901" spans="1:14" x14ac:dyDescent="0.25">
      <c r="A6901" s="4" t="s">
        <v>272</v>
      </c>
      <c r="B6901" s="5"/>
      <c r="C6901" s="4" t="s">
        <v>9</v>
      </c>
      <c r="D6901" s="4" t="s">
        <v>9</v>
      </c>
      <c r="E6901" s="4" t="s">
        <v>9</v>
      </c>
      <c r="F6901" s="6">
        <v>2030</v>
      </c>
      <c r="G6901" s="6">
        <v>2030</v>
      </c>
      <c r="H6901" s="4" t="s">
        <v>9</v>
      </c>
      <c r="I6901" s="4" t="s">
        <v>3</v>
      </c>
      <c r="J6901" s="4" t="s">
        <v>9</v>
      </c>
      <c r="K6901" s="4" t="s">
        <v>9</v>
      </c>
      <c r="L6901" s="4" t="s">
        <v>9</v>
      </c>
      <c r="M6901" s="4" t="s">
        <v>9</v>
      </c>
      <c r="N6901" s="5"/>
    </row>
    <row r="6902" spans="1:14" x14ac:dyDescent="0.25">
      <c r="A6902" t="s">
        <v>26</v>
      </c>
      <c r="B6902" s="2">
        <v>45961</v>
      </c>
      <c r="C6902" t="s">
        <v>26</v>
      </c>
      <c r="D6902" t="s">
        <v>1</v>
      </c>
      <c r="E6902" t="s">
        <v>9</v>
      </c>
      <c r="F6902" s="3">
        <v>3800</v>
      </c>
      <c r="G6902" s="3">
        <v>3800</v>
      </c>
      <c r="H6902" t="s">
        <v>3</v>
      </c>
      <c r="I6902" t="s">
        <v>3</v>
      </c>
      <c r="J6902" t="s">
        <v>10</v>
      </c>
      <c r="K6902" t="s">
        <v>5</v>
      </c>
      <c r="L6902" t="s">
        <v>8</v>
      </c>
      <c r="M6902" t="s">
        <v>7</v>
      </c>
      <c r="N6902" s="2">
        <v>45961</v>
      </c>
    </row>
    <row r="6903" spans="1:14" x14ac:dyDescent="0.25">
      <c r="A6903" t="s">
        <v>26</v>
      </c>
      <c r="B6903" s="2">
        <v>45965</v>
      </c>
      <c r="C6903" t="s">
        <v>26</v>
      </c>
      <c r="D6903" t="s">
        <v>1</v>
      </c>
      <c r="E6903" t="s">
        <v>9</v>
      </c>
      <c r="F6903" s="3">
        <v>-3800</v>
      </c>
      <c r="G6903" s="3">
        <v>-3800</v>
      </c>
      <c r="H6903" t="s">
        <v>3</v>
      </c>
      <c r="I6903" t="s">
        <v>3</v>
      </c>
      <c r="J6903" t="s">
        <v>767</v>
      </c>
      <c r="K6903" t="s">
        <v>5</v>
      </c>
      <c r="L6903" t="s">
        <v>8</v>
      </c>
      <c r="M6903" t="s">
        <v>7</v>
      </c>
      <c r="N6903" s="2">
        <v>45961</v>
      </c>
    </row>
    <row r="6904" spans="1:14" x14ac:dyDescent="0.25">
      <c r="A6904" s="4" t="s">
        <v>278</v>
      </c>
      <c r="B6904" s="5"/>
      <c r="C6904" s="4" t="s">
        <v>9</v>
      </c>
      <c r="D6904" s="4" t="s">
        <v>9</v>
      </c>
      <c r="E6904" s="4" t="s">
        <v>9</v>
      </c>
      <c r="F6904" s="6">
        <v>0</v>
      </c>
      <c r="G6904" s="6">
        <v>0</v>
      </c>
      <c r="H6904" s="4" t="s">
        <v>9</v>
      </c>
      <c r="I6904" s="4" t="s">
        <v>3</v>
      </c>
      <c r="J6904" s="4" t="s">
        <v>9</v>
      </c>
      <c r="K6904" s="4" t="s">
        <v>9</v>
      </c>
      <c r="L6904" s="4" t="s">
        <v>9</v>
      </c>
      <c r="M6904" s="4" t="s">
        <v>9</v>
      </c>
      <c r="N6904" s="5"/>
    </row>
    <row r="6905" spans="1:14" x14ac:dyDescent="0.25">
      <c r="A6905" t="s">
        <v>26</v>
      </c>
      <c r="B6905" s="2">
        <v>45991</v>
      </c>
      <c r="C6905" t="s">
        <v>26</v>
      </c>
      <c r="D6905" t="s">
        <v>1</v>
      </c>
      <c r="E6905" t="s">
        <v>9</v>
      </c>
      <c r="F6905" s="3">
        <v>1500</v>
      </c>
      <c r="G6905" s="3">
        <v>1500</v>
      </c>
      <c r="H6905" t="s">
        <v>3</v>
      </c>
      <c r="I6905" t="s">
        <v>3</v>
      </c>
      <c r="J6905" t="s">
        <v>10</v>
      </c>
      <c r="K6905" t="s">
        <v>5</v>
      </c>
      <c r="L6905" t="s">
        <v>11</v>
      </c>
      <c r="M6905" t="s">
        <v>7</v>
      </c>
      <c r="N6905" s="2">
        <v>45991</v>
      </c>
    </row>
    <row r="6906" spans="1:14" x14ac:dyDescent="0.25">
      <c r="A6906" t="s">
        <v>26</v>
      </c>
      <c r="B6906" s="2">
        <v>45993</v>
      </c>
      <c r="C6906" t="s">
        <v>26</v>
      </c>
      <c r="D6906" t="s">
        <v>1</v>
      </c>
      <c r="E6906" t="s">
        <v>9</v>
      </c>
      <c r="F6906" s="3">
        <v>-1500</v>
      </c>
      <c r="G6906" s="3">
        <v>-1500</v>
      </c>
      <c r="H6906" t="s">
        <v>3</v>
      </c>
      <c r="I6906" t="s">
        <v>3</v>
      </c>
      <c r="J6906" t="s">
        <v>767</v>
      </c>
      <c r="K6906" t="s">
        <v>5</v>
      </c>
      <c r="L6906" t="s">
        <v>11</v>
      </c>
      <c r="M6906" t="s">
        <v>7</v>
      </c>
      <c r="N6906" s="2">
        <v>45991</v>
      </c>
    </row>
    <row r="6907" spans="1:14" x14ac:dyDescent="0.25">
      <c r="A6907" s="4" t="s">
        <v>226</v>
      </c>
      <c r="B6907" s="5"/>
      <c r="C6907" s="4" t="s">
        <v>9</v>
      </c>
      <c r="D6907" s="4" t="s">
        <v>9</v>
      </c>
      <c r="E6907" s="4" t="s">
        <v>9</v>
      </c>
      <c r="F6907" s="6">
        <v>0</v>
      </c>
      <c r="G6907" s="6">
        <v>0</v>
      </c>
      <c r="H6907" s="4" t="s">
        <v>9</v>
      </c>
      <c r="I6907" s="4" t="s">
        <v>3</v>
      </c>
      <c r="J6907" s="4" t="s">
        <v>9</v>
      </c>
      <c r="K6907" s="4" t="s">
        <v>9</v>
      </c>
      <c r="L6907" s="4" t="s">
        <v>9</v>
      </c>
      <c r="M6907" s="4" t="s">
        <v>9</v>
      </c>
      <c r="N6907" s="5"/>
    </row>
    <row r="6908" spans="1:14" x14ac:dyDescent="0.25">
      <c r="A6908" t="s">
        <v>26</v>
      </c>
      <c r="B6908" s="2">
        <v>45993</v>
      </c>
      <c r="C6908" t="s">
        <v>26</v>
      </c>
      <c r="D6908" t="s">
        <v>1</v>
      </c>
      <c r="E6908" t="s">
        <v>27</v>
      </c>
      <c r="F6908" s="3">
        <v>60000</v>
      </c>
      <c r="G6908" s="3">
        <v>60000</v>
      </c>
      <c r="H6908" t="s">
        <v>3</v>
      </c>
      <c r="I6908" t="s">
        <v>3</v>
      </c>
      <c r="J6908" t="s">
        <v>28</v>
      </c>
      <c r="K6908" t="s">
        <v>5</v>
      </c>
      <c r="L6908" t="s">
        <v>12</v>
      </c>
      <c r="M6908" t="s">
        <v>7</v>
      </c>
      <c r="N6908" s="2">
        <v>45993</v>
      </c>
    </row>
    <row r="6909" spans="1:14" x14ac:dyDescent="0.25">
      <c r="A6909" t="s">
        <v>26</v>
      </c>
      <c r="B6909" s="2">
        <v>45993</v>
      </c>
      <c r="C6909" t="s">
        <v>26</v>
      </c>
      <c r="D6909" t="s">
        <v>1</v>
      </c>
      <c r="E6909" t="s">
        <v>27</v>
      </c>
      <c r="F6909" s="3">
        <v>15000</v>
      </c>
      <c r="G6909" s="3">
        <v>15000</v>
      </c>
      <c r="H6909" t="s">
        <v>3</v>
      </c>
      <c r="I6909" t="s">
        <v>3</v>
      </c>
      <c r="J6909" t="s">
        <v>29</v>
      </c>
      <c r="K6909" t="s">
        <v>5</v>
      </c>
      <c r="L6909" t="s">
        <v>12</v>
      </c>
      <c r="M6909" t="s">
        <v>7</v>
      </c>
      <c r="N6909" s="2">
        <v>45993</v>
      </c>
    </row>
    <row r="6910" spans="1:14" x14ac:dyDescent="0.25">
      <c r="A6910" t="s">
        <v>26</v>
      </c>
      <c r="B6910" s="2">
        <v>46006</v>
      </c>
      <c r="C6910" t="s">
        <v>26</v>
      </c>
      <c r="D6910" t="s">
        <v>1</v>
      </c>
      <c r="E6910" t="s">
        <v>27</v>
      </c>
      <c r="F6910" s="3">
        <v>40000</v>
      </c>
      <c r="G6910" s="3">
        <v>40000</v>
      </c>
      <c r="H6910" t="s">
        <v>3</v>
      </c>
      <c r="I6910" t="s">
        <v>3</v>
      </c>
      <c r="J6910" t="s">
        <v>28</v>
      </c>
      <c r="K6910" t="s">
        <v>5</v>
      </c>
      <c r="L6910" t="s">
        <v>12</v>
      </c>
      <c r="M6910" t="s">
        <v>7</v>
      </c>
      <c r="N6910" s="2">
        <v>46006</v>
      </c>
    </row>
    <row r="6911" spans="1:14" x14ac:dyDescent="0.25">
      <c r="A6911" t="s">
        <v>26</v>
      </c>
      <c r="B6911" s="2">
        <v>46006</v>
      </c>
      <c r="C6911" t="s">
        <v>26</v>
      </c>
      <c r="D6911" t="s">
        <v>1</v>
      </c>
      <c r="E6911" t="s">
        <v>30</v>
      </c>
      <c r="F6911" s="3">
        <v>11760</v>
      </c>
      <c r="G6911" s="3">
        <v>11760</v>
      </c>
      <c r="H6911" t="s">
        <v>3</v>
      </c>
      <c r="I6911" t="s">
        <v>3</v>
      </c>
      <c r="J6911" t="s">
        <v>31</v>
      </c>
      <c r="K6911" t="s">
        <v>5</v>
      </c>
      <c r="L6911" t="s">
        <v>12</v>
      </c>
      <c r="M6911" t="s">
        <v>7</v>
      </c>
      <c r="N6911" s="2">
        <v>46006</v>
      </c>
    </row>
    <row r="6912" spans="1:14" x14ac:dyDescent="0.25">
      <c r="A6912" t="s">
        <v>26</v>
      </c>
      <c r="B6912" s="2">
        <v>46006</v>
      </c>
      <c r="C6912" t="s">
        <v>26</v>
      </c>
      <c r="D6912" t="s">
        <v>1</v>
      </c>
      <c r="E6912" t="s">
        <v>27</v>
      </c>
      <c r="F6912" s="3">
        <v>1687.8</v>
      </c>
      <c r="G6912" s="3">
        <v>1687.8</v>
      </c>
      <c r="H6912" t="s">
        <v>3</v>
      </c>
      <c r="I6912" t="s">
        <v>3</v>
      </c>
      <c r="J6912" t="s">
        <v>32</v>
      </c>
      <c r="K6912" t="s">
        <v>5</v>
      </c>
      <c r="L6912" t="s">
        <v>12</v>
      </c>
      <c r="M6912" t="s">
        <v>7</v>
      </c>
      <c r="N6912" s="2">
        <v>46006</v>
      </c>
    </row>
    <row r="6913" spans="1:14" x14ac:dyDescent="0.25">
      <c r="A6913" t="s">
        <v>26</v>
      </c>
      <c r="B6913" s="2">
        <v>46022</v>
      </c>
      <c r="C6913" t="s">
        <v>26</v>
      </c>
      <c r="D6913" t="s">
        <v>33</v>
      </c>
      <c r="E6913" t="s">
        <v>9</v>
      </c>
      <c r="F6913" s="3">
        <v>17548</v>
      </c>
      <c r="G6913" s="3">
        <v>17548</v>
      </c>
      <c r="H6913" t="s">
        <v>3</v>
      </c>
      <c r="I6913" t="s">
        <v>3</v>
      </c>
      <c r="J6913" t="s">
        <v>34</v>
      </c>
      <c r="K6913" t="s">
        <v>5</v>
      </c>
      <c r="L6913" t="s">
        <v>12</v>
      </c>
      <c r="M6913" t="s">
        <v>35</v>
      </c>
      <c r="N6913" s="2">
        <v>46022</v>
      </c>
    </row>
    <row r="6914" spans="1:14" x14ac:dyDescent="0.25">
      <c r="A6914" t="s">
        <v>26</v>
      </c>
      <c r="B6914" s="2">
        <v>46022</v>
      </c>
      <c r="C6914" t="s">
        <v>26</v>
      </c>
      <c r="D6914" t="s">
        <v>1</v>
      </c>
      <c r="E6914" t="s">
        <v>9</v>
      </c>
      <c r="F6914" s="3">
        <v>12700</v>
      </c>
      <c r="G6914" s="3">
        <v>12700</v>
      </c>
      <c r="H6914" t="s">
        <v>3</v>
      </c>
      <c r="I6914" t="s">
        <v>3</v>
      </c>
      <c r="J6914" t="s">
        <v>10</v>
      </c>
      <c r="K6914" t="s">
        <v>5</v>
      </c>
      <c r="L6914" t="s">
        <v>12</v>
      </c>
      <c r="M6914" t="s">
        <v>7</v>
      </c>
      <c r="N6914" s="2">
        <v>46022</v>
      </c>
    </row>
    <row r="6915" spans="1:14" x14ac:dyDescent="0.25">
      <c r="A6915" t="s">
        <v>26</v>
      </c>
      <c r="B6915" s="2">
        <v>46022</v>
      </c>
      <c r="C6915" t="s">
        <v>26</v>
      </c>
      <c r="D6915" t="s">
        <v>33</v>
      </c>
      <c r="E6915" t="s">
        <v>9</v>
      </c>
      <c r="F6915" s="3">
        <v>-17548</v>
      </c>
      <c r="G6915" s="3">
        <v>-17548</v>
      </c>
      <c r="H6915" t="s">
        <v>3</v>
      </c>
      <c r="I6915" t="s">
        <v>3</v>
      </c>
      <c r="J6915" t="s">
        <v>34</v>
      </c>
      <c r="K6915" t="s">
        <v>5</v>
      </c>
      <c r="L6915" t="s">
        <v>12</v>
      </c>
      <c r="M6915" t="s">
        <v>35</v>
      </c>
      <c r="N6915" s="2">
        <v>46022</v>
      </c>
    </row>
    <row r="6916" spans="1:14" x14ac:dyDescent="0.25">
      <c r="A6916" t="s">
        <v>26</v>
      </c>
      <c r="B6916" s="2">
        <v>46022</v>
      </c>
      <c r="C6916" t="s">
        <v>26</v>
      </c>
      <c r="D6916" t="s">
        <v>36</v>
      </c>
      <c r="E6916" t="s">
        <v>9</v>
      </c>
      <c r="F6916" s="3">
        <v>17548</v>
      </c>
      <c r="G6916" s="3">
        <v>17548</v>
      </c>
      <c r="H6916" t="s">
        <v>3</v>
      </c>
      <c r="I6916" t="s">
        <v>3</v>
      </c>
      <c r="J6916" t="s">
        <v>34</v>
      </c>
      <c r="K6916" t="s">
        <v>5</v>
      </c>
      <c r="L6916" t="s">
        <v>12</v>
      </c>
      <c r="M6916" t="s">
        <v>37</v>
      </c>
      <c r="N6916" s="2">
        <v>46022</v>
      </c>
    </row>
    <row r="6917" spans="1:14" x14ac:dyDescent="0.25">
      <c r="A6917" t="s">
        <v>26</v>
      </c>
      <c r="B6917" s="2">
        <v>46028</v>
      </c>
      <c r="C6917" t="s">
        <v>26</v>
      </c>
      <c r="D6917" t="s">
        <v>1</v>
      </c>
      <c r="E6917" t="s">
        <v>9</v>
      </c>
      <c r="F6917" s="3">
        <v>-141147.79999999999</v>
      </c>
      <c r="G6917" s="3">
        <v>-141147.79999999999</v>
      </c>
      <c r="H6917" t="s">
        <v>3</v>
      </c>
      <c r="I6917" t="s">
        <v>3</v>
      </c>
      <c r="J6917" t="s">
        <v>767</v>
      </c>
      <c r="K6917" t="s">
        <v>5</v>
      </c>
      <c r="L6917" t="s">
        <v>12</v>
      </c>
      <c r="M6917" t="s">
        <v>7</v>
      </c>
      <c r="N6917" s="2">
        <v>46022</v>
      </c>
    </row>
    <row r="6918" spans="1:14" x14ac:dyDescent="0.25">
      <c r="A6918" t="s">
        <v>26</v>
      </c>
      <c r="B6918" s="2">
        <v>46028</v>
      </c>
      <c r="C6918" t="s">
        <v>26</v>
      </c>
      <c r="D6918" t="s">
        <v>36</v>
      </c>
      <c r="E6918" t="s">
        <v>9</v>
      </c>
      <c r="F6918" s="3">
        <v>-17548</v>
      </c>
      <c r="G6918" s="3">
        <v>-17548</v>
      </c>
      <c r="H6918" t="s">
        <v>3</v>
      </c>
      <c r="I6918" t="s">
        <v>3</v>
      </c>
      <c r="J6918" t="s">
        <v>767</v>
      </c>
      <c r="K6918" t="s">
        <v>5</v>
      </c>
      <c r="L6918" t="s">
        <v>12</v>
      </c>
      <c r="M6918" t="s">
        <v>37</v>
      </c>
      <c r="N6918" s="2">
        <v>46022</v>
      </c>
    </row>
    <row r="6919" spans="1:14" x14ac:dyDescent="0.25">
      <c r="A6919" s="4" t="s">
        <v>228</v>
      </c>
      <c r="B6919" s="5"/>
      <c r="C6919" s="4" t="s">
        <v>9</v>
      </c>
      <c r="D6919" s="4" t="s">
        <v>9</v>
      </c>
      <c r="E6919" s="4" t="s">
        <v>9</v>
      </c>
      <c r="F6919" s="6">
        <v>0</v>
      </c>
      <c r="G6919" s="6">
        <v>0</v>
      </c>
      <c r="H6919" s="4" t="s">
        <v>9</v>
      </c>
      <c r="I6919" s="4" t="s">
        <v>3</v>
      </c>
      <c r="J6919" s="4" t="s">
        <v>9</v>
      </c>
      <c r="K6919" s="4" t="s">
        <v>9</v>
      </c>
      <c r="L6919" s="4" t="s">
        <v>9</v>
      </c>
      <c r="M6919" s="4" t="s">
        <v>9</v>
      </c>
      <c r="N6919" s="5"/>
    </row>
    <row r="6920" spans="1:14" x14ac:dyDescent="0.25">
      <c r="A6920" s="4" t="s">
        <v>26</v>
      </c>
      <c r="B6920" s="5"/>
      <c r="C6920" s="4" t="s">
        <v>9</v>
      </c>
      <c r="D6920" s="4" t="s">
        <v>9</v>
      </c>
      <c r="E6920" s="4" t="s">
        <v>9</v>
      </c>
      <c r="F6920" s="6">
        <v>2030</v>
      </c>
      <c r="G6920" s="6">
        <v>2030</v>
      </c>
      <c r="H6920" s="4" t="s">
        <v>9</v>
      </c>
      <c r="I6920" s="4" t="s">
        <v>3</v>
      </c>
      <c r="J6920" s="4" t="s">
        <v>9</v>
      </c>
      <c r="K6920" s="4" t="s">
        <v>9</v>
      </c>
      <c r="L6920" s="4" t="s">
        <v>9</v>
      </c>
      <c r="M6920" s="4" t="s">
        <v>9</v>
      </c>
      <c r="N6920" s="5"/>
    </row>
    <row r="6921" spans="1:14" x14ac:dyDescent="0.25">
      <c r="A6921" t="s">
        <v>50</v>
      </c>
      <c r="B6921" s="2">
        <v>46072</v>
      </c>
      <c r="C6921" t="s">
        <v>50</v>
      </c>
      <c r="D6921" t="s">
        <v>1</v>
      </c>
      <c r="E6921" t="s">
        <v>54</v>
      </c>
      <c r="F6921" s="3">
        <v>-8251.84</v>
      </c>
      <c r="G6921" s="3">
        <v>-8251.84</v>
      </c>
      <c r="H6921" t="s">
        <v>3</v>
      </c>
      <c r="I6921" t="s">
        <v>3</v>
      </c>
      <c r="J6921" t="s">
        <v>55</v>
      </c>
      <c r="K6921" t="s">
        <v>13</v>
      </c>
      <c r="L6921" t="s">
        <v>16</v>
      </c>
      <c r="M6921" t="s">
        <v>7</v>
      </c>
      <c r="N6921" s="2">
        <v>46084</v>
      </c>
    </row>
    <row r="6922" spans="1:14" x14ac:dyDescent="0.25">
      <c r="A6922" t="s">
        <v>50</v>
      </c>
      <c r="B6922" s="2">
        <v>46112</v>
      </c>
      <c r="C6922" t="s">
        <v>50</v>
      </c>
      <c r="D6922" t="s">
        <v>1</v>
      </c>
      <c r="E6922" t="s">
        <v>9</v>
      </c>
      <c r="F6922" s="3">
        <v>13100</v>
      </c>
      <c r="G6922" s="3">
        <v>13100</v>
      </c>
      <c r="H6922" t="s">
        <v>3</v>
      </c>
      <c r="I6922" t="s">
        <v>3</v>
      </c>
      <c r="J6922" t="s">
        <v>10</v>
      </c>
      <c r="K6922" t="s">
        <v>13</v>
      </c>
      <c r="L6922" t="s">
        <v>16</v>
      </c>
      <c r="M6922" t="s">
        <v>7</v>
      </c>
      <c r="N6922" s="2">
        <v>46112</v>
      </c>
    </row>
    <row r="6923" spans="1:14" x14ac:dyDescent="0.25">
      <c r="A6923" t="s">
        <v>50</v>
      </c>
      <c r="B6923" s="2">
        <v>46115</v>
      </c>
      <c r="C6923" t="s">
        <v>50</v>
      </c>
      <c r="D6923" t="s">
        <v>1</v>
      </c>
      <c r="E6923" t="s">
        <v>9</v>
      </c>
      <c r="F6923" s="3">
        <v>-4848.16</v>
      </c>
      <c r="G6923" s="3">
        <v>-4848.16</v>
      </c>
      <c r="H6923" t="s">
        <v>3</v>
      </c>
      <c r="I6923" t="s">
        <v>3</v>
      </c>
      <c r="J6923" t="s">
        <v>66</v>
      </c>
      <c r="K6923" t="s">
        <v>13</v>
      </c>
      <c r="L6923" t="s">
        <v>16</v>
      </c>
      <c r="M6923" t="s">
        <v>7</v>
      </c>
      <c r="N6923" s="2">
        <v>46112</v>
      </c>
    </row>
    <row r="6924" spans="1:14" x14ac:dyDescent="0.25">
      <c r="A6924" s="4" t="s">
        <v>244</v>
      </c>
      <c r="B6924" s="5"/>
      <c r="C6924" s="4" t="s">
        <v>9</v>
      </c>
      <c r="D6924" s="4" t="s">
        <v>9</v>
      </c>
      <c r="E6924" s="4" t="s">
        <v>9</v>
      </c>
      <c r="F6924" s="6">
        <v>0</v>
      </c>
      <c r="G6924" s="6">
        <v>0</v>
      </c>
      <c r="H6924" s="4" t="s">
        <v>9</v>
      </c>
      <c r="I6924" s="4" t="s">
        <v>3</v>
      </c>
      <c r="J6924" s="4" t="s">
        <v>9</v>
      </c>
      <c r="K6924" s="4" t="s">
        <v>9</v>
      </c>
      <c r="L6924" s="4" t="s">
        <v>9</v>
      </c>
      <c r="M6924" s="4" t="s">
        <v>9</v>
      </c>
      <c r="N6924" s="5"/>
    </row>
    <row r="6925" spans="1:14" x14ac:dyDescent="0.25">
      <c r="A6925" t="s">
        <v>50</v>
      </c>
      <c r="B6925" s="2">
        <v>46121</v>
      </c>
      <c r="C6925" t="s">
        <v>50</v>
      </c>
      <c r="D6925" t="s">
        <v>1</v>
      </c>
      <c r="E6925" t="s">
        <v>54</v>
      </c>
      <c r="F6925" s="3">
        <v>28044.84</v>
      </c>
      <c r="G6925" s="3">
        <v>28044.84</v>
      </c>
      <c r="H6925" t="s">
        <v>3</v>
      </c>
      <c r="I6925" t="s">
        <v>3</v>
      </c>
      <c r="J6925" t="s">
        <v>56</v>
      </c>
      <c r="K6925" t="s">
        <v>13</v>
      </c>
      <c r="L6925" t="s">
        <v>17</v>
      </c>
      <c r="M6925" t="s">
        <v>7</v>
      </c>
      <c r="N6925" s="2">
        <v>46121</v>
      </c>
    </row>
    <row r="6926" spans="1:14" x14ac:dyDescent="0.25">
      <c r="A6926" t="s">
        <v>50</v>
      </c>
      <c r="B6926" s="2">
        <v>46122</v>
      </c>
      <c r="C6926" t="s">
        <v>50</v>
      </c>
      <c r="D6926" t="s">
        <v>1</v>
      </c>
      <c r="E6926" t="s">
        <v>9</v>
      </c>
      <c r="F6926" s="3">
        <v>10416.67</v>
      </c>
      <c r="G6926" s="3">
        <v>10416.67</v>
      </c>
      <c r="H6926" t="s">
        <v>3</v>
      </c>
      <c r="I6926" t="s">
        <v>3</v>
      </c>
      <c r="J6926" t="s">
        <v>57</v>
      </c>
      <c r="K6926" t="s">
        <v>13</v>
      </c>
      <c r="L6926" t="s">
        <v>17</v>
      </c>
      <c r="M6926" t="s">
        <v>7</v>
      </c>
      <c r="N6926" s="2">
        <v>46122</v>
      </c>
    </row>
    <row r="6927" spans="1:14" x14ac:dyDescent="0.25">
      <c r="A6927" t="s">
        <v>50</v>
      </c>
      <c r="B6927" s="2">
        <v>46134</v>
      </c>
      <c r="C6927" t="s">
        <v>50</v>
      </c>
      <c r="D6927" t="s">
        <v>1</v>
      </c>
      <c r="E6927" t="s">
        <v>54</v>
      </c>
      <c r="F6927" s="3">
        <v>38719.410000000003</v>
      </c>
      <c r="G6927" s="3">
        <v>38719.410000000003</v>
      </c>
      <c r="H6927" t="s">
        <v>3</v>
      </c>
      <c r="I6927" t="s">
        <v>3</v>
      </c>
      <c r="J6927" t="s">
        <v>56</v>
      </c>
      <c r="K6927" t="s">
        <v>13</v>
      </c>
      <c r="L6927" t="s">
        <v>17</v>
      </c>
      <c r="M6927" t="s">
        <v>7</v>
      </c>
      <c r="N6927" s="2">
        <v>46134</v>
      </c>
    </row>
    <row r="6928" spans="1:14" x14ac:dyDescent="0.25">
      <c r="A6928" t="s">
        <v>50</v>
      </c>
      <c r="B6928" s="2">
        <v>46122</v>
      </c>
      <c r="C6928" t="s">
        <v>50</v>
      </c>
      <c r="D6928" t="s">
        <v>1</v>
      </c>
      <c r="E6928" t="s">
        <v>9</v>
      </c>
      <c r="F6928" s="3">
        <v>20833.34</v>
      </c>
      <c r="G6928" s="3">
        <v>20833.34</v>
      </c>
      <c r="H6928" t="s">
        <v>3</v>
      </c>
      <c r="I6928" t="s">
        <v>3</v>
      </c>
      <c r="J6928" t="s">
        <v>58</v>
      </c>
      <c r="K6928" t="s">
        <v>13</v>
      </c>
      <c r="L6928" t="s">
        <v>17</v>
      </c>
      <c r="M6928" t="s">
        <v>7</v>
      </c>
      <c r="N6928" s="2">
        <v>46122</v>
      </c>
    </row>
    <row r="6929" spans="1:14" x14ac:dyDescent="0.25">
      <c r="A6929" t="s">
        <v>50</v>
      </c>
      <c r="B6929" s="2">
        <v>46092</v>
      </c>
      <c r="C6929" t="s">
        <v>50</v>
      </c>
      <c r="D6929" t="s">
        <v>1</v>
      </c>
      <c r="E6929" t="s">
        <v>9</v>
      </c>
      <c r="F6929" s="3">
        <v>10416.67</v>
      </c>
      <c r="G6929" s="3">
        <v>10416.67</v>
      </c>
      <c r="H6929" t="s">
        <v>3</v>
      </c>
      <c r="I6929" t="s">
        <v>3</v>
      </c>
      <c r="J6929" t="s">
        <v>59</v>
      </c>
      <c r="K6929" t="s">
        <v>13</v>
      </c>
      <c r="L6929" t="s">
        <v>17</v>
      </c>
      <c r="M6929" t="s">
        <v>7</v>
      </c>
      <c r="N6929" s="2">
        <v>46122</v>
      </c>
    </row>
    <row r="6930" spans="1:14" x14ac:dyDescent="0.25">
      <c r="A6930" t="s">
        <v>50</v>
      </c>
      <c r="B6930" s="2">
        <v>46142</v>
      </c>
      <c r="C6930" t="s">
        <v>50</v>
      </c>
      <c r="D6930" t="s">
        <v>1</v>
      </c>
      <c r="E6930" t="s">
        <v>9</v>
      </c>
      <c r="F6930" s="3">
        <v>3600</v>
      </c>
      <c r="G6930" s="3">
        <v>3600</v>
      </c>
      <c r="H6930" t="s">
        <v>3</v>
      </c>
      <c r="I6930" t="s">
        <v>3</v>
      </c>
      <c r="J6930" t="s">
        <v>10</v>
      </c>
      <c r="K6930" t="s">
        <v>13</v>
      </c>
      <c r="L6930" t="s">
        <v>17</v>
      </c>
      <c r="M6930" t="s">
        <v>7</v>
      </c>
      <c r="N6930" s="2">
        <v>46142</v>
      </c>
    </row>
    <row r="6931" spans="1:14" x14ac:dyDescent="0.25">
      <c r="A6931" t="s">
        <v>50</v>
      </c>
      <c r="B6931" s="2">
        <v>46147</v>
      </c>
      <c r="C6931" t="s">
        <v>50</v>
      </c>
      <c r="D6931" t="s">
        <v>1</v>
      </c>
      <c r="E6931" t="s">
        <v>9</v>
      </c>
      <c r="F6931" s="3">
        <v>-112030.93</v>
      </c>
      <c r="G6931" s="3">
        <v>-112030.93</v>
      </c>
      <c r="H6931" t="s">
        <v>3</v>
      </c>
      <c r="I6931" t="s">
        <v>3</v>
      </c>
      <c r="J6931" t="s">
        <v>66</v>
      </c>
      <c r="K6931" t="s">
        <v>13</v>
      </c>
      <c r="L6931" t="s">
        <v>17</v>
      </c>
      <c r="M6931" t="s">
        <v>7</v>
      </c>
      <c r="N6931" s="2">
        <v>46142</v>
      </c>
    </row>
    <row r="6932" spans="1:14" x14ac:dyDescent="0.25">
      <c r="A6932" s="4" t="s">
        <v>249</v>
      </c>
      <c r="B6932" s="5"/>
      <c r="C6932" s="4" t="s">
        <v>9</v>
      </c>
      <c r="D6932" s="4" t="s">
        <v>9</v>
      </c>
      <c r="E6932" s="4" t="s">
        <v>9</v>
      </c>
      <c r="F6932" s="6">
        <v>0</v>
      </c>
      <c r="G6932" s="6">
        <v>0</v>
      </c>
      <c r="H6932" s="4" t="s">
        <v>9</v>
      </c>
      <c r="I6932" s="4" t="s">
        <v>3</v>
      </c>
      <c r="J6932" s="4" t="s">
        <v>9</v>
      </c>
      <c r="K6932" s="4" t="s">
        <v>9</v>
      </c>
      <c r="L6932" s="4" t="s">
        <v>9</v>
      </c>
      <c r="M6932" s="4" t="s">
        <v>9</v>
      </c>
      <c r="N6932" s="5"/>
    </row>
    <row r="6933" spans="1:14" x14ac:dyDescent="0.25">
      <c r="A6933" t="s">
        <v>50</v>
      </c>
      <c r="B6933" s="2">
        <v>46152</v>
      </c>
      <c r="C6933" t="s">
        <v>50</v>
      </c>
      <c r="D6933" t="s">
        <v>1</v>
      </c>
      <c r="E6933" t="s">
        <v>9</v>
      </c>
      <c r="F6933" s="3">
        <v>10416.67</v>
      </c>
      <c r="G6933" s="3">
        <v>10416.67</v>
      </c>
      <c r="H6933" t="s">
        <v>3</v>
      </c>
      <c r="I6933" t="s">
        <v>3</v>
      </c>
      <c r="J6933" t="s">
        <v>60</v>
      </c>
      <c r="K6933" t="s">
        <v>13</v>
      </c>
      <c r="L6933" t="s">
        <v>18</v>
      </c>
      <c r="M6933" t="s">
        <v>7</v>
      </c>
      <c r="N6933" s="2">
        <v>46152</v>
      </c>
    </row>
    <row r="6934" spans="1:14" x14ac:dyDescent="0.25">
      <c r="A6934" t="s">
        <v>50</v>
      </c>
      <c r="B6934" s="2">
        <v>46173</v>
      </c>
      <c r="C6934" t="s">
        <v>50</v>
      </c>
      <c r="D6934" t="s">
        <v>1</v>
      </c>
      <c r="E6934" t="s">
        <v>9</v>
      </c>
      <c r="F6934" s="3">
        <v>1100</v>
      </c>
      <c r="G6934" s="3">
        <v>1100</v>
      </c>
      <c r="H6934" t="s">
        <v>3</v>
      </c>
      <c r="I6934" t="s">
        <v>3</v>
      </c>
      <c r="J6934" t="s">
        <v>10</v>
      </c>
      <c r="K6934" t="s">
        <v>13</v>
      </c>
      <c r="L6934" t="s">
        <v>18</v>
      </c>
      <c r="M6934" t="s">
        <v>7</v>
      </c>
      <c r="N6934" s="2">
        <v>46173</v>
      </c>
    </row>
    <row r="6935" spans="1:14" x14ac:dyDescent="0.25">
      <c r="A6935" t="s">
        <v>50</v>
      </c>
      <c r="B6935" s="2">
        <v>46175</v>
      </c>
      <c r="C6935" t="s">
        <v>50</v>
      </c>
      <c r="D6935" t="s">
        <v>1</v>
      </c>
      <c r="E6935" t="s">
        <v>9</v>
      </c>
      <c r="F6935" s="3">
        <v>-11516.67</v>
      </c>
      <c r="G6935" s="3">
        <v>-11516.67</v>
      </c>
      <c r="H6935" t="s">
        <v>3</v>
      </c>
      <c r="I6935" t="s">
        <v>3</v>
      </c>
      <c r="J6935" t="s">
        <v>66</v>
      </c>
      <c r="K6935" t="s">
        <v>13</v>
      </c>
      <c r="L6935" t="s">
        <v>18</v>
      </c>
      <c r="M6935" t="s">
        <v>7</v>
      </c>
      <c r="N6935" s="2">
        <v>46173</v>
      </c>
    </row>
    <row r="6936" spans="1:14" x14ac:dyDescent="0.25">
      <c r="A6936" s="4" t="s">
        <v>223</v>
      </c>
      <c r="B6936" s="5"/>
      <c r="C6936" s="4" t="s">
        <v>9</v>
      </c>
      <c r="D6936" s="4" t="s">
        <v>9</v>
      </c>
      <c r="E6936" s="4" t="s">
        <v>9</v>
      </c>
      <c r="F6936" s="6">
        <v>0</v>
      </c>
      <c r="G6936" s="6">
        <v>0</v>
      </c>
      <c r="H6936" s="4" t="s">
        <v>9</v>
      </c>
      <c r="I6936" s="4" t="s">
        <v>3</v>
      </c>
      <c r="J6936" s="4" t="s">
        <v>9</v>
      </c>
      <c r="K6936" s="4" t="s">
        <v>9</v>
      </c>
      <c r="L6936" s="4" t="s">
        <v>9</v>
      </c>
      <c r="M6936" s="4" t="s">
        <v>9</v>
      </c>
      <c r="N6936" s="5"/>
    </row>
    <row r="6937" spans="1:14" x14ac:dyDescent="0.25">
      <c r="A6937" t="s">
        <v>50</v>
      </c>
      <c r="B6937" s="2">
        <v>46176</v>
      </c>
      <c r="C6937" t="s">
        <v>50</v>
      </c>
      <c r="D6937" t="s">
        <v>1</v>
      </c>
      <c r="E6937" t="s">
        <v>54</v>
      </c>
      <c r="F6937" s="3">
        <v>29235.94</v>
      </c>
      <c r="G6937" s="3">
        <v>29235.94</v>
      </c>
      <c r="H6937" t="s">
        <v>3</v>
      </c>
      <c r="I6937" t="s">
        <v>3</v>
      </c>
      <c r="J6937" t="s">
        <v>56</v>
      </c>
      <c r="K6937" t="s">
        <v>13</v>
      </c>
      <c r="L6937" t="s">
        <v>19</v>
      </c>
      <c r="M6937" t="s">
        <v>7</v>
      </c>
      <c r="N6937" s="2">
        <v>46176</v>
      </c>
    </row>
    <row r="6938" spans="1:14" x14ac:dyDescent="0.25">
      <c r="A6938" t="s">
        <v>50</v>
      </c>
      <c r="B6938" s="2">
        <v>46183</v>
      </c>
      <c r="C6938" t="s">
        <v>50</v>
      </c>
      <c r="D6938" t="s">
        <v>1</v>
      </c>
      <c r="E6938" t="s">
        <v>9</v>
      </c>
      <c r="F6938" s="3">
        <v>10416.67</v>
      </c>
      <c r="G6938" s="3">
        <v>10416.67</v>
      </c>
      <c r="H6938" t="s">
        <v>3</v>
      </c>
      <c r="I6938" t="s">
        <v>3</v>
      </c>
      <c r="J6938" t="s">
        <v>61</v>
      </c>
      <c r="K6938" t="s">
        <v>13</v>
      </c>
      <c r="L6938" t="s">
        <v>19</v>
      </c>
      <c r="M6938" t="s">
        <v>7</v>
      </c>
      <c r="N6938" s="2">
        <v>46183</v>
      </c>
    </row>
    <row r="6939" spans="1:14" x14ac:dyDescent="0.25">
      <c r="A6939" t="s">
        <v>50</v>
      </c>
      <c r="B6939" s="2">
        <v>46203</v>
      </c>
      <c r="C6939" t="s">
        <v>50</v>
      </c>
      <c r="D6939" t="s">
        <v>1</v>
      </c>
      <c r="E6939" t="s">
        <v>9</v>
      </c>
      <c r="F6939" s="3">
        <v>9471.92</v>
      </c>
      <c r="G6939" s="3">
        <v>9471.92</v>
      </c>
      <c r="H6939" t="s">
        <v>3</v>
      </c>
      <c r="I6939" t="s">
        <v>3</v>
      </c>
      <c r="J6939" t="s">
        <v>10</v>
      </c>
      <c r="K6939" t="s">
        <v>13</v>
      </c>
      <c r="L6939" t="s">
        <v>19</v>
      </c>
      <c r="M6939" t="s">
        <v>7</v>
      </c>
      <c r="N6939" s="2">
        <v>46203</v>
      </c>
    </row>
    <row r="6940" spans="1:14" x14ac:dyDescent="0.25">
      <c r="A6940" t="s">
        <v>50</v>
      </c>
      <c r="B6940" s="2">
        <v>46205</v>
      </c>
      <c r="C6940" t="s">
        <v>50</v>
      </c>
      <c r="D6940" t="s">
        <v>1</v>
      </c>
      <c r="E6940" t="s">
        <v>9</v>
      </c>
      <c r="F6940" s="3">
        <v>-49124.53</v>
      </c>
      <c r="G6940" s="3">
        <v>-49124.53</v>
      </c>
      <c r="H6940" t="s">
        <v>3</v>
      </c>
      <c r="I6940" t="s">
        <v>3</v>
      </c>
      <c r="J6940" t="s">
        <v>66</v>
      </c>
      <c r="K6940" t="s">
        <v>13</v>
      </c>
      <c r="L6940" t="s">
        <v>19</v>
      </c>
      <c r="M6940" t="s">
        <v>7</v>
      </c>
      <c r="N6940" s="2">
        <v>46203</v>
      </c>
    </row>
    <row r="6941" spans="1:14" x14ac:dyDescent="0.25">
      <c r="A6941" s="4" t="s">
        <v>224</v>
      </c>
      <c r="B6941" s="5"/>
      <c r="C6941" s="4" t="s">
        <v>9</v>
      </c>
      <c r="D6941" s="4" t="s">
        <v>9</v>
      </c>
      <c r="E6941" s="4" t="s">
        <v>9</v>
      </c>
      <c r="F6941" s="6">
        <v>0</v>
      </c>
      <c r="G6941" s="6">
        <v>0</v>
      </c>
      <c r="H6941" s="4" t="s">
        <v>9</v>
      </c>
      <c r="I6941" s="4" t="s">
        <v>3</v>
      </c>
      <c r="J6941" s="4" t="s">
        <v>9</v>
      </c>
      <c r="K6941" s="4" t="s">
        <v>9</v>
      </c>
      <c r="L6941" s="4" t="s">
        <v>9</v>
      </c>
      <c r="M6941" s="4" t="s">
        <v>9</v>
      </c>
      <c r="N6941" s="5"/>
    </row>
    <row r="6942" spans="1:14" x14ac:dyDescent="0.25">
      <c r="A6942" t="s">
        <v>50</v>
      </c>
      <c r="B6942" s="2">
        <v>46213</v>
      </c>
      <c r="C6942" t="s">
        <v>50</v>
      </c>
      <c r="D6942" t="s">
        <v>1</v>
      </c>
      <c r="E6942" t="s">
        <v>9</v>
      </c>
      <c r="F6942" s="3">
        <v>10416.67</v>
      </c>
      <c r="G6942" s="3">
        <v>10416.67</v>
      </c>
      <c r="H6942" t="s">
        <v>3</v>
      </c>
      <c r="I6942" t="s">
        <v>3</v>
      </c>
      <c r="J6942" t="s">
        <v>62</v>
      </c>
      <c r="K6942" t="s">
        <v>13</v>
      </c>
      <c r="L6942" t="s">
        <v>21</v>
      </c>
      <c r="M6942" t="s">
        <v>7</v>
      </c>
      <c r="N6942" s="2">
        <v>46213</v>
      </c>
    </row>
    <row r="6943" spans="1:14" x14ac:dyDescent="0.25">
      <c r="A6943" t="s">
        <v>50</v>
      </c>
      <c r="B6943" s="2">
        <v>46234</v>
      </c>
      <c r="C6943" t="s">
        <v>50</v>
      </c>
      <c r="D6943" t="s">
        <v>51</v>
      </c>
      <c r="E6943" t="s">
        <v>9</v>
      </c>
      <c r="F6943" s="3">
        <v>73500</v>
      </c>
      <c r="G6943" s="3">
        <v>73500</v>
      </c>
      <c r="H6943" t="s">
        <v>3</v>
      </c>
      <c r="I6943" t="s">
        <v>3</v>
      </c>
      <c r="J6943" t="s">
        <v>63</v>
      </c>
      <c r="K6943" t="s">
        <v>13</v>
      </c>
      <c r="L6943" t="s">
        <v>21</v>
      </c>
      <c r="M6943" t="s">
        <v>53</v>
      </c>
      <c r="N6943" s="2">
        <v>46234</v>
      </c>
    </row>
    <row r="6944" spans="1:14" x14ac:dyDescent="0.25">
      <c r="A6944" t="s">
        <v>50</v>
      </c>
      <c r="B6944" s="2">
        <v>46227</v>
      </c>
      <c r="C6944" t="s">
        <v>50</v>
      </c>
      <c r="D6944" t="s">
        <v>1</v>
      </c>
      <c r="E6944" t="s">
        <v>54</v>
      </c>
      <c r="F6944" s="3">
        <v>28141.3</v>
      </c>
      <c r="G6944" s="3">
        <v>28141.3</v>
      </c>
      <c r="H6944" t="s">
        <v>3</v>
      </c>
      <c r="I6944" t="s">
        <v>3</v>
      </c>
      <c r="J6944" t="s">
        <v>56</v>
      </c>
      <c r="K6944" t="s">
        <v>13</v>
      </c>
      <c r="L6944" t="s">
        <v>21</v>
      </c>
      <c r="M6944" t="s">
        <v>7</v>
      </c>
      <c r="N6944" s="2">
        <v>46227</v>
      </c>
    </row>
    <row r="6945" spans="1:14" x14ac:dyDescent="0.25">
      <c r="A6945" t="s">
        <v>50</v>
      </c>
      <c r="B6945" s="2">
        <v>46227</v>
      </c>
      <c r="C6945" t="s">
        <v>50</v>
      </c>
      <c r="D6945" t="s">
        <v>1</v>
      </c>
      <c r="E6945" t="s">
        <v>54</v>
      </c>
      <c r="F6945" s="3">
        <v>-28141.3</v>
      </c>
      <c r="G6945" s="3">
        <v>-28141.3</v>
      </c>
      <c r="H6945" t="s">
        <v>3</v>
      </c>
      <c r="I6945" t="s">
        <v>3</v>
      </c>
      <c r="J6945" t="s">
        <v>56</v>
      </c>
      <c r="K6945" t="s">
        <v>13</v>
      </c>
      <c r="L6945" t="s">
        <v>21</v>
      </c>
      <c r="M6945" t="s">
        <v>7</v>
      </c>
      <c r="N6945" s="2">
        <v>46227</v>
      </c>
    </row>
    <row r="6946" spans="1:14" x14ac:dyDescent="0.25">
      <c r="A6946" t="s">
        <v>50</v>
      </c>
      <c r="B6946" s="2">
        <v>46227</v>
      </c>
      <c r="C6946" t="s">
        <v>50</v>
      </c>
      <c r="D6946" t="s">
        <v>1</v>
      </c>
      <c r="E6946" t="s">
        <v>54</v>
      </c>
      <c r="F6946" s="3">
        <v>10696.6</v>
      </c>
      <c r="G6946" s="3">
        <v>10696.6</v>
      </c>
      <c r="H6946" t="s">
        <v>3</v>
      </c>
      <c r="I6946" t="s">
        <v>3</v>
      </c>
      <c r="J6946" t="s">
        <v>56</v>
      </c>
      <c r="K6946" t="s">
        <v>13</v>
      </c>
      <c r="L6946" t="s">
        <v>21</v>
      </c>
      <c r="M6946" t="s">
        <v>7</v>
      </c>
      <c r="N6946" s="2">
        <v>46227</v>
      </c>
    </row>
    <row r="6947" spans="1:14" x14ac:dyDescent="0.25">
      <c r="A6947" t="s">
        <v>50</v>
      </c>
      <c r="B6947" s="2">
        <v>46234</v>
      </c>
      <c r="C6947" t="s">
        <v>50</v>
      </c>
      <c r="D6947" t="s">
        <v>1</v>
      </c>
      <c r="E6947" t="s">
        <v>9</v>
      </c>
      <c r="F6947" s="3">
        <v>7337.08</v>
      </c>
      <c r="G6947" s="3">
        <v>7337.08</v>
      </c>
      <c r="H6947" t="s">
        <v>3</v>
      </c>
      <c r="I6947" t="s">
        <v>3</v>
      </c>
      <c r="J6947" t="s">
        <v>10</v>
      </c>
      <c r="K6947" t="s">
        <v>13</v>
      </c>
      <c r="L6947" t="s">
        <v>21</v>
      </c>
      <c r="M6947" t="s">
        <v>7</v>
      </c>
      <c r="N6947" s="2">
        <v>46234</v>
      </c>
    </row>
    <row r="6948" spans="1:14" x14ac:dyDescent="0.25">
      <c r="A6948" t="s">
        <v>50</v>
      </c>
      <c r="B6948" s="2">
        <v>46239</v>
      </c>
      <c r="C6948" t="s">
        <v>50</v>
      </c>
      <c r="D6948" t="s">
        <v>51</v>
      </c>
      <c r="E6948" t="s">
        <v>9</v>
      </c>
      <c r="F6948" s="3">
        <v>-73500</v>
      </c>
      <c r="G6948" s="3">
        <v>-73500</v>
      </c>
      <c r="H6948" t="s">
        <v>3</v>
      </c>
      <c r="I6948" t="s">
        <v>3</v>
      </c>
      <c r="J6948" t="s">
        <v>66</v>
      </c>
      <c r="K6948" t="s">
        <v>13</v>
      </c>
      <c r="L6948" t="s">
        <v>21</v>
      </c>
      <c r="M6948" t="s">
        <v>53</v>
      </c>
      <c r="N6948" s="2">
        <v>46234</v>
      </c>
    </row>
    <row r="6949" spans="1:14" x14ac:dyDescent="0.25">
      <c r="A6949" t="s">
        <v>50</v>
      </c>
      <c r="B6949" s="2">
        <v>46239</v>
      </c>
      <c r="C6949" t="s">
        <v>50</v>
      </c>
      <c r="D6949" t="s">
        <v>1</v>
      </c>
      <c r="E6949" t="s">
        <v>9</v>
      </c>
      <c r="F6949" s="3">
        <v>-28450.35</v>
      </c>
      <c r="G6949" s="3">
        <v>-28450.35</v>
      </c>
      <c r="H6949" t="s">
        <v>3</v>
      </c>
      <c r="I6949" t="s">
        <v>3</v>
      </c>
      <c r="J6949" t="s">
        <v>66</v>
      </c>
      <c r="K6949" t="s">
        <v>13</v>
      </c>
      <c r="L6949" t="s">
        <v>21</v>
      </c>
      <c r="M6949" t="s">
        <v>7</v>
      </c>
      <c r="N6949" s="2">
        <v>46234</v>
      </c>
    </row>
    <row r="6950" spans="1:14" x14ac:dyDescent="0.25">
      <c r="A6950" s="4" t="s">
        <v>262</v>
      </c>
      <c r="B6950" s="5"/>
      <c r="C6950" s="4" t="s">
        <v>9</v>
      </c>
      <c r="D6950" s="4" t="s">
        <v>9</v>
      </c>
      <c r="E6950" s="4" t="s">
        <v>9</v>
      </c>
      <c r="F6950" s="6">
        <v>0</v>
      </c>
      <c r="G6950" s="6">
        <v>0</v>
      </c>
      <c r="H6950" s="4" t="s">
        <v>9</v>
      </c>
      <c r="I6950" s="4" t="s">
        <v>3</v>
      </c>
      <c r="J6950" s="4" t="s">
        <v>9</v>
      </c>
      <c r="K6950" s="4" t="s">
        <v>9</v>
      </c>
      <c r="L6950" s="4" t="s">
        <v>9</v>
      </c>
      <c r="M6950" s="4" t="s">
        <v>9</v>
      </c>
      <c r="N6950" s="5"/>
    </row>
    <row r="6951" spans="1:14" x14ac:dyDescent="0.25">
      <c r="A6951" t="s">
        <v>50</v>
      </c>
      <c r="B6951" s="2">
        <v>46248</v>
      </c>
      <c r="C6951" t="s">
        <v>50</v>
      </c>
      <c r="D6951" t="s">
        <v>1</v>
      </c>
      <c r="E6951" t="s">
        <v>54</v>
      </c>
      <c r="F6951" s="3">
        <v>32992.31</v>
      </c>
      <c r="G6951" s="3">
        <v>32992.31</v>
      </c>
      <c r="H6951" t="s">
        <v>3</v>
      </c>
      <c r="I6951" t="s">
        <v>3</v>
      </c>
      <c r="J6951" t="s">
        <v>56</v>
      </c>
      <c r="K6951" t="s">
        <v>13</v>
      </c>
      <c r="L6951" t="s">
        <v>22</v>
      </c>
      <c r="M6951" t="s">
        <v>7</v>
      </c>
      <c r="N6951" s="2">
        <v>46248</v>
      </c>
    </row>
    <row r="6952" spans="1:14" x14ac:dyDescent="0.25">
      <c r="A6952" t="s">
        <v>50</v>
      </c>
      <c r="B6952" s="2">
        <v>46244</v>
      </c>
      <c r="C6952" t="s">
        <v>50</v>
      </c>
      <c r="D6952" t="s">
        <v>1</v>
      </c>
      <c r="E6952" t="s">
        <v>9</v>
      </c>
      <c r="F6952" s="3">
        <v>10416.67</v>
      </c>
      <c r="G6952" s="3">
        <v>10416.67</v>
      </c>
      <c r="H6952" t="s">
        <v>3</v>
      </c>
      <c r="I6952" t="s">
        <v>3</v>
      </c>
      <c r="J6952" t="s">
        <v>64</v>
      </c>
      <c r="K6952" t="s">
        <v>13</v>
      </c>
      <c r="L6952" t="s">
        <v>22</v>
      </c>
      <c r="M6952" t="s">
        <v>7</v>
      </c>
      <c r="N6952" s="2">
        <v>46244</v>
      </c>
    </row>
    <row r="6953" spans="1:14" x14ac:dyDescent="0.25">
      <c r="A6953" t="s">
        <v>50</v>
      </c>
      <c r="B6953" s="2">
        <v>46258</v>
      </c>
      <c r="C6953" t="s">
        <v>50</v>
      </c>
      <c r="D6953" t="s">
        <v>1</v>
      </c>
      <c r="E6953" t="s">
        <v>54</v>
      </c>
      <c r="F6953" s="3">
        <v>25003.13</v>
      </c>
      <c r="G6953" s="3">
        <v>25003.13</v>
      </c>
      <c r="H6953" t="s">
        <v>3</v>
      </c>
      <c r="I6953" t="s">
        <v>3</v>
      </c>
      <c r="J6953" t="s">
        <v>56</v>
      </c>
      <c r="K6953" t="s">
        <v>13</v>
      </c>
      <c r="L6953" t="s">
        <v>22</v>
      </c>
      <c r="M6953" t="s">
        <v>7</v>
      </c>
      <c r="N6953" s="2">
        <v>46258</v>
      </c>
    </row>
    <row r="6954" spans="1:14" x14ac:dyDescent="0.25">
      <c r="A6954" t="s">
        <v>50</v>
      </c>
      <c r="B6954" s="2">
        <v>46265</v>
      </c>
      <c r="C6954" t="s">
        <v>50</v>
      </c>
      <c r="D6954" t="s">
        <v>51</v>
      </c>
      <c r="E6954" t="s">
        <v>9</v>
      </c>
      <c r="F6954" s="3">
        <v>36904</v>
      </c>
      <c r="G6954" s="3">
        <v>36904</v>
      </c>
      <c r="H6954" t="s">
        <v>3</v>
      </c>
      <c r="I6954" t="s">
        <v>3</v>
      </c>
      <c r="J6954" t="s">
        <v>65</v>
      </c>
      <c r="K6954" t="s">
        <v>13</v>
      </c>
      <c r="L6954" t="s">
        <v>22</v>
      </c>
      <c r="M6954" t="s">
        <v>53</v>
      </c>
      <c r="N6954" s="2">
        <v>46265</v>
      </c>
    </row>
    <row r="6955" spans="1:14" x14ac:dyDescent="0.25">
      <c r="A6955" t="s">
        <v>50</v>
      </c>
      <c r="B6955" s="2">
        <v>46265</v>
      </c>
      <c r="C6955" t="s">
        <v>50</v>
      </c>
      <c r="D6955" t="s">
        <v>1</v>
      </c>
      <c r="E6955" t="s">
        <v>9</v>
      </c>
      <c r="F6955" s="3">
        <v>44629</v>
      </c>
      <c r="G6955" s="3">
        <v>44629</v>
      </c>
      <c r="H6955" t="s">
        <v>3</v>
      </c>
      <c r="I6955" t="s">
        <v>3</v>
      </c>
      <c r="J6955" t="s">
        <v>10</v>
      </c>
      <c r="K6955" t="s">
        <v>13</v>
      </c>
      <c r="L6955" t="s">
        <v>22</v>
      </c>
      <c r="M6955" t="s">
        <v>7</v>
      </c>
      <c r="N6955" s="2">
        <v>46265</v>
      </c>
    </row>
    <row r="6956" spans="1:14" x14ac:dyDescent="0.25">
      <c r="A6956" t="s">
        <v>50</v>
      </c>
      <c r="B6956" s="2">
        <v>46267</v>
      </c>
      <c r="C6956" t="s">
        <v>50</v>
      </c>
      <c r="D6956" t="s">
        <v>51</v>
      </c>
      <c r="E6956" t="s">
        <v>9</v>
      </c>
      <c r="F6956" s="3">
        <v>-36904</v>
      </c>
      <c r="G6956" s="3">
        <v>-36904</v>
      </c>
      <c r="H6956" t="s">
        <v>3</v>
      </c>
      <c r="I6956" t="s">
        <v>3</v>
      </c>
      <c r="J6956" t="s">
        <v>66</v>
      </c>
      <c r="K6956" t="s">
        <v>13</v>
      </c>
      <c r="L6956" t="s">
        <v>22</v>
      </c>
      <c r="M6956" t="s">
        <v>53</v>
      </c>
      <c r="N6956" s="2">
        <v>46265</v>
      </c>
    </row>
    <row r="6957" spans="1:14" x14ac:dyDescent="0.25">
      <c r="A6957" t="s">
        <v>50</v>
      </c>
      <c r="B6957" s="2">
        <v>46267</v>
      </c>
      <c r="C6957" t="s">
        <v>50</v>
      </c>
      <c r="D6957" t="s">
        <v>1</v>
      </c>
      <c r="E6957" t="s">
        <v>9</v>
      </c>
      <c r="F6957" s="3">
        <v>-113041.11</v>
      </c>
      <c r="G6957" s="3">
        <v>-113041.11</v>
      </c>
      <c r="H6957" t="s">
        <v>3</v>
      </c>
      <c r="I6957" t="s">
        <v>3</v>
      </c>
      <c r="J6957" t="s">
        <v>66</v>
      </c>
      <c r="K6957" t="s">
        <v>13</v>
      </c>
      <c r="L6957" t="s">
        <v>22</v>
      </c>
      <c r="M6957" t="s">
        <v>7</v>
      </c>
      <c r="N6957" s="2">
        <v>46265</v>
      </c>
    </row>
    <row r="6958" spans="1:14" x14ac:dyDescent="0.25">
      <c r="A6958" t="s">
        <v>50</v>
      </c>
      <c r="B6958" s="2">
        <v>46265</v>
      </c>
      <c r="C6958" t="s">
        <v>50</v>
      </c>
      <c r="D6958" t="s">
        <v>51</v>
      </c>
      <c r="E6958" t="s">
        <v>9</v>
      </c>
      <c r="F6958" s="3">
        <v>-36904</v>
      </c>
      <c r="G6958" s="3">
        <v>-36904</v>
      </c>
      <c r="H6958" t="s">
        <v>3</v>
      </c>
      <c r="I6958" t="s">
        <v>3</v>
      </c>
      <c r="J6958" t="s">
        <v>65</v>
      </c>
      <c r="K6958" t="s">
        <v>13</v>
      </c>
      <c r="L6958" t="s">
        <v>22</v>
      </c>
      <c r="M6958" t="s">
        <v>53</v>
      </c>
      <c r="N6958" s="2">
        <v>46265</v>
      </c>
    </row>
    <row r="6959" spans="1:14" x14ac:dyDescent="0.25">
      <c r="A6959" t="s">
        <v>50</v>
      </c>
      <c r="B6959" s="2">
        <v>46272</v>
      </c>
      <c r="C6959" t="s">
        <v>50</v>
      </c>
      <c r="D6959" t="s">
        <v>51</v>
      </c>
      <c r="E6959" t="s">
        <v>9</v>
      </c>
      <c r="F6959" s="3">
        <v>36904</v>
      </c>
      <c r="G6959" s="3">
        <v>36904</v>
      </c>
      <c r="H6959" t="s">
        <v>3</v>
      </c>
      <c r="I6959" t="s">
        <v>3</v>
      </c>
      <c r="J6959" t="s">
        <v>66</v>
      </c>
      <c r="K6959" t="s">
        <v>13</v>
      </c>
      <c r="L6959" t="s">
        <v>22</v>
      </c>
      <c r="M6959" t="s">
        <v>53</v>
      </c>
      <c r="N6959" s="2">
        <v>46265</v>
      </c>
    </row>
    <row r="6960" spans="1:14" x14ac:dyDescent="0.25">
      <c r="A6960" s="4" t="s">
        <v>267</v>
      </c>
      <c r="B6960" s="5"/>
      <c r="C6960" s="4" t="s">
        <v>9</v>
      </c>
      <c r="D6960" s="4" t="s">
        <v>9</v>
      </c>
      <c r="E6960" s="4" t="s">
        <v>9</v>
      </c>
      <c r="F6960" s="6">
        <v>0</v>
      </c>
      <c r="G6960" s="6">
        <v>0</v>
      </c>
      <c r="H6960" s="4" t="s">
        <v>9</v>
      </c>
      <c r="I6960" s="4" t="s">
        <v>3</v>
      </c>
      <c r="J6960" s="4" t="s">
        <v>9</v>
      </c>
      <c r="K6960" s="4" t="s">
        <v>9</v>
      </c>
      <c r="L6960" s="4" t="s">
        <v>9</v>
      </c>
      <c r="M6960" s="4" t="s">
        <v>9</v>
      </c>
      <c r="N6960" s="5"/>
    </row>
    <row r="6961" spans="1:14" x14ac:dyDescent="0.25">
      <c r="A6961" t="s">
        <v>50</v>
      </c>
      <c r="B6961" s="2">
        <v>45962</v>
      </c>
      <c r="C6961" t="s">
        <v>50</v>
      </c>
      <c r="D6961" t="s">
        <v>51</v>
      </c>
      <c r="E6961" t="s">
        <v>9</v>
      </c>
      <c r="F6961" s="3">
        <v>27762</v>
      </c>
      <c r="G6961" s="3">
        <v>27762</v>
      </c>
      <c r="H6961" t="s">
        <v>3</v>
      </c>
      <c r="I6961" t="s">
        <v>3</v>
      </c>
      <c r="J6961" t="s">
        <v>52</v>
      </c>
      <c r="K6961" t="s">
        <v>5</v>
      </c>
      <c r="L6961" t="s">
        <v>11</v>
      </c>
      <c r="M6961" t="s">
        <v>53</v>
      </c>
      <c r="N6961" s="2">
        <v>45962</v>
      </c>
    </row>
    <row r="6962" spans="1:14" x14ac:dyDescent="0.25">
      <c r="A6962" t="s">
        <v>50</v>
      </c>
      <c r="B6962" s="2">
        <v>45986</v>
      </c>
      <c r="C6962" t="s">
        <v>50</v>
      </c>
      <c r="D6962" t="s">
        <v>51</v>
      </c>
      <c r="E6962" t="s">
        <v>9</v>
      </c>
      <c r="F6962" s="3">
        <v>61250</v>
      </c>
      <c r="G6962" s="3">
        <v>61250</v>
      </c>
      <c r="H6962" t="s">
        <v>3</v>
      </c>
      <c r="I6962" t="s">
        <v>3</v>
      </c>
      <c r="J6962" t="s">
        <v>52</v>
      </c>
      <c r="K6962" t="s">
        <v>5</v>
      </c>
      <c r="L6962" t="s">
        <v>11</v>
      </c>
      <c r="M6962" t="s">
        <v>53</v>
      </c>
      <c r="N6962" s="2">
        <v>45986</v>
      </c>
    </row>
    <row r="6963" spans="1:14" x14ac:dyDescent="0.25">
      <c r="A6963" t="s">
        <v>50</v>
      </c>
      <c r="B6963" s="2">
        <v>45991</v>
      </c>
      <c r="C6963" t="s">
        <v>50</v>
      </c>
      <c r="D6963" t="s">
        <v>1</v>
      </c>
      <c r="E6963" t="s">
        <v>9</v>
      </c>
      <c r="F6963" s="3">
        <v>2100</v>
      </c>
      <c r="G6963" s="3">
        <v>2100</v>
      </c>
      <c r="H6963" t="s">
        <v>3</v>
      </c>
      <c r="I6963" t="s">
        <v>3</v>
      </c>
      <c r="J6963" t="s">
        <v>10</v>
      </c>
      <c r="K6963" t="s">
        <v>5</v>
      </c>
      <c r="L6963" t="s">
        <v>11</v>
      </c>
      <c r="M6963" t="s">
        <v>7</v>
      </c>
      <c r="N6963" s="2">
        <v>45991</v>
      </c>
    </row>
    <row r="6964" spans="1:14" x14ac:dyDescent="0.25">
      <c r="A6964" t="s">
        <v>50</v>
      </c>
      <c r="B6964" s="2">
        <v>45993</v>
      </c>
      <c r="C6964" t="s">
        <v>50</v>
      </c>
      <c r="D6964" t="s">
        <v>51</v>
      </c>
      <c r="E6964" t="s">
        <v>9</v>
      </c>
      <c r="F6964" s="3">
        <v>-89012</v>
      </c>
      <c r="G6964" s="3">
        <v>-89012</v>
      </c>
      <c r="H6964" t="s">
        <v>3</v>
      </c>
      <c r="I6964" t="s">
        <v>3</v>
      </c>
      <c r="J6964" t="s">
        <v>66</v>
      </c>
      <c r="K6964" t="s">
        <v>5</v>
      </c>
      <c r="L6964" t="s">
        <v>11</v>
      </c>
      <c r="M6964" t="s">
        <v>53</v>
      </c>
      <c r="N6964" s="2">
        <v>45991</v>
      </c>
    </row>
    <row r="6965" spans="1:14" x14ac:dyDescent="0.25">
      <c r="A6965" t="s">
        <v>50</v>
      </c>
      <c r="B6965" s="2">
        <v>45993</v>
      </c>
      <c r="C6965" t="s">
        <v>50</v>
      </c>
      <c r="D6965" t="s">
        <v>1</v>
      </c>
      <c r="E6965" t="s">
        <v>9</v>
      </c>
      <c r="F6965" s="3">
        <v>-2100</v>
      </c>
      <c r="G6965" s="3">
        <v>-2100</v>
      </c>
      <c r="H6965" t="s">
        <v>3</v>
      </c>
      <c r="I6965" t="s">
        <v>3</v>
      </c>
      <c r="J6965" t="s">
        <v>66</v>
      </c>
      <c r="K6965" t="s">
        <v>5</v>
      </c>
      <c r="L6965" t="s">
        <v>11</v>
      </c>
      <c r="M6965" t="s">
        <v>7</v>
      </c>
      <c r="N6965" s="2">
        <v>45991</v>
      </c>
    </row>
    <row r="6966" spans="1:14" x14ac:dyDescent="0.25">
      <c r="A6966" s="4" t="s">
        <v>226</v>
      </c>
      <c r="B6966" s="5"/>
      <c r="C6966" s="4" t="s">
        <v>9</v>
      </c>
      <c r="D6966" s="4" t="s">
        <v>9</v>
      </c>
      <c r="E6966" s="4" t="s">
        <v>9</v>
      </c>
      <c r="F6966" s="6">
        <v>0</v>
      </c>
      <c r="G6966" s="6">
        <v>0</v>
      </c>
      <c r="H6966" s="4" t="s">
        <v>9</v>
      </c>
      <c r="I6966" s="4" t="s">
        <v>3</v>
      </c>
      <c r="J6966" s="4" t="s">
        <v>9</v>
      </c>
      <c r="K6966" s="4" t="s">
        <v>9</v>
      </c>
      <c r="L6966" s="4" t="s">
        <v>9</v>
      </c>
      <c r="M6966" s="4" t="s">
        <v>9</v>
      </c>
      <c r="N6966" s="5"/>
    </row>
    <row r="6967" spans="1:14" x14ac:dyDescent="0.25">
      <c r="A6967" t="s">
        <v>50</v>
      </c>
      <c r="B6967" s="2">
        <v>46006</v>
      </c>
      <c r="C6967" t="s">
        <v>50</v>
      </c>
      <c r="D6967" t="s">
        <v>1</v>
      </c>
      <c r="E6967" t="s">
        <v>54</v>
      </c>
      <c r="F6967" s="3">
        <v>32137.88</v>
      </c>
      <c r="G6967" s="3">
        <v>32137.88</v>
      </c>
      <c r="H6967" t="s">
        <v>3</v>
      </c>
      <c r="I6967" t="s">
        <v>3</v>
      </c>
      <c r="J6967" t="s">
        <v>55</v>
      </c>
      <c r="K6967" t="s">
        <v>5</v>
      </c>
      <c r="L6967" t="s">
        <v>12</v>
      </c>
      <c r="M6967" t="s">
        <v>7</v>
      </c>
      <c r="N6967" s="2">
        <v>46006</v>
      </c>
    </row>
    <row r="6968" spans="1:14" x14ac:dyDescent="0.25">
      <c r="A6968" t="s">
        <v>50</v>
      </c>
      <c r="B6968" s="2">
        <v>46013</v>
      </c>
      <c r="C6968" t="s">
        <v>50</v>
      </c>
      <c r="D6968" t="s">
        <v>1</v>
      </c>
      <c r="E6968" t="s">
        <v>54</v>
      </c>
      <c r="F6968" s="3">
        <v>21000</v>
      </c>
      <c r="G6968" s="3">
        <v>21000</v>
      </c>
      <c r="H6968" t="s">
        <v>3</v>
      </c>
      <c r="I6968" t="s">
        <v>3</v>
      </c>
      <c r="J6968" t="s">
        <v>55</v>
      </c>
      <c r="K6968" t="s">
        <v>5</v>
      </c>
      <c r="L6968" t="s">
        <v>12</v>
      </c>
      <c r="M6968" t="s">
        <v>7</v>
      </c>
      <c r="N6968" s="2">
        <v>46013</v>
      </c>
    </row>
    <row r="6969" spans="1:14" x14ac:dyDescent="0.25">
      <c r="A6969" t="s">
        <v>50</v>
      </c>
      <c r="B6969" s="2">
        <v>46022</v>
      </c>
      <c r="C6969" t="s">
        <v>50</v>
      </c>
      <c r="D6969" t="s">
        <v>1</v>
      </c>
      <c r="E6969" t="s">
        <v>9</v>
      </c>
      <c r="F6969" s="3">
        <v>800</v>
      </c>
      <c r="G6969" s="3">
        <v>800</v>
      </c>
      <c r="H6969" t="s">
        <v>3</v>
      </c>
      <c r="I6969" t="s">
        <v>3</v>
      </c>
      <c r="J6969" t="s">
        <v>10</v>
      </c>
      <c r="K6969" t="s">
        <v>5</v>
      </c>
      <c r="L6969" t="s">
        <v>12</v>
      </c>
      <c r="M6969" t="s">
        <v>7</v>
      </c>
      <c r="N6969" s="2">
        <v>46022</v>
      </c>
    </row>
    <row r="6970" spans="1:14" x14ac:dyDescent="0.25">
      <c r="A6970" t="s">
        <v>50</v>
      </c>
      <c r="B6970" s="2">
        <v>46015</v>
      </c>
      <c r="C6970" t="s">
        <v>50</v>
      </c>
      <c r="D6970" t="s">
        <v>1</v>
      </c>
      <c r="E6970" t="s">
        <v>54</v>
      </c>
      <c r="F6970" s="3">
        <v>17444.7</v>
      </c>
      <c r="G6970" s="3">
        <v>17444.7</v>
      </c>
      <c r="H6970" t="s">
        <v>3</v>
      </c>
      <c r="I6970" t="s">
        <v>3</v>
      </c>
      <c r="J6970" t="s">
        <v>55</v>
      </c>
      <c r="K6970" t="s">
        <v>5</v>
      </c>
      <c r="L6970" t="s">
        <v>12</v>
      </c>
      <c r="M6970" t="s">
        <v>7</v>
      </c>
      <c r="N6970" s="2">
        <v>46015</v>
      </c>
    </row>
    <row r="6971" spans="1:14" x14ac:dyDescent="0.25">
      <c r="A6971" t="s">
        <v>50</v>
      </c>
      <c r="B6971" s="2">
        <v>46015</v>
      </c>
      <c r="C6971" t="s">
        <v>50</v>
      </c>
      <c r="D6971" t="s">
        <v>1</v>
      </c>
      <c r="E6971" t="s">
        <v>54</v>
      </c>
      <c r="F6971" s="3">
        <v>29417.42</v>
      </c>
      <c r="G6971" s="3">
        <v>29417.42</v>
      </c>
      <c r="H6971" t="s">
        <v>3</v>
      </c>
      <c r="I6971" t="s">
        <v>3</v>
      </c>
      <c r="J6971" t="s">
        <v>55</v>
      </c>
      <c r="K6971" t="s">
        <v>5</v>
      </c>
      <c r="L6971" t="s">
        <v>12</v>
      </c>
      <c r="M6971" t="s">
        <v>7</v>
      </c>
      <c r="N6971" s="2">
        <v>46015</v>
      </c>
    </row>
    <row r="6972" spans="1:14" x14ac:dyDescent="0.25">
      <c r="A6972" t="s">
        <v>50</v>
      </c>
      <c r="B6972" s="2">
        <v>46021</v>
      </c>
      <c r="C6972" t="s">
        <v>50</v>
      </c>
      <c r="D6972" t="s">
        <v>1</v>
      </c>
      <c r="E6972" t="s">
        <v>54</v>
      </c>
      <c r="F6972" s="3">
        <v>21088</v>
      </c>
      <c r="G6972" s="3">
        <v>21088</v>
      </c>
      <c r="H6972" t="s">
        <v>3</v>
      </c>
      <c r="I6972" t="s">
        <v>3</v>
      </c>
      <c r="J6972" t="s">
        <v>55</v>
      </c>
      <c r="K6972" t="s">
        <v>5</v>
      </c>
      <c r="L6972" t="s">
        <v>12</v>
      </c>
      <c r="M6972" t="s">
        <v>7</v>
      </c>
      <c r="N6972" s="2">
        <v>46021</v>
      </c>
    </row>
    <row r="6973" spans="1:14" x14ac:dyDescent="0.25">
      <c r="A6973" t="s">
        <v>50</v>
      </c>
      <c r="B6973" s="2">
        <v>46028</v>
      </c>
      <c r="C6973" t="s">
        <v>50</v>
      </c>
      <c r="D6973" t="s">
        <v>1</v>
      </c>
      <c r="E6973" t="s">
        <v>9</v>
      </c>
      <c r="F6973" s="3">
        <v>-121888</v>
      </c>
      <c r="G6973" s="3">
        <v>-121888</v>
      </c>
      <c r="H6973" t="s">
        <v>3</v>
      </c>
      <c r="I6973" t="s">
        <v>3</v>
      </c>
      <c r="J6973" t="s">
        <v>66</v>
      </c>
      <c r="K6973" t="s">
        <v>5</v>
      </c>
      <c r="L6973" t="s">
        <v>12</v>
      </c>
      <c r="M6973" t="s">
        <v>7</v>
      </c>
      <c r="N6973" s="2">
        <v>46022</v>
      </c>
    </row>
    <row r="6974" spans="1:14" x14ac:dyDescent="0.25">
      <c r="A6974" s="4" t="s">
        <v>228</v>
      </c>
      <c r="B6974" s="5"/>
      <c r="C6974" s="4" t="s">
        <v>9</v>
      </c>
      <c r="D6974" s="4" t="s">
        <v>9</v>
      </c>
      <c r="E6974" s="4" t="s">
        <v>9</v>
      </c>
      <c r="F6974" s="6">
        <v>0</v>
      </c>
      <c r="G6974" s="6">
        <v>0</v>
      </c>
      <c r="H6974" s="4" t="s">
        <v>9</v>
      </c>
      <c r="I6974" s="4" t="s">
        <v>3</v>
      </c>
      <c r="J6974" s="4" t="s">
        <v>9</v>
      </c>
      <c r="K6974" s="4" t="s">
        <v>9</v>
      </c>
      <c r="L6974" s="4" t="s">
        <v>9</v>
      </c>
      <c r="M6974" s="4" t="s">
        <v>9</v>
      </c>
      <c r="N6974" s="5"/>
    </row>
    <row r="6975" spans="1:14" x14ac:dyDescent="0.25">
      <c r="A6975" s="4" t="s">
        <v>50</v>
      </c>
      <c r="B6975" s="5"/>
      <c r="C6975" s="4" t="s">
        <v>9</v>
      </c>
      <c r="D6975" s="4" t="s">
        <v>9</v>
      </c>
      <c r="E6975" s="4" t="s">
        <v>9</v>
      </c>
      <c r="F6975" s="6">
        <v>0</v>
      </c>
      <c r="G6975" s="6">
        <v>0</v>
      </c>
      <c r="H6975" s="4" t="s">
        <v>9</v>
      </c>
      <c r="I6975" s="4" t="s">
        <v>3</v>
      </c>
      <c r="J6975" s="4" t="s">
        <v>9</v>
      </c>
      <c r="K6975" s="4" t="s">
        <v>9</v>
      </c>
      <c r="L6975" s="4" t="s">
        <v>9</v>
      </c>
      <c r="M6975" s="4" t="s">
        <v>9</v>
      </c>
      <c r="N6975" s="5"/>
    </row>
    <row r="6976" spans="1:14" x14ac:dyDescent="0.25">
      <c r="A6976" t="s">
        <v>67</v>
      </c>
      <c r="B6976" s="2">
        <v>46053</v>
      </c>
      <c r="C6976" t="s">
        <v>67</v>
      </c>
      <c r="D6976" t="s">
        <v>1</v>
      </c>
      <c r="E6976" t="s">
        <v>9</v>
      </c>
      <c r="F6976" s="3">
        <v>21950</v>
      </c>
      <c r="G6976" s="3">
        <v>21950</v>
      </c>
      <c r="H6976" t="s">
        <v>3</v>
      </c>
      <c r="I6976" t="s">
        <v>3</v>
      </c>
      <c r="J6976" t="s">
        <v>10</v>
      </c>
      <c r="K6976" t="s">
        <v>13</v>
      </c>
      <c r="L6976" t="s">
        <v>14</v>
      </c>
      <c r="M6976" t="s">
        <v>7</v>
      </c>
      <c r="N6976" s="2">
        <v>46053</v>
      </c>
    </row>
    <row r="6977" spans="1:14" x14ac:dyDescent="0.25">
      <c r="A6977" t="s">
        <v>67</v>
      </c>
      <c r="B6977" s="2">
        <v>46056</v>
      </c>
      <c r="C6977" t="s">
        <v>67</v>
      </c>
      <c r="D6977" t="s">
        <v>1</v>
      </c>
      <c r="E6977" t="s">
        <v>9</v>
      </c>
      <c r="F6977" s="3">
        <v>-21950</v>
      </c>
      <c r="G6977" s="3">
        <v>-21950</v>
      </c>
      <c r="H6977" t="s">
        <v>3</v>
      </c>
      <c r="I6977" t="s">
        <v>3</v>
      </c>
      <c r="J6977" t="s">
        <v>768</v>
      </c>
      <c r="K6977" t="s">
        <v>13</v>
      </c>
      <c r="L6977" t="s">
        <v>14</v>
      </c>
      <c r="M6977" t="s">
        <v>7</v>
      </c>
      <c r="N6977" s="2">
        <v>46053</v>
      </c>
    </row>
    <row r="6978" spans="1:14" x14ac:dyDescent="0.25">
      <c r="A6978" s="4" t="s">
        <v>234</v>
      </c>
      <c r="B6978" s="5"/>
      <c r="C6978" s="4" t="s">
        <v>9</v>
      </c>
      <c r="D6978" s="4" t="s">
        <v>9</v>
      </c>
      <c r="E6978" s="4" t="s">
        <v>9</v>
      </c>
      <c r="F6978" s="6">
        <v>0</v>
      </c>
      <c r="G6978" s="6">
        <v>0</v>
      </c>
      <c r="H6978" s="4" t="s">
        <v>9</v>
      </c>
      <c r="I6978" s="4" t="s">
        <v>3</v>
      </c>
      <c r="J6978" s="4" t="s">
        <v>9</v>
      </c>
      <c r="K6978" s="4" t="s">
        <v>9</v>
      </c>
      <c r="L6978" s="4" t="s">
        <v>9</v>
      </c>
      <c r="M6978" s="4" t="s">
        <v>9</v>
      </c>
      <c r="N6978" s="5"/>
    </row>
    <row r="6979" spans="1:14" x14ac:dyDescent="0.25">
      <c r="A6979" t="s">
        <v>67</v>
      </c>
      <c r="B6979" s="2">
        <v>46032</v>
      </c>
      <c r="C6979" t="s">
        <v>67</v>
      </c>
      <c r="D6979" t="s">
        <v>1</v>
      </c>
      <c r="E6979" t="s">
        <v>9</v>
      </c>
      <c r="F6979" s="3">
        <v>16678.96</v>
      </c>
      <c r="G6979" s="3">
        <v>16678.96</v>
      </c>
      <c r="H6979" t="s">
        <v>3</v>
      </c>
      <c r="I6979" t="s">
        <v>3</v>
      </c>
      <c r="J6979" t="s">
        <v>72</v>
      </c>
      <c r="K6979" t="s">
        <v>13</v>
      </c>
      <c r="L6979" t="s">
        <v>15</v>
      </c>
      <c r="M6979" t="s">
        <v>7</v>
      </c>
      <c r="N6979" s="2">
        <v>46063</v>
      </c>
    </row>
    <row r="6980" spans="1:14" x14ac:dyDescent="0.25">
      <c r="A6980" t="s">
        <v>67</v>
      </c>
      <c r="B6980" s="2">
        <v>46063</v>
      </c>
      <c r="C6980" t="s">
        <v>67</v>
      </c>
      <c r="D6980" t="s">
        <v>1</v>
      </c>
      <c r="E6980" t="s">
        <v>9</v>
      </c>
      <c r="F6980" s="3">
        <v>16678.96</v>
      </c>
      <c r="G6980" s="3">
        <v>16678.96</v>
      </c>
      <c r="H6980" t="s">
        <v>3</v>
      </c>
      <c r="I6980" t="s">
        <v>3</v>
      </c>
      <c r="J6980" t="s">
        <v>73</v>
      </c>
      <c r="K6980" t="s">
        <v>13</v>
      </c>
      <c r="L6980" t="s">
        <v>15</v>
      </c>
      <c r="M6980" t="s">
        <v>7</v>
      </c>
      <c r="N6980" s="2">
        <v>46063</v>
      </c>
    </row>
    <row r="6981" spans="1:14" x14ac:dyDescent="0.25">
      <c r="A6981" t="s">
        <v>67</v>
      </c>
      <c r="B6981" s="2">
        <v>46081</v>
      </c>
      <c r="C6981" t="s">
        <v>67</v>
      </c>
      <c r="D6981" t="s">
        <v>1</v>
      </c>
      <c r="E6981" t="s">
        <v>9</v>
      </c>
      <c r="F6981" s="3">
        <v>27700</v>
      </c>
      <c r="G6981" s="3">
        <v>27700</v>
      </c>
      <c r="H6981" t="s">
        <v>3</v>
      </c>
      <c r="I6981" t="s">
        <v>3</v>
      </c>
      <c r="J6981" t="s">
        <v>10</v>
      </c>
      <c r="K6981" t="s">
        <v>13</v>
      </c>
      <c r="L6981" t="s">
        <v>15</v>
      </c>
      <c r="M6981" t="s">
        <v>7</v>
      </c>
      <c r="N6981" s="2">
        <v>46081</v>
      </c>
    </row>
    <row r="6982" spans="1:14" x14ac:dyDescent="0.25">
      <c r="A6982" t="s">
        <v>67</v>
      </c>
      <c r="B6982" s="2">
        <v>46084</v>
      </c>
      <c r="C6982" t="s">
        <v>67</v>
      </c>
      <c r="D6982" t="s">
        <v>1</v>
      </c>
      <c r="E6982" t="s">
        <v>9</v>
      </c>
      <c r="F6982" s="3">
        <v>-61057.919999999998</v>
      </c>
      <c r="G6982" s="3">
        <v>-61057.919999999998</v>
      </c>
      <c r="H6982" t="s">
        <v>3</v>
      </c>
      <c r="I6982" t="s">
        <v>3</v>
      </c>
      <c r="J6982" t="s">
        <v>768</v>
      </c>
      <c r="K6982" t="s">
        <v>13</v>
      </c>
      <c r="L6982" t="s">
        <v>15</v>
      </c>
      <c r="M6982" t="s">
        <v>7</v>
      </c>
      <c r="N6982" s="2">
        <v>46081</v>
      </c>
    </row>
    <row r="6983" spans="1:14" x14ac:dyDescent="0.25">
      <c r="A6983" s="4" t="s">
        <v>239</v>
      </c>
      <c r="B6983" s="5"/>
      <c r="C6983" s="4" t="s">
        <v>9</v>
      </c>
      <c r="D6983" s="4" t="s">
        <v>9</v>
      </c>
      <c r="E6983" s="4" t="s">
        <v>9</v>
      </c>
      <c r="F6983" s="6">
        <v>0</v>
      </c>
      <c r="G6983" s="6">
        <v>0</v>
      </c>
      <c r="H6983" s="4" t="s">
        <v>9</v>
      </c>
      <c r="I6983" s="4" t="s">
        <v>3</v>
      </c>
      <c r="J6983" s="4" t="s">
        <v>9</v>
      </c>
      <c r="K6983" s="4" t="s">
        <v>9</v>
      </c>
      <c r="L6983" s="4" t="s">
        <v>9</v>
      </c>
      <c r="M6983" s="4" t="s">
        <v>9</v>
      </c>
      <c r="N6983" s="5"/>
    </row>
    <row r="6984" spans="1:14" x14ac:dyDescent="0.25">
      <c r="A6984" t="s">
        <v>67</v>
      </c>
      <c r="B6984" s="2">
        <v>46091</v>
      </c>
      <c r="C6984" t="s">
        <v>67</v>
      </c>
      <c r="D6984" t="s">
        <v>1</v>
      </c>
      <c r="E6984" t="s">
        <v>9</v>
      </c>
      <c r="F6984" s="3">
        <v>16678.96</v>
      </c>
      <c r="G6984" s="3">
        <v>16678.96</v>
      </c>
      <c r="H6984" t="s">
        <v>3</v>
      </c>
      <c r="I6984" t="s">
        <v>3</v>
      </c>
      <c r="J6984" t="s">
        <v>74</v>
      </c>
      <c r="K6984" t="s">
        <v>13</v>
      </c>
      <c r="L6984" t="s">
        <v>16</v>
      </c>
      <c r="M6984" t="s">
        <v>7</v>
      </c>
      <c r="N6984" s="2">
        <v>46091</v>
      </c>
    </row>
    <row r="6985" spans="1:14" x14ac:dyDescent="0.25">
      <c r="A6985" t="s">
        <v>67</v>
      </c>
      <c r="B6985" s="2">
        <v>46112</v>
      </c>
      <c r="C6985" t="s">
        <v>67</v>
      </c>
      <c r="D6985" t="s">
        <v>1</v>
      </c>
      <c r="E6985" t="s">
        <v>9</v>
      </c>
      <c r="F6985" s="3">
        <v>51750</v>
      </c>
      <c r="G6985" s="3">
        <v>51750</v>
      </c>
      <c r="H6985" t="s">
        <v>3</v>
      </c>
      <c r="I6985" t="s">
        <v>3</v>
      </c>
      <c r="J6985" t="s">
        <v>10</v>
      </c>
      <c r="K6985" t="s">
        <v>13</v>
      </c>
      <c r="L6985" t="s">
        <v>16</v>
      </c>
      <c r="M6985" t="s">
        <v>7</v>
      </c>
      <c r="N6985" s="2">
        <v>46112</v>
      </c>
    </row>
    <row r="6986" spans="1:14" x14ac:dyDescent="0.25">
      <c r="A6986" t="s">
        <v>67</v>
      </c>
      <c r="B6986" s="2">
        <v>46115</v>
      </c>
      <c r="C6986" t="s">
        <v>67</v>
      </c>
      <c r="D6986" t="s">
        <v>1</v>
      </c>
      <c r="E6986" t="s">
        <v>9</v>
      </c>
      <c r="F6986" s="3">
        <v>-68428.960000000006</v>
      </c>
      <c r="G6986" s="3">
        <v>-68428.960000000006</v>
      </c>
      <c r="H6986" t="s">
        <v>3</v>
      </c>
      <c r="I6986" t="s">
        <v>3</v>
      </c>
      <c r="J6986" t="s">
        <v>768</v>
      </c>
      <c r="K6986" t="s">
        <v>13</v>
      </c>
      <c r="L6986" t="s">
        <v>16</v>
      </c>
      <c r="M6986" t="s">
        <v>7</v>
      </c>
      <c r="N6986" s="2">
        <v>46112</v>
      </c>
    </row>
    <row r="6987" spans="1:14" x14ac:dyDescent="0.25">
      <c r="A6987" s="4" t="s">
        <v>244</v>
      </c>
      <c r="B6987" s="5"/>
      <c r="C6987" s="4" t="s">
        <v>9</v>
      </c>
      <c r="D6987" s="4" t="s">
        <v>9</v>
      </c>
      <c r="E6987" s="4" t="s">
        <v>9</v>
      </c>
      <c r="F6987" s="6">
        <v>0</v>
      </c>
      <c r="G6987" s="6">
        <v>0</v>
      </c>
      <c r="H6987" s="4" t="s">
        <v>9</v>
      </c>
      <c r="I6987" s="4" t="s">
        <v>3</v>
      </c>
      <c r="J6987" s="4" t="s">
        <v>9</v>
      </c>
      <c r="K6987" s="4" t="s">
        <v>9</v>
      </c>
      <c r="L6987" s="4" t="s">
        <v>9</v>
      </c>
      <c r="M6987" s="4" t="s">
        <v>9</v>
      </c>
      <c r="N6987" s="5"/>
    </row>
    <row r="6988" spans="1:14" x14ac:dyDescent="0.25">
      <c r="A6988" t="s">
        <v>67</v>
      </c>
      <c r="B6988" s="2">
        <v>46122</v>
      </c>
      <c r="C6988" t="s">
        <v>67</v>
      </c>
      <c r="D6988" t="s">
        <v>1</v>
      </c>
      <c r="E6988" t="s">
        <v>9</v>
      </c>
      <c r="F6988" s="3">
        <v>16678.96</v>
      </c>
      <c r="G6988" s="3">
        <v>16678.96</v>
      </c>
      <c r="H6988" t="s">
        <v>3</v>
      </c>
      <c r="I6988" t="s">
        <v>3</v>
      </c>
      <c r="J6988" t="s">
        <v>75</v>
      </c>
      <c r="K6988" t="s">
        <v>13</v>
      </c>
      <c r="L6988" t="s">
        <v>17</v>
      </c>
      <c r="M6988" t="s">
        <v>7</v>
      </c>
      <c r="N6988" s="2">
        <v>46122</v>
      </c>
    </row>
    <row r="6989" spans="1:14" x14ac:dyDescent="0.25">
      <c r="A6989" t="s">
        <v>67</v>
      </c>
      <c r="B6989" s="2">
        <v>46142</v>
      </c>
      <c r="C6989" t="s">
        <v>67</v>
      </c>
      <c r="D6989" t="s">
        <v>33</v>
      </c>
      <c r="E6989" t="s">
        <v>9</v>
      </c>
      <c r="F6989" s="3">
        <v>1215</v>
      </c>
      <c r="G6989" s="3">
        <v>1215</v>
      </c>
      <c r="H6989" t="s">
        <v>3</v>
      </c>
      <c r="I6989" t="s">
        <v>3</v>
      </c>
      <c r="J6989" t="s">
        <v>76</v>
      </c>
      <c r="K6989" t="s">
        <v>13</v>
      </c>
      <c r="L6989" t="s">
        <v>17</v>
      </c>
      <c r="M6989" t="s">
        <v>35</v>
      </c>
      <c r="N6989" s="2">
        <v>46142</v>
      </c>
    </row>
    <row r="6990" spans="1:14" x14ac:dyDescent="0.25">
      <c r="A6990" t="s">
        <v>67</v>
      </c>
      <c r="B6990" s="2">
        <v>46142</v>
      </c>
      <c r="C6990" t="s">
        <v>67</v>
      </c>
      <c r="D6990" t="s">
        <v>33</v>
      </c>
      <c r="E6990" t="s">
        <v>9</v>
      </c>
      <c r="F6990" s="3">
        <v>-1215</v>
      </c>
      <c r="G6990" s="3">
        <v>-1215</v>
      </c>
      <c r="H6990" t="s">
        <v>3</v>
      </c>
      <c r="I6990" t="s">
        <v>3</v>
      </c>
      <c r="J6990" t="s">
        <v>45</v>
      </c>
      <c r="K6990" t="s">
        <v>13</v>
      </c>
      <c r="L6990" t="s">
        <v>17</v>
      </c>
      <c r="M6990" t="s">
        <v>35</v>
      </c>
      <c r="N6990" s="2">
        <v>46142</v>
      </c>
    </row>
    <row r="6991" spans="1:14" x14ac:dyDescent="0.25">
      <c r="A6991" t="s">
        <v>67</v>
      </c>
      <c r="B6991" s="2">
        <v>46142</v>
      </c>
      <c r="C6991" t="s">
        <v>67</v>
      </c>
      <c r="D6991" t="s">
        <v>1</v>
      </c>
      <c r="E6991" t="s">
        <v>9</v>
      </c>
      <c r="F6991" s="3">
        <v>1215</v>
      </c>
      <c r="G6991" s="3">
        <v>1215</v>
      </c>
      <c r="H6991" t="s">
        <v>3</v>
      </c>
      <c r="I6991" t="s">
        <v>3</v>
      </c>
      <c r="J6991" t="s">
        <v>45</v>
      </c>
      <c r="K6991" t="s">
        <v>13</v>
      </c>
      <c r="L6991" t="s">
        <v>17</v>
      </c>
      <c r="M6991" t="s">
        <v>7</v>
      </c>
      <c r="N6991" s="2">
        <v>46142</v>
      </c>
    </row>
    <row r="6992" spans="1:14" x14ac:dyDescent="0.25">
      <c r="A6992" t="s">
        <v>67</v>
      </c>
      <c r="B6992" s="2">
        <v>46142</v>
      </c>
      <c r="C6992" t="s">
        <v>67</v>
      </c>
      <c r="D6992" t="s">
        <v>1</v>
      </c>
      <c r="E6992" t="s">
        <v>9</v>
      </c>
      <c r="F6992" s="3">
        <v>42500</v>
      </c>
      <c r="G6992" s="3">
        <v>42500</v>
      </c>
      <c r="H6992" t="s">
        <v>3</v>
      </c>
      <c r="I6992" t="s">
        <v>3</v>
      </c>
      <c r="J6992" t="s">
        <v>10</v>
      </c>
      <c r="K6992" t="s">
        <v>13</v>
      </c>
      <c r="L6992" t="s">
        <v>17</v>
      </c>
      <c r="M6992" t="s">
        <v>7</v>
      </c>
      <c r="N6992" s="2">
        <v>46142</v>
      </c>
    </row>
    <row r="6993" spans="1:14" x14ac:dyDescent="0.25">
      <c r="A6993" t="s">
        <v>67</v>
      </c>
      <c r="B6993" s="2">
        <v>46147</v>
      </c>
      <c r="C6993" t="s">
        <v>67</v>
      </c>
      <c r="D6993" t="s">
        <v>1</v>
      </c>
      <c r="E6993" t="s">
        <v>9</v>
      </c>
      <c r="F6993" s="3">
        <v>-60393.96</v>
      </c>
      <c r="G6993" s="3">
        <v>-60393.96</v>
      </c>
      <c r="H6993" t="s">
        <v>3</v>
      </c>
      <c r="I6993" t="s">
        <v>3</v>
      </c>
      <c r="J6993" t="s">
        <v>768</v>
      </c>
      <c r="K6993" t="s">
        <v>13</v>
      </c>
      <c r="L6993" t="s">
        <v>17</v>
      </c>
      <c r="M6993" t="s">
        <v>7</v>
      </c>
      <c r="N6993" s="2">
        <v>46142</v>
      </c>
    </row>
    <row r="6994" spans="1:14" x14ac:dyDescent="0.25">
      <c r="A6994" s="4" t="s">
        <v>249</v>
      </c>
      <c r="B6994" s="5"/>
      <c r="C6994" s="4" t="s">
        <v>9</v>
      </c>
      <c r="D6994" s="4" t="s">
        <v>9</v>
      </c>
      <c r="E6994" s="4" t="s">
        <v>9</v>
      </c>
      <c r="F6994" s="6">
        <v>0</v>
      </c>
      <c r="G6994" s="6">
        <v>0</v>
      </c>
      <c r="H6994" s="4" t="s">
        <v>9</v>
      </c>
      <c r="I6994" s="4" t="s">
        <v>3</v>
      </c>
      <c r="J6994" s="4" t="s">
        <v>9</v>
      </c>
      <c r="K6994" s="4" t="s">
        <v>9</v>
      </c>
      <c r="L6994" s="4" t="s">
        <v>9</v>
      </c>
      <c r="M6994" s="4" t="s">
        <v>9</v>
      </c>
      <c r="N6994" s="5"/>
    </row>
    <row r="6995" spans="1:14" x14ac:dyDescent="0.25">
      <c r="A6995" t="s">
        <v>67</v>
      </c>
      <c r="B6995" s="2">
        <v>46150</v>
      </c>
      <c r="C6995" t="s">
        <v>67</v>
      </c>
      <c r="D6995" t="s">
        <v>1</v>
      </c>
      <c r="E6995" t="s">
        <v>77</v>
      </c>
      <c r="F6995" s="3">
        <v>952</v>
      </c>
      <c r="G6995" s="3">
        <v>952</v>
      </c>
      <c r="H6995" t="s">
        <v>3</v>
      </c>
      <c r="I6995" t="s">
        <v>3</v>
      </c>
      <c r="J6995" t="s">
        <v>78</v>
      </c>
      <c r="K6995" t="s">
        <v>13</v>
      </c>
      <c r="L6995" t="s">
        <v>18</v>
      </c>
      <c r="M6995" t="s">
        <v>7</v>
      </c>
      <c r="N6995" s="2">
        <v>46150</v>
      </c>
    </row>
    <row r="6996" spans="1:14" x14ac:dyDescent="0.25">
      <c r="A6996" t="s">
        <v>67</v>
      </c>
      <c r="B6996" s="2">
        <v>46132</v>
      </c>
      <c r="C6996" t="s">
        <v>67</v>
      </c>
      <c r="D6996" t="s">
        <v>1</v>
      </c>
      <c r="E6996" t="s">
        <v>77</v>
      </c>
      <c r="F6996" s="3">
        <v>-0.09</v>
      </c>
      <c r="G6996" s="3">
        <v>-0.09</v>
      </c>
      <c r="H6996" t="s">
        <v>3</v>
      </c>
      <c r="I6996" t="s">
        <v>3</v>
      </c>
      <c r="J6996" t="s">
        <v>769</v>
      </c>
      <c r="K6996" t="s">
        <v>13</v>
      </c>
      <c r="L6996" t="s">
        <v>18</v>
      </c>
      <c r="M6996" t="s">
        <v>7</v>
      </c>
      <c r="N6996" s="2">
        <v>46153</v>
      </c>
    </row>
    <row r="6997" spans="1:14" x14ac:dyDescent="0.25">
      <c r="A6997" t="s">
        <v>67</v>
      </c>
      <c r="B6997" s="2">
        <v>46173</v>
      </c>
      <c r="C6997" t="s">
        <v>67</v>
      </c>
      <c r="D6997" t="s">
        <v>33</v>
      </c>
      <c r="E6997" t="s">
        <v>9</v>
      </c>
      <c r="F6997" s="3">
        <v>540</v>
      </c>
      <c r="G6997" s="3">
        <v>540</v>
      </c>
      <c r="H6997" t="s">
        <v>3</v>
      </c>
      <c r="I6997" t="s">
        <v>3</v>
      </c>
      <c r="J6997" t="s">
        <v>76</v>
      </c>
      <c r="K6997" t="s">
        <v>13</v>
      </c>
      <c r="L6997" t="s">
        <v>18</v>
      </c>
      <c r="M6997" t="s">
        <v>35</v>
      </c>
      <c r="N6997" s="2">
        <v>46173</v>
      </c>
    </row>
    <row r="6998" spans="1:14" x14ac:dyDescent="0.25">
      <c r="A6998" t="s">
        <v>67</v>
      </c>
      <c r="B6998" s="2">
        <v>46152</v>
      </c>
      <c r="C6998" t="s">
        <v>67</v>
      </c>
      <c r="D6998" t="s">
        <v>1</v>
      </c>
      <c r="E6998" t="s">
        <v>9</v>
      </c>
      <c r="F6998" s="3">
        <v>16678.96</v>
      </c>
      <c r="G6998" s="3">
        <v>16678.96</v>
      </c>
      <c r="H6998" t="s">
        <v>3</v>
      </c>
      <c r="I6998" t="s">
        <v>3</v>
      </c>
      <c r="J6998" t="s">
        <v>79</v>
      </c>
      <c r="K6998" t="s">
        <v>13</v>
      </c>
      <c r="L6998" t="s">
        <v>18</v>
      </c>
      <c r="M6998" t="s">
        <v>7</v>
      </c>
      <c r="N6998" s="2">
        <v>46152</v>
      </c>
    </row>
    <row r="6999" spans="1:14" x14ac:dyDescent="0.25">
      <c r="A6999" t="s">
        <v>67</v>
      </c>
      <c r="B6999" s="2">
        <v>46173</v>
      </c>
      <c r="C6999" t="s">
        <v>67</v>
      </c>
      <c r="D6999" t="s">
        <v>1</v>
      </c>
      <c r="E6999" t="s">
        <v>9</v>
      </c>
      <c r="F6999" s="3">
        <v>35300</v>
      </c>
      <c r="G6999" s="3">
        <v>35300</v>
      </c>
      <c r="H6999" t="s">
        <v>3</v>
      </c>
      <c r="I6999" t="s">
        <v>3</v>
      </c>
      <c r="J6999" t="s">
        <v>10</v>
      </c>
      <c r="K6999" t="s">
        <v>13</v>
      </c>
      <c r="L6999" t="s">
        <v>18</v>
      </c>
      <c r="M6999" t="s">
        <v>7</v>
      </c>
      <c r="N6999" s="2">
        <v>46173</v>
      </c>
    </row>
    <row r="7000" spans="1:14" x14ac:dyDescent="0.25">
      <c r="A7000" t="s">
        <v>67</v>
      </c>
      <c r="B7000" s="2">
        <v>46175</v>
      </c>
      <c r="C7000" t="s">
        <v>67</v>
      </c>
      <c r="D7000" t="s">
        <v>1</v>
      </c>
      <c r="E7000" t="s">
        <v>9</v>
      </c>
      <c r="F7000" s="3">
        <v>-53470.87</v>
      </c>
      <c r="G7000" s="3">
        <v>-53470.87</v>
      </c>
      <c r="H7000" t="s">
        <v>3</v>
      </c>
      <c r="I7000" t="s">
        <v>3</v>
      </c>
      <c r="J7000" t="s">
        <v>768</v>
      </c>
      <c r="K7000" t="s">
        <v>13</v>
      </c>
      <c r="L7000" t="s">
        <v>18</v>
      </c>
      <c r="M7000" t="s">
        <v>7</v>
      </c>
      <c r="N7000" s="2">
        <v>46173</v>
      </c>
    </row>
    <row r="7001" spans="1:14" x14ac:dyDescent="0.25">
      <c r="A7001" t="s">
        <v>67</v>
      </c>
      <c r="B7001" s="2">
        <v>46173</v>
      </c>
      <c r="C7001" t="s">
        <v>67</v>
      </c>
      <c r="D7001" t="s">
        <v>33</v>
      </c>
      <c r="E7001" t="s">
        <v>9</v>
      </c>
      <c r="F7001" s="3">
        <v>-540</v>
      </c>
      <c r="G7001" s="3">
        <v>-540</v>
      </c>
      <c r="H7001" t="s">
        <v>3</v>
      </c>
      <c r="I7001" t="s">
        <v>3</v>
      </c>
      <c r="J7001" t="s">
        <v>45</v>
      </c>
      <c r="K7001" t="s">
        <v>13</v>
      </c>
      <c r="L7001" t="s">
        <v>18</v>
      </c>
      <c r="M7001" t="s">
        <v>35</v>
      </c>
      <c r="N7001" s="2">
        <v>46173</v>
      </c>
    </row>
    <row r="7002" spans="1:14" x14ac:dyDescent="0.25">
      <c r="A7002" t="s">
        <v>67</v>
      </c>
      <c r="B7002" s="2">
        <v>46173</v>
      </c>
      <c r="C7002" t="s">
        <v>67</v>
      </c>
      <c r="D7002" t="s">
        <v>1</v>
      </c>
      <c r="E7002" t="s">
        <v>9</v>
      </c>
      <c r="F7002" s="3">
        <v>540</v>
      </c>
      <c r="G7002" s="3">
        <v>540</v>
      </c>
      <c r="H7002" t="s">
        <v>3</v>
      </c>
      <c r="I7002" t="s">
        <v>3</v>
      </c>
      <c r="J7002" t="s">
        <v>45</v>
      </c>
      <c r="K7002" t="s">
        <v>13</v>
      </c>
      <c r="L7002" t="s">
        <v>18</v>
      </c>
      <c r="M7002" t="s">
        <v>7</v>
      </c>
      <c r="N7002" s="2">
        <v>46173</v>
      </c>
    </row>
    <row r="7003" spans="1:14" x14ac:dyDescent="0.25">
      <c r="A7003" s="4" t="s">
        <v>223</v>
      </c>
      <c r="B7003" s="5"/>
      <c r="C7003" s="4" t="s">
        <v>9</v>
      </c>
      <c r="D7003" s="4" t="s">
        <v>9</v>
      </c>
      <c r="E7003" s="4" t="s">
        <v>9</v>
      </c>
      <c r="F7003" s="6">
        <v>0</v>
      </c>
      <c r="G7003" s="6">
        <v>0</v>
      </c>
      <c r="H7003" s="4" t="s">
        <v>9</v>
      </c>
      <c r="I7003" s="4" t="s">
        <v>3</v>
      </c>
      <c r="J7003" s="4" t="s">
        <v>9</v>
      </c>
      <c r="K7003" s="4" t="s">
        <v>9</v>
      </c>
      <c r="L7003" s="4" t="s">
        <v>9</v>
      </c>
      <c r="M7003" s="4" t="s">
        <v>9</v>
      </c>
      <c r="N7003" s="5"/>
    </row>
    <row r="7004" spans="1:14" x14ac:dyDescent="0.25">
      <c r="A7004" t="s">
        <v>67</v>
      </c>
      <c r="B7004" s="2">
        <v>46175</v>
      </c>
      <c r="C7004" t="s">
        <v>67</v>
      </c>
      <c r="D7004" t="s">
        <v>1</v>
      </c>
      <c r="E7004" t="s">
        <v>68</v>
      </c>
      <c r="F7004" s="3">
        <v>119218.7</v>
      </c>
      <c r="G7004" s="3">
        <v>119218.7</v>
      </c>
      <c r="H7004" t="s">
        <v>3</v>
      </c>
      <c r="I7004" t="s">
        <v>3</v>
      </c>
      <c r="J7004" t="s">
        <v>80</v>
      </c>
      <c r="K7004" t="s">
        <v>13</v>
      </c>
      <c r="L7004" t="s">
        <v>19</v>
      </c>
      <c r="M7004" t="s">
        <v>7</v>
      </c>
      <c r="N7004" s="2">
        <v>46175</v>
      </c>
    </row>
    <row r="7005" spans="1:14" x14ac:dyDescent="0.25">
      <c r="A7005" t="s">
        <v>67</v>
      </c>
      <c r="B7005" s="2">
        <v>46175</v>
      </c>
      <c r="C7005" t="s">
        <v>67</v>
      </c>
      <c r="D7005" t="s">
        <v>1</v>
      </c>
      <c r="E7005" t="s">
        <v>68</v>
      </c>
      <c r="F7005" s="3">
        <v>59577.1</v>
      </c>
      <c r="G7005" s="3">
        <v>59577.1</v>
      </c>
      <c r="H7005" t="s">
        <v>3</v>
      </c>
      <c r="I7005" t="s">
        <v>3</v>
      </c>
      <c r="J7005" t="s">
        <v>80</v>
      </c>
      <c r="K7005" t="s">
        <v>13</v>
      </c>
      <c r="L7005" t="s">
        <v>19</v>
      </c>
      <c r="M7005" t="s">
        <v>7</v>
      </c>
      <c r="N7005" s="2">
        <v>46175</v>
      </c>
    </row>
    <row r="7006" spans="1:14" x14ac:dyDescent="0.25">
      <c r="A7006" t="s">
        <v>67</v>
      </c>
      <c r="B7006" s="2">
        <v>46183</v>
      </c>
      <c r="C7006" t="s">
        <v>67</v>
      </c>
      <c r="D7006" t="s">
        <v>1</v>
      </c>
      <c r="E7006" t="s">
        <v>9</v>
      </c>
      <c r="F7006" s="3">
        <v>16678.96</v>
      </c>
      <c r="G7006" s="3">
        <v>16678.96</v>
      </c>
      <c r="H7006" t="s">
        <v>3</v>
      </c>
      <c r="I7006" t="s">
        <v>3</v>
      </c>
      <c r="J7006" t="s">
        <v>81</v>
      </c>
      <c r="K7006" t="s">
        <v>13</v>
      </c>
      <c r="L7006" t="s">
        <v>19</v>
      </c>
      <c r="M7006" t="s">
        <v>7</v>
      </c>
      <c r="N7006" s="2">
        <v>46183</v>
      </c>
    </row>
    <row r="7007" spans="1:14" x14ac:dyDescent="0.25">
      <c r="A7007" t="s">
        <v>67</v>
      </c>
      <c r="B7007" s="2">
        <v>46203</v>
      </c>
      <c r="C7007" t="s">
        <v>67</v>
      </c>
      <c r="D7007" t="s">
        <v>33</v>
      </c>
      <c r="E7007" t="s">
        <v>9</v>
      </c>
      <c r="F7007" s="3">
        <v>1215</v>
      </c>
      <c r="G7007" s="3">
        <v>1215</v>
      </c>
      <c r="H7007" t="s">
        <v>3</v>
      </c>
      <c r="I7007" t="s">
        <v>3</v>
      </c>
      <c r="J7007" t="s">
        <v>76</v>
      </c>
      <c r="K7007" t="s">
        <v>13</v>
      </c>
      <c r="L7007" t="s">
        <v>19</v>
      </c>
      <c r="M7007" t="s">
        <v>35</v>
      </c>
      <c r="N7007" s="2">
        <v>46203</v>
      </c>
    </row>
    <row r="7008" spans="1:14" x14ac:dyDescent="0.25">
      <c r="A7008" t="s">
        <v>67</v>
      </c>
      <c r="B7008" s="2">
        <v>46203</v>
      </c>
      <c r="C7008" t="s">
        <v>67</v>
      </c>
      <c r="D7008" t="s">
        <v>1</v>
      </c>
      <c r="E7008" t="s">
        <v>9</v>
      </c>
      <c r="F7008" s="3">
        <v>43858.400000000001</v>
      </c>
      <c r="G7008" s="3">
        <v>43858.400000000001</v>
      </c>
      <c r="H7008" t="s">
        <v>3</v>
      </c>
      <c r="I7008" t="s">
        <v>3</v>
      </c>
      <c r="J7008" t="s">
        <v>10</v>
      </c>
      <c r="K7008" t="s">
        <v>13</v>
      </c>
      <c r="L7008" t="s">
        <v>19</v>
      </c>
      <c r="M7008" t="s">
        <v>7</v>
      </c>
      <c r="N7008" s="2">
        <v>46203</v>
      </c>
    </row>
    <row r="7009" spans="1:14" x14ac:dyDescent="0.25">
      <c r="A7009" t="s">
        <v>67</v>
      </c>
      <c r="B7009" s="2">
        <v>46203</v>
      </c>
      <c r="C7009" t="s">
        <v>67</v>
      </c>
      <c r="D7009" t="s">
        <v>33</v>
      </c>
      <c r="E7009" t="s">
        <v>9</v>
      </c>
      <c r="F7009" s="3">
        <v>-1215</v>
      </c>
      <c r="G7009" s="3">
        <v>-1215</v>
      </c>
      <c r="H7009" t="s">
        <v>3</v>
      </c>
      <c r="I7009" t="s">
        <v>3</v>
      </c>
      <c r="J7009" t="s">
        <v>45</v>
      </c>
      <c r="K7009" t="s">
        <v>13</v>
      </c>
      <c r="L7009" t="s">
        <v>19</v>
      </c>
      <c r="M7009" t="s">
        <v>35</v>
      </c>
      <c r="N7009" s="2">
        <v>46203</v>
      </c>
    </row>
    <row r="7010" spans="1:14" x14ac:dyDescent="0.25">
      <c r="A7010" t="s">
        <v>67</v>
      </c>
      <c r="B7010" s="2">
        <v>46203</v>
      </c>
      <c r="C7010" t="s">
        <v>67</v>
      </c>
      <c r="D7010" t="s">
        <v>1</v>
      </c>
      <c r="E7010" t="s">
        <v>9</v>
      </c>
      <c r="F7010" s="3">
        <v>1215</v>
      </c>
      <c r="G7010" s="3">
        <v>1215</v>
      </c>
      <c r="H7010" t="s">
        <v>3</v>
      </c>
      <c r="I7010" t="s">
        <v>3</v>
      </c>
      <c r="J7010" t="s">
        <v>45</v>
      </c>
      <c r="K7010" t="s">
        <v>13</v>
      </c>
      <c r="L7010" t="s">
        <v>19</v>
      </c>
      <c r="M7010" t="s">
        <v>7</v>
      </c>
      <c r="N7010" s="2">
        <v>46203</v>
      </c>
    </row>
    <row r="7011" spans="1:14" x14ac:dyDescent="0.25">
      <c r="A7011" t="s">
        <v>67</v>
      </c>
      <c r="B7011" s="2">
        <v>46205</v>
      </c>
      <c r="C7011" t="s">
        <v>67</v>
      </c>
      <c r="D7011" t="s">
        <v>1</v>
      </c>
      <c r="E7011" t="s">
        <v>9</v>
      </c>
      <c r="F7011" s="3">
        <v>-240548.16</v>
      </c>
      <c r="G7011" s="3">
        <v>-240548.16</v>
      </c>
      <c r="H7011" t="s">
        <v>3</v>
      </c>
      <c r="I7011" t="s">
        <v>3</v>
      </c>
      <c r="J7011" t="s">
        <v>768</v>
      </c>
      <c r="K7011" t="s">
        <v>13</v>
      </c>
      <c r="L7011" t="s">
        <v>19</v>
      </c>
      <c r="M7011" t="s">
        <v>7</v>
      </c>
      <c r="N7011" s="2">
        <v>46203</v>
      </c>
    </row>
    <row r="7012" spans="1:14" x14ac:dyDescent="0.25">
      <c r="A7012" s="4" t="s">
        <v>224</v>
      </c>
      <c r="B7012" s="5"/>
      <c r="C7012" s="4" t="s">
        <v>9</v>
      </c>
      <c r="D7012" s="4" t="s">
        <v>9</v>
      </c>
      <c r="E7012" s="4" t="s">
        <v>9</v>
      </c>
      <c r="F7012" s="6">
        <v>0</v>
      </c>
      <c r="G7012" s="6">
        <v>0</v>
      </c>
      <c r="H7012" s="4" t="s">
        <v>9</v>
      </c>
      <c r="I7012" s="4" t="s">
        <v>3</v>
      </c>
      <c r="J7012" s="4" t="s">
        <v>9</v>
      </c>
      <c r="K7012" s="4" t="s">
        <v>9</v>
      </c>
      <c r="L7012" s="4" t="s">
        <v>9</v>
      </c>
      <c r="M7012" s="4" t="s">
        <v>9</v>
      </c>
      <c r="N7012" s="5"/>
    </row>
    <row r="7013" spans="1:14" x14ac:dyDescent="0.25">
      <c r="A7013" t="s">
        <v>67</v>
      </c>
      <c r="B7013" s="2">
        <v>46204</v>
      </c>
      <c r="C7013" t="s">
        <v>67</v>
      </c>
      <c r="D7013" t="s">
        <v>1</v>
      </c>
      <c r="E7013" t="s">
        <v>70</v>
      </c>
      <c r="F7013" s="3">
        <v>30000</v>
      </c>
      <c r="G7013" s="3">
        <v>30000</v>
      </c>
      <c r="H7013" t="s">
        <v>3</v>
      </c>
      <c r="I7013" t="s">
        <v>3</v>
      </c>
      <c r="J7013" t="s">
        <v>71</v>
      </c>
      <c r="K7013" t="s">
        <v>13</v>
      </c>
      <c r="L7013" t="s">
        <v>21</v>
      </c>
      <c r="M7013" t="s">
        <v>7</v>
      </c>
      <c r="N7013" s="2">
        <v>46204</v>
      </c>
    </row>
    <row r="7014" spans="1:14" x14ac:dyDescent="0.25">
      <c r="A7014" t="s">
        <v>67</v>
      </c>
      <c r="B7014" s="2">
        <v>46203</v>
      </c>
      <c r="C7014" t="s">
        <v>67</v>
      </c>
      <c r="D7014" t="s">
        <v>1</v>
      </c>
      <c r="E7014" t="s">
        <v>70</v>
      </c>
      <c r="F7014" s="3">
        <v>2</v>
      </c>
      <c r="G7014" s="3">
        <v>2</v>
      </c>
      <c r="H7014" t="s">
        <v>3</v>
      </c>
      <c r="I7014" t="s">
        <v>3</v>
      </c>
      <c r="J7014" t="s">
        <v>71</v>
      </c>
      <c r="K7014" t="s">
        <v>13</v>
      </c>
      <c r="L7014" t="s">
        <v>21</v>
      </c>
      <c r="M7014" t="s">
        <v>7</v>
      </c>
      <c r="N7014" s="2">
        <v>46206</v>
      </c>
    </row>
    <row r="7015" spans="1:14" x14ac:dyDescent="0.25">
      <c r="A7015" t="s">
        <v>67</v>
      </c>
      <c r="B7015" s="2">
        <v>46213</v>
      </c>
      <c r="C7015" t="s">
        <v>67</v>
      </c>
      <c r="D7015" t="s">
        <v>1</v>
      </c>
      <c r="E7015" t="s">
        <v>9</v>
      </c>
      <c r="F7015" s="3">
        <v>16678.96</v>
      </c>
      <c r="G7015" s="3">
        <v>16678.96</v>
      </c>
      <c r="H7015" t="s">
        <v>3</v>
      </c>
      <c r="I7015" t="s">
        <v>3</v>
      </c>
      <c r="J7015" t="s">
        <v>82</v>
      </c>
      <c r="K7015" t="s">
        <v>13</v>
      </c>
      <c r="L7015" t="s">
        <v>21</v>
      </c>
      <c r="M7015" t="s">
        <v>7</v>
      </c>
      <c r="N7015" s="2">
        <v>46213</v>
      </c>
    </row>
    <row r="7016" spans="1:14" x14ac:dyDescent="0.25">
      <c r="A7016" t="s">
        <v>67</v>
      </c>
      <c r="B7016" s="2">
        <v>46234</v>
      </c>
      <c r="C7016" t="s">
        <v>67</v>
      </c>
      <c r="D7016" t="s">
        <v>33</v>
      </c>
      <c r="E7016" t="s">
        <v>9</v>
      </c>
      <c r="F7016" s="3">
        <v>5030</v>
      </c>
      <c r="G7016" s="3">
        <v>5030</v>
      </c>
      <c r="H7016" t="s">
        <v>3</v>
      </c>
      <c r="I7016" t="s">
        <v>3</v>
      </c>
      <c r="J7016" t="s">
        <v>83</v>
      </c>
      <c r="K7016" t="s">
        <v>13</v>
      </c>
      <c r="L7016" t="s">
        <v>21</v>
      </c>
      <c r="M7016" t="s">
        <v>35</v>
      </c>
      <c r="N7016" s="2">
        <v>46234</v>
      </c>
    </row>
    <row r="7017" spans="1:14" x14ac:dyDescent="0.25">
      <c r="A7017" t="s">
        <v>67</v>
      </c>
      <c r="B7017" s="2">
        <v>46234</v>
      </c>
      <c r="C7017" t="s">
        <v>67</v>
      </c>
      <c r="D7017" t="s">
        <v>1</v>
      </c>
      <c r="E7017" t="s">
        <v>9</v>
      </c>
      <c r="F7017" s="3">
        <v>3992</v>
      </c>
      <c r="G7017" s="3">
        <v>3992</v>
      </c>
      <c r="H7017" t="s">
        <v>3</v>
      </c>
      <c r="I7017" t="s">
        <v>3</v>
      </c>
      <c r="J7017" t="s">
        <v>10</v>
      </c>
      <c r="K7017" t="s">
        <v>13</v>
      </c>
      <c r="L7017" t="s">
        <v>21</v>
      </c>
      <c r="M7017" t="s">
        <v>7</v>
      </c>
      <c r="N7017" s="2">
        <v>46234</v>
      </c>
    </row>
    <row r="7018" spans="1:14" x14ac:dyDescent="0.25">
      <c r="A7018" t="s">
        <v>67</v>
      </c>
      <c r="B7018" s="2">
        <v>46234</v>
      </c>
      <c r="C7018" t="s">
        <v>67</v>
      </c>
      <c r="D7018" t="s">
        <v>33</v>
      </c>
      <c r="E7018" t="s">
        <v>9</v>
      </c>
      <c r="F7018" s="3">
        <v>-5030</v>
      </c>
      <c r="G7018" s="3">
        <v>-5030</v>
      </c>
      <c r="H7018" t="s">
        <v>3</v>
      </c>
      <c r="I7018" t="s">
        <v>3</v>
      </c>
      <c r="J7018" t="s">
        <v>45</v>
      </c>
      <c r="K7018" t="s">
        <v>13</v>
      </c>
      <c r="L7018" t="s">
        <v>21</v>
      </c>
      <c r="M7018" t="s">
        <v>35</v>
      </c>
      <c r="N7018" s="2">
        <v>46234</v>
      </c>
    </row>
    <row r="7019" spans="1:14" x14ac:dyDescent="0.25">
      <c r="A7019" t="s">
        <v>67</v>
      </c>
      <c r="B7019" s="2">
        <v>46234</v>
      </c>
      <c r="C7019" t="s">
        <v>67</v>
      </c>
      <c r="D7019" t="s">
        <v>1</v>
      </c>
      <c r="E7019" t="s">
        <v>9</v>
      </c>
      <c r="F7019" s="3">
        <v>5030</v>
      </c>
      <c r="G7019" s="3">
        <v>5030</v>
      </c>
      <c r="H7019" t="s">
        <v>3</v>
      </c>
      <c r="I7019" t="s">
        <v>3</v>
      </c>
      <c r="J7019" t="s">
        <v>45</v>
      </c>
      <c r="K7019" t="s">
        <v>13</v>
      </c>
      <c r="L7019" t="s">
        <v>21</v>
      </c>
      <c r="M7019" t="s">
        <v>7</v>
      </c>
      <c r="N7019" s="2">
        <v>46234</v>
      </c>
    </row>
    <row r="7020" spans="1:14" x14ac:dyDescent="0.25">
      <c r="A7020" t="s">
        <v>67</v>
      </c>
      <c r="B7020" s="2">
        <v>46239</v>
      </c>
      <c r="C7020" t="s">
        <v>67</v>
      </c>
      <c r="D7020" t="s">
        <v>1</v>
      </c>
      <c r="E7020" t="s">
        <v>9</v>
      </c>
      <c r="F7020" s="3">
        <v>-55702.96</v>
      </c>
      <c r="G7020" s="3">
        <v>-55702.96</v>
      </c>
      <c r="H7020" t="s">
        <v>3</v>
      </c>
      <c r="I7020" t="s">
        <v>3</v>
      </c>
      <c r="J7020" t="s">
        <v>768</v>
      </c>
      <c r="K7020" t="s">
        <v>13</v>
      </c>
      <c r="L7020" t="s">
        <v>21</v>
      </c>
      <c r="M7020" t="s">
        <v>7</v>
      </c>
      <c r="N7020" s="2">
        <v>46234</v>
      </c>
    </row>
    <row r="7021" spans="1:14" x14ac:dyDescent="0.25">
      <c r="A7021" s="4" t="s">
        <v>262</v>
      </c>
      <c r="B7021" s="5"/>
      <c r="C7021" s="4" t="s">
        <v>9</v>
      </c>
      <c r="D7021" s="4" t="s">
        <v>9</v>
      </c>
      <c r="E7021" s="4" t="s">
        <v>9</v>
      </c>
      <c r="F7021" s="6">
        <v>0</v>
      </c>
      <c r="G7021" s="6">
        <v>0</v>
      </c>
      <c r="H7021" s="4" t="s">
        <v>9</v>
      </c>
      <c r="I7021" s="4" t="s">
        <v>3</v>
      </c>
      <c r="J7021" s="4" t="s">
        <v>9</v>
      </c>
      <c r="K7021" s="4" t="s">
        <v>9</v>
      </c>
      <c r="L7021" s="4" t="s">
        <v>9</v>
      </c>
      <c r="M7021" s="4" t="s">
        <v>9</v>
      </c>
      <c r="N7021" s="5"/>
    </row>
    <row r="7022" spans="1:14" x14ac:dyDescent="0.25">
      <c r="A7022" t="s">
        <v>67</v>
      </c>
      <c r="B7022" s="2">
        <v>46237</v>
      </c>
      <c r="C7022" t="s">
        <v>67</v>
      </c>
      <c r="D7022" t="s">
        <v>1</v>
      </c>
      <c r="E7022" t="s">
        <v>68</v>
      </c>
      <c r="F7022" s="3">
        <v>28733.15</v>
      </c>
      <c r="G7022" s="3">
        <v>28733.15</v>
      </c>
      <c r="H7022" t="s">
        <v>3</v>
      </c>
      <c r="I7022" t="s">
        <v>3</v>
      </c>
      <c r="J7022" t="s">
        <v>84</v>
      </c>
      <c r="K7022" t="s">
        <v>13</v>
      </c>
      <c r="L7022" t="s">
        <v>22</v>
      </c>
      <c r="M7022" t="s">
        <v>7</v>
      </c>
      <c r="N7022" s="2">
        <v>46239</v>
      </c>
    </row>
    <row r="7023" spans="1:14" x14ac:dyDescent="0.25">
      <c r="A7023" t="s">
        <v>67</v>
      </c>
      <c r="B7023" s="2">
        <v>46244</v>
      </c>
      <c r="C7023" t="s">
        <v>67</v>
      </c>
      <c r="D7023" t="s">
        <v>1</v>
      </c>
      <c r="E7023" t="s">
        <v>9</v>
      </c>
      <c r="F7023" s="3">
        <v>16678.96</v>
      </c>
      <c r="G7023" s="3">
        <v>16678.96</v>
      </c>
      <c r="H7023" t="s">
        <v>3</v>
      </c>
      <c r="I7023" t="s">
        <v>3</v>
      </c>
      <c r="J7023" t="s">
        <v>85</v>
      </c>
      <c r="K7023" t="s">
        <v>13</v>
      </c>
      <c r="L7023" t="s">
        <v>22</v>
      </c>
      <c r="M7023" t="s">
        <v>7</v>
      </c>
      <c r="N7023" s="2">
        <v>46244</v>
      </c>
    </row>
    <row r="7024" spans="1:14" x14ac:dyDescent="0.25">
      <c r="A7024" t="s">
        <v>67</v>
      </c>
      <c r="B7024" s="2">
        <v>46262</v>
      </c>
      <c r="C7024" t="s">
        <v>67</v>
      </c>
      <c r="D7024" t="s">
        <v>1</v>
      </c>
      <c r="E7024" t="s">
        <v>68</v>
      </c>
      <c r="F7024" s="3">
        <v>10289</v>
      </c>
      <c r="G7024" s="3">
        <v>10289</v>
      </c>
      <c r="H7024" t="s">
        <v>3</v>
      </c>
      <c r="I7024" t="s">
        <v>3</v>
      </c>
      <c r="J7024" t="s">
        <v>80</v>
      </c>
      <c r="K7024" t="s">
        <v>13</v>
      </c>
      <c r="L7024" t="s">
        <v>22</v>
      </c>
      <c r="M7024" t="s">
        <v>7</v>
      </c>
      <c r="N7024" s="2">
        <v>46262</v>
      </c>
    </row>
    <row r="7025" spans="1:14" x14ac:dyDescent="0.25">
      <c r="A7025" t="s">
        <v>67</v>
      </c>
      <c r="B7025" s="2">
        <v>46265</v>
      </c>
      <c r="C7025" t="s">
        <v>67</v>
      </c>
      <c r="D7025" t="s">
        <v>1</v>
      </c>
      <c r="E7025" t="s">
        <v>9</v>
      </c>
      <c r="F7025" s="3">
        <v>700</v>
      </c>
      <c r="G7025" s="3">
        <v>700</v>
      </c>
      <c r="H7025" t="s">
        <v>3</v>
      </c>
      <c r="I7025" t="s">
        <v>3</v>
      </c>
      <c r="J7025" t="s">
        <v>10</v>
      </c>
      <c r="K7025" t="s">
        <v>13</v>
      </c>
      <c r="L7025" t="s">
        <v>22</v>
      </c>
      <c r="M7025" t="s">
        <v>7</v>
      </c>
      <c r="N7025" s="2">
        <v>46265</v>
      </c>
    </row>
    <row r="7026" spans="1:14" x14ac:dyDescent="0.25">
      <c r="A7026" t="s">
        <v>67</v>
      </c>
      <c r="B7026" s="2">
        <v>46267</v>
      </c>
      <c r="C7026" t="s">
        <v>67</v>
      </c>
      <c r="D7026" t="s">
        <v>1</v>
      </c>
      <c r="E7026" t="s">
        <v>9</v>
      </c>
      <c r="F7026" s="3">
        <v>-56401.11</v>
      </c>
      <c r="G7026" s="3">
        <v>-56401.11</v>
      </c>
      <c r="H7026" t="s">
        <v>3</v>
      </c>
      <c r="I7026" t="s">
        <v>3</v>
      </c>
      <c r="J7026" t="s">
        <v>768</v>
      </c>
      <c r="K7026" t="s">
        <v>13</v>
      </c>
      <c r="L7026" t="s">
        <v>22</v>
      </c>
      <c r="M7026" t="s">
        <v>7</v>
      </c>
      <c r="N7026" s="2">
        <v>46265</v>
      </c>
    </row>
    <row r="7027" spans="1:14" x14ac:dyDescent="0.25">
      <c r="A7027" s="4" t="s">
        <v>267</v>
      </c>
      <c r="B7027" s="5"/>
      <c r="C7027" s="4" t="s">
        <v>9</v>
      </c>
      <c r="D7027" s="4" t="s">
        <v>9</v>
      </c>
      <c r="E7027" s="4" t="s">
        <v>9</v>
      </c>
      <c r="F7027" s="6">
        <v>0</v>
      </c>
      <c r="G7027" s="6">
        <v>0</v>
      </c>
      <c r="H7027" s="4" t="s">
        <v>9</v>
      </c>
      <c r="I7027" s="4" t="s">
        <v>3</v>
      </c>
      <c r="J7027" s="4" t="s">
        <v>9</v>
      </c>
      <c r="K7027" s="4" t="s">
        <v>9</v>
      </c>
      <c r="L7027" s="4" t="s">
        <v>9</v>
      </c>
      <c r="M7027" s="4" t="s">
        <v>9</v>
      </c>
      <c r="N7027" s="5"/>
    </row>
    <row r="7028" spans="1:14" x14ac:dyDescent="0.25">
      <c r="A7028" t="s">
        <v>67</v>
      </c>
      <c r="B7028" s="2">
        <v>46269</v>
      </c>
      <c r="C7028" t="s">
        <v>67</v>
      </c>
      <c r="D7028" t="s">
        <v>1</v>
      </c>
      <c r="E7028" t="s">
        <v>68</v>
      </c>
      <c r="F7028" s="3">
        <v>28733.15</v>
      </c>
      <c r="G7028" s="3">
        <v>28733.15</v>
      </c>
      <c r="H7028" t="s">
        <v>3</v>
      </c>
      <c r="I7028" t="s">
        <v>3</v>
      </c>
      <c r="J7028" t="s">
        <v>80</v>
      </c>
      <c r="K7028" t="s">
        <v>13</v>
      </c>
      <c r="L7028" t="s">
        <v>6</v>
      </c>
      <c r="M7028" t="s">
        <v>7</v>
      </c>
      <c r="N7028" s="2">
        <v>46269</v>
      </c>
    </row>
    <row r="7029" spans="1:14" x14ac:dyDescent="0.25">
      <c r="A7029" s="4" t="s">
        <v>272</v>
      </c>
      <c r="B7029" s="5"/>
      <c r="C7029" s="4" t="s">
        <v>9</v>
      </c>
      <c r="D7029" s="4" t="s">
        <v>9</v>
      </c>
      <c r="E7029" s="4" t="s">
        <v>9</v>
      </c>
      <c r="F7029" s="6">
        <v>28733.15</v>
      </c>
      <c r="G7029" s="6">
        <v>28733.15</v>
      </c>
      <c r="H7029" s="4" t="s">
        <v>9</v>
      </c>
      <c r="I7029" s="4" t="s">
        <v>3</v>
      </c>
      <c r="J7029" s="4" t="s">
        <v>9</v>
      </c>
      <c r="K7029" s="4" t="s">
        <v>9</v>
      </c>
      <c r="L7029" s="4" t="s">
        <v>9</v>
      </c>
      <c r="M7029" s="4" t="s">
        <v>9</v>
      </c>
      <c r="N7029" s="5"/>
    </row>
    <row r="7030" spans="1:14" x14ac:dyDescent="0.25">
      <c r="A7030" t="s">
        <v>67</v>
      </c>
      <c r="B7030" s="2">
        <v>45991</v>
      </c>
      <c r="C7030" t="s">
        <v>67</v>
      </c>
      <c r="D7030" t="s">
        <v>1</v>
      </c>
      <c r="E7030" t="s">
        <v>9</v>
      </c>
      <c r="F7030" s="3">
        <v>18900</v>
      </c>
      <c r="G7030" s="3">
        <v>18900</v>
      </c>
      <c r="H7030" t="s">
        <v>3</v>
      </c>
      <c r="I7030" t="s">
        <v>3</v>
      </c>
      <c r="J7030" t="s">
        <v>10</v>
      </c>
      <c r="K7030" t="s">
        <v>5</v>
      </c>
      <c r="L7030" t="s">
        <v>11</v>
      </c>
      <c r="M7030" t="s">
        <v>7</v>
      </c>
      <c r="N7030" s="2">
        <v>45991</v>
      </c>
    </row>
    <row r="7031" spans="1:14" x14ac:dyDescent="0.25">
      <c r="A7031" t="s">
        <v>67</v>
      </c>
      <c r="B7031" s="2">
        <v>45993</v>
      </c>
      <c r="C7031" t="s">
        <v>67</v>
      </c>
      <c r="D7031" t="s">
        <v>1</v>
      </c>
      <c r="E7031" t="s">
        <v>9</v>
      </c>
      <c r="F7031" s="3">
        <v>-18900</v>
      </c>
      <c r="G7031" s="3">
        <v>-18900</v>
      </c>
      <c r="H7031" t="s">
        <v>3</v>
      </c>
      <c r="I7031" t="s">
        <v>3</v>
      </c>
      <c r="J7031" t="s">
        <v>768</v>
      </c>
      <c r="K7031" t="s">
        <v>5</v>
      </c>
      <c r="L7031" t="s">
        <v>11</v>
      </c>
      <c r="M7031" t="s">
        <v>7</v>
      </c>
      <c r="N7031" s="2">
        <v>45991</v>
      </c>
    </row>
    <row r="7032" spans="1:14" x14ac:dyDescent="0.25">
      <c r="A7032" s="4" t="s">
        <v>226</v>
      </c>
      <c r="B7032" s="5"/>
      <c r="C7032" s="4" t="s">
        <v>9</v>
      </c>
      <c r="D7032" s="4" t="s">
        <v>9</v>
      </c>
      <c r="E7032" s="4" t="s">
        <v>9</v>
      </c>
      <c r="F7032" s="6">
        <v>0</v>
      </c>
      <c r="G7032" s="6">
        <v>0</v>
      </c>
      <c r="H7032" s="4" t="s">
        <v>9</v>
      </c>
      <c r="I7032" s="4" t="s">
        <v>3</v>
      </c>
      <c r="J7032" s="4" t="s">
        <v>9</v>
      </c>
      <c r="K7032" s="4" t="s">
        <v>9</v>
      </c>
      <c r="L7032" s="4" t="s">
        <v>9</v>
      </c>
      <c r="M7032" s="4" t="s">
        <v>9</v>
      </c>
      <c r="N7032" s="5"/>
    </row>
    <row r="7033" spans="1:14" x14ac:dyDescent="0.25">
      <c r="A7033" t="s">
        <v>67</v>
      </c>
      <c r="B7033" s="2">
        <v>46008</v>
      </c>
      <c r="C7033" t="s">
        <v>67</v>
      </c>
      <c r="D7033" t="s">
        <v>1</v>
      </c>
      <c r="E7033" t="s">
        <v>68</v>
      </c>
      <c r="F7033" s="3">
        <v>90000</v>
      </c>
      <c r="G7033" s="3">
        <v>90000</v>
      </c>
      <c r="H7033" t="s">
        <v>3</v>
      </c>
      <c r="I7033" t="s">
        <v>3</v>
      </c>
      <c r="J7033" t="s">
        <v>69</v>
      </c>
      <c r="K7033" t="s">
        <v>5</v>
      </c>
      <c r="L7033" t="s">
        <v>12</v>
      </c>
      <c r="M7033" t="s">
        <v>7</v>
      </c>
      <c r="N7033" s="2">
        <v>46008</v>
      </c>
    </row>
    <row r="7034" spans="1:14" x14ac:dyDescent="0.25">
      <c r="A7034" t="s">
        <v>67</v>
      </c>
      <c r="B7034" s="2">
        <v>46010</v>
      </c>
      <c r="C7034" t="s">
        <v>67</v>
      </c>
      <c r="D7034" t="s">
        <v>1</v>
      </c>
      <c r="E7034" t="s">
        <v>70</v>
      </c>
      <c r="F7034" s="3">
        <v>10000</v>
      </c>
      <c r="G7034" s="3">
        <v>10000</v>
      </c>
      <c r="H7034" t="s">
        <v>3</v>
      </c>
      <c r="I7034" t="s">
        <v>3</v>
      </c>
      <c r="J7034" t="s">
        <v>71</v>
      </c>
      <c r="K7034" t="s">
        <v>5</v>
      </c>
      <c r="L7034" t="s">
        <v>12</v>
      </c>
      <c r="M7034" t="s">
        <v>7</v>
      </c>
      <c r="N7034" s="2">
        <v>46010</v>
      </c>
    </row>
    <row r="7035" spans="1:14" x14ac:dyDescent="0.25">
      <c r="A7035" t="s">
        <v>67</v>
      </c>
      <c r="B7035" s="2">
        <v>46022</v>
      </c>
      <c r="C7035" t="s">
        <v>67</v>
      </c>
      <c r="D7035" t="s">
        <v>1</v>
      </c>
      <c r="E7035" t="s">
        <v>9</v>
      </c>
      <c r="F7035" s="3">
        <v>19100</v>
      </c>
      <c r="G7035" s="3">
        <v>19100</v>
      </c>
      <c r="H7035" t="s">
        <v>3</v>
      </c>
      <c r="I7035" t="s">
        <v>3</v>
      </c>
      <c r="J7035" t="s">
        <v>10</v>
      </c>
      <c r="K7035" t="s">
        <v>5</v>
      </c>
      <c r="L7035" t="s">
        <v>12</v>
      </c>
      <c r="M7035" t="s">
        <v>7</v>
      </c>
      <c r="N7035" s="2">
        <v>46022</v>
      </c>
    </row>
    <row r="7036" spans="1:14" x14ac:dyDescent="0.25">
      <c r="A7036" t="s">
        <v>67</v>
      </c>
      <c r="B7036" s="2">
        <v>46028</v>
      </c>
      <c r="C7036" t="s">
        <v>67</v>
      </c>
      <c r="D7036" t="s">
        <v>1</v>
      </c>
      <c r="E7036" t="s">
        <v>9</v>
      </c>
      <c r="F7036" s="3">
        <v>-119100</v>
      </c>
      <c r="G7036" s="3">
        <v>-119100</v>
      </c>
      <c r="H7036" t="s">
        <v>3</v>
      </c>
      <c r="I7036" t="s">
        <v>3</v>
      </c>
      <c r="J7036" t="s">
        <v>768</v>
      </c>
      <c r="K7036" t="s">
        <v>5</v>
      </c>
      <c r="L7036" t="s">
        <v>12</v>
      </c>
      <c r="M7036" t="s">
        <v>7</v>
      </c>
      <c r="N7036" s="2">
        <v>46022</v>
      </c>
    </row>
    <row r="7037" spans="1:14" x14ac:dyDescent="0.25">
      <c r="A7037" s="4" t="s">
        <v>228</v>
      </c>
      <c r="B7037" s="5"/>
      <c r="C7037" s="4" t="s">
        <v>9</v>
      </c>
      <c r="D7037" s="4" t="s">
        <v>9</v>
      </c>
      <c r="E7037" s="4" t="s">
        <v>9</v>
      </c>
      <c r="F7037" s="6">
        <v>0</v>
      </c>
      <c r="G7037" s="6">
        <v>0</v>
      </c>
      <c r="H7037" s="4" t="s">
        <v>9</v>
      </c>
      <c r="I7037" s="4" t="s">
        <v>3</v>
      </c>
      <c r="J7037" s="4" t="s">
        <v>9</v>
      </c>
      <c r="K7037" s="4" t="s">
        <v>9</v>
      </c>
      <c r="L7037" s="4" t="s">
        <v>9</v>
      </c>
      <c r="M7037" s="4" t="s">
        <v>9</v>
      </c>
      <c r="N7037" s="5"/>
    </row>
    <row r="7038" spans="1:14" x14ac:dyDescent="0.25">
      <c r="A7038" s="4" t="s">
        <v>67</v>
      </c>
      <c r="B7038" s="5"/>
      <c r="C7038" s="4" t="s">
        <v>9</v>
      </c>
      <c r="D7038" s="4" t="s">
        <v>9</v>
      </c>
      <c r="E7038" s="4" t="s">
        <v>9</v>
      </c>
      <c r="F7038" s="6">
        <v>28733.15</v>
      </c>
      <c r="G7038" s="6">
        <v>28733.15</v>
      </c>
      <c r="H7038" s="4" t="s">
        <v>9</v>
      </c>
      <c r="I7038" s="4" t="s">
        <v>3</v>
      </c>
      <c r="J7038" s="4" t="s">
        <v>9</v>
      </c>
      <c r="K7038" s="4" t="s">
        <v>9</v>
      </c>
      <c r="L7038" s="4" t="s">
        <v>9</v>
      </c>
      <c r="M7038" s="4" t="s">
        <v>9</v>
      </c>
      <c r="N7038" s="5"/>
    </row>
    <row r="7039" spans="1:14" x14ac:dyDescent="0.25">
      <c r="A7039" t="s">
        <v>86</v>
      </c>
      <c r="B7039" s="2">
        <v>46053</v>
      </c>
      <c r="C7039" t="s">
        <v>86</v>
      </c>
      <c r="D7039" t="s">
        <v>1</v>
      </c>
      <c r="E7039" t="s">
        <v>9</v>
      </c>
      <c r="F7039" s="3">
        <v>3850</v>
      </c>
      <c r="G7039" s="3">
        <v>3850</v>
      </c>
      <c r="H7039" t="s">
        <v>3</v>
      </c>
      <c r="I7039" t="s">
        <v>3</v>
      </c>
      <c r="J7039" t="s">
        <v>10</v>
      </c>
      <c r="K7039" t="s">
        <v>13</v>
      </c>
      <c r="L7039" t="s">
        <v>14</v>
      </c>
      <c r="M7039" t="s">
        <v>7</v>
      </c>
      <c r="N7039" s="2">
        <v>46053</v>
      </c>
    </row>
    <row r="7040" spans="1:14" x14ac:dyDescent="0.25">
      <c r="A7040" t="s">
        <v>86</v>
      </c>
      <c r="B7040" s="2">
        <v>46056</v>
      </c>
      <c r="C7040" t="s">
        <v>86</v>
      </c>
      <c r="D7040" t="s">
        <v>1</v>
      </c>
      <c r="E7040" t="s">
        <v>9</v>
      </c>
      <c r="F7040" s="3">
        <v>-3850</v>
      </c>
      <c r="G7040" s="3">
        <v>-3850</v>
      </c>
      <c r="H7040" t="s">
        <v>3</v>
      </c>
      <c r="I7040" t="s">
        <v>3</v>
      </c>
      <c r="J7040" t="s">
        <v>770</v>
      </c>
      <c r="K7040" t="s">
        <v>13</v>
      </c>
      <c r="L7040" t="s">
        <v>14</v>
      </c>
      <c r="M7040" t="s">
        <v>7</v>
      </c>
      <c r="N7040" s="2">
        <v>46053</v>
      </c>
    </row>
    <row r="7041" spans="1:14" x14ac:dyDescent="0.25">
      <c r="A7041" s="4" t="s">
        <v>234</v>
      </c>
      <c r="B7041" s="5"/>
      <c r="C7041" s="4" t="s">
        <v>9</v>
      </c>
      <c r="D7041" s="4" t="s">
        <v>9</v>
      </c>
      <c r="E7041" s="4" t="s">
        <v>9</v>
      </c>
      <c r="F7041" s="6">
        <v>0</v>
      </c>
      <c r="G7041" s="6">
        <v>0</v>
      </c>
      <c r="H7041" s="4" t="s">
        <v>9</v>
      </c>
      <c r="I7041" s="4" t="s">
        <v>3</v>
      </c>
      <c r="J7041" s="4" t="s">
        <v>9</v>
      </c>
      <c r="K7041" s="4" t="s">
        <v>9</v>
      </c>
      <c r="L7041" s="4" t="s">
        <v>9</v>
      </c>
      <c r="M7041" s="4" t="s">
        <v>9</v>
      </c>
      <c r="N7041" s="5"/>
    </row>
    <row r="7042" spans="1:14" x14ac:dyDescent="0.25">
      <c r="A7042" t="s">
        <v>86</v>
      </c>
      <c r="B7042" s="2">
        <v>46081</v>
      </c>
      <c r="C7042" t="s">
        <v>86</v>
      </c>
      <c r="D7042" t="s">
        <v>1</v>
      </c>
      <c r="E7042" t="s">
        <v>9</v>
      </c>
      <c r="F7042" s="3">
        <v>5550</v>
      </c>
      <c r="G7042" s="3">
        <v>5550</v>
      </c>
      <c r="H7042" t="s">
        <v>3</v>
      </c>
      <c r="I7042" t="s">
        <v>3</v>
      </c>
      <c r="J7042" t="s">
        <v>10</v>
      </c>
      <c r="K7042" t="s">
        <v>13</v>
      </c>
      <c r="L7042" t="s">
        <v>15</v>
      </c>
      <c r="M7042" t="s">
        <v>7</v>
      </c>
      <c r="N7042" s="2">
        <v>46081</v>
      </c>
    </row>
    <row r="7043" spans="1:14" x14ac:dyDescent="0.25">
      <c r="A7043" t="s">
        <v>86</v>
      </c>
      <c r="B7043" s="2">
        <v>46084</v>
      </c>
      <c r="C7043" t="s">
        <v>86</v>
      </c>
      <c r="D7043" t="s">
        <v>1</v>
      </c>
      <c r="E7043" t="s">
        <v>9</v>
      </c>
      <c r="F7043" s="3">
        <v>-5550</v>
      </c>
      <c r="G7043" s="3">
        <v>-5550</v>
      </c>
      <c r="H7043" t="s">
        <v>3</v>
      </c>
      <c r="I7043" t="s">
        <v>3</v>
      </c>
      <c r="J7043" t="s">
        <v>770</v>
      </c>
      <c r="K7043" t="s">
        <v>13</v>
      </c>
      <c r="L7043" t="s">
        <v>15</v>
      </c>
      <c r="M7043" t="s">
        <v>7</v>
      </c>
      <c r="N7043" s="2">
        <v>46081</v>
      </c>
    </row>
    <row r="7044" spans="1:14" x14ac:dyDescent="0.25">
      <c r="A7044" s="4" t="s">
        <v>239</v>
      </c>
      <c r="B7044" s="5"/>
      <c r="C7044" s="4" t="s">
        <v>9</v>
      </c>
      <c r="D7044" s="4" t="s">
        <v>9</v>
      </c>
      <c r="E7044" s="4" t="s">
        <v>9</v>
      </c>
      <c r="F7044" s="6">
        <v>0</v>
      </c>
      <c r="G7044" s="6">
        <v>0</v>
      </c>
      <c r="H7044" s="4" t="s">
        <v>9</v>
      </c>
      <c r="I7044" s="4" t="s">
        <v>3</v>
      </c>
      <c r="J7044" s="4" t="s">
        <v>9</v>
      </c>
      <c r="K7044" s="4" t="s">
        <v>9</v>
      </c>
      <c r="L7044" s="4" t="s">
        <v>9</v>
      </c>
      <c r="M7044" s="4" t="s">
        <v>9</v>
      </c>
      <c r="N7044" s="5"/>
    </row>
    <row r="7045" spans="1:14" x14ac:dyDescent="0.25">
      <c r="A7045" t="s">
        <v>86</v>
      </c>
      <c r="B7045" s="2">
        <v>46112</v>
      </c>
      <c r="C7045" t="s">
        <v>86</v>
      </c>
      <c r="D7045" t="s">
        <v>1</v>
      </c>
      <c r="E7045" t="s">
        <v>9</v>
      </c>
      <c r="F7045" s="3">
        <v>10050</v>
      </c>
      <c r="G7045" s="3">
        <v>10050</v>
      </c>
      <c r="H7045" t="s">
        <v>3</v>
      </c>
      <c r="I7045" t="s">
        <v>3</v>
      </c>
      <c r="J7045" t="s">
        <v>10</v>
      </c>
      <c r="K7045" t="s">
        <v>13</v>
      </c>
      <c r="L7045" t="s">
        <v>16</v>
      </c>
      <c r="M7045" t="s">
        <v>7</v>
      </c>
      <c r="N7045" s="2">
        <v>46112</v>
      </c>
    </row>
    <row r="7046" spans="1:14" x14ac:dyDescent="0.25">
      <c r="A7046" t="s">
        <v>86</v>
      </c>
      <c r="B7046" s="2">
        <v>46115</v>
      </c>
      <c r="C7046" t="s">
        <v>86</v>
      </c>
      <c r="D7046" t="s">
        <v>1</v>
      </c>
      <c r="E7046" t="s">
        <v>9</v>
      </c>
      <c r="F7046" s="3">
        <v>-10050</v>
      </c>
      <c r="G7046" s="3">
        <v>-10050</v>
      </c>
      <c r="H7046" t="s">
        <v>3</v>
      </c>
      <c r="I7046" t="s">
        <v>3</v>
      </c>
      <c r="J7046" t="s">
        <v>770</v>
      </c>
      <c r="K7046" t="s">
        <v>13</v>
      </c>
      <c r="L7046" t="s">
        <v>16</v>
      </c>
      <c r="M7046" t="s">
        <v>7</v>
      </c>
      <c r="N7046" s="2">
        <v>46112</v>
      </c>
    </row>
    <row r="7047" spans="1:14" x14ac:dyDescent="0.25">
      <c r="A7047" s="4" t="s">
        <v>244</v>
      </c>
      <c r="B7047" s="5"/>
      <c r="C7047" s="4" t="s">
        <v>9</v>
      </c>
      <c r="D7047" s="4" t="s">
        <v>9</v>
      </c>
      <c r="E7047" s="4" t="s">
        <v>9</v>
      </c>
      <c r="F7047" s="6">
        <v>0</v>
      </c>
      <c r="G7047" s="6">
        <v>0</v>
      </c>
      <c r="H7047" s="4" t="s">
        <v>9</v>
      </c>
      <c r="I7047" s="4" t="s">
        <v>3</v>
      </c>
      <c r="J7047" s="4" t="s">
        <v>9</v>
      </c>
      <c r="K7047" s="4" t="s">
        <v>9</v>
      </c>
      <c r="L7047" s="4" t="s">
        <v>9</v>
      </c>
      <c r="M7047" s="4" t="s">
        <v>9</v>
      </c>
      <c r="N7047" s="5"/>
    </row>
    <row r="7048" spans="1:14" x14ac:dyDescent="0.25">
      <c r="A7048" t="s">
        <v>86</v>
      </c>
      <c r="B7048" s="2">
        <v>46142</v>
      </c>
      <c r="C7048" t="s">
        <v>86</v>
      </c>
      <c r="D7048" t="s">
        <v>1</v>
      </c>
      <c r="E7048" t="s">
        <v>9</v>
      </c>
      <c r="F7048" s="3">
        <v>6559</v>
      </c>
      <c r="G7048" s="3">
        <v>6559</v>
      </c>
      <c r="H7048" t="s">
        <v>3</v>
      </c>
      <c r="I7048" t="s">
        <v>3</v>
      </c>
      <c r="J7048" t="s">
        <v>10</v>
      </c>
      <c r="K7048" t="s">
        <v>13</v>
      </c>
      <c r="L7048" t="s">
        <v>17</v>
      </c>
      <c r="M7048" t="s">
        <v>7</v>
      </c>
      <c r="N7048" s="2">
        <v>46142</v>
      </c>
    </row>
    <row r="7049" spans="1:14" x14ac:dyDescent="0.25">
      <c r="A7049" t="s">
        <v>86</v>
      </c>
      <c r="B7049" s="2">
        <v>46147</v>
      </c>
      <c r="C7049" t="s">
        <v>86</v>
      </c>
      <c r="D7049" t="s">
        <v>1</v>
      </c>
      <c r="E7049" t="s">
        <v>9</v>
      </c>
      <c r="F7049" s="3">
        <v>-6559</v>
      </c>
      <c r="G7049" s="3">
        <v>-6559</v>
      </c>
      <c r="H7049" t="s">
        <v>3</v>
      </c>
      <c r="I7049" t="s">
        <v>3</v>
      </c>
      <c r="J7049" t="s">
        <v>770</v>
      </c>
      <c r="K7049" t="s">
        <v>13</v>
      </c>
      <c r="L7049" t="s">
        <v>17</v>
      </c>
      <c r="M7049" t="s">
        <v>7</v>
      </c>
      <c r="N7049" s="2">
        <v>46142</v>
      </c>
    </row>
    <row r="7050" spans="1:14" x14ac:dyDescent="0.25">
      <c r="A7050" s="4" t="s">
        <v>249</v>
      </c>
      <c r="B7050" s="5"/>
      <c r="C7050" s="4" t="s">
        <v>9</v>
      </c>
      <c r="D7050" s="4" t="s">
        <v>9</v>
      </c>
      <c r="E7050" s="4" t="s">
        <v>9</v>
      </c>
      <c r="F7050" s="6">
        <v>0</v>
      </c>
      <c r="G7050" s="6">
        <v>0</v>
      </c>
      <c r="H7050" s="4" t="s">
        <v>9</v>
      </c>
      <c r="I7050" s="4" t="s">
        <v>3</v>
      </c>
      <c r="J7050" s="4" t="s">
        <v>9</v>
      </c>
      <c r="K7050" s="4" t="s">
        <v>9</v>
      </c>
      <c r="L7050" s="4" t="s">
        <v>9</v>
      </c>
      <c r="M7050" s="4" t="s">
        <v>9</v>
      </c>
      <c r="N7050" s="5"/>
    </row>
    <row r="7051" spans="1:14" x14ac:dyDescent="0.25">
      <c r="A7051" t="s">
        <v>86</v>
      </c>
      <c r="B7051" s="2">
        <v>46255</v>
      </c>
      <c r="C7051" t="s">
        <v>86</v>
      </c>
      <c r="D7051" t="s">
        <v>1</v>
      </c>
      <c r="E7051" t="s">
        <v>89</v>
      </c>
      <c r="F7051" s="3">
        <v>4125</v>
      </c>
      <c r="G7051" s="3">
        <v>4125</v>
      </c>
      <c r="H7051" t="s">
        <v>3</v>
      </c>
      <c r="I7051" t="s">
        <v>3</v>
      </c>
      <c r="J7051" t="s">
        <v>90</v>
      </c>
      <c r="K7051" t="s">
        <v>13</v>
      </c>
      <c r="L7051" t="s">
        <v>22</v>
      </c>
      <c r="M7051" t="s">
        <v>7</v>
      </c>
      <c r="N7051" s="2">
        <v>46255</v>
      </c>
    </row>
    <row r="7052" spans="1:14" x14ac:dyDescent="0.25">
      <c r="A7052" t="s">
        <v>86</v>
      </c>
      <c r="B7052" s="2">
        <v>46255</v>
      </c>
      <c r="C7052" t="s">
        <v>86</v>
      </c>
      <c r="D7052" t="s">
        <v>1</v>
      </c>
      <c r="E7052" t="s">
        <v>89</v>
      </c>
      <c r="F7052" s="3">
        <v>35521</v>
      </c>
      <c r="G7052" s="3">
        <v>35521</v>
      </c>
      <c r="H7052" t="s">
        <v>3</v>
      </c>
      <c r="I7052" t="s">
        <v>3</v>
      </c>
      <c r="J7052" t="s">
        <v>90</v>
      </c>
      <c r="K7052" t="s">
        <v>13</v>
      </c>
      <c r="L7052" t="s">
        <v>22</v>
      </c>
      <c r="M7052" t="s">
        <v>7</v>
      </c>
      <c r="N7052" s="2">
        <v>46255</v>
      </c>
    </row>
    <row r="7053" spans="1:14" x14ac:dyDescent="0.25">
      <c r="A7053" t="s">
        <v>86</v>
      </c>
      <c r="B7053" s="2">
        <v>46267</v>
      </c>
      <c r="C7053" t="s">
        <v>86</v>
      </c>
      <c r="D7053" t="s">
        <v>1</v>
      </c>
      <c r="E7053" t="s">
        <v>9</v>
      </c>
      <c r="F7053" s="3">
        <v>-39646</v>
      </c>
      <c r="G7053" s="3">
        <v>-39646</v>
      </c>
      <c r="H7053" t="s">
        <v>3</v>
      </c>
      <c r="I7053" t="s">
        <v>3</v>
      </c>
      <c r="J7053" t="s">
        <v>770</v>
      </c>
      <c r="K7053" t="s">
        <v>13</v>
      </c>
      <c r="L7053" t="s">
        <v>22</v>
      </c>
      <c r="M7053" t="s">
        <v>7</v>
      </c>
      <c r="N7053" s="2">
        <v>46265</v>
      </c>
    </row>
    <row r="7054" spans="1:14" x14ac:dyDescent="0.25">
      <c r="A7054" s="4" t="s">
        <v>267</v>
      </c>
      <c r="B7054" s="5"/>
      <c r="C7054" s="4" t="s">
        <v>9</v>
      </c>
      <c r="D7054" s="4" t="s">
        <v>9</v>
      </c>
      <c r="E7054" s="4" t="s">
        <v>9</v>
      </c>
      <c r="F7054" s="6">
        <v>0</v>
      </c>
      <c r="G7054" s="6">
        <v>0</v>
      </c>
      <c r="H7054" s="4" t="s">
        <v>9</v>
      </c>
      <c r="I7054" s="4" t="s">
        <v>3</v>
      </c>
      <c r="J7054" s="4" t="s">
        <v>9</v>
      </c>
      <c r="K7054" s="4" t="s">
        <v>9</v>
      </c>
      <c r="L7054" s="4" t="s">
        <v>9</v>
      </c>
      <c r="M7054" s="4" t="s">
        <v>9</v>
      </c>
      <c r="N7054" s="5"/>
    </row>
    <row r="7055" spans="1:14" x14ac:dyDescent="0.25">
      <c r="A7055" t="s">
        <v>86</v>
      </c>
      <c r="B7055" s="2">
        <v>46010</v>
      </c>
      <c r="C7055" t="s">
        <v>86</v>
      </c>
      <c r="D7055" t="s">
        <v>1</v>
      </c>
      <c r="E7055" t="s">
        <v>87</v>
      </c>
      <c r="F7055" s="3">
        <v>31990.6</v>
      </c>
      <c r="G7055" s="3">
        <v>31990.6</v>
      </c>
      <c r="H7055" t="s">
        <v>3</v>
      </c>
      <c r="I7055" t="s">
        <v>3</v>
      </c>
      <c r="J7055" t="s">
        <v>88</v>
      </c>
      <c r="K7055" t="s">
        <v>5</v>
      </c>
      <c r="L7055" t="s">
        <v>12</v>
      </c>
      <c r="M7055" t="s">
        <v>7</v>
      </c>
      <c r="N7055" s="2">
        <v>46010</v>
      </c>
    </row>
    <row r="7056" spans="1:14" x14ac:dyDescent="0.25">
      <c r="A7056" t="s">
        <v>86</v>
      </c>
      <c r="B7056" s="2">
        <v>46028</v>
      </c>
      <c r="C7056" t="s">
        <v>86</v>
      </c>
      <c r="D7056" t="s">
        <v>1</v>
      </c>
      <c r="E7056" t="s">
        <v>9</v>
      </c>
      <c r="F7056" s="3">
        <v>-31990.6</v>
      </c>
      <c r="G7056" s="3">
        <v>-31990.6</v>
      </c>
      <c r="H7056" t="s">
        <v>3</v>
      </c>
      <c r="I7056" t="s">
        <v>3</v>
      </c>
      <c r="J7056" t="s">
        <v>770</v>
      </c>
      <c r="K7056" t="s">
        <v>5</v>
      </c>
      <c r="L7056" t="s">
        <v>12</v>
      </c>
      <c r="M7056" t="s">
        <v>7</v>
      </c>
      <c r="N7056" s="2">
        <v>46022</v>
      </c>
    </row>
    <row r="7057" spans="1:14" x14ac:dyDescent="0.25">
      <c r="A7057" s="4" t="s">
        <v>228</v>
      </c>
      <c r="B7057" s="5"/>
      <c r="C7057" s="4" t="s">
        <v>9</v>
      </c>
      <c r="D7057" s="4" t="s">
        <v>9</v>
      </c>
      <c r="E7057" s="4" t="s">
        <v>9</v>
      </c>
      <c r="F7057" s="6">
        <v>0</v>
      </c>
      <c r="G7057" s="6">
        <v>0</v>
      </c>
      <c r="H7057" s="4" t="s">
        <v>9</v>
      </c>
      <c r="I7057" s="4" t="s">
        <v>3</v>
      </c>
      <c r="J7057" s="4" t="s">
        <v>9</v>
      </c>
      <c r="K7057" s="4" t="s">
        <v>9</v>
      </c>
      <c r="L7057" s="4" t="s">
        <v>9</v>
      </c>
      <c r="M7057" s="4" t="s">
        <v>9</v>
      </c>
      <c r="N7057" s="5"/>
    </row>
    <row r="7058" spans="1:14" x14ac:dyDescent="0.25">
      <c r="A7058" s="4" t="s">
        <v>86</v>
      </c>
      <c r="B7058" s="5"/>
      <c r="C7058" s="4" t="s">
        <v>9</v>
      </c>
      <c r="D7058" s="4" t="s">
        <v>9</v>
      </c>
      <c r="E7058" s="4" t="s">
        <v>9</v>
      </c>
      <c r="F7058" s="6">
        <v>0</v>
      </c>
      <c r="G7058" s="6">
        <v>0</v>
      </c>
      <c r="H7058" s="4" t="s">
        <v>9</v>
      </c>
      <c r="I7058" s="4" t="s">
        <v>3</v>
      </c>
      <c r="J7058" s="4" t="s">
        <v>9</v>
      </c>
      <c r="K7058" s="4" t="s">
        <v>9</v>
      </c>
      <c r="L7058" s="4" t="s">
        <v>9</v>
      </c>
      <c r="M7058" s="4" t="s">
        <v>9</v>
      </c>
      <c r="N7058" s="5"/>
    </row>
    <row r="7059" spans="1:14" x14ac:dyDescent="0.25">
      <c r="A7059" t="s">
        <v>124</v>
      </c>
      <c r="B7059" s="2">
        <v>46059</v>
      </c>
      <c r="C7059" t="s">
        <v>124</v>
      </c>
      <c r="D7059" t="s">
        <v>1</v>
      </c>
      <c r="E7059" t="s">
        <v>125</v>
      </c>
      <c r="F7059" s="3">
        <v>590.13</v>
      </c>
      <c r="G7059" s="3">
        <v>590.13</v>
      </c>
      <c r="H7059" t="s">
        <v>3</v>
      </c>
      <c r="I7059" t="s">
        <v>3</v>
      </c>
      <c r="J7059" t="s">
        <v>126</v>
      </c>
      <c r="K7059" t="s">
        <v>13</v>
      </c>
      <c r="L7059" t="s">
        <v>15</v>
      </c>
      <c r="M7059" t="s">
        <v>7</v>
      </c>
      <c r="N7059" s="2">
        <v>46059</v>
      </c>
    </row>
    <row r="7060" spans="1:14" x14ac:dyDescent="0.25">
      <c r="A7060" t="s">
        <v>124</v>
      </c>
      <c r="B7060" s="2">
        <v>46064</v>
      </c>
      <c r="C7060" t="s">
        <v>124</v>
      </c>
      <c r="D7060" t="s">
        <v>1</v>
      </c>
      <c r="E7060" t="s">
        <v>125</v>
      </c>
      <c r="F7060" s="3">
        <v>12822.65</v>
      </c>
      <c r="G7060" s="3">
        <v>12822.65</v>
      </c>
      <c r="H7060" t="s">
        <v>3</v>
      </c>
      <c r="I7060" t="s">
        <v>3</v>
      </c>
      <c r="J7060" t="s">
        <v>126</v>
      </c>
      <c r="K7060" t="s">
        <v>13</v>
      </c>
      <c r="L7060" t="s">
        <v>15</v>
      </c>
      <c r="M7060" t="s">
        <v>7</v>
      </c>
      <c r="N7060" s="2">
        <v>46064</v>
      </c>
    </row>
    <row r="7061" spans="1:14" x14ac:dyDescent="0.25">
      <c r="A7061" t="s">
        <v>124</v>
      </c>
      <c r="B7061" s="2">
        <v>46084</v>
      </c>
      <c r="C7061" t="s">
        <v>124</v>
      </c>
      <c r="D7061" t="s">
        <v>1</v>
      </c>
      <c r="E7061" t="s">
        <v>9</v>
      </c>
      <c r="F7061" s="3">
        <v>-13412.78</v>
      </c>
      <c r="G7061" s="3">
        <v>-13412.78</v>
      </c>
      <c r="H7061" t="s">
        <v>3</v>
      </c>
      <c r="I7061" t="s">
        <v>3</v>
      </c>
      <c r="J7061" t="s">
        <v>127</v>
      </c>
      <c r="K7061" t="s">
        <v>13</v>
      </c>
      <c r="L7061" t="s">
        <v>15</v>
      </c>
      <c r="M7061" t="s">
        <v>7</v>
      </c>
      <c r="N7061" s="2">
        <v>46081</v>
      </c>
    </row>
    <row r="7062" spans="1:14" x14ac:dyDescent="0.25">
      <c r="A7062" s="4" t="s">
        <v>239</v>
      </c>
      <c r="B7062" s="5"/>
      <c r="C7062" s="4" t="s">
        <v>9</v>
      </c>
      <c r="D7062" s="4" t="s">
        <v>9</v>
      </c>
      <c r="E7062" s="4" t="s">
        <v>9</v>
      </c>
      <c r="F7062" s="6">
        <v>0</v>
      </c>
      <c r="G7062" s="6">
        <v>0</v>
      </c>
      <c r="H7062" s="4" t="s">
        <v>9</v>
      </c>
      <c r="I7062" s="4" t="s">
        <v>3</v>
      </c>
      <c r="J7062" s="4" t="s">
        <v>9</v>
      </c>
      <c r="K7062" s="4" t="s">
        <v>9</v>
      </c>
      <c r="L7062" s="4" t="s">
        <v>9</v>
      </c>
      <c r="M7062" s="4" t="s">
        <v>9</v>
      </c>
      <c r="N7062" s="5"/>
    </row>
    <row r="7063" spans="1:14" x14ac:dyDescent="0.25">
      <c r="A7063" t="s">
        <v>124</v>
      </c>
      <c r="B7063" s="2">
        <v>46090</v>
      </c>
      <c r="C7063" t="s">
        <v>124</v>
      </c>
      <c r="D7063" t="s">
        <v>1</v>
      </c>
      <c r="E7063" t="s">
        <v>125</v>
      </c>
      <c r="F7063" s="3">
        <v>11701.27</v>
      </c>
      <c r="G7063" s="3">
        <v>11701.27</v>
      </c>
      <c r="H7063" t="s">
        <v>3</v>
      </c>
      <c r="I7063" t="s">
        <v>3</v>
      </c>
      <c r="J7063" t="s">
        <v>126</v>
      </c>
      <c r="K7063" t="s">
        <v>13</v>
      </c>
      <c r="L7063" t="s">
        <v>16</v>
      </c>
      <c r="M7063" t="s">
        <v>7</v>
      </c>
      <c r="N7063" s="2">
        <v>46090</v>
      </c>
    </row>
    <row r="7064" spans="1:14" x14ac:dyDescent="0.25">
      <c r="A7064" t="s">
        <v>124</v>
      </c>
      <c r="B7064" s="2">
        <v>46090</v>
      </c>
      <c r="C7064" t="s">
        <v>124</v>
      </c>
      <c r="D7064" t="s">
        <v>1</v>
      </c>
      <c r="E7064" t="s">
        <v>125</v>
      </c>
      <c r="F7064" s="3">
        <v>4917.8</v>
      </c>
      <c r="G7064" s="3">
        <v>4917.8</v>
      </c>
      <c r="H7064" t="s">
        <v>3</v>
      </c>
      <c r="I7064" t="s">
        <v>3</v>
      </c>
      <c r="J7064" t="s">
        <v>126</v>
      </c>
      <c r="K7064" t="s">
        <v>13</v>
      </c>
      <c r="L7064" t="s">
        <v>16</v>
      </c>
      <c r="M7064" t="s">
        <v>7</v>
      </c>
      <c r="N7064" s="2">
        <v>46090</v>
      </c>
    </row>
    <row r="7065" spans="1:14" x14ac:dyDescent="0.25">
      <c r="A7065" t="s">
        <v>124</v>
      </c>
      <c r="B7065" s="2">
        <v>46112</v>
      </c>
      <c r="C7065" t="s">
        <v>124</v>
      </c>
      <c r="D7065" t="s">
        <v>1</v>
      </c>
      <c r="E7065" t="s">
        <v>9</v>
      </c>
      <c r="F7065" s="3">
        <v>14700</v>
      </c>
      <c r="G7065" s="3">
        <v>14700</v>
      </c>
      <c r="H7065" t="s">
        <v>3</v>
      </c>
      <c r="I7065" t="s">
        <v>3</v>
      </c>
      <c r="J7065" t="s">
        <v>10</v>
      </c>
      <c r="K7065" t="s">
        <v>13</v>
      </c>
      <c r="L7065" t="s">
        <v>16</v>
      </c>
      <c r="M7065" t="s">
        <v>7</v>
      </c>
      <c r="N7065" s="2">
        <v>46112</v>
      </c>
    </row>
    <row r="7066" spans="1:14" x14ac:dyDescent="0.25">
      <c r="A7066" t="s">
        <v>124</v>
      </c>
      <c r="B7066" s="2">
        <v>46115</v>
      </c>
      <c r="C7066" t="s">
        <v>124</v>
      </c>
      <c r="D7066" t="s">
        <v>1</v>
      </c>
      <c r="E7066" t="s">
        <v>9</v>
      </c>
      <c r="F7066" s="3">
        <v>-31319.07</v>
      </c>
      <c r="G7066" s="3">
        <v>-31319.07</v>
      </c>
      <c r="H7066" t="s">
        <v>3</v>
      </c>
      <c r="I7066" t="s">
        <v>3</v>
      </c>
      <c r="J7066" t="s">
        <v>127</v>
      </c>
      <c r="K7066" t="s">
        <v>13</v>
      </c>
      <c r="L7066" t="s">
        <v>16</v>
      </c>
      <c r="M7066" t="s">
        <v>7</v>
      </c>
      <c r="N7066" s="2">
        <v>46112</v>
      </c>
    </row>
    <row r="7067" spans="1:14" x14ac:dyDescent="0.25">
      <c r="A7067" s="4" t="s">
        <v>244</v>
      </c>
      <c r="B7067" s="5"/>
      <c r="C7067" s="4" t="s">
        <v>9</v>
      </c>
      <c r="D7067" s="4" t="s">
        <v>9</v>
      </c>
      <c r="E7067" s="4" t="s">
        <v>9</v>
      </c>
      <c r="F7067" s="6">
        <v>0</v>
      </c>
      <c r="G7067" s="6">
        <v>0</v>
      </c>
      <c r="H7067" s="4" t="s">
        <v>9</v>
      </c>
      <c r="I7067" s="4" t="s">
        <v>3</v>
      </c>
      <c r="J7067" s="4" t="s">
        <v>9</v>
      </c>
      <c r="K7067" s="4" t="s">
        <v>9</v>
      </c>
      <c r="L7067" s="4" t="s">
        <v>9</v>
      </c>
      <c r="M7067" s="4" t="s">
        <v>9</v>
      </c>
      <c r="N7067" s="5"/>
    </row>
    <row r="7068" spans="1:14" x14ac:dyDescent="0.25">
      <c r="A7068" t="s">
        <v>124</v>
      </c>
      <c r="B7068" s="2">
        <v>46125</v>
      </c>
      <c r="C7068" t="s">
        <v>124</v>
      </c>
      <c r="D7068" t="s">
        <v>1</v>
      </c>
      <c r="E7068" t="s">
        <v>125</v>
      </c>
      <c r="F7068" s="3">
        <v>12773.9</v>
      </c>
      <c r="G7068" s="3">
        <v>12773.9</v>
      </c>
      <c r="H7068" t="s">
        <v>3</v>
      </c>
      <c r="I7068" t="s">
        <v>3</v>
      </c>
      <c r="J7068" t="s">
        <v>126</v>
      </c>
      <c r="K7068" t="s">
        <v>13</v>
      </c>
      <c r="L7068" t="s">
        <v>17</v>
      </c>
      <c r="M7068" t="s">
        <v>7</v>
      </c>
      <c r="N7068" s="2">
        <v>46125</v>
      </c>
    </row>
    <row r="7069" spans="1:14" x14ac:dyDescent="0.25">
      <c r="A7069" t="s">
        <v>124</v>
      </c>
      <c r="B7069" s="2">
        <v>46125</v>
      </c>
      <c r="C7069" t="s">
        <v>124</v>
      </c>
      <c r="D7069" t="s">
        <v>1</v>
      </c>
      <c r="E7069" t="s">
        <v>125</v>
      </c>
      <c r="F7069" s="3">
        <v>295.08</v>
      </c>
      <c r="G7069" s="3">
        <v>295.08</v>
      </c>
      <c r="H7069" t="s">
        <v>3</v>
      </c>
      <c r="I7069" t="s">
        <v>3</v>
      </c>
      <c r="J7069" t="s">
        <v>126</v>
      </c>
      <c r="K7069" t="s">
        <v>13</v>
      </c>
      <c r="L7069" t="s">
        <v>17</v>
      </c>
      <c r="M7069" t="s">
        <v>7</v>
      </c>
      <c r="N7069" s="2">
        <v>46125</v>
      </c>
    </row>
    <row r="7070" spans="1:14" x14ac:dyDescent="0.25">
      <c r="A7070" t="s">
        <v>124</v>
      </c>
      <c r="B7070" s="2">
        <v>46142</v>
      </c>
      <c r="C7070" t="s">
        <v>124</v>
      </c>
      <c r="D7070" t="s">
        <v>1</v>
      </c>
      <c r="E7070" t="s">
        <v>9</v>
      </c>
      <c r="F7070" s="3">
        <v>350</v>
      </c>
      <c r="G7070" s="3">
        <v>350</v>
      </c>
      <c r="H7070" t="s">
        <v>3</v>
      </c>
      <c r="I7070" t="s">
        <v>3</v>
      </c>
      <c r="J7070" t="s">
        <v>10</v>
      </c>
      <c r="K7070" t="s">
        <v>13</v>
      </c>
      <c r="L7070" t="s">
        <v>17</v>
      </c>
      <c r="M7070" t="s">
        <v>7</v>
      </c>
      <c r="N7070" s="2">
        <v>46142</v>
      </c>
    </row>
    <row r="7071" spans="1:14" x14ac:dyDescent="0.25">
      <c r="A7071" t="s">
        <v>124</v>
      </c>
      <c r="B7071" s="2">
        <v>46147</v>
      </c>
      <c r="C7071" t="s">
        <v>124</v>
      </c>
      <c r="D7071" t="s">
        <v>1</v>
      </c>
      <c r="E7071" t="s">
        <v>9</v>
      </c>
      <c r="F7071" s="3">
        <v>-13418.98</v>
      </c>
      <c r="G7071" s="3">
        <v>-13418.98</v>
      </c>
      <c r="H7071" t="s">
        <v>3</v>
      </c>
      <c r="I7071" t="s">
        <v>3</v>
      </c>
      <c r="J7071" t="s">
        <v>127</v>
      </c>
      <c r="K7071" t="s">
        <v>13</v>
      </c>
      <c r="L7071" t="s">
        <v>17</v>
      </c>
      <c r="M7071" t="s">
        <v>7</v>
      </c>
      <c r="N7071" s="2">
        <v>46142</v>
      </c>
    </row>
    <row r="7072" spans="1:14" x14ac:dyDescent="0.25">
      <c r="A7072" s="4" t="s">
        <v>249</v>
      </c>
      <c r="B7072" s="5"/>
      <c r="C7072" s="4" t="s">
        <v>9</v>
      </c>
      <c r="D7072" s="4" t="s">
        <v>9</v>
      </c>
      <c r="E7072" s="4" t="s">
        <v>9</v>
      </c>
      <c r="F7072" s="6">
        <v>0</v>
      </c>
      <c r="G7072" s="6">
        <v>0</v>
      </c>
      <c r="H7072" s="4" t="s">
        <v>9</v>
      </c>
      <c r="I7072" s="4" t="s">
        <v>3</v>
      </c>
      <c r="J7072" s="4" t="s">
        <v>9</v>
      </c>
      <c r="K7072" s="4" t="s">
        <v>9</v>
      </c>
      <c r="L7072" s="4" t="s">
        <v>9</v>
      </c>
      <c r="M7072" s="4" t="s">
        <v>9</v>
      </c>
      <c r="N7072" s="5"/>
    </row>
    <row r="7073" spans="1:14" x14ac:dyDescent="0.25">
      <c r="A7073" t="s">
        <v>124</v>
      </c>
      <c r="B7073" s="2">
        <v>46147</v>
      </c>
      <c r="C7073" t="s">
        <v>124</v>
      </c>
      <c r="D7073" t="s">
        <v>1</v>
      </c>
      <c r="E7073" t="s">
        <v>125</v>
      </c>
      <c r="F7073" s="3">
        <v>2265.2600000000002</v>
      </c>
      <c r="G7073" s="3">
        <v>2265.2600000000002</v>
      </c>
      <c r="H7073" t="s">
        <v>3</v>
      </c>
      <c r="I7073" t="s">
        <v>3</v>
      </c>
      <c r="J7073" t="s">
        <v>126</v>
      </c>
      <c r="K7073" t="s">
        <v>13</v>
      </c>
      <c r="L7073" t="s">
        <v>18</v>
      </c>
      <c r="M7073" t="s">
        <v>7</v>
      </c>
      <c r="N7073" s="2">
        <v>46147</v>
      </c>
    </row>
    <row r="7074" spans="1:14" x14ac:dyDescent="0.25">
      <c r="A7074" t="s">
        <v>124</v>
      </c>
      <c r="B7074" s="2">
        <v>46149</v>
      </c>
      <c r="C7074" t="s">
        <v>124</v>
      </c>
      <c r="D7074" t="s">
        <v>1</v>
      </c>
      <c r="E7074" t="s">
        <v>125</v>
      </c>
      <c r="F7074" s="3">
        <v>8678.4500000000007</v>
      </c>
      <c r="G7074" s="3">
        <v>8678.4500000000007</v>
      </c>
      <c r="H7074" t="s">
        <v>3</v>
      </c>
      <c r="I7074" t="s">
        <v>3</v>
      </c>
      <c r="J7074" t="s">
        <v>126</v>
      </c>
      <c r="K7074" t="s">
        <v>13</v>
      </c>
      <c r="L7074" t="s">
        <v>18</v>
      </c>
      <c r="M7074" t="s">
        <v>7</v>
      </c>
      <c r="N7074" s="2">
        <v>46149</v>
      </c>
    </row>
    <row r="7075" spans="1:14" x14ac:dyDescent="0.25">
      <c r="A7075" t="s">
        <v>124</v>
      </c>
      <c r="B7075" s="2">
        <v>46175</v>
      </c>
      <c r="C7075" t="s">
        <v>124</v>
      </c>
      <c r="D7075" t="s">
        <v>1</v>
      </c>
      <c r="E7075" t="s">
        <v>9</v>
      </c>
      <c r="F7075" s="3">
        <v>-10943.71</v>
      </c>
      <c r="G7075" s="3">
        <v>-10943.71</v>
      </c>
      <c r="H7075" t="s">
        <v>3</v>
      </c>
      <c r="I7075" t="s">
        <v>3</v>
      </c>
      <c r="J7075" t="s">
        <v>127</v>
      </c>
      <c r="K7075" t="s">
        <v>13</v>
      </c>
      <c r="L7075" t="s">
        <v>18</v>
      </c>
      <c r="M7075" t="s">
        <v>7</v>
      </c>
      <c r="N7075" s="2">
        <v>46173</v>
      </c>
    </row>
    <row r="7076" spans="1:14" x14ac:dyDescent="0.25">
      <c r="A7076" s="4" t="s">
        <v>223</v>
      </c>
      <c r="B7076" s="5"/>
      <c r="C7076" s="4" t="s">
        <v>9</v>
      </c>
      <c r="D7076" s="4" t="s">
        <v>9</v>
      </c>
      <c r="E7076" s="4" t="s">
        <v>9</v>
      </c>
      <c r="F7076" s="6">
        <v>0</v>
      </c>
      <c r="G7076" s="6">
        <v>0</v>
      </c>
      <c r="H7076" s="4" t="s">
        <v>9</v>
      </c>
      <c r="I7076" s="4" t="s">
        <v>3</v>
      </c>
      <c r="J7076" s="4" t="s">
        <v>9</v>
      </c>
      <c r="K7076" s="4" t="s">
        <v>9</v>
      </c>
      <c r="L7076" s="4" t="s">
        <v>9</v>
      </c>
      <c r="M7076" s="4" t="s">
        <v>9</v>
      </c>
      <c r="N7076" s="5"/>
    </row>
    <row r="7077" spans="1:14" x14ac:dyDescent="0.25">
      <c r="A7077" t="s">
        <v>124</v>
      </c>
      <c r="B7077" s="2">
        <v>46178</v>
      </c>
      <c r="C7077" t="s">
        <v>124</v>
      </c>
      <c r="D7077" t="s">
        <v>1</v>
      </c>
      <c r="E7077" t="s">
        <v>125</v>
      </c>
      <c r="F7077" s="3">
        <v>9604.7999999999993</v>
      </c>
      <c r="G7077" s="3">
        <v>9604.7999999999993</v>
      </c>
      <c r="H7077" t="s">
        <v>3</v>
      </c>
      <c r="I7077" t="s">
        <v>3</v>
      </c>
      <c r="J7077" t="s">
        <v>126</v>
      </c>
      <c r="K7077" t="s">
        <v>13</v>
      </c>
      <c r="L7077" t="s">
        <v>19</v>
      </c>
      <c r="M7077" t="s">
        <v>7</v>
      </c>
      <c r="N7077" s="2">
        <v>46178</v>
      </c>
    </row>
    <row r="7078" spans="1:14" x14ac:dyDescent="0.25">
      <c r="A7078" t="s">
        <v>124</v>
      </c>
      <c r="B7078" s="2">
        <v>46203</v>
      </c>
      <c r="C7078" t="s">
        <v>124</v>
      </c>
      <c r="D7078" t="s">
        <v>1</v>
      </c>
      <c r="E7078" t="s">
        <v>9</v>
      </c>
      <c r="F7078" s="3">
        <v>600</v>
      </c>
      <c r="G7078" s="3">
        <v>600</v>
      </c>
      <c r="H7078" t="s">
        <v>3</v>
      </c>
      <c r="I7078" t="s">
        <v>3</v>
      </c>
      <c r="J7078" t="s">
        <v>10</v>
      </c>
      <c r="K7078" t="s">
        <v>13</v>
      </c>
      <c r="L7078" t="s">
        <v>19</v>
      </c>
      <c r="M7078" t="s">
        <v>7</v>
      </c>
      <c r="N7078" s="2">
        <v>46203</v>
      </c>
    </row>
    <row r="7079" spans="1:14" x14ac:dyDescent="0.25">
      <c r="A7079" t="s">
        <v>124</v>
      </c>
      <c r="B7079" s="2">
        <v>46205</v>
      </c>
      <c r="C7079" t="s">
        <v>124</v>
      </c>
      <c r="D7079" t="s">
        <v>1</v>
      </c>
      <c r="E7079" t="s">
        <v>9</v>
      </c>
      <c r="F7079" s="3">
        <v>-10204.799999999999</v>
      </c>
      <c r="G7079" s="3">
        <v>-10204.799999999999</v>
      </c>
      <c r="H7079" t="s">
        <v>3</v>
      </c>
      <c r="I7079" t="s">
        <v>3</v>
      </c>
      <c r="J7079" t="s">
        <v>127</v>
      </c>
      <c r="K7079" t="s">
        <v>13</v>
      </c>
      <c r="L7079" t="s">
        <v>19</v>
      </c>
      <c r="M7079" t="s">
        <v>7</v>
      </c>
      <c r="N7079" s="2">
        <v>46203</v>
      </c>
    </row>
    <row r="7080" spans="1:14" x14ac:dyDescent="0.25">
      <c r="A7080" s="4" t="s">
        <v>224</v>
      </c>
      <c r="B7080" s="5"/>
      <c r="C7080" s="4" t="s">
        <v>9</v>
      </c>
      <c r="D7080" s="4" t="s">
        <v>9</v>
      </c>
      <c r="E7080" s="4" t="s">
        <v>9</v>
      </c>
      <c r="F7080" s="6">
        <v>0</v>
      </c>
      <c r="G7080" s="6">
        <v>0</v>
      </c>
      <c r="H7080" s="4" t="s">
        <v>9</v>
      </c>
      <c r="I7080" s="4" t="s">
        <v>3</v>
      </c>
      <c r="J7080" s="4" t="s">
        <v>9</v>
      </c>
      <c r="K7080" s="4" t="s">
        <v>9</v>
      </c>
      <c r="L7080" s="4" t="s">
        <v>9</v>
      </c>
      <c r="M7080" s="4" t="s">
        <v>9</v>
      </c>
      <c r="N7080" s="5"/>
    </row>
    <row r="7081" spans="1:14" x14ac:dyDescent="0.25">
      <c r="A7081" t="s">
        <v>124</v>
      </c>
      <c r="B7081" s="2">
        <v>46238</v>
      </c>
      <c r="C7081" t="s">
        <v>124</v>
      </c>
      <c r="D7081" t="s">
        <v>1</v>
      </c>
      <c r="E7081" t="s">
        <v>125</v>
      </c>
      <c r="F7081" s="3">
        <v>-3073</v>
      </c>
      <c r="G7081" s="3">
        <v>-3073</v>
      </c>
      <c r="H7081" t="s">
        <v>3</v>
      </c>
      <c r="I7081" t="s">
        <v>3</v>
      </c>
      <c r="J7081" t="s">
        <v>126</v>
      </c>
      <c r="K7081" t="s">
        <v>13</v>
      </c>
      <c r="L7081" t="s">
        <v>22</v>
      </c>
      <c r="M7081" t="s">
        <v>7</v>
      </c>
      <c r="N7081" s="2">
        <v>46241</v>
      </c>
    </row>
    <row r="7082" spans="1:14" x14ac:dyDescent="0.25">
      <c r="A7082" t="s">
        <v>124</v>
      </c>
      <c r="B7082" s="2">
        <v>46245</v>
      </c>
      <c r="C7082" t="s">
        <v>124</v>
      </c>
      <c r="D7082" t="s">
        <v>1</v>
      </c>
      <c r="E7082" t="s">
        <v>125</v>
      </c>
      <c r="F7082" s="3">
        <v>2387.6</v>
      </c>
      <c r="G7082" s="3">
        <v>2387.6</v>
      </c>
      <c r="H7082" t="s">
        <v>3</v>
      </c>
      <c r="I7082" t="s">
        <v>3</v>
      </c>
      <c r="J7082" t="s">
        <v>126</v>
      </c>
      <c r="K7082" t="s">
        <v>13</v>
      </c>
      <c r="L7082" t="s">
        <v>22</v>
      </c>
      <c r="M7082" t="s">
        <v>7</v>
      </c>
      <c r="N7082" s="2">
        <v>46245</v>
      </c>
    </row>
    <row r="7083" spans="1:14" x14ac:dyDescent="0.25">
      <c r="A7083" t="s">
        <v>124</v>
      </c>
      <c r="B7083" s="2">
        <v>46267</v>
      </c>
      <c r="C7083" t="s">
        <v>124</v>
      </c>
      <c r="D7083" t="s">
        <v>1</v>
      </c>
      <c r="E7083" t="s">
        <v>9</v>
      </c>
      <c r="F7083" s="3">
        <v>685.4</v>
      </c>
      <c r="G7083" s="3">
        <v>685.4</v>
      </c>
      <c r="H7083" t="s">
        <v>3</v>
      </c>
      <c r="I7083" t="s">
        <v>3</v>
      </c>
      <c r="J7083" t="s">
        <v>127</v>
      </c>
      <c r="K7083" t="s">
        <v>13</v>
      </c>
      <c r="L7083" t="s">
        <v>22</v>
      </c>
      <c r="M7083" t="s">
        <v>7</v>
      </c>
      <c r="N7083" s="2">
        <v>46265</v>
      </c>
    </row>
    <row r="7084" spans="1:14" x14ac:dyDescent="0.25">
      <c r="A7084" s="4" t="s">
        <v>267</v>
      </c>
      <c r="B7084" s="5"/>
      <c r="C7084" s="4" t="s">
        <v>9</v>
      </c>
      <c r="D7084" s="4" t="s">
        <v>9</v>
      </c>
      <c r="E7084" s="4" t="s">
        <v>9</v>
      </c>
      <c r="F7084" s="6">
        <v>0</v>
      </c>
      <c r="G7084" s="6">
        <v>0</v>
      </c>
      <c r="H7084" s="4" t="s">
        <v>9</v>
      </c>
      <c r="I7084" s="4" t="s">
        <v>3</v>
      </c>
      <c r="J7084" s="4" t="s">
        <v>9</v>
      </c>
      <c r="K7084" s="4" t="s">
        <v>9</v>
      </c>
      <c r="L7084" s="4" t="s">
        <v>9</v>
      </c>
      <c r="M7084" s="4" t="s">
        <v>9</v>
      </c>
      <c r="N7084" s="5"/>
    </row>
    <row r="7085" spans="1:14" x14ac:dyDescent="0.25">
      <c r="A7085" s="4" t="s">
        <v>124</v>
      </c>
      <c r="B7085" s="5"/>
      <c r="C7085" s="4" t="s">
        <v>9</v>
      </c>
      <c r="D7085" s="4" t="s">
        <v>9</v>
      </c>
      <c r="E7085" s="4" t="s">
        <v>9</v>
      </c>
      <c r="F7085" s="6">
        <v>0</v>
      </c>
      <c r="G7085" s="6">
        <v>0</v>
      </c>
      <c r="H7085" s="4" t="s">
        <v>9</v>
      </c>
      <c r="I7085" s="4" t="s">
        <v>3</v>
      </c>
      <c r="J7085" s="4" t="s">
        <v>9</v>
      </c>
      <c r="K7085" s="4" t="s">
        <v>9</v>
      </c>
      <c r="L7085" s="4" t="s">
        <v>9</v>
      </c>
      <c r="M7085" s="4" t="s">
        <v>9</v>
      </c>
      <c r="N7085" s="5"/>
    </row>
    <row r="7086" spans="1:14" x14ac:dyDescent="0.25">
      <c r="A7086" t="s">
        <v>128</v>
      </c>
      <c r="B7086" s="2">
        <v>46081</v>
      </c>
      <c r="C7086" t="s">
        <v>128</v>
      </c>
      <c r="D7086" t="s">
        <v>1</v>
      </c>
      <c r="E7086" t="s">
        <v>9</v>
      </c>
      <c r="F7086" s="3">
        <v>15900</v>
      </c>
      <c r="G7086" s="3">
        <v>15900</v>
      </c>
      <c r="H7086" t="s">
        <v>3</v>
      </c>
      <c r="I7086" t="s">
        <v>3</v>
      </c>
      <c r="J7086" t="s">
        <v>10</v>
      </c>
      <c r="K7086" t="s">
        <v>13</v>
      </c>
      <c r="L7086" t="s">
        <v>15</v>
      </c>
      <c r="M7086" t="s">
        <v>7</v>
      </c>
      <c r="N7086" s="2">
        <v>46081</v>
      </c>
    </row>
    <row r="7087" spans="1:14" x14ac:dyDescent="0.25">
      <c r="A7087" t="s">
        <v>128</v>
      </c>
      <c r="B7087" s="2">
        <v>46084</v>
      </c>
      <c r="C7087" t="s">
        <v>128</v>
      </c>
      <c r="D7087" t="s">
        <v>1</v>
      </c>
      <c r="E7087" t="s">
        <v>9</v>
      </c>
      <c r="F7087" s="3">
        <v>-15900</v>
      </c>
      <c r="G7087" s="3">
        <v>-15900</v>
      </c>
      <c r="H7087" t="s">
        <v>3</v>
      </c>
      <c r="I7087" t="s">
        <v>3</v>
      </c>
      <c r="J7087" t="s">
        <v>771</v>
      </c>
      <c r="K7087" t="s">
        <v>13</v>
      </c>
      <c r="L7087" t="s">
        <v>15</v>
      </c>
      <c r="M7087" t="s">
        <v>7</v>
      </c>
      <c r="N7087" s="2">
        <v>46081</v>
      </c>
    </row>
    <row r="7088" spans="1:14" x14ac:dyDescent="0.25">
      <c r="A7088" s="4" t="s">
        <v>239</v>
      </c>
      <c r="B7088" s="5"/>
      <c r="C7088" s="4" t="s">
        <v>9</v>
      </c>
      <c r="D7088" s="4" t="s">
        <v>9</v>
      </c>
      <c r="E7088" s="4" t="s">
        <v>9</v>
      </c>
      <c r="F7088" s="6">
        <v>0</v>
      </c>
      <c r="G7088" s="6">
        <v>0</v>
      </c>
      <c r="H7088" s="4" t="s">
        <v>9</v>
      </c>
      <c r="I7088" s="4" t="s">
        <v>3</v>
      </c>
      <c r="J7088" s="4" t="s">
        <v>9</v>
      </c>
      <c r="K7088" s="4" t="s">
        <v>9</v>
      </c>
      <c r="L7088" s="4" t="s">
        <v>9</v>
      </c>
      <c r="M7088" s="4" t="s">
        <v>9</v>
      </c>
      <c r="N7088" s="5"/>
    </row>
    <row r="7089" spans="1:14" x14ac:dyDescent="0.25">
      <c r="A7089" t="s">
        <v>128</v>
      </c>
      <c r="B7089" s="2">
        <v>46107</v>
      </c>
      <c r="C7089" t="s">
        <v>128</v>
      </c>
      <c r="D7089" t="s">
        <v>1</v>
      </c>
      <c r="E7089" t="s">
        <v>129</v>
      </c>
      <c r="F7089" s="3">
        <v>2047.98</v>
      </c>
      <c r="G7089" s="3">
        <v>2047.98</v>
      </c>
      <c r="H7089" t="s">
        <v>3</v>
      </c>
      <c r="I7089" t="s">
        <v>3</v>
      </c>
      <c r="J7089" t="s">
        <v>130</v>
      </c>
      <c r="K7089" t="s">
        <v>13</v>
      </c>
      <c r="L7089" t="s">
        <v>16</v>
      </c>
      <c r="M7089" t="s">
        <v>7</v>
      </c>
      <c r="N7089" s="2">
        <v>46107</v>
      </c>
    </row>
    <row r="7090" spans="1:14" x14ac:dyDescent="0.25">
      <c r="A7090" t="s">
        <v>128</v>
      </c>
      <c r="B7090" s="2">
        <v>46112</v>
      </c>
      <c r="C7090" t="s">
        <v>128</v>
      </c>
      <c r="D7090" t="s">
        <v>1</v>
      </c>
      <c r="E7090" t="s">
        <v>9</v>
      </c>
      <c r="F7090" s="3">
        <v>3200</v>
      </c>
      <c r="G7090" s="3">
        <v>3200</v>
      </c>
      <c r="H7090" t="s">
        <v>3</v>
      </c>
      <c r="I7090" t="s">
        <v>3</v>
      </c>
      <c r="J7090" t="s">
        <v>10</v>
      </c>
      <c r="K7090" t="s">
        <v>13</v>
      </c>
      <c r="L7090" t="s">
        <v>16</v>
      </c>
      <c r="M7090" t="s">
        <v>7</v>
      </c>
      <c r="N7090" s="2">
        <v>46112</v>
      </c>
    </row>
    <row r="7091" spans="1:14" x14ac:dyDescent="0.25">
      <c r="A7091" t="s">
        <v>128</v>
      </c>
      <c r="B7091" s="2">
        <v>46115</v>
      </c>
      <c r="C7091" t="s">
        <v>128</v>
      </c>
      <c r="D7091" t="s">
        <v>1</v>
      </c>
      <c r="E7091" t="s">
        <v>9</v>
      </c>
      <c r="F7091" s="3">
        <v>-5247.98</v>
      </c>
      <c r="G7091" s="3">
        <v>-5247.98</v>
      </c>
      <c r="H7091" t="s">
        <v>3</v>
      </c>
      <c r="I7091" t="s">
        <v>3</v>
      </c>
      <c r="J7091" t="s">
        <v>771</v>
      </c>
      <c r="K7091" t="s">
        <v>13</v>
      </c>
      <c r="L7091" t="s">
        <v>16</v>
      </c>
      <c r="M7091" t="s">
        <v>7</v>
      </c>
      <c r="N7091" s="2">
        <v>46112</v>
      </c>
    </row>
    <row r="7092" spans="1:14" x14ac:dyDescent="0.25">
      <c r="A7092" s="4" t="s">
        <v>244</v>
      </c>
      <c r="B7092" s="5"/>
      <c r="C7092" s="4" t="s">
        <v>9</v>
      </c>
      <c r="D7092" s="4" t="s">
        <v>9</v>
      </c>
      <c r="E7092" s="4" t="s">
        <v>9</v>
      </c>
      <c r="F7092" s="6">
        <v>0</v>
      </c>
      <c r="G7092" s="6">
        <v>0</v>
      </c>
      <c r="H7092" s="4" t="s">
        <v>9</v>
      </c>
      <c r="I7092" s="4" t="s">
        <v>3</v>
      </c>
      <c r="J7092" s="4" t="s">
        <v>9</v>
      </c>
      <c r="K7092" s="4" t="s">
        <v>9</v>
      </c>
      <c r="L7092" s="4" t="s">
        <v>9</v>
      </c>
      <c r="M7092" s="4" t="s">
        <v>9</v>
      </c>
      <c r="N7092" s="5"/>
    </row>
    <row r="7093" spans="1:14" x14ac:dyDescent="0.25">
      <c r="A7093" t="s">
        <v>128</v>
      </c>
      <c r="B7093" s="2">
        <v>46133</v>
      </c>
      <c r="C7093" t="s">
        <v>128</v>
      </c>
      <c r="D7093" t="s">
        <v>1</v>
      </c>
      <c r="E7093" t="s">
        <v>129</v>
      </c>
      <c r="F7093" s="3">
        <v>767.99</v>
      </c>
      <c r="G7093" s="3">
        <v>767.99</v>
      </c>
      <c r="H7093" t="s">
        <v>3</v>
      </c>
      <c r="I7093" t="s">
        <v>3</v>
      </c>
      <c r="J7093" t="s">
        <v>130</v>
      </c>
      <c r="K7093" t="s">
        <v>13</v>
      </c>
      <c r="L7093" t="s">
        <v>17</v>
      </c>
      <c r="M7093" t="s">
        <v>7</v>
      </c>
      <c r="N7093" s="2">
        <v>46133</v>
      </c>
    </row>
    <row r="7094" spans="1:14" x14ac:dyDescent="0.25">
      <c r="A7094" t="s">
        <v>128</v>
      </c>
      <c r="B7094" s="2">
        <v>46142</v>
      </c>
      <c r="C7094" t="s">
        <v>128</v>
      </c>
      <c r="D7094" t="s">
        <v>1</v>
      </c>
      <c r="E7094" t="s">
        <v>9</v>
      </c>
      <c r="F7094" s="3">
        <v>6600</v>
      </c>
      <c r="G7094" s="3">
        <v>6600</v>
      </c>
      <c r="H7094" t="s">
        <v>3</v>
      </c>
      <c r="I7094" t="s">
        <v>3</v>
      </c>
      <c r="J7094" t="s">
        <v>10</v>
      </c>
      <c r="K7094" t="s">
        <v>13</v>
      </c>
      <c r="L7094" t="s">
        <v>17</v>
      </c>
      <c r="M7094" t="s">
        <v>7</v>
      </c>
      <c r="N7094" s="2">
        <v>46142</v>
      </c>
    </row>
    <row r="7095" spans="1:14" x14ac:dyDescent="0.25">
      <c r="A7095" t="s">
        <v>128</v>
      </c>
      <c r="B7095" s="2">
        <v>46147</v>
      </c>
      <c r="C7095" t="s">
        <v>128</v>
      </c>
      <c r="D7095" t="s">
        <v>1</v>
      </c>
      <c r="E7095" t="s">
        <v>9</v>
      </c>
      <c r="F7095" s="3">
        <v>-7367.99</v>
      </c>
      <c r="G7095" s="3">
        <v>-7367.99</v>
      </c>
      <c r="H7095" t="s">
        <v>3</v>
      </c>
      <c r="I7095" t="s">
        <v>3</v>
      </c>
      <c r="J7095" t="s">
        <v>771</v>
      </c>
      <c r="K7095" t="s">
        <v>13</v>
      </c>
      <c r="L7095" t="s">
        <v>17</v>
      </c>
      <c r="M7095" t="s">
        <v>7</v>
      </c>
      <c r="N7095" s="2">
        <v>46142</v>
      </c>
    </row>
    <row r="7096" spans="1:14" x14ac:dyDescent="0.25">
      <c r="A7096" s="4" t="s">
        <v>249</v>
      </c>
      <c r="B7096" s="5"/>
      <c r="C7096" s="4" t="s">
        <v>9</v>
      </c>
      <c r="D7096" s="4" t="s">
        <v>9</v>
      </c>
      <c r="E7096" s="4" t="s">
        <v>9</v>
      </c>
      <c r="F7096" s="6">
        <v>0</v>
      </c>
      <c r="G7096" s="6">
        <v>0</v>
      </c>
      <c r="H7096" s="4" t="s">
        <v>9</v>
      </c>
      <c r="I7096" s="4" t="s">
        <v>3</v>
      </c>
      <c r="J7096" s="4" t="s">
        <v>9</v>
      </c>
      <c r="K7096" s="4" t="s">
        <v>9</v>
      </c>
      <c r="L7096" s="4" t="s">
        <v>9</v>
      </c>
      <c r="M7096" s="4" t="s">
        <v>9</v>
      </c>
      <c r="N7096" s="5"/>
    </row>
    <row r="7097" spans="1:14" x14ac:dyDescent="0.25">
      <c r="A7097" t="s">
        <v>128</v>
      </c>
      <c r="B7097" s="2">
        <v>46161</v>
      </c>
      <c r="C7097" t="s">
        <v>128</v>
      </c>
      <c r="D7097" t="s">
        <v>1</v>
      </c>
      <c r="E7097" t="s">
        <v>129</v>
      </c>
      <c r="F7097" s="3">
        <v>767.99</v>
      </c>
      <c r="G7097" s="3">
        <v>767.99</v>
      </c>
      <c r="H7097" t="s">
        <v>3</v>
      </c>
      <c r="I7097" t="s">
        <v>3</v>
      </c>
      <c r="J7097" t="s">
        <v>130</v>
      </c>
      <c r="K7097" t="s">
        <v>13</v>
      </c>
      <c r="L7097" t="s">
        <v>18</v>
      </c>
      <c r="M7097" t="s">
        <v>7</v>
      </c>
      <c r="N7097" s="2">
        <v>46161</v>
      </c>
    </row>
    <row r="7098" spans="1:14" x14ac:dyDescent="0.25">
      <c r="A7098" t="s">
        <v>128</v>
      </c>
      <c r="B7098" s="2">
        <v>46173</v>
      </c>
      <c r="C7098" t="s">
        <v>128</v>
      </c>
      <c r="D7098" t="s">
        <v>1</v>
      </c>
      <c r="E7098" t="s">
        <v>9</v>
      </c>
      <c r="F7098" s="3">
        <v>1400</v>
      </c>
      <c r="G7098" s="3">
        <v>1400</v>
      </c>
      <c r="H7098" t="s">
        <v>3</v>
      </c>
      <c r="I7098" t="s">
        <v>3</v>
      </c>
      <c r="J7098" t="s">
        <v>10</v>
      </c>
      <c r="K7098" t="s">
        <v>13</v>
      </c>
      <c r="L7098" t="s">
        <v>18</v>
      </c>
      <c r="M7098" t="s">
        <v>7</v>
      </c>
      <c r="N7098" s="2">
        <v>46173</v>
      </c>
    </row>
    <row r="7099" spans="1:14" x14ac:dyDescent="0.25">
      <c r="A7099" t="s">
        <v>128</v>
      </c>
      <c r="B7099" s="2">
        <v>46175</v>
      </c>
      <c r="C7099" t="s">
        <v>128</v>
      </c>
      <c r="D7099" t="s">
        <v>1</v>
      </c>
      <c r="E7099" t="s">
        <v>9</v>
      </c>
      <c r="F7099" s="3">
        <v>-2167.9899999999998</v>
      </c>
      <c r="G7099" s="3">
        <v>-2167.9899999999998</v>
      </c>
      <c r="H7099" t="s">
        <v>3</v>
      </c>
      <c r="I7099" t="s">
        <v>3</v>
      </c>
      <c r="J7099" t="s">
        <v>771</v>
      </c>
      <c r="K7099" t="s">
        <v>13</v>
      </c>
      <c r="L7099" t="s">
        <v>18</v>
      </c>
      <c r="M7099" t="s">
        <v>7</v>
      </c>
      <c r="N7099" s="2">
        <v>46173</v>
      </c>
    </row>
    <row r="7100" spans="1:14" x14ac:dyDescent="0.25">
      <c r="A7100" s="4" t="s">
        <v>223</v>
      </c>
      <c r="B7100" s="5"/>
      <c r="C7100" s="4" t="s">
        <v>9</v>
      </c>
      <c r="D7100" s="4" t="s">
        <v>9</v>
      </c>
      <c r="E7100" s="4" t="s">
        <v>9</v>
      </c>
      <c r="F7100" s="6">
        <v>0</v>
      </c>
      <c r="G7100" s="6">
        <v>0</v>
      </c>
      <c r="H7100" s="4" t="s">
        <v>9</v>
      </c>
      <c r="I7100" s="4" t="s">
        <v>3</v>
      </c>
      <c r="J7100" s="4" t="s">
        <v>9</v>
      </c>
      <c r="K7100" s="4" t="s">
        <v>9</v>
      </c>
      <c r="L7100" s="4" t="s">
        <v>9</v>
      </c>
      <c r="M7100" s="4" t="s">
        <v>9</v>
      </c>
      <c r="N7100" s="5"/>
    </row>
    <row r="7101" spans="1:14" x14ac:dyDescent="0.25">
      <c r="A7101" t="s">
        <v>128</v>
      </c>
      <c r="B7101" s="2">
        <v>46203</v>
      </c>
      <c r="C7101" t="s">
        <v>128</v>
      </c>
      <c r="D7101" t="s">
        <v>1</v>
      </c>
      <c r="E7101" t="s">
        <v>9</v>
      </c>
      <c r="F7101" s="3">
        <v>4881.46</v>
      </c>
      <c r="G7101" s="3">
        <v>4881.46</v>
      </c>
      <c r="H7101" t="s">
        <v>3</v>
      </c>
      <c r="I7101" t="s">
        <v>3</v>
      </c>
      <c r="J7101" t="s">
        <v>10</v>
      </c>
      <c r="K7101" t="s">
        <v>13</v>
      </c>
      <c r="L7101" t="s">
        <v>19</v>
      </c>
      <c r="M7101" t="s">
        <v>7</v>
      </c>
      <c r="N7101" s="2">
        <v>46203</v>
      </c>
    </row>
    <row r="7102" spans="1:14" x14ac:dyDescent="0.25">
      <c r="A7102" t="s">
        <v>128</v>
      </c>
      <c r="B7102" s="2">
        <v>46205</v>
      </c>
      <c r="C7102" t="s">
        <v>128</v>
      </c>
      <c r="D7102" t="s">
        <v>1</v>
      </c>
      <c r="E7102" t="s">
        <v>9</v>
      </c>
      <c r="F7102" s="3">
        <v>-4881.46</v>
      </c>
      <c r="G7102" s="3">
        <v>-4881.46</v>
      </c>
      <c r="H7102" t="s">
        <v>3</v>
      </c>
      <c r="I7102" t="s">
        <v>3</v>
      </c>
      <c r="J7102" t="s">
        <v>771</v>
      </c>
      <c r="K7102" t="s">
        <v>13</v>
      </c>
      <c r="L7102" t="s">
        <v>19</v>
      </c>
      <c r="M7102" t="s">
        <v>7</v>
      </c>
      <c r="N7102" s="2">
        <v>46203</v>
      </c>
    </row>
    <row r="7103" spans="1:14" x14ac:dyDescent="0.25">
      <c r="A7103" s="4" t="s">
        <v>224</v>
      </c>
      <c r="B7103" s="5"/>
      <c r="C7103" s="4" t="s">
        <v>9</v>
      </c>
      <c r="D7103" s="4" t="s">
        <v>9</v>
      </c>
      <c r="E7103" s="4" t="s">
        <v>9</v>
      </c>
      <c r="F7103" s="6">
        <v>0</v>
      </c>
      <c r="G7103" s="6">
        <v>0</v>
      </c>
      <c r="H7103" s="4" t="s">
        <v>9</v>
      </c>
      <c r="I7103" s="4" t="s">
        <v>3</v>
      </c>
      <c r="J7103" s="4" t="s">
        <v>9</v>
      </c>
      <c r="K7103" s="4" t="s">
        <v>9</v>
      </c>
      <c r="L7103" s="4" t="s">
        <v>9</v>
      </c>
      <c r="M7103" s="4" t="s">
        <v>9</v>
      </c>
      <c r="N7103" s="5"/>
    </row>
    <row r="7104" spans="1:14" x14ac:dyDescent="0.25">
      <c r="A7104" t="s">
        <v>128</v>
      </c>
      <c r="B7104" s="2">
        <v>46234</v>
      </c>
      <c r="C7104" t="s">
        <v>128</v>
      </c>
      <c r="D7104" t="s">
        <v>1</v>
      </c>
      <c r="E7104" t="s">
        <v>9</v>
      </c>
      <c r="F7104" s="3">
        <v>2318.54</v>
      </c>
      <c r="G7104" s="3">
        <v>2318.54</v>
      </c>
      <c r="H7104" t="s">
        <v>3</v>
      </c>
      <c r="I7104" t="s">
        <v>3</v>
      </c>
      <c r="J7104" t="s">
        <v>10</v>
      </c>
      <c r="K7104" t="s">
        <v>13</v>
      </c>
      <c r="L7104" t="s">
        <v>21</v>
      </c>
      <c r="M7104" t="s">
        <v>7</v>
      </c>
      <c r="N7104" s="2">
        <v>46234</v>
      </c>
    </row>
    <row r="7105" spans="1:14" x14ac:dyDescent="0.25">
      <c r="A7105" t="s">
        <v>128</v>
      </c>
      <c r="B7105" s="2">
        <v>46239</v>
      </c>
      <c r="C7105" t="s">
        <v>128</v>
      </c>
      <c r="D7105" t="s">
        <v>1</v>
      </c>
      <c r="E7105" t="s">
        <v>9</v>
      </c>
      <c r="F7105" s="3">
        <v>-2318.54</v>
      </c>
      <c r="G7105" s="3">
        <v>-2318.54</v>
      </c>
      <c r="H7105" t="s">
        <v>3</v>
      </c>
      <c r="I7105" t="s">
        <v>3</v>
      </c>
      <c r="J7105" t="s">
        <v>771</v>
      </c>
      <c r="K7105" t="s">
        <v>13</v>
      </c>
      <c r="L7105" t="s">
        <v>21</v>
      </c>
      <c r="M7105" t="s">
        <v>7</v>
      </c>
      <c r="N7105" s="2">
        <v>46234</v>
      </c>
    </row>
    <row r="7106" spans="1:14" x14ac:dyDescent="0.25">
      <c r="A7106" s="4" t="s">
        <v>262</v>
      </c>
      <c r="B7106" s="5"/>
      <c r="C7106" s="4" t="s">
        <v>9</v>
      </c>
      <c r="D7106" s="4" t="s">
        <v>9</v>
      </c>
      <c r="E7106" s="4" t="s">
        <v>9</v>
      </c>
      <c r="F7106" s="6">
        <v>0</v>
      </c>
      <c r="G7106" s="6">
        <v>0</v>
      </c>
      <c r="H7106" s="4" t="s">
        <v>9</v>
      </c>
      <c r="I7106" s="4" t="s">
        <v>3</v>
      </c>
      <c r="J7106" s="4" t="s">
        <v>9</v>
      </c>
      <c r="K7106" s="4" t="s">
        <v>9</v>
      </c>
      <c r="L7106" s="4" t="s">
        <v>9</v>
      </c>
      <c r="M7106" s="4" t="s">
        <v>9</v>
      </c>
      <c r="N7106" s="5"/>
    </row>
    <row r="7107" spans="1:14" x14ac:dyDescent="0.25">
      <c r="A7107" t="s">
        <v>128</v>
      </c>
      <c r="B7107" s="2">
        <v>46265</v>
      </c>
      <c r="C7107" t="s">
        <v>128</v>
      </c>
      <c r="D7107" t="s">
        <v>1</v>
      </c>
      <c r="E7107" t="s">
        <v>9</v>
      </c>
      <c r="F7107" s="3">
        <v>3700</v>
      </c>
      <c r="G7107" s="3">
        <v>3700</v>
      </c>
      <c r="H7107" t="s">
        <v>3</v>
      </c>
      <c r="I7107" t="s">
        <v>3</v>
      </c>
      <c r="J7107" t="s">
        <v>10</v>
      </c>
      <c r="K7107" t="s">
        <v>13</v>
      </c>
      <c r="L7107" t="s">
        <v>22</v>
      </c>
      <c r="M7107" t="s">
        <v>7</v>
      </c>
      <c r="N7107" s="2">
        <v>46265</v>
      </c>
    </row>
    <row r="7108" spans="1:14" x14ac:dyDescent="0.25">
      <c r="A7108" t="s">
        <v>128</v>
      </c>
      <c r="B7108" s="2">
        <v>46267</v>
      </c>
      <c r="C7108" t="s">
        <v>128</v>
      </c>
      <c r="D7108" t="s">
        <v>1</v>
      </c>
      <c r="E7108" t="s">
        <v>9</v>
      </c>
      <c r="F7108" s="3">
        <v>-3700</v>
      </c>
      <c r="G7108" s="3">
        <v>-3700</v>
      </c>
      <c r="H7108" t="s">
        <v>3</v>
      </c>
      <c r="I7108" t="s">
        <v>3</v>
      </c>
      <c r="J7108" t="s">
        <v>771</v>
      </c>
      <c r="K7108" t="s">
        <v>13</v>
      </c>
      <c r="L7108" t="s">
        <v>22</v>
      </c>
      <c r="M7108" t="s">
        <v>7</v>
      </c>
      <c r="N7108" s="2">
        <v>46265</v>
      </c>
    </row>
    <row r="7109" spans="1:14" x14ac:dyDescent="0.25">
      <c r="A7109" s="4" t="s">
        <v>267</v>
      </c>
      <c r="B7109" s="5"/>
      <c r="C7109" s="4" t="s">
        <v>9</v>
      </c>
      <c r="D7109" s="4" t="s">
        <v>9</v>
      </c>
      <c r="E7109" s="4" t="s">
        <v>9</v>
      </c>
      <c r="F7109" s="6">
        <v>0</v>
      </c>
      <c r="G7109" s="6">
        <v>0</v>
      </c>
      <c r="H7109" s="4" t="s">
        <v>9</v>
      </c>
      <c r="I7109" s="4" t="s">
        <v>3</v>
      </c>
      <c r="J7109" s="4" t="s">
        <v>9</v>
      </c>
      <c r="K7109" s="4" t="s">
        <v>9</v>
      </c>
      <c r="L7109" s="4" t="s">
        <v>9</v>
      </c>
      <c r="M7109" s="4" t="s">
        <v>9</v>
      </c>
      <c r="N7109" s="5"/>
    </row>
    <row r="7110" spans="1:14" x14ac:dyDescent="0.25">
      <c r="A7110" s="4" t="s">
        <v>128</v>
      </c>
      <c r="B7110" s="5"/>
      <c r="C7110" s="4" t="s">
        <v>9</v>
      </c>
      <c r="D7110" s="4" t="s">
        <v>9</v>
      </c>
      <c r="E7110" s="4" t="s">
        <v>9</v>
      </c>
      <c r="F7110" s="6">
        <v>0</v>
      </c>
      <c r="G7110" s="6">
        <v>0</v>
      </c>
      <c r="H7110" s="4" t="s">
        <v>9</v>
      </c>
      <c r="I7110" s="4" t="s">
        <v>3</v>
      </c>
      <c r="J7110" s="4" t="s">
        <v>9</v>
      </c>
      <c r="K7110" s="4" t="s">
        <v>9</v>
      </c>
      <c r="L7110" s="4" t="s">
        <v>9</v>
      </c>
      <c r="M7110" s="4" t="s">
        <v>9</v>
      </c>
      <c r="N7110" s="5"/>
    </row>
    <row r="7111" spans="1:14" x14ac:dyDescent="0.25">
      <c r="A7111" t="s">
        <v>131</v>
      </c>
      <c r="B7111" s="2">
        <v>46069</v>
      </c>
      <c r="C7111" t="s">
        <v>131</v>
      </c>
      <c r="D7111" t="s">
        <v>1</v>
      </c>
      <c r="E7111" t="s">
        <v>132</v>
      </c>
      <c r="F7111" s="3">
        <v>11100</v>
      </c>
      <c r="G7111" s="3">
        <v>11100</v>
      </c>
      <c r="H7111" t="s">
        <v>3</v>
      </c>
      <c r="I7111" t="s">
        <v>3</v>
      </c>
      <c r="J7111" t="s">
        <v>133</v>
      </c>
      <c r="K7111" t="s">
        <v>13</v>
      </c>
      <c r="L7111" t="s">
        <v>15</v>
      </c>
      <c r="M7111" t="s">
        <v>7</v>
      </c>
      <c r="N7111" s="2">
        <v>46069</v>
      </c>
    </row>
    <row r="7112" spans="1:14" x14ac:dyDescent="0.25">
      <c r="A7112" t="s">
        <v>131</v>
      </c>
      <c r="B7112" s="2">
        <v>46084</v>
      </c>
      <c r="C7112" t="s">
        <v>131</v>
      </c>
      <c r="D7112" t="s">
        <v>1</v>
      </c>
      <c r="E7112" t="s">
        <v>9</v>
      </c>
      <c r="F7112" s="3">
        <v>-11100</v>
      </c>
      <c r="G7112" s="3">
        <v>-11100</v>
      </c>
      <c r="H7112" t="s">
        <v>3</v>
      </c>
      <c r="I7112" t="s">
        <v>3</v>
      </c>
      <c r="J7112" t="s">
        <v>772</v>
      </c>
      <c r="K7112" t="s">
        <v>13</v>
      </c>
      <c r="L7112" t="s">
        <v>15</v>
      </c>
      <c r="M7112" t="s">
        <v>7</v>
      </c>
      <c r="N7112" s="2">
        <v>46081</v>
      </c>
    </row>
    <row r="7113" spans="1:14" x14ac:dyDescent="0.25">
      <c r="A7113" s="4" t="s">
        <v>239</v>
      </c>
      <c r="B7113" s="5"/>
      <c r="C7113" s="4" t="s">
        <v>9</v>
      </c>
      <c r="D7113" s="4" t="s">
        <v>9</v>
      </c>
      <c r="E7113" s="4" t="s">
        <v>9</v>
      </c>
      <c r="F7113" s="6">
        <v>0</v>
      </c>
      <c r="G7113" s="6">
        <v>0</v>
      </c>
      <c r="H7113" s="4" t="s">
        <v>9</v>
      </c>
      <c r="I7113" s="4" t="s">
        <v>3</v>
      </c>
      <c r="J7113" s="4" t="s">
        <v>9</v>
      </c>
      <c r="K7113" s="4" t="s">
        <v>9</v>
      </c>
      <c r="L7113" s="4" t="s">
        <v>9</v>
      </c>
      <c r="M7113" s="4" t="s">
        <v>9</v>
      </c>
      <c r="N7113" s="5"/>
    </row>
    <row r="7114" spans="1:14" x14ac:dyDescent="0.25">
      <c r="A7114" t="s">
        <v>131</v>
      </c>
      <c r="B7114" s="2">
        <v>46105</v>
      </c>
      <c r="C7114" t="s">
        <v>131</v>
      </c>
      <c r="D7114" t="s">
        <v>1</v>
      </c>
      <c r="E7114" t="s">
        <v>132</v>
      </c>
      <c r="F7114" s="3">
        <v>11925</v>
      </c>
      <c r="G7114" s="3">
        <v>11925</v>
      </c>
      <c r="H7114" t="s">
        <v>3</v>
      </c>
      <c r="I7114" t="s">
        <v>3</v>
      </c>
      <c r="J7114" t="s">
        <v>133</v>
      </c>
      <c r="K7114" t="s">
        <v>13</v>
      </c>
      <c r="L7114" t="s">
        <v>16</v>
      </c>
      <c r="M7114" t="s">
        <v>7</v>
      </c>
      <c r="N7114" s="2">
        <v>46105</v>
      </c>
    </row>
    <row r="7115" spans="1:14" x14ac:dyDescent="0.25">
      <c r="A7115" t="s">
        <v>131</v>
      </c>
      <c r="B7115" s="2">
        <v>46115</v>
      </c>
      <c r="C7115" t="s">
        <v>131</v>
      </c>
      <c r="D7115" t="s">
        <v>1</v>
      </c>
      <c r="E7115" t="s">
        <v>9</v>
      </c>
      <c r="F7115" s="3">
        <v>-11925</v>
      </c>
      <c r="G7115" s="3">
        <v>-11925</v>
      </c>
      <c r="H7115" t="s">
        <v>3</v>
      </c>
      <c r="I7115" t="s">
        <v>3</v>
      </c>
      <c r="J7115" t="s">
        <v>772</v>
      </c>
      <c r="K7115" t="s">
        <v>13</v>
      </c>
      <c r="L7115" t="s">
        <v>16</v>
      </c>
      <c r="M7115" t="s">
        <v>7</v>
      </c>
      <c r="N7115" s="2">
        <v>46112</v>
      </c>
    </row>
    <row r="7116" spans="1:14" x14ac:dyDescent="0.25">
      <c r="A7116" s="4" t="s">
        <v>244</v>
      </c>
      <c r="B7116" s="5"/>
      <c r="C7116" s="4" t="s">
        <v>9</v>
      </c>
      <c r="D7116" s="4" t="s">
        <v>9</v>
      </c>
      <c r="E7116" s="4" t="s">
        <v>9</v>
      </c>
      <c r="F7116" s="6">
        <v>0</v>
      </c>
      <c r="G7116" s="6">
        <v>0</v>
      </c>
      <c r="H7116" s="4" t="s">
        <v>9</v>
      </c>
      <c r="I7116" s="4" t="s">
        <v>3</v>
      </c>
      <c r="J7116" s="4" t="s">
        <v>9</v>
      </c>
      <c r="K7116" s="4" t="s">
        <v>9</v>
      </c>
      <c r="L7116" s="4" t="s">
        <v>9</v>
      </c>
      <c r="M7116" s="4" t="s">
        <v>9</v>
      </c>
      <c r="N7116" s="5"/>
    </row>
    <row r="7117" spans="1:14" x14ac:dyDescent="0.25">
      <c r="A7117" t="s">
        <v>131</v>
      </c>
      <c r="B7117" s="2">
        <v>46128</v>
      </c>
      <c r="C7117" t="s">
        <v>131</v>
      </c>
      <c r="D7117" t="s">
        <v>1</v>
      </c>
      <c r="E7117" t="s">
        <v>132</v>
      </c>
      <c r="F7117" s="3">
        <v>12000</v>
      </c>
      <c r="G7117" s="3">
        <v>12000</v>
      </c>
      <c r="H7117" t="s">
        <v>3</v>
      </c>
      <c r="I7117" t="s">
        <v>3</v>
      </c>
      <c r="J7117" t="s">
        <v>133</v>
      </c>
      <c r="K7117" t="s">
        <v>13</v>
      </c>
      <c r="L7117" t="s">
        <v>17</v>
      </c>
      <c r="M7117" t="s">
        <v>7</v>
      </c>
      <c r="N7117" s="2">
        <v>46128</v>
      </c>
    </row>
    <row r="7118" spans="1:14" x14ac:dyDescent="0.25">
      <c r="A7118" t="s">
        <v>131</v>
      </c>
      <c r="B7118" s="2">
        <v>46147</v>
      </c>
      <c r="C7118" t="s">
        <v>131</v>
      </c>
      <c r="D7118" t="s">
        <v>1</v>
      </c>
      <c r="E7118" t="s">
        <v>9</v>
      </c>
      <c r="F7118" s="3">
        <v>-12000</v>
      </c>
      <c r="G7118" s="3">
        <v>-12000</v>
      </c>
      <c r="H7118" t="s">
        <v>3</v>
      </c>
      <c r="I7118" t="s">
        <v>3</v>
      </c>
      <c r="J7118" t="s">
        <v>772</v>
      </c>
      <c r="K7118" t="s">
        <v>13</v>
      </c>
      <c r="L7118" t="s">
        <v>17</v>
      </c>
      <c r="M7118" t="s">
        <v>7</v>
      </c>
      <c r="N7118" s="2">
        <v>46142</v>
      </c>
    </row>
    <row r="7119" spans="1:14" x14ac:dyDescent="0.25">
      <c r="A7119" s="4" t="s">
        <v>249</v>
      </c>
      <c r="B7119" s="5"/>
      <c r="C7119" s="4" t="s">
        <v>9</v>
      </c>
      <c r="D7119" s="4" t="s">
        <v>9</v>
      </c>
      <c r="E7119" s="4" t="s">
        <v>9</v>
      </c>
      <c r="F7119" s="6">
        <v>0</v>
      </c>
      <c r="G7119" s="6">
        <v>0</v>
      </c>
      <c r="H7119" s="4" t="s">
        <v>9</v>
      </c>
      <c r="I7119" s="4" t="s">
        <v>3</v>
      </c>
      <c r="J7119" s="4" t="s">
        <v>9</v>
      </c>
      <c r="K7119" s="4" t="s">
        <v>9</v>
      </c>
      <c r="L7119" s="4" t="s">
        <v>9</v>
      </c>
      <c r="M7119" s="4" t="s">
        <v>9</v>
      </c>
      <c r="N7119" s="5"/>
    </row>
    <row r="7120" spans="1:14" x14ac:dyDescent="0.25">
      <c r="A7120" t="s">
        <v>131</v>
      </c>
      <c r="B7120" s="2">
        <v>46154</v>
      </c>
      <c r="C7120" t="s">
        <v>131</v>
      </c>
      <c r="D7120" t="s">
        <v>1</v>
      </c>
      <c r="E7120" t="s">
        <v>132</v>
      </c>
      <c r="F7120" s="3">
        <v>9000</v>
      </c>
      <c r="G7120" s="3">
        <v>9000</v>
      </c>
      <c r="H7120" t="s">
        <v>3</v>
      </c>
      <c r="I7120" t="s">
        <v>3</v>
      </c>
      <c r="J7120" t="s">
        <v>133</v>
      </c>
      <c r="K7120" t="s">
        <v>13</v>
      </c>
      <c r="L7120" t="s">
        <v>18</v>
      </c>
      <c r="M7120" t="s">
        <v>7</v>
      </c>
      <c r="N7120" s="2">
        <v>46154</v>
      </c>
    </row>
    <row r="7121" spans="1:14" x14ac:dyDescent="0.25">
      <c r="A7121" t="s">
        <v>131</v>
      </c>
      <c r="B7121" s="2">
        <v>46175</v>
      </c>
      <c r="C7121" t="s">
        <v>131</v>
      </c>
      <c r="D7121" t="s">
        <v>1</v>
      </c>
      <c r="E7121" t="s">
        <v>9</v>
      </c>
      <c r="F7121" s="3">
        <v>-9000</v>
      </c>
      <c r="G7121" s="3">
        <v>-9000</v>
      </c>
      <c r="H7121" t="s">
        <v>3</v>
      </c>
      <c r="I7121" t="s">
        <v>3</v>
      </c>
      <c r="J7121" t="s">
        <v>772</v>
      </c>
      <c r="K7121" t="s">
        <v>13</v>
      </c>
      <c r="L7121" t="s">
        <v>18</v>
      </c>
      <c r="M7121" t="s">
        <v>7</v>
      </c>
      <c r="N7121" s="2">
        <v>46173</v>
      </c>
    </row>
    <row r="7122" spans="1:14" x14ac:dyDescent="0.25">
      <c r="A7122" s="4" t="s">
        <v>223</v>
      </c>
      <c r="B7122" s="5"/>
      <c r="C7122" s="4" t="s">
        <v>9</v>
      </c>
      <c r="D7122" s="4" t="s">
        <v>9</v>
      </c>
      <c r="E7122" s="4" t="s">
        <v>9</v>
      </c>
      <c r="F7122" s="6">
        <v>0</v>
      </c>
      <c r="G7122" s="6">
        <v>0</v>
      </c>
      <c r="H7122" s="4" t="s">
        <v>9</v>
      </c>
      <c r="I7122" s="4" t="s">
        <v>3</v>
      </c>
      <c r="J7122" s="4" t="s">
        <v>9</v>
      </c>
      <c r="K7122" s="4" t="s">
        <v>9</v>
      </c>
      <c r="L7122" s="4" t="s">
        <v>9</v>
      </c>
      <c r="M7122" s="4" t="s">
        <v>9</v>
      </c>
      <c r="N7122" s="5"/>
    </row>
    <row r="7123" spans="1:14" x14ac:dyDescent="0.25">
      <c r="A7123" t="s">
        <v>131</v>
      </c>
      <c r="B7123" s="2">
        <v>46188</v>
      </c>
      <c r="C7123" t="s">
        <v>131</v>
      </c>
      <c r="D7123" t="s">
        <v>1</v>
      </c>
      <c r="E7123" t="s">
        <v>132</v>
      </c>
      <c r="F7123" s="3">
        <v>5975</v>
      </c>
      <c r="G7123" s="3">
        <v>5975</v>
      </c>
      <c r="H7123" t="s">
        <v>3</v>
      </c>
      <c r="I7123" t="s">
        <v>3</v>
      </c>
      <c r="J7123" t="s">
        <v>133</v>
      </c>
      <c r="K7123" t="s">
        <v>13</v>
      </c>
      <c r="L7123" t="s">
        <v>19</v>
      </c>
      <c r="M7123" t="s">
        <v>7</v>
      </c>
      <c r="N7123" s="2">
        <v>46188</v>
      </c>
    </row>
    <row r="7124" spans="1:14" x14ac:dyDescent="0.25">
      <c r="A7124" t="s">
        <v>131</v>
      </c>
      <c r="B7124" s="2">
        <v>46205</v>
      </c>
      <c r="C7124" t="s">
        <v>131</v>
      </c>
      <c r="D7124" t="s">
        <v>1</v>
      </c>
      <c r="E7124" t="s">
        <v>9</v>
      </c>
      <c r="F7124" s="3">
        <v>-5975</v>
      </c>
      <c r="G7124" s="3">
        <v>-5975</v>
      </c>
      <c r="H7124" t="s">
        <v>3</v>
      </c>
      <c r="I7124" t="s">
        <v>3</v>
      </c>
      <c r="J7124" t="s">
        <v>772</v>
      </c>
      <c r="K7124" t="s">
        <v>13</v>
      </c>
      <c r="L7124" t="s">
        <v>19</v>
      </c>
      <c r="M7124" t="s">
        <v>7</v>
      </c>
      <c r="N7124" s="2">
        <v>46203</v>
      </c>
    </row>
    <row r="7125" spans="1:14" x14ac:dyDescent="0.25">
      <c r="A7125" s="4" t="s">
        <v>224</v>
      </c>
      <c r="B7125" s="5"/>
      <c r="C7125" s="4" t="s">
        <v>9</v>
      </c>
      <c r="D7125" s="4" t="s">
        <v>9</v>
      </c>
      <c r="E7125" s="4" t="s">
        <v>9</v>
      </c>
      <c r="F7125" s="6">
        <v>0</v>
      </c>
      <c r="G7125" s="6">
        <v>0</v>
      </c>
      <c r="H7125" s="4" t="s">
        <v>9</v>
      </c>
      <c r="I7125" s="4" t="s">
        <v>3</v>
      </c>
      <c r="J7125" s="4" t="s">
        <v>9</v>
      </c>
      <c r="K7125" s="4" t="s">
        <v>9</v>
      </c>
      <c r="L7125" s="4" t="s">
        <v>9</v>
      </c>
      <c r="M7125" s="4" t="s">
        <v>9</v>
      </c>
      <c r="N7125" s="5"/>
    </row>
    <row r="7126" spans="1:14" x14ac:dyDescent="0.25">
      <c r="A7126" s="4" t="s">
        <v>131</v>
      </c>
      <c r="B7126" s="5"/>
      <c r="C7126" s="4" t="s">
        <v>9</v>
      </c>
      <c r="D7126" s="4" t="s">
        <v>9</v>
      </c>
      <c r="E7126" s="4" t="s">
        <v>9</v>
      </c>
      <c r="F7126" s="6">
        <v>0</v>
      </c>
      <c r="G7126" s="6">
        <v>0</v>
      </c>
      <c r="H7126" s="4" t="s">
        <v>9</v>
      </c>
      <c r="I7126" s="4" t="s">
        <v>3</v>
      </c>
      <c r="J7126" s="4" t="s">
        <v>9</v>
      </c>
      <c r="K7126" s="4" t="s">
        <v>9</v>
      </c>
      <c r="L7126" s="4" t="s">
        <v>9</v>
      </c>
      <c r="M7126" s="4" t="s">
        <v>9</v>
      </c>
      <c r="N7126" s="5"/>
    </row>
    <row r="7127" spans="1:14" x14ac:dyDescent="0.25">
      <c r="A7127" t="s">
        <v>134</v>
      </c>
      <c r="B7127" s="2">
        <v>46085</v>
      </c>
      <c r="C7127" t="s">
        <v>134</v>
      </c>
      <c r="D7127" t="s">
        <v>1</v>
      </c>
      <c r="E7127" t="s">
        <v>135</v>
      </c>
      <c r="F7127" s="3">
        <v>15000</v>
      </c>
      <c r="G7127" s="3">
        <v>15000</v>
      </c>
      <c r="H7127" t="s">
        <v>3</v>
      </c>
      <c r="I7127" t="s">
        <v>3</v>
      </c>
      <c r="J7127" t="s">
        <v>136</v>
      </c>
      <c r="K7127" t="s">
        <v>13</v>
      </c>
      <c r="L7127" t="s">
        <v>16</v>
      </c>
      <c r="M7127" t="s">
        <v>7</v>
      </c>
      <c r="N7127" s="2">
        <v>46085</v>
      </c>
    </row>
    <row r="7128" spans="1:14" x14ac:dyDescent="0.25">
      <c r="A7128" t="s">
        <v>134</v>
      </c>
      <c r="B7128" s="2">
        <v>46085</v>
      </c>
      <c r="C7128" t="s">
        <v>134</v>
      </c>
      <c r="D7128" t="s">
        <v>1</v>
      </c>
      <c r="E7128" t="s">
        <v>135</v>
      </c>
      <c r="F7128" s="3">
        <v>17500</v>
      </c>
      <c r="G7128" s="3">
        <v>17500</v>
      </c>
      <c r="H7128" t="s">
        <v>3</v>
      </c>
      <c r="I7128" t="s">
        <v>3</v>
      </c>
      <c r="J7128" t="s">
        <v>137</v>
      </c>
      <c r="K7128" t="s">
        <v>13</v>
      </c>
      <c r="L7128" t="s">
        <v>16</v>
      </c>
      <c r="M7128" t="s">
        <v>7</v>
      </c>
      <c r="N7128" s="2">
        <v>46085</v>
      </c>
    </row>
    <row r="7129" spans="1:14" x14ac:dyDescent="0.25">
      <c r="A7129" t="s">
        <v>134</v>
      </c>
      <c r="B7129" s="2">
        <v>46115</v>
      </c>
      <c r="C7129" t="s">
        <v>134</v>
      </c>
      <c r="D7129" t="s">
        <v>1</v>
      </c>
      <c r="E7129" t="s">
        <v>9</v>
      </c>
      <c r="F7129" s="3">
        <v>-32500</v>
      </c>
      <c r="G7129" s="3">
        <v>-32500</v>
      </c>
      <c r="H7129" t="s">
        <v>3</v>
      </c>
      <c r="I7129" t="s">
        <v>3</v>
      </c>
      <c r="J7129" t="s">
        <v>773</v>
      </c>
      <c r="K7129" t="s">
        <v>13</v>
      </c>
      <c r="L7129" t="s">
        <v>16</v>
      </c>
      <c r="M7129" t="s">
        <v>7</v>
      </c>
      <c r="N7129" s="2">
        <v>46112</v>
      </c>
    </row>
    <row r="7130" spans="1:14" x14ac:dyDescent="0.25">
      <c r="A7130" s="4" t="s">
        <v>244</v>
      </c>
      <c r="B7130" s="5"/>
      <c r="C7130" s="4" t="s">
        <v>9</v>
      </c>
      <c r="D7130" s="4" t="s">
        <v>9</v>
      </c>
      <c r="E7130" s="4" t="s">
        <v>9</v>
      </c>
      <c r="F7130" s="6">
        <v>0</v>
      </c>
      <c r="G7130" s="6">
        <v>0</v>
      </c>
      <c r="H7130" s="4" t="s">
        <v>9</v>
      </c>
      <c r="I7130" s="4" t="s">
        <v>3</v>
      </c>
      <c r="J7130" s="4" t="s">
        <v>9</v>
      </c>
      <c r="K7130" s="4" t="s">
        <v>9</v>
      </c>
      <c r="L7130" s="4" t="s">
        <v>9</v>
      </c>
      <c r="M7130" s="4" t="s">
        <v>9</v>
      </c>
      <c r="N7130" s="5"/>
    </row>
    <row r="7131" spans="1:14" x14ac:dyDescent="0.25">
      <c r="A7131" s="4" t="s">
        <v>134</v>
      </c>
      <c r="B7131" s="5"/>
      <c r="C7131" s="4" t="s">
        <v>9</v>
      </c>
      <c r="D7131" s="4" t="s">
        <v>9</v>
      </c>
      <c r="E7131" s="4" t="s">
        <v>9</v>
      </c>
      <c r="F7131" s="6">
        <v>0</v>
      </c>
      <c r="G7131" s="6">
        <v>0</v>
      </c>
      <c r="H7131" s="4" t="s">
        <v>9</v>
      </c>
      <c r="I7131" s="4" t="s">
        <v>3</v>
      </c>
      <c r="J7131" s="4" t="s">
        <v>9</v>
      </c>
      <c r="K7131" s="4" t="s">
        <v>9</v>
      </c>
      <c r="L7131" s="4" t="s">
        <v>9</v>
      </c>
      <c r="M7131" s="4" t="s">
        <v>9</v>
      </c>
      <c r="N7131" s="5"/>
    </row>
    <row r="7132" spans="1:14" x14ac:dyDescent="0.25">
      <c r="A7132" t="s">
        <v>138</v>
      </c>
      <c r="B7132" s="2">
        <v>46081</v>
      </c>
      <c r="C7132" t="s">
        <v>138</v>
      </c>
      <c r="D7132" t="s">
        <v>1</v>
      </c>
      <c r="E7132" t="s">
        <v>9</v>
      </c>
      <c r="F7132" s="3">
        <v>60392</v>
      </c>
      <c r="G7132" s="3">
        <v>60392</v>
      </c>
      <c r="H7132" t="s">
        <v>3</v>
      </c>
      <c r="I7132" t="s">
        <v>3</v>
      </c>
      <c r="J7132" t="s">
        <v>10</v>
      </c>
      <c r="K7132" t="s">
        <v>13</v>
      </c>
      <c r="L7132" t="s">
        <v>15</v>
      </c>
      <c r="M7132" t="s">
        <v>7</v>
      </c>
      <c r="N7132" s="2">
        <v>46081</v>
      </c>
    </row>
    <row r="7133" spans="1:14" x14ac:dyDescent="0.25">
      <c r="A7133" t="s">
        <v>138</v>
      </c>
      <c r="B7133" s="2">
        <v>46084</v>
      </c>
      <c r="C7133" t="s">
        <v>138</v>
      </c>
      <c r="D7133" t="s">
        <v>1</v>
      </c>
      <c r="E7133" t="s">
        <v>9</v>
      </c>
      <c r="F7133" s="3">
        <v>-60392</v>
      </c>
      <c r="G7133" s="3">
        <v>-60392</v>
      </c>
      <c r="H7133" t="s">
        <v>3</v>
      </c>
      <c r="I7133" t="s">
        <v>3</v>
      </c>
      <c r="J7133" t="s">
        <v>774</v>
      </c>
      <c r="K7133" t="s">
        <v>13</v>
      </c>
      <c r="L7133" t="s">
        <v>15</v>
      </c>
      <c r="M7133" t="s">
        <v>7</v>
      </c>
      <c r="N7133" s="2">
        <v>46081</v>
      </c>
    </row>
    <row r="7134" spans="1:14" x14ac:dyDescent="0.25">
      <c r="A7134" s="4" t="s">
        <v>239</v>
      </c>
      <c r="B7134" s="5"/>
      <c r="C7134" s="4" t="s">
        <v>9</v>
      </c>
      <c r="D7134" s="4" t="s">
        <v>9</v>
      </c>
      <c r="E7134" s="4" t="s">
        <v>9</v>
      </c>
      <c r="F7134" s="6">
        <v>0</v>
      </c>
      <c r="G7134" s="6">
        <v>0</v>
      </c>
      <c r="H7134" s="4" t="s">
        <v>9</v>
      </c>
      <c r="I7134" s="4" t="s">
        <v>3</v>
      </c>
      <c r="J7134" s="4" t="s">
        <v>9</v>
      </c>
      <c r="K7134" s="4" t="s">
        <v>9</v>
      </c>
      <c r="L7134" s="4" t="s">
        <v>9</v>
      </c>
      <c r="M7134" s="4" t="s">
        <v>9</v>
      </c>
      <c r="N7134" s="5"/>
    </row>
    <row r="7135" spans="1:14" x14ac:dyDescent="0.25">
      <c r="A7135" t="s">
        <v>138</v>
      </c>
      <c r="B7135" s="2">
        <v>46112</v>
      </c>
      <c r="C7135" t="s">
        <v>138</v>
      </c>
      <c r="D7135" t="s">
        <v>1</v>
      </c>
      <c r="E7135" t="s">
        <v>9</v>
      </c>
      <c r="F7135" s="3">
        <v>85820</v>
      </c>
      <c r="G7135" s="3">
        <v>85820</v>
      </c>
      <c r="H7135" t="s">
        <v>3</v>
      </c>
      <c r="I7135" t="s">
        <v>3</v>
      </c>
      <c r="J7135" t="s">
        <v>10</v>
      </c>
      <c r="K7135" t="s">
        <v>13</v>
      </c>
      <c r="L7135" t="s">
        <v>16</v>
      </c>
      <c r="M7135" t="s">
        <v>7</v>
      </c>
      <c r="N7135" s="2">
        <v>46112</v>
      </c>
    </row>
    <row r="7136" spans="1:14" x14ac:dyDescent="0.25">
      <c r="A7136" t="s">
        <v>138</v>
      </c>
      <c r="B7136" s="2">
        <v>46115</v>
      </c>
      <c r="C7136" t="s">
        <v>138</v>
      </c>
      <c r="D7136" t="s">
        <v>1</v>
      </c>
      <c r="E7136" t="s">
        <v>9</v>
      </c>
      <c r="F7136" s="3">
        <v>-85820</v>
      </c>
      <c r="G7136" s="3">
        <v>-85820</v>
      </c>
      <c r="H7136" t="s">
        <v>3</v>
      </c>
      <c r="I7136" t="s">
        <v>3</v>
      </c>
      <c r="J7136" t="s">
        <v>774</v>
      </c>
      <c r="K7136" t="s">
        <v>13</v>
      </c>
      <c r="L7136" t="s">
        <v>16</v>
      </c>
      <c r="M7136" t="s">
        <v>7</v>
      </c>
      <c r="N7136" s="2">
        <v>46112</v>
      </c>
    </row>
    <row r="7137" spans="1:14" x14ac:dyDescent="0.25">
      <c r="A7137" s="4" t="s">
        <v>244</v>
      </c>
      <c r="B7137" s="5"/>
      <c r="C7137" s="4" t="s">
        <v>9</v>
      </c>
      <c r="D7137" s="4" t="s">
        <v>9</v>
      </c>
      <c r="E7137" s="4" t="s">
        <v>9</v>
      </c>
      <c r="F7137" s="6">
        <v>0</v>
      </c>
      <c r="G7137" s="6">
        <v>0</v>
      </c>
      <c r="H7137" s="4" t="s">
        <v>9</v>
      </c>
      <c r="I7137" s="4" t="s">
        <v>3</v>
      </c>
      <c r="J7137" s="4" t="s">
        <v>9</v>
      </c>
      <c r="K7137" s="4" t="s">
        <v>9</v>
      </c>
      <c r="L7137" s="4" t="s">
        <v>9</v>
      </c>
      <c r="M7137" s="4" t="s">
        <v>9</v>
      </c>
      <c r="N7137" s="5"/>
    </row>
    <row r="7138" spans="1:14" x14ac:dyDescent="0.25">
      <c r="A7138" t="s">
        <v>138</v>
      </c>
      <c r="B7138" s="2">
        <v>46142</v>
      </c>
      <c r="C7138" t="s">
        <v>138</v>
      </c>
      <c r="D7138" t="s">
        <v>1</v>
      </c>
      <c r="E7138" t="s">
        <v>9</v>
      </c>
      <c r="F7138" s="3">
        <v>45326</v>
      </c>
      <c r="G7138" s="3">
        <v>45326</v>
      </c>
      <c r="H7138" t="s">
        <v>3</v>
      </c>
      <c r="I7138" t="s">
        <v>3</v>
      </c>
      <c r="J7138" t="s">
        <v>10</v>
      </c>
      <c r="K7138" t="s">
        <v>13</v>
      </c>
      <c r="L7138" t="s">
        <v>17</v>
      </c>
      <c r="M7138" t="s">
        <v>7</v>
      </c>
      <c r="N7138" s="2">
        <v>46142</v>
      </c>
    </row>
    <row r="7139" spans="1:14" x14ac:dyDescent="0.25">
      <c r="A7139" t="s">
        <v>138</v>
      </c>
      <c r="B7139" s="2">
        <v>46147</v>
      </c>
      <c r="C7139" t="s">
        <v>138</v>
      </c>
      <c r="D7139" t="s">
        <v>1</v>
      </c>
      <c r="E7139" t="s">
        <v>9</v>
      </c>
      <c r="F7139" s="3">
        <v>-45326</v>
      </c>
      <c r="G7139" s="3">
        <v>-45326</v>
      </c>
      <c r="H7139" t="s">
        <v>3</v>
      </c>
      <c r="I7139" t="s">
        <v>3</v>
      </c>
      <c r="J7139" t="s">
        <v>774</v>
      </c>
      <c r="K7139" t="s">
        <v>13</v>
      </c>
      <c r="L7139" t="s">
        <v>17</v>
      </c>
      <c r="M7139" t="s">
        <v>7</v>
      </c>
      <c r="N7139" s="2">
        <v>46142</v>
      </c>
    </row>
    <row r="7140" spans="1:14" x14ac:dyDescent="0.25">
      <c r="A7140" s="4" t="s">
        <v>249</v>
      </c>
      <c r="B7140" s="5"/>
      <c r="C7140" s="4" t="s">
        <v>9</v>
      </c>
      <c r="D7140" s="4" t="s">
        <v>9</v>
      </c>
      <c r="E7140" s="4" t="s">
        <v>9</v>
      </c>
      <c r="F7140" s="6">
        <v>0</v>
      </c>
      <c r="G7140" s="6">
        <v>0</v>
      </c>
      <c r="H7140" s="4" t="s">
        <v>9</v>
      </c>
      <c r="I7140" s="4" t="s">
        <v>3</v>
      </c>
      <c r="J7140" s="4" t="s">
        <v>9</v>
      </c>
      <c r="K7140" s="4" t="s">
        <v>9</v>
      </c>
      <c r="L7140" s="4" t="s">
        <v>9</v>
      </c>
      <c r="M7140" s="4" t="s">
        <v>9</v>
      </c>
      <c r="N7140" s="5"/>
    </row>
    <row r="7141" spans="1:14" x14ac:dyDescent="0.25">
      <c r="A7141" s="4" t="s">
        <v>138</v>
      </c>
      <c r="B7141" s="5"/>
      <c r="C7141" s="4" t="s">
        <v>9</v>
      </c>
      <c r="D7141" s="4" t="s">
        <v>9</v>
      </c>
      <c r="E7141" s="4" t="s">
        <v>9</v>
      </c>
      <c r="F7141" s="6">
        <v>0</v>
      </c>
      <c r="G7141" s="6">
        <v>0</v>
      </c>
      <c r="H7141" s="4" t="s">
        <v>9</v>
      </c>
      <c r="I7141" s="4" t="s">
        <v>3</v>
      </c>
      <c r="J7141" s="4" t="s">
        <v>9</v>
      </c>
      <c r="K7141" s="4" t="s">
        <v>9</v>
      </c>
      <c r="L7141" s="4" t="s">
        <v>9</v>
      </c>
      <c r="M7141" s="4" t="s">
        <v>9</v>
      </c>
      <c r="N7141" s="5"/>
    </row>
    <row r="7142" spans="1:14" x14ac:dyDescent="0.25">
      <c r="A7142" t="s">
        <v>139</v>
      </c>
      <c r="B7142" s="2">
        <v>46112</v>
      </c>
      <c r="C7142" t="s">
        <v>139</v>
      </c>
      <c r="D7142" t="s">
        <v>99</v>
      </c>
      <c r="E7142" t="s">
        <v>9</v>
      </c>
      <c r="F7142" s="3">
        <v>9225</v>
      </c>
      <c r="G7142" s="3">
        <v>9225</v>
      </c>
      <c r="H7142" t="s">
        <v>3</v>
      </c>
      <c r="I7142" t="s">
        <v>3</v>
      </c>
      <c r="J7142" t="s">
        <v>140</v>
      </c>
      <c r="K7142" t="s">
        <v>13</v>
      </c>
      <c r="L7142" t="s">
        <v>16</v>
      </c>
      <c r="M7142" t="s">
        <v>102</v>
      </c>
      <c r="N7142" s="2">
        <v>46112</v>
      </c>
    </row>
    <row r="7143" spans="1:14" x14ac:dyDescent="0.25">
      <c r="A7143" t="s">
        <v>139</v>
      </c>
      <c r="B7143" s="2">
        <v>46115</v>
      </c>
      <c r="C7143" t="s">
        <v>139</v>
      </c>
      <c r="D7143" t="s">
        <v>99</v>
      </c>
      <c r="E7143" t="s">
        <v>9</v>
      </c>
      <c r="F7143" s="3">
        <v>-9225</v>
      </c>
      <c r="G7143" s="3">
        <v>-9225</v>
      </c>
      <c r="H7143" t="s">
        <v>3</v>
      </c>
      <c r="I7143" t="s">
        <v>3</v>
      </c>
      <c r="J7143" t="s">
        <v>775</v>
      </c>
      <c r="K7143" t="s">
        <v>13</v>
      </c>
      <c r="L7143" t="s">
        <v>16</v>
      </c>
      <c r="M7143" t="s">
        <v>102</v>
      </c>
      <c r="N7143" s="2">
        <v>46112</v>
      </c>
    </row>
    <row r="7144" spans="1:14" x14ac:dyDescent="0.25">
      <c r="A7144" s="4" t="s">
        <v>244</v>
      </c>
      <c r="B7144" s="5"/>
      <c r="C7144" s="4" t="s">
        <v>9</v>
      </c>
      <c r="D7144" s="4" t="s">
        <v>9</v>
      </c>
      <c r="E7144" s="4" t="s">
        <v>9</v>
      </c>
      <c r="F7144" s="6">
        <v>0</v>
      </c>
      <c r="G7144" s="6">
        <v>0</v>
      </c>
      <c r="H7144" s="4" t="s">
        <v>9</v>
      </c>
      <c r="I7144" s="4" t="s">
        <v>3</v>
      </c>
      <c r="J7144" s="4" t="s">
        <v>9</v>
      </c>
      <c r="K7144" s="4" t="s">
        <v>9</v>
      </c>
      <c r="L7144" s="4" t="s">
        <v>9</v>
      </c>
      <c r="M7144" s="4" t="s">
        <v>9</v>
      </c>
      <c r="N7144" s="5"/>
    </row>
    <row r="7145" spans="1:14" x14ac:dyDescent="0.25">
      <c r="A7145" t="s">
        <v>139</v>
      </c>
      <c r="B7145" s="2">
        <v>46125</v>
      </c>
      <c r="C7145" t="s">
        <v>139</v>
      </c>
      <c r="D7145" t="s">
        <v>1</v>
      </c>
      <c r="E7145" t="s">
        <v>141</v>
      </c>
      <c r="F7145" s="3">
        <v>4500</v>
      </c>
      <c r="G7145" s="3">
        <v>4500</v>
      </c>
      <c r="H7145" t="s">
        <v>3</v>
      </c>
      <c r="I7145" t="s">
        <v>3</v>
      </c>
      <c r="J7145" t="s">
        <v>142</v>
      </c>
      <c r="K7145" t="s">
        <v>13</v>
      </c>
      <c r="L7145" t="s">
        <v>17</v>
      </c>
      <c r="M7145" t="s">
        <v>7</v>
      </c>
      <c r="N7145" s="2">
        <v>46125</v>
      </c>
    </row>
    <row r="7146" spans="1:14" x14ac:dyDescent="0.25">
      <c r="A7146" t="s">
        <v>139</v>
      </c>
      <c r="B7146" s="2">
        <v>46142</v>
      </c>
      <c r="C7146" t="s">
        <v>139</v>
      </c>
      <c r="D7146" t="s">
        <v>1</v>
      </c>
      <c r="E7146" t="s">
        <v>9</v>
      </c>
      <c r="F7146" s="3">
        <v>35803</v>
      </c>
      <c r="G7146" s="3">
        <v>35803</v>
      </c>
      <c r="H7146" t="s">
        <v>3</v>
      </c>
      <c r="I7146" t="s">
        <v>3</v>
      </c>
      <c r="J7146" t="s">
        <v>10</v>
      </c>
      <c r="K7146" t="s">
        <v>13</v>
      </c>
      <c r="L7146" t="s">
        <v>17</v>
      </c>
      <c r="M7146" t="s">
        <v>7</v>
      </c>
      <c r="N7146" s="2">
        <v>46142</v>
      </c>
    </row>
    <row r="7147" spans="1:14" x14ac:dyDescent="0.25">
      <c r="A7147" t="s">
        <v>139</v>
      </c>
      <c r="B7147" s="2">
        <v>46147</v>
      </c>
      <c r="C7147" t="s">
        <v>139</v>
      </c>
      <c r="D7147" t="s">
        <v>1</v>
      </c>
      <c r="E7147" t="s">
        <v>9</v>
      </c>
      <c r="F7147" s="3">
        <v>-40303</v>
      </c>
      <c r="G7147" s="3">
        <v>-40303</v>
      </c>
      <c r="H7147" t="s">
        <v>3</v>
      </c>
      <c r="I7147" t="s">
        <v>3</v>
      </c>
      <c r="J7147" t="s">
        <v>775</v>
      </c>
      <c r="K7147" t="s">
        <v>13</v>
      </c>
      <c r="L7147" t="s">
        <v>17</v>
      </c>
      <c r="M7147" t="s">
        <v>7</v>
      </c>
      <c r="N7147" s="2">
        <v>46142</v>
      </c>
    </row>
    <row r="7148" spans="1:14" x14ac:dyDescent="0.25">
      <c r="A7148" s="4" t="s">
        <v>249</v>
      </c>
      <c r="B7148" s="5"/>
      <c r="C7148" s="4" t="s">
        <v>9</v>
      </c>
      <c r="D7148" s="4" t="s">
        <v>9</v>
      </c>
      <c r="E7148" s="4" t="s">
        <v>9</v>
      </c>
      <c r="F7148" s="6">
        <v>0</v>
      </c>
      <c r="G7148" s="6">
        <v>0</v>
      </c>
      <c r="H7148" s="4" t="s">
        <v>9</v>
      </c>
      <c r="I7148" s="4" t="s">
        <v>3</v>
      </c>
      <c r="J7148" s="4" t="s">
        <v>9</v>
      </c>
      <c r="K7148" s="4" t="s">
        <v>9</v>
      </c>
      <c r="L7148" s="4" t="s">
        <v>9</v>
      </c>
      <c r="M7148" s="4" t="s">
        <v>9</v>
      </c>
      <c r="N7148" s="5"/>
    </row>
    <row r="7149" spans="1:14" x14ac:dyDescent="0.25">
      <c r="A7149" t="s">
        <v>139</v>
      </c>
      <c r="B7149" s="2">
        <v>46154</v>
      </c>
      <c r="C7149" t="s">
        <v>139</v>
      </c>
      <c r="D7149" t="s">
        <v>1</v>
      </c>
      <c r="E7149" t="s">
        <v>141</v>
      </c>
      <c r="F7149" s="3">
        <v>2700</v>
      </c>
      <c r="G7149" s="3">
        <v>2700</v>
      </c>
      <c r="H7149" t="s">
        <v>3</v>
      </c>
      <c r="I7149" t="s">
        <v>3</v>
      </c>
      <c r="J7149" t="s">
        <v>142</v>
      </c>
      <c r="K7149" t="s">
        <v>13</v>
      </c>
      <c r="L7149" t="s">
        <v>18</v>
      </c>
      <c r="M7149" t="s">
        <v>7</v>
      </c>
      <c r="N7149" s="2">
        <v>46154</v>
      </c>
    </row>
    <row r="7150" spans="1:14" x14ac:dyDescent="0.25">
      <c r="A7150" t="s">
        <v>139</v>
      </c>
      <c r="B7150" s="2">
        <v>46173</v>
      </c>
      <c r="C7150" t="s">
        <v>139</v>
      </c>
      <c r="D7150" t="s">
        <v>1</v>
      </c>
      <c r="E7150" t="s">
        <v>9</v>
      </c>
      <c r="F7150" s="3">
        <v>6197</v>
      </c>
      <c r="G7150" s="3">
        <v>6197</v>
      </c>
      <c r="H7150" t="s">
        <v>3</v>
      </c>
      <c r="I7150" t="s">
        <v>3</v>
      </c>
      <c r="J7150" t="s">
        <v>10</v>
      </c>
      <c r="K7150" t="s">
        <v>13</v>
      </c>
      <c r="L7150" t="s">
        <v>18</v>
      </c>
      <c r="M7150" t="s">
        <v>7</v>
      </c>
      <c r="N7150" s="2">
        <v>46173</v>
      </c>
    </row>
    <row r="7151" spans="1:14" x14ac:dyDescent="0.25">
      <c r="A7151" t="s">
        <v>139</v>
      </c>
      <c r="B7151" s="2">
        <v>46175</v>
      </c>
      <c r="C7151" t="s">
        <v>139</v>
      </c>
      <c r="D7151" t="s">
        <v>1</v>
      </c>
      <c r="E7151" t="s">
        <v>9</v>
      </c>
      <c r="F7151" s="3">
        <v>-8897</v>
      </c>
      <c r="G7151" s="3">
        <v>-8897</v>
      </c>
      <c r="H7151" t="s">
        <v>3</v>
      </c>
      <c r="I7151" t="s">
        <v>3</v>
      </c>
      <c r="J7151" t="s">
        <v>775</v>
      </c>
      <c r="K7151" t="s">
        <v>13</v>
      </c>
      <c r="L7151" t="s">
        <v>18</v>
      </c>
      <c r="M7151" t="s">
        <v>7</v>
      </c>
      <c r="N7151" s="2">
        <v>46173</v>
      </c>
    </row>
    <row r="7152" spans="1:14" x14ac:dyDescent="0.25">
      <c r="A7152" s="4" t="s">
        <v>223</v>
      </c>
      <c r="B7152" s="5"/>
      <c r="C7152" s="4" t="s">
        <v>9</v>
      </c>
      <c r="D7152" s="4" t="s">
        <v>9</v>
      </c>
      <c r="E7152" s="4" t="s">
        <v>9</v>
      </c>
      <c r="F7152" s="6">
        <v>0</v>
      </c>
      <c r="G7152" s="6">
        <v>0</v>
      </c>
      <c r="H7152" s="4" t="s">
        <v>9</v>
      </c>
      <c r="I7152" s="4" t="s">
        <v>3</v>
      </c>
      <c r="J7152" s="4" t="s">
        <v>9</v>
      </c>
      <c r="K7152" s="4" t="s">
        <v>9</v>
      </c>
      <c r="L7152" s="4" t="s">
        <v>9</v>
      </c>
      <c r="M7152" s="4" t="s">
        <v>9</v>
      </c>
      <c r="N7152" s="5"/>
    </row>
    <row r="7153" spans="1:14" x14ac:dyDescent="0.25">
      <c r="A7153" t="s">
        <v>139</v>
      </c>
      <c r="B7153" s="2">
        <v>46183</v>
      </c>
      <c r="C7153" t="s">
        <v>139</v>
      </c>
      <c r="D7153" t="s">
        <v>1</v>
      </c>
      <c r="E7153" t="s">
        <v>141</v>
      </c>
      <c r="F7153" s="3">
        <v>900</v>
      </c>
      <c r="G7153" s="3">
        <v>900</v>
      </c>
      <c r="H7153" t="s">
        <v>3</v>
      </c>
      <c r="I7153" t="s">
        <v>3</v>
      </c>
      <c r="J7153" t="s">
        <v>142</v>
      </c>
      <c r="K7153" t="s">
        <v>13</v>
      </c>
      <c r="L7153" t="s">
        <v>19</v>
      </c>
      <c r="M7153" t="s">
        <v>7</v>
      </c>
      <c r="N7153" s="2">
        <v>46183</v>
      </c>
    </row>
    <row r="7154" spans="1:14" x14ac:dyDescent="0.25">
      <c r="A7154" t="s">
        <v>139</v>
      </c>
      <c r="B7154" s="2">
        <v>46203</v>
      </c>
      <c r="C7154" t="s">
        <v>139</v>
      </c>
      <c r="D7154" t="s">
        <v>1</v>
      </c>
      <c r="E7154" t="s">
        <v>9</v>
      </c>
      <c r="F7154" s="3">
        <v>4680</v>
      </c>
      <c r="G7154" s="3">
        <v>4680</v>
      </c>
      <c r="H7154" t="s">
        <v>3</v>
      </c>
      <c r="I7154" t="s">
        <v>3</v>
      </c>
      <c r="J7154" t="s">
        <v>10</v>
      </c>
      <c r="K7154" t="s">
        <v>13</v>
      </c>
      <c r="L7154" t="s">
        <v>19</v>
      </c>
      <c r="M7154" t="s">
        <v>7</v>
      </c>
      <c r="N7154" s="2">
        <v>46203</v>
      </c>
    </row>
    <row r="7155" spans="1:14" x14ac:dyDescent="0.25">
      <c r="A7155" t="s">
        <v>139</v>
      </c>
      <c r="B7155" s="2">
        <v>46205</v>
      </c>
      <c r="C7155" t="s">
        <v>139</v>
      </c>
      <c r="D7155" t="s">
        <v>1</v>
      </c>
      <c r="E7155" t="s">
        <v>9</v>
      </c>
      <c r="F7155" s="3">
        <v>-5580</v>
      </c>
      <c r="G7155" s="3">
        <v>-5580</v>
      </c>
      <c r="H7155" t="s">
        <v>3</v>
      </c>
      <c r="I7155" t="s">
        <v>3</v>
      </c>
      <c r="J7155" t="s">
        <v>775</v>
      </c>
      <c r="K7155" t="s">
        <v>13</v>
      </c>
      <c r="L7155" t="s">
        <v>19</v>
      </c>
      <c r="M7155" t="s">
        <v>7</v>
      </c>
      <c r="N7155" s="2">
        <v>46203</v>
      </c>
    </row>
    <row r="7156" spans="1:14" x14ac:dyDescent="0.25">
      <c r="A7156" s="4" t="s">
        <v>224</v>
      </c>
      <c r="B7156" s="5"/>
      <c r="C7156" s="4" t="s">
        <v>9</v>
      </c>
      <c r="D7156" s="4" t="s">
        <v>9</v>
      </c>
      <c r="E7156" s="4" t="s">
        <v>9</v>
      </c>
      <c r="F7156" s="6">
        <v>0</v>
      </c>
      <c r="G7156" s="6">
        <v>0</v>
      </c>
      <c r="H7156" s="4" t="s">
        <v>9</v>
      </c>
      <c r="I7156" s="4" t="s">
        <v>3</v>
      </c>
      <c r="J7156" s="4" t="s">
        <v>9</v>
      </c>
      <c r="K7156" s="4" t="s">
        <v>9</v>
      </c>
      <c r="L7156" s="4" t="s">
        <v>9</v>
      </c>
      <c r="M7156" s="4" t="s">
        <v>9</v>
      </c>
      <c r="N7156" s="5"/>
    </row>
    <row r="7157" spans="1:14" x14ac:dyDescent="0.25">
      <c r="A7157" t="s">
        <v>139</v>
      </c>
      <c r="B7157" s="2">
        <v>46234</v>
      </c>
      <c r="C7157" t="s">
        <v>139</v>
      </c>
      <c r="D7157" t="s">
        <v>1</v>
      </c>
      <c r="E7157" t="s">
        <v>9</v>
      </c>
      <c r="F7157" s="3">
        <v>6840</v>
      </c>
      <c r="G7157" s="3">
        <v>6840</v>
      </c>
      <c r="H7157" t="s">
        <v>3</v>
      </c>
      <c r="I7157" t="s">
        <v>3</v>
      </c>
      <c r="J7157" t="s">
        <v>10</v>
      </c>
      <c r="K7157" t="s">
        <v>13</v>
      </c>
      <c r="L7157" t="s">
        <v>21</v>
      </c>
      <c r="M7157" t="s">
        <v>7</v>
      </c>
      <c r="N7157" s="2">
        <v>46234</v>
      </c>
    </row>
    <row r="7158" spans="1:14" x14ac:dyDescent="0.25">
      <c r="A7158" t="s">
        <v>139</v>
      </c>
      <c r="B7158" s="2">
        <v>46239</v>
      </c>
      <c r="C7158" t="s">
        <v>139</v>
      </c>
      <c r="D7158" t="s">
        <v>1</v>
      </c>
      <c r="E7158" t="s">
        <v>9</v>
      </c>
      <c r="F7158" s="3">
        <v>-6840</v>
      </c>
      <c r="G7158" s="3">
        <v>-6840</v>
      </c>
      <c r="H7158" t="s">
        <v>3</v>
      </c>
      <c r="I7158" t="s">
        <v>3</v>
      </c>
      <c r="J7158" t="s">
        <v>775</v>
      </c>
      <c r="K7158" t="s">
        <v>13</v>
      </c>
      <c r="L7158" t="s">
        <v>21</v>
      </c>
      <c r="M7158" t="s">
        <v>7</v>
      </c>
      <c r="N7158" s="2">
        <v>46234</v>
      </c>
    </row>
    <row r="7159" spans="1:14" x14ac:dyDescent="0.25">
      <c r="A7159" s="4" t="s">
        <v>262</v>
      </c>
      <c r="B7159" s="5"/>
      <c r="C7159" s="4" t="s">
        <v>9</v>
      </c>
      <c r="D7159" s="4" t="s">
        <v>9</v>
      </c>
      <c r="E7159" s="4" t="s">
        <v>9</v>
      </c>
      <c r="F7159" s="6">
        <v>0</v>
      </c>
      <c r="G7159" s="6">
        <v>0</v>
      </c>
      <c r="H7159" s="4" t="s">
        <v>9</v>
      </c>
      <c r="I7159" s="4" t="s">
        <v>3</v>
      </c>
      <c r="J7159" s="4" t="s">
        <v>9</v>
      </c>
      <c r="K7159" s="4" t="s">
        <v>9</v>
      </c>
      <c r="L7159" s="4" t="s">
        <v>9</v>
      </c>
      <c r="M7159" s="4" t="s">
        <v>9</v>
      </c>
      <c r="N7159" s="5"/>
    </row>
    <row r="7160" spans="1:14" x14ac:dyDescent="0.25">
      <c r="A7160" t="s">
        <v>139</v>
      </c>
      <c r="B7160" s="2">
        <v>46265</v>
      </c>
      <c r="C7160" t="s">
        <v>139</v>
      </c>
      <c r="D7160" t="s">
        <v>1</v>
      </c>
      <c r="E7160" t="s">
        <v>9</v>
      </c>
      <c r="F7160" s="3">
        <v>5040</v>
      </c>
      <c r="G7160" s="3">
        <v>5040</v>
      </c>
      <c r="H7160" t="s">
        <v>3</v>
      </c>
      <c r="I7160" t="s">
        <v>3</v>
      </c>
      <c r="J7160" t="s">
        <v>10</v>
      </c>
      <c r="K7160" t="s">
        <v>13</v>
      </c>
      <c r="L7160" t="s">
        <v>22</v>
      </c>
      <c r="M7160" t="s">
        <v>7</v>
      </c>
      <c r="N7160" s="2">
        <v>46265</v>
      </c>
    </row>
    <row r="7161" spans="1:14" x14ac:dyDescent="0.25">
      <c r="A7161" t="s">
        <v>139</v>
      </c>
      <c r="B7161" s="2">
        <v>46267</v>
      </c>
      <c r="C7161" t="s">
        <v>139</v>
      </c>
      <c r="D7161" t="s">
        <v>1</v>
      </c>
      <c r="E7161" t="s">
        <v>9</v>
      </c>
      <c r="F7161" s="3">
        <v>-5040</v>
      </c>
      <c r="G7161" s="3">
        <v>-5040</v>
      </c>
      <c r="H7161" t="s">
        <v>3</v>
      </c>
      <c r="I7161" t="s">
        <v>3</v>
      </c>
      <c r="J7161" t="s">
        <v>775</v>
      </c>
      <c r="K7161" t="s">
        <v>13</v>
      </c>
      <c r="L7161" t="s">
        <v>22</v>
      </c>
      <c r="M7161" t="s">
        <v>7</v>
      </c>
      <c r="N7161" s="2">
        <v>46265</v>
      </c>
    </row>
    <row r="7162" spans="1:14" x14ac:dyDescent="0.25">
      <c r="A7162" s="4" t="s">
        <v>267</v>
      </c>
      <c r="B7162" s="5"/>
      <c r="C7162" s="4" t="s">
        <v>9</v>
      </c>
      <c r="D7162" s="4" t="s">
        <v>9</v>
      </c>
      <c r="E7162" s="4" t="s">
        <v>9</v>
      </c>
      <c r="F7162" s="6">
        <v>0</v>
      </c>
      <c r="G7162" s="6">
        <v>0</v>
      </c>
      <c r="H7162" s="4" t="s">
        <v>9</v>
      </c>
      <c r="I7162" s="4" t="s">
        <v>3</v>
      </c>
      <c r="J7162" s="4" t="s">
        <v>9</v>
      </c>
      <c r="K7162" s="4" t="s">
        <v>9</v>
      </c>
      <c r="L7162" s="4" t="s">
        <v>9</v>
      </c>
      <c r="M7162" s="4" t="s">
        <v>9</v>
      </c>
      <c r="N7162" s="5"/>
    </row>
    <row r="7163" spans="1:14" x14ac:dyDescent="0.25">
      <c r="A7163" s="4" t="s">
        <v>139</v>
      </c>
      <c r="B7163" s="5"/>
      <c r="C7163" s="4" t="s">
        <v>9</v>
      </c>
      <c r="D7163" s="4" t="s">
        <v>9</v>
      </c>
      <c r="E7163" s="4" t="s">
        <v>9</v>
      </c>
      <c r="F7163" s="6">
        <v>0</v>
      </c>
      <c r="G7163" s="6">
        <v>0</v>
      </c>
      <c r="H7163" s="4" t="s">
        <v>9</v>
      </c>
      <c r="I7163" s="4" t="s">
        <v>3</v>
      </c>
      <c r="J7163" s="4" t="s">
        <v>9</v>
      </c>
      <c r="K7163" s="4" t="s">
        <v>9</v>
      </c>
      <c r="L7163" s="4" t="s">
        <v>9</v>
      </c>
      <c r="M7163" s="4" t="s">
        <v>9</v>
      </c>
      <c r="N7163" s="5"/>
    </row>
    <row r="7164" spans="1:14" x14ac:dyDescent="0.25">
      <c r="A7164" t="s">
        <v>143</v>
      </c>
      <c r="B7164" s="2">
        <v>46112</v>
      </c>
      <c r="C7164" t="s">
        <v>143</v>
      </c>
      <c r="D7164" t="s">
        <v>1</v>
      </c>
      <c r="E7164" t="s">
        <v>9</v>
      </c>
      <c r="F7164" s="3">
        <v>125592</v>
      </c>
      <c r="G7164" s="3">
        <v>125592</v>
      </c>
      <c r="H7164" t="s">
        <v>3</v>
      </c>
      <c r="I7164" t="s">
        <v>3</v>
      </c>
      <c r="J7164" t="s">
        <v>10</v>
      </c>
      <c r="K7164" t="s">
        <v>13</v>
      </c>
      <c r="L7164" t="s">
        <v>16</v>
      </c>
      <c r="M7164" t="s">
        <v>7</v>
      </c>
      <c r="N7164" s="2">
        <v>46112</v>
      </c>
    </row>
    <row r="7165" spans="1:14" x14ac:dyDescent="0.25">
      <c r="A7165" t="s">
        <v>143</v>
      </c>
      <c r="B7165" s="2">
        <v>46115</v>
      </c>
      <c r="C7165" t="s">
        <v>143</v>
      </c>
      <c r="D7165" t="s">
        <v>1</v>
      </c>
      <c r="E7165" t="s">
        <v>9</v>
      </c>
      <c r="F7165" s="3">
        <v>-125592</v>
      </c>
      <c r="G7165" s="3">
        <v>-125592</v>
      </c>
      <c r="H7165" t="s">
        <v>3</v>
      </c>
      <c r="I7165" t="s">
        <v>3</v>
      </c>
      <c r="J7165" t="s">
        <v>776</v>
      </c>
      <c r="K7165" t="s">
        <v>13</v>
      </c>
      <c r="L7165" t="s">
        <v>16</v>
      </c>
      <c r="M7165" t="s">
        <v>7</v>
      </c>
      <c r="N7165" s="2">
        <v>46112</v>
      </c>
    </row>
    <row r="7166" spans="1:14" x14ac:dyDescent="0.25">
      <c r="A7166" s="4" t="s">
        <v>244</v>
      </c>
      <c r="B7166" s="5"/>
      <c r="C7166" s="4" t="s">
        <v>9</v>
      </c>
      <c r="D7166" s="4" t="s">
        <v>9</v>
      </c>
      <c r="E7166" s="4" t="s">
        <v>9</v>
      </c>
      <c r="F7166" s="6">
        <v>0</v>
      </c>
      <c r="G7166" s="6">
        <v>0</v>
      </c>
      <c r="H7166" s="4" t="s">
        <v>9</v>
      </c>
      <c r="I7166" s="4" t="s">
        <v>3</v>
      </c>
      <c r="J7166" s="4" t="s">
        <v>9</v>
      </c>
      <c r="K7166" s="4" t="s">
        <v>9</v>
      </c>
      <c r="L7166" s="4" t="s">
        <v>9</v>
      </c>
      <c r="M7166" s="4" t="s">
        <v>9</v>
      </c>
      <c r="N7166" s="5"/>
    </row>
    <row r="7167" spans="1:14" x14ac:dyDescent="0.25">
      <c r="A7167" t="s">
        <v>143</v>
      </c>
      <c r="B7167" s="2">
        <v>46142</v>
      </c>
      <c r="C7167" t="s">
        <v>143</v>
      </c>
      <c r="D7167" t="s">
        <v>1</v>
      </c>
      <c r="E7167" t="s">
        <v>9</v>
      </c>
      <c r="F7167" s="3">
        <v>42045</v>
      </c>
      <c r="G7167" s="3">
        <v>42045</v>
      </c>
      <c r="H7167" t="s">
        <v>3</v>
      </c>
      <c r="I7167" t="s">
        <v>3</v>
      </c>
      <c r="J7167" t="s">
        <v>10</v>
      </c>
      <c r="K7167" t="s">
        <v>13</v>
      </c>
      <c r="L7167" t="s">
        <v>17</v>
      </c>
      <c r="M7167" t="s">
        <v>7</v>
      </c>
      <c r="N7167" s="2">
        <v>46142</v>
      </c>
    </row>
    <row r="7168" spans="1:14" x14ac:dyDescent="0.25">
      <c r="A7168" t="s">
        <v>143</v>
      </c>
      <c r="B7168" s="2">
        <v>46147</v>
      </c>
      <c r="C7168" t="s">
        <v>143</v>
      </c>
      <c r="D7168" t="s">
        <v>1</v>
      </c>
      <c r="E7168" t="s">
        <v>9</v>
      </c>
      <c r="F7168" s="3">
        <v>-42045</v>
      </c>
      <c r="G7168" s="3">
        <v>-42045</v>
      </c>
      <c r="H7168" t="s">
        <v>3</v>
      </c>
      <c r="I7168" t="s">
        <v>3</v>
      </c>
      <c r="J7168" t="s">
        <v>776</v>
      </c>
      <c r="K7168" t="s">
        <v>13</v>
      </c>
      <c r="L7168" t="s">
        <v>17</v>
      </c>
      <c r="M7168" t="s">
        <v>7</v>
      </c>
      <c r="N7168" s="2">
        <v>46142</v>
      </c>
    </row>
    <row r="7169" spans="1:14" x14ac:dyDescent="0.25">
      <c r="A7169" s="4" t="s">
        <v>249</v>
      </c>
      <c r="B7169" s="5"/>
      <c r="C7169" s="4" t="s">
        <v>9</v>
      </c>
      <c r="D7169" s="4" t="s">
        <v>9</v>
      </c>
      <c r="E7169" s="4" t="s">
        <v>9</v>
      </c>
      <c r="F7169" s="6">
        <v>0</v>
      </c>
      <c r="G7169" s="6">
        <v>0</v>
      </c>
      <c r="H7169" s="4" t="s">
        <v>9</v>
      </c>
      <c r="I7169" s="4" t="s">
        <v>3</v>
      </c>
      <c r="J7169" s="4" t="s">
        <v>9</v>
      </c>
      <c r="K7169" s="4" t="s">
        <v>9</v>
      </c>
      <c r="L7169" s="4" t="s">
        <v>9</v>
      </c>
      <c r="M7169" s="4" t="s">
        <v>9</v>
      </c>
      <c r="N7169" s="5"/>
    </row>
    <row r="7170" spans="1:14" x14ac:dyDescent="0.25">
      <c r="A7170" t="s">
        <v>143</v>
      </c>
      <c r="B7170" s="2">
        <v>46173</v>
      </c>
      <c r="C7170" t="s">
        <v>143</v>
      </c>
      <c r="D7170" t="s">
        <v>1</v>
      </c>
      <c r="E7170" t="s">
        <v>9</v>
      </c>
      <c r="F7170" s="3">
        <v>59520</v>
      </c>
      <c r="G7170" s="3">
        <v>59520</v>
      </c>
      <c r="H7170" t="s">
        <v>3</v>
      </c>
      <c r="I7170" t="s">
        <v>3</v>
      </c>
      <c r="J7170" t="s">
        <v>10</v>
      </c>
      <c r="K7170" t="s">
        <v>13</v>
      </c>
      <c r="L7170" t="s">
        <v>18</v>
      </c>
      <c r="M7170" t="s">
        <v>7</v>
      </c>
      <c r="N7170" s="2">
        <v>46173</v>
      </c>
    </row>
    <row r="7171" spans="1:14" x14ac:dyDescent="0.25">
      <c r="A7171" t="s">
        <v>143</v>
      </c>
      <c r="B7171" s="2">
        <v>46175</v>
      </c>
      <c r="C7171" t="s">
        <v>143</v>
      </c>
      <c r="D7171" t="s">
        <v>1</v>
      </c>
      <c r="E7171" t="s">
        <v>9</v>
      </c>
      <c r="F7171" s="3">
        <v>-59520</v>
      </c>
      <c r="G7171" s="3">
        <v>-59520</v>
      </c>
      <c r="H7171" t="s">
        <v>3</v>
      </c>
      <c r="I7171" t="s">
        <v>3</v>
      </c>
      <c r="J7171" t="s">
        <v>776</v>
      </c>
      <c r="K7171" t="s">
        <v>13</v>
      </c>
      <c r="L7171" t="s">
        <v>18</v>
      </c>
      <c r="M7171" t="s">
        <v>7</v>
      </c>
      <c r="N7171" s="2">
        <v>46173</v>
      </c>
    </row>
    <row r="7172" spans="1:14" x14ac:dyDescent="0.25">
      <c r="A7172" s="4" t="s">
        <v>223</v>
      </c>
      <c r="B7172" s="5"/>
      <c r="C7172" s="4" t="s">
        <v>9</v>
      </c>
      <c r="D7172" s="4" t="s">
        <v>9</v>
      </c>
      <c r="E7172" s="4" t="s">
        <v>9</v>
      </c>
      <c r="F7172" s="6">
        <v>0</v>
      </c>
      <c r="G7172" s="6">
        <v>0</v>
      </c>
      <c r="H7172" s="4" t="s">
        <v>9</v>
      </c>
      <c r="I7172" s="4" t="s">
        <v>3</v>
      </c>
      <c r="J7172" s="4" t="s">
        <v>9</v>
      </c>
      <c r="K7172" s="4" t="s">
        <v>9</v>
      </c>
      <c r="L7172" s="4" t="s">
        <v>9</v>
      </c>
      <c r="M7172" s="4" t="s">
        <v>9</v>
      </c>
      <c r="N7172" s="5"/>
    </row>
    <row r="7173" spans="1:14" x14ac:dyDescent="0.25">
      <c r="A7173" t="s">
        <v>143</v>
      </c>
      <c r="B7173" s="2">
        <v>46203</v>
      </c>
      <c r="C7173" t="s">
        <v>143</v>
      </c>
      <c r="D7173" t="s">
        <v>1</v>
      </c>
      <c r="E7173" t="s">
        <v>9</v>
      </c>
      <c r="F7173" s="3">
        <v>33430.400000000001</v>
      </c>
      <c r="G7173" s="3">
        <v>33430.400000000001</v>
      </c>
      <c r="H7173" t="s">
        <v>3</v>
      </c>
      <c r="I7173" t="s">
        <v>3</v>
      </c>
      <c r="J7173" t="s">
        <v>10</v>
      </c>
      <c r="K7173" t="s">
        <v>13</v>
      </c>
      <c r="L7173" t="s">
        <v>19</v>
      </c>
      <c r="M7173" t="s">
        <v>7</v>
      </c>
      <c r="N7173" s="2">
        <v>46203</v>
      </c>
    </row>
    <row r="7174" spans="1:14" x14ac:dyDescent="0.25">
      <c r="A7174" t="s">
        <v>143</v>
      </c>
      <c r="B7174" s="2">
        <v>46205</v>
      </c>
      <c r="C7174" t="s">
        <v>143</v>
      </c>
      <c r="D7174" t="s">
        <v>1</v>
      </c>
      <c r="E7174" t="s">
        <v>9</v>
      </c>
      <c r="F7174" s="3">
        <v>-33430.400000000001</v>
      </c>
      <c r="G7174" s="3">
        <v>-33430.400000000001</v>
      </c>
      <c r="H7174" t="s">
        <v>3</v>
      </c>
      <c r="I7174" t="s">
        <v>3</v>
      </c>
      <c r="J7174" t="s">
        <v>776</v>
      </c>
      <c r="K7174" t="s">
        <v>13</v>
      </c>
      <c r="L7174" t="s">
        <v>19</v>
      </c>
      <c r="M7174" t="s">
        <v>7</v>
      </c>
      <c r="N7174" s="2">
        <v>46203</v>
      </c>
    </row>
    <row r="7175" spans="1:14" x14ac:dyDescent="0.25">
      <c r="A7175" s="4" t="s">
        <v>224</v>
      </c>
      <c r="B7175" s="5"/>
      <c r="C7175" s="4" t="s">
        <v>9</v>
      </c>
      <c r="D7175" s="4" t="s">
        <v>9</v>
      </c>
      <c r="E7175" s="4" t="s">
        <v>9</v>
      </c>
      <c r="F7175" s="6">
        <v>0</v>
      </c>
      <c r="G7175" s="6">
        <v>0</v>
      </c>
      <c r="H7175" s="4" t="s">
        <v>9</v>
      </c>
      <c r="I7175" s="4" t="s">
        <v>3</v>
      </c>
      <c r="J7175" s="4" t="s">
        <v>9</v>
      </c>
      <c r="K7175" s="4" t="s">
        <v>9</v>
      </c>
      <c r="L7175" s="4" t="s">
        <v>9</v>
      </c>
      <c r="M7175" s="4" t="s">
        <v>9</v>
      </c>
      <c r="N7175" s="5"/>
    </row>
    <row r="7176" spans="1:14" x14ac:dyDescent="0.25">
      <c r="A7176" t="s">
        <v>143</v>
      </c>
      <c r="B7176" s="2">
        <v>46234</v>
      </c>
      <c r="C7176" t="s">
        <v>143</v>
      </c>
      <c r="D7176" t="s">
        <v>1</v>
      </c>
      <c r="E7176" t="s">
        <v>9</v>
      </c>
      <c r="F7176" s="3">
        <v>57672.6</v>
      </c>
      <c r="G7176" s="3">
        <v>57672.6</v>
      </c>
      <c r="H7176" t="s">
        <v>3</v>
      </c>
      <c r="I7176" t="s">
        <v>3</v>
      </c>
      <c r="J7176" t="s">
        <v>10</v>
      </c>
      <c r="K7176" t="s">
        <v>13</v>
      </c>
      <c r="L7176" t="s">
        <v>21</v>
      </c>
      <c r="M7176" t="s">
        <v>7</v>
      </c>
      <c r="N7176" s="2">
        <v>46234</v>
      </c>
    </row>
    <row r="7177" spans="1:14" x14ac:dyDescent="0.25">
      <c r="A7177" t="s">
        <v>143</v>
      </c>
      <c r="B7177" s="2">
        <v>46239</v>
      </c>
      <c r="C7177" t="s">
        <v>143</v>
      </c>
      <c r="D7177" t="s">
        <v>1</v>
      </c>
      <c r="E7177" t="s">
        <v>9</v>
      </c>
      <c r="F7177" s="3">
        <v>-57672.6</v>
      </c>
      <c r="G7177" s="3">
        <v>-57672.6</v>
      </c>
      <c r="H7177" t="s">
        <v>3</v>
      </c>
      <c r="I7177" t="s">
        <v>3</v>
      </c>
      <c r="J7177" t="s">
        <v>776</v>
      </c>
      <c r="K7177" t="s">
        <v>13</v>
      </c>
      <c r="L7177" t="s">
        <v>21</v>
      </c>
      <c r="M7177" t="s">
        <v>7</v>
      </c>
      <c r="N7177" s="2">
        <v>46234</v>
      </c>
    </row>
    <row r="7178" spans="1:14" x14ac:dyDescent="0.25">
      <c r="A7178" s="4" t="s">
        <v>262</v>
      </c>
      <c r="B7178" s="5"/>
      <c r="C7178" s="4" t="s">
        <v>9</v>
      </c>
      <c r="D7178" s="4" t="s">
        <v>9</v>
      </c>
      <c r="E7178" s="4" t="s">
        <v>9</v>
      </c>
      <c r="F7178" s="6">
        <v>0</v>
      </c>
      <c r="G7178" s="6">
        <v>0</v>
      </c>
      <c r="H7178" s="4" t="s">
        <v>9</v>
      </c>
      <c r="I7178" s="4" t="s">
        <v>3</v>
      </c>
      <c r="J7178" s="4" t="s">
        <v>9</v>
      </c>
      <c r="K7178" s="4" t="s">
        <v>9</v>
      </c>
      <c r="L7178" s="4" t="s">
        <v>9</v>
      </c>
      <c r="M7178" s="4" t="s">
        <v>9</v>
      </c>
      <c r="N7178" s="5"/>
    </row>
    <row r="7179" spans="1:14" x14ac:dyDescent="0.25">
      <c r="A7179" t="s">
        <v>143</v>
      </c>
      <c r="B7179" s="2">
        <v>46265</v>
      </c>
      <c r="C7179" t="s">
        <v>143</v>
      </c>
      <c r="D7179" t="s">
        <v>1</v>
      </c>
      <c r="E7179" t="s">
        <v>9</v>
      </c>
      <c r="F7179" s="3">
        <v>10896</v>
      </c>
      <c r="G7179" s="3">
        <v>10896</v>
      </c>
      <c r="H7179" t="s">
        <v>3</v>
      </c>
      <c r="I7179" t="s">
        <v>3</v>
      </c>
      <c r="J7179" t="s">
        <v>10</v>
      </c>
      <c r="K7179" t="s">
        <v>13</v>
      </c>
      <c r="L7179" t="s">
        <v>22</v>
      </c>
      <c r="M7179" t="s">
        <v>7</v>
      </c>
      <c r="N7179" s="2">
        <v>46265</v>
      </c>
    </row>
    <row r="7180" spans="1:14" x14ac:dyDescent="0.25">
      <c r="A7180" t="s">
        <v>143</v>
      </c>
      <c r="B7180" s="2">
        <v>46267</v>
      </c>
      <c r="C7180" t="s">
        <v>143</v>
      </c>
      <c r="D7180" t="s">
        <v>1</v>
      </c>
      <c r="E7180" t="s">
        <v>9</v>
      </c>
      <c r="F7180" s="3">
        <v>-10896</v>
      </c>
      <c r="G7180" s="3">
        <v>-10896</v>
      </c>
      <c r="H7180" t="s">
        <v>3</v>
      </c>
      <c r="I7180" t="s">
        <v>3</v>
      </c>
      <c r="J7180" t="s">
        <v>776</v>
      </c>
      <c r="K7180" t="s">
        <v>13</v>
      </c>
      <c r="L7180" t="s">
        <v>22</v>
      </c>
      <c r="M7180" t="s">
        <v>7</v>
      </c>
      <c r="N7180" s="2">
        <v>46265</v>
      </c>
    </row>
    <row r="7181" spans="1:14" x14ac:dyDescent="0.25">
      <c r="A7181" s="4" t="s">
        <v>267</v>
      </c>
      <c r="B7181" s="5"/>
      <c r="C7181" s="4" t="s">
        <v>9</v>
      </c>
      <c r="D7181" s="4" t="s">
        <v>9</v>
      </c>
      <c r="E7181" s="4" t="s">
        <v>9</v>
      </c>
      <c r="F7181" s="6">
        <v>0</v>
      </c>
      <c r="G7181" s="6">
        <v>0</v>
      </c>
      <c r="H7181" s="4" t="s">
        <v>9</v>
      </c>
      <c r="I7181" s="4" t="s">
        <v>3</v>
      </c>
      <c r="J7181" s="4" t="s">
        <v>9</v>
      </c>
      <c r="K7181" s="4" t="s">
        <v>9</v>
      </c>
      <c r="L7181" s="4" t="s">
        <v>9</v>
      </c>
      <c r="M7181" s="4" t="s">
        <v>9</v>
      </c>
      <c r="N7181" s="5"/>
    </row>
    <row r="7182" spans="1:14" x14ac:dyDescent="0.25">
      <c r="A7182" s="4" t="s">
        <v>143</v>
      </c>
      <c r="B7182" s="5"/>
      <c r="C7182" s="4" t="s">
        <v>9</v>
      </c>
      <c r="D7182" s="4" t="s">
        <v>9</v>
      </c>
      <c r="E7182" s="4" t="s">
        <v>9</v>
      </c>
      <c r="F7182" s="6">
        <v>0</v>
      </c>
      <c r="G7182" s="6">
        <v>0</v>
      </c>
      <c r="H7182" s="4" t="s">
        <v>9</v>
      </c>
      <c r="I7182" s="4" t="s">
        <v>3</v>
      </c>
      <c r="J7182" s="4" t="s">
        <v>9</v>
      </c>
      <c r="K7182" s="4" t="s">
        <v>9</v>
      </c>
      <c r="L7182" s="4" t="s">
        <v>9</v>
      </c>
      <c r="M7182" s="4" t="s">
        <v>9</v>
      </c>
      <c r="N7182" s="5"/>
    </row>
    <row r="7183" spans="1:14" x14ac:dyDescent="0.25">
      <c r="A7183" t="s">
        <v>144</v>
      </c>
      <c r="B7183" s="2">
        <v>46173</v>
      </c>
      <c r="C7183" t="s">
        <v>144</v>
      </c>
      <c r="D7183" t="s">
        <v>1</v>
      </c>
      <c r="E7183" t="s">
        <v>9</v>
      </c>
      <c r="F7183" s="3">
        <v>11544</v>
      </c>
      <c r="G7183" s="3">
        <v>11544</v>
      </c>
      <c r="H7183" t="s">
        <v>3</v>
      </c>
      <c r="I7183" t="s">
        <v>3</v>
      </c>
      <c r="J7183" t="s">
        <v>10</v>
      </c>
      <c r="K7183" t="s">
        <v>13</v>
      </c>
      <c r="L7183" t="s">
        <v>18</v>
      </c>
      <c r="M7183" t="s">
        <v>7</v>
      </c>
      <c r="N7183" s="2">
        <v>46173</v>
      </c>
    </row>
    <row r="7184" spans="1:14" x14ac:dyDescent="0.25">
      <c r="A7184" t="s">
        <v>144</v>
      </c>
      <c r="B7184" s="2">
        <v>46175</v>
      </c>
      <c r="C7184" t="s">
        <v>144</v>
      </c>
      <c r="D7184" t="s">
        <v>1</v>
      </c>
      <c r="E7184" t="s">
        <v>9</v>
      </c>
      <c r="F7184" s="3">
        <v>-11544</v>
      </c>
      <c r="G7184" s="3">
        <v>-11544</v>
      </c>
      <c r="H7184" t="s">
        <v>3</v>
      </c>
      <c r="I7184" t="s">
        <v>3</v>
      </c>
      <c r="J7184" t="s">
        <v>777</v>
      </c>
      <c r="K7184" t="s">
        <v>13</v>
      </c>
      <c r="L7184" t="s">
        <v>18</v>
      </c>
      <c r="M7184" t="s">
        <v>7</v>
      </c>
      <c r="N7184" s="2">
        <v>46173</v>
      </c>
    </row>
    <row r="7185" spans="1:14" x14ac:dyDescent="0.25">
      <c r="A7185" s="4" t="s">
        <v>223</v>
      </c>
      <c r="B7185" s="5"/>
      <c r="C7185" s="4" t="s">
        <v>9</v>
      </c>
      <c r="D7185" s="4" t="s">
        <v>9</v>
      </c>
      <c r="E7185" s="4" t="s">
        <v>9</v>
      </c>
      <c r="F7185" s="6">
        <v>0</v>
      </c>
      <c r="G7185" s="6">
        <v>0</v>
      </c>
      <c r="H7185" s="4" t="s">
        <v>9</v>
      </c>
      <c r="I7185" s="4" t="s">
        <v>3</v>
      </c>
      <c r="J7185" s="4" t="s">
        <v>9</v>
      </c>
      <c r="K7185" s="4" t="s">
        <v>9</v>
      </c>
      <c r="L7185" s="4" t="s">
        <v>9</v>
      </c>
      <c r="M7185" s="4" t="s">
        <v>9</v>
      </c>
      <c r="N7185" s="5"/>
    </row>
    <row r="7186" spans="1:14" x14ac:dyDescent="0.25">
      <c r="A7186" t="s">
        <v>144</v>
      </c>
      <c r="B7186" s="2">
        <v>46203</v>
      </c>
      <c r="C7186" t="s">
        <v>144</v>
      </c>
      <c r="D7186" t="s">
        <v>1</v>
      </c>
      <c r="E7186" t="s">
        <v>9</v>
      </c>
      <c r="F7186" s="3">
        <v>19426.23</v>
      </c>
      <c r="G7186" s="3">
        <v>19426.23</v>
      </c>
      <c r="H7186" t="s">
        <v>3</v>
      </c>
      <c r="I7186" t="s">
        <v>3</v>
      </c>
      <c r="J7186" t="s">
        <v>10</v>
      </c>
      <c r="K7186" t="s">
        <v>13</v>
      </c>
      <c r="L7186" t="s">
        <v>19</v>
      </c>
      <c r="M7186" t="s">
        <v>7</v>
      </c>
      <c r="N7186" s="2">
        <v>46203</v>
      </c>
    </row>
    <row r="7187" spans="1:14" x14ac:dyDescent="0.25">
      <c r="A7187" t="s">
        <v>144</v>
      </c>
      <c r="B7187" s="2">
        <v>46205</v>
      </c>
      <c r="C7187" t="s">
        <v>144</v>
      </c>
      <c r="D7187" t="s">
        <v>1</v>
      </c>
      <c r="E7187" t="s">
        <v>9</v>
      </c>
      <c r="F7187" s="3">
        <v>-19426.23</v>
      </c>
      <c r="G7187" s="3">
        <v>-19426.23</v>
      </c>
      <c r="H7187" t="s">
        <v>3</v>
      </c>
      <c r="I7187" t="s">
        <v>3</v>
      </c>
      <c r="J7187" t="s">
        <v>777</v>
      </c>
      <c r="K7187" t="s">
        <v>13</v>
      </c>
      <c r="L7187" t="s">
        <v>19</v>
      </c>
      <c r="M7187" t="s">
        <v>7</v>
      </c>
      <c r="N7187" s="2">
        <v>46203</v>
      </c>
    </row>
    <row r="7188" spans="1:14" x14ac:dyDescent="0.25">
      <c r="A7188" s="4" t="s">
        <v>224</v>
      </c>
      <c r="B7188" s="5"/>
      <c r="C7188" s="4" t="s">
        <v>9</v>
      </c>
      <c r="D7188" s="4" t="s">
        <v>9</v>
      </c>
      <c r="E7188" s="4" t="s">
        <v>9</v>
      </c>
      <c r="F7188" s="6">
        <v>0</v>
      </c>
      <c r="G7188" s="6">
        <v>0</v>
      </c>
      <c r="H7188" s="4" t="s">
        <v>9</v>
      </c>
      <c r="I7188" s="4" t="s">
        <v>3</v>
      </c>
      <c r="J7188" s="4" t="s">
        <v>9</v>
      </c>
      <c r="K7188" s="4" t="s">
        <v>9</v>
      </c>
      <c r="L7188" s="4" t="s">
        <v>9</v>
      </c>
      <c r="M7188" s="4" t="s">
        <v>9</v>
      </c>
      <c r="N7188" s="5"/>
    </row>
    <row r="7189" spans="1:14" x14ac:dyDescent="0.25">
      <c r="A7189" t="s">
        <v>144</v>
      </c>
      <c r="B7189" s="2">
        <v>46234</v>
      </c>
      <c r="C7189" t="s">
        <v>144</v>
      </c>
      <c r="D7189" t="s">
        <v>1</v>
      </c>
      <c r="E7189" t="s">
        <v>9</v>
      </c>
      <c r="F7189" s="3">
        <v>3217.77</v>
      </c>
      <c r="G7189" s="3">
        <v>3217.77</v>
      </c>
      <c r="H7189" t="s">
        <v>3</v>
      </c>
      <c r="I7189" t="s">
        <v>3</v>
      </c>
      <c r="J7189" t="s">
        <v>10</v>
      </c>
      <c r="K7189" t="s">
        <v>13</v>
      </c>
      <c r="L7189" t="s">
        <v>21</v>
      </c>
      <c r="M7189" t="s">
        <v>7</v>
      </c>
      <c r="N7189" s="2">
        <v>46234</v>
      </c>
    </row>
    <row r="7190" spans="1:14" x14ac:dyDescent="0.25">
      <c r="A7190" t="s">
        <v>144</v>
      </c>
      <c r="B7190" s="2">
        <v>46239</v>
      </c>
      <c r="C7190" t="s">
        <v>144</v>
      </c>
      <c r="D7190" t="s">
        <v>1</v>
      </c>
      <c r="E7190" t="s">
        <v>9</v>
      </c>
      <c r="F7190" s="3">
        <v>-3217.77</v>
      </c>
      <c r="G7190" s="3">
        <v>-3217.77</v>
      </c>
      <c r="H7190" t="s">
        <v>3</v>
      </c>
      <c r="I7190" t="s">
        <v>3</v>
      </c>
      <c r="J7190" t="s">
        <v>777</v>
      </c>
      <c r="K7190" t="s">
        <v>13</v>
      </c>
      <c r="L7190" t="s">
        <v>21</v>
      </c>
      <c r="M7190" t="s">
        <v>7</v>
      </c>
      <c r="N7190" s="2">
        <v>46234</v>
      </c>
    </row>
    <row r="7191" spans="1:14" x14ac:dyDescent="0.25">
      <c r="A7191" s="4" t="s">
        <v>262</v>
      </c>
      <c r="B7191" s="5"/>
      <c r="C7191" s="4" t="s">
        <v>9</v>
      </c>
      <c r="D7191" s="4" t="s">
        <v>9</v>
      </c>
      <c r="E7191" s="4" t="s">
        <v>9</v>
      </c>
      <c r="F7191" s="6">
        <v>0</v>
      </c>
      <c r="G7191" s="6">
        <v>0</v>
      </c>
      <c r="H7191" s="4" t="s">
        <v>9</v>
      </c>
      <c r="I7191" s="4" t="s">
        <v>3</v>
      </c>
      <c r="J7191" s="4" t="s">
        <v>9</v>
      </c>
      <c r="K7191" s="4" t="s">
        <v>9</v>
      </c>
      <c r="L7191" s="4" t="s">
        <v>9</v>
      </c>
      <c r="M7191" s="4" t="s">
        <v>9</v>
      </c>
      <c r="N7191" s="5"/>
    </row>
    <row r="7192" spans="1:14" x14ac:dyDescent="0.25">
      <c r="A7192" t="s">
        <v>144</v>
      </c>
      <c r="B7192" s="2">
        <v>46265</v>
      </c>
      <c r="C7192" t="s">
        <v>144</v>
      </c>
      <c r="D7192" t="s">
        <v>1</v>
      </c>
      <c r="E7192" t="s">
        <v>9</v>
      </c>
      <c r="F7192" s="3">
        <v>3927</v>
      </c>
      <c r="G7192" s="3">
        <v>3927</v>
      </c>
      <c r="H7192" t="s">
        <v>3</v>
      </c>
      <c r="I7192" t="s">
        <v>3</v>
      </c>
      <c r="J7192" t="s">
        <v>10</v>
      </c>
      <c r="K7192" t="s">
        <v>13</v>
      </c>
      <c r="L7192" t="s">
        <v>22</v>
      </c>
      <c r="M7192" t="s">
        <v>7</v>
      </c>
      <c r="N7192" s="2">
        <v>46265</v>
      </c>
    </row>
    <row r="7193" spans="1:14" x14ac:dyDescent="0.25">
      <c r="A7193" t="s">
        <v>144</v>
      </c>
      <c r="B7193" s="2">
        <v>46267</v>
      </c>
      <c r="C7193" t="s">
        <v>144</v>
      </c>
      <c r="D7193" t="s">
        <v>1</v>
      </c>
      <c r="E7193" t="s">
        <v>9</v>
      </c>
      <c r="F7193" s="3">
        <v>-3927</v>
      </c>
      <c r="G7193" s="3">
        <v>-3927</v>
      </c>
      <c r="H7193" t="s">
        <v>3</v>
      </c>
      <c r="I7193" t="s">
        <v>3</v>
      </c>
      <c r="J7193" t="s">
        <v>777</v>
      </c>
      <c r="K7193" t="s">
        <v>13</v>
      </c>
      <c r="L7193" t="s">
        <v>22</v>
      </c>
      <c r="M7193" t="s">
        <v>7</v>
      </c>
      <c r="N7193" s="2">
        <v>46265</v>
      </c>
    </row>
    <row r="7194" spans="1:14" x14ac:dyDescent="0.25">
      <c r="A7194" s="4" t="s">
        <v>267</v>
      </c>
      <c r="B7194" s="5"/>
      <c r="C7194" s="4" t="s">
        <v>9</v>
      </c>
      <c r="D7194" s="4" t="s">
        <v>9</v>
      </c>
      <c r="E7194" s="4" t="s">
        <v>9</v>
      </c>
      <c r="F7194" s="6">
        <v>0</v>
      </c>
      <c r="G7194" s="6">
        <v>0</v>
      </c>
      <c r="H7194" s="4" t="s">
        <v>9</v>
      </c>
      <c r="I7194" s="4" t="s">
        <v>3</v>
      </c>
      <c r="J7194" s="4" t="s">
        <v>9</v>
      </c>
      <c r="K7194" s="4" t="s">
        <v>9</v>
      </c>
      <c r="L7194" s="4" t="s">
        <v>9</v>
      </c>
      <c r="M7194" s="4" t="s">
        <v>9</v>
      </c>
      <c r="N7194" s="5"/>
    </row>
    <row r="7195" spans="1:14" x14ac:dyDescent="0.25">
      <c r="A7195" s="4" t="s">
        <v>144</v>
      </c>
      <c r="B7195" s="5"/>
      <c r="C7195" s="4" t="s">
        <v>9</v>
      </c>
      <c r="D7195" s="4" t="s">
        <v>9</v>
      </c>
      <c r="E7195" s="4" t="s">
        <v>9</v>
      </c>
      <c r="F7195" s="6">
        <v>0</v>
      </c>
      <c r="G7195" s="6">
        <v>0</v>
      </c>
      <c r="H7195" s="4" t="s">
        <v>9</v>
      </c>
      <c r="I7195" s="4" t="s">
        <v>3</v>
      </c>
      <c r="J7195" s="4" t="s">
        <v>9</v>
      </c>
      <c r="K7195" s="4" t="s">
        <v>9</v>
      </c>
      <c r="L7195" s="4" t="s">
        <v>9</v>
      </c>
      <c r="M7195" s="4" t="s">
        <v>9</v>
      </c>
      <c r="N7195" s="5"/>
    </row>
    <row r="7196" spans="1:14" x14ac:dyDescent="0.25">
      <c r="A7196" t="s">
        <v>145</v>
      </c>
      <c r="B7196" s="2">
        <v>46112</v>
      </c>
      <c r="C7196" t="s">
        <v>145</v>
      </c>
      <c r="D7196" t="s">
        <v>1</v>
      </c>
      <c r="E7196" t="s">
        <v>9</v>
      </c>
      <c r="F7196" s="3">
        <v>55184</v>
      </c>
      <c r="G7196" s="3">
        <v>55184</v>
      </c>
      <c r="H7196" t="s">
        <v>3</v>
      </c>
      <c r="I7196" t="s">
        <v>3</v>
      </c>
      <c r="J7196" t="s">
        <v>10</v>
      </c>
      <c r="K7196" t="s">
        <v>13</v>
      </c>
      <c r="L7196" t="s">
        <v>16</v>
      </c>
      <c r="M7196" t="s">
        <v>7</v>
      </c>
      <c r="N7196" s="2">
        <v>46112</v>
      </c>
    </row>
    <row r="7197" spans="1:14" x14ac:dyDescent="0.25">
      <c r="A7197" t="s">
        <v>145</v>
      </c>
      <c r="B7197" s="2">
        <v>46115</v>
      </c>
      <c r="C7197" t="s">
        <v>145</v>
      </c>
      <c r="D7197" t="s">
        <v>1</v>
      </c>
      <c r="E7197" t="s">
        <v>9</v>
      </c>
      <c r="F7197" s="3">
        <v>-55184</v>
      </c>
      <c r="G7197" s="3">
        <v>-55184</v>
      </c>
      <c r="H7197" t="s">
        <v>3</v>
      </c>
      <c r="I7197" t="s">
        <v>3</v>
      </c>
      <c r="J7197" t="s">
        <v>778</v>
      </c>
      <c r="K7197" t="s">
        <v>13</v>
      </c>
      <c r="L7197" t="s">
        <v>16</v>
      </c>
      <c r="M7197" t="s">
        <v>7</v>
      </c>
      <c r="N7197" s="2">
        <v>46112</v>
      </c>
    </row>
    <row r="7198" spans="1:14" x14ac:dyDescent="0.25">
      <c r="A7198" s="4" t="s">
        <v>244</v>
      </c>
      <c r="B7198" s="5"/>
      <c r="C7198" s="4" t="s">
        <v>9</v>
      </c>
      <c r="D7198" s="4" t="s">
        <v>9</v>
      </c>
      <c r="E7198" s="4" t="s">
        <v>9</v>
      </c>
      <c r="F7198" s="6">
        <v>0</v>
      </c>
      <c r="G7198" s="6">
        <v>0</v>
      </c>
      <c r="H7198" s="4" t="s">
        <v>9</v>
      </c>
      <c r="I7198" s="4" t="s">
        <v>3</v>
      </c>
      <c r="J7198" s="4" t="s">
        <v>9</v>
      </c>
      <c r="K7198" s="4" t="s">
        <v>9</v>
      </c>
      <c r="L7198" s="4" t="s">
        <v>9</v>
      </c>
      <c r="M7198" s="4" t="s">
        <v>9</v>
      </c>
      <c r="N7198" s="5"/>
    </row>
    <row r="7199" spans="1:14" x14ac:dyDescent="0.25">
      <c r="A7199" t="s">
        <v>145</v>
      </c>
      <c r="B7199" s="2">
        <v>46142</v>
      </c>
      <c r="C7199" t="s">
        <v>145</v>
      </c>
      <c r="D7199" t="s">
        <v>1</v>
      </c>
      <c r="E7199" t="s">
        <v>9</v>
      </c>
      <c r="F7199" s="3">
        <v>1144</v>
      </c>
      <c r="G7199" s="3">
        <v>1144</v>
      </c>
      <c r="H7199" t="s">
        <v>3</v>
      </c>
      <c r="I7199" t="s">
        <v>3</v>
      </c>
      <c r="J7199" t="s">
        <v>10</v>
      </c>
      <c r="K7199" t="s">
        <v>13</v>
      </c>
      <c r="L7199" t="s">
        <v>17</v>
      </c>
      <c r="M7199" t="s">
        <v>7</v>
      </c>
      <c r="N7199" s="2">
        <v>46142</v>
      </c>
    </row>
    <row r="7200" spans="1:14" x14ac:dyDescent="0.25">
      <c r="A7200" t="s">
        <v>145</v>
      </c>
      <c r="B7200" s="2">
        <v>46147</v>
      </c>
      <c r="C7200" t="s">
        <v>145</v>
      </c>
      <c r="D7200" t="s">
        <v>1</v>
      </c>
      <c r="E7200" t="s">
        <v>9</v>
      </c>
      <c r="F7200" s="3">
        <v>-1144</v>
      </c>
      <c r="G7200" s="3">
        <v>-1144</v>
      </c>
      <c r="H7200" t="s">
        <v>3</v>
      </c>
      <c r="I7200" t="s">
        <v>3</v>
      </c>
      <c r="J7200" t="s">
        <v>778</v>
      </c>
      <c r="K7200" t="s">
        <v>13</v>
      </c>
      <c r="L7200" t="s">
        <v>17</v>
      </c>
      <c r="M7200" t="s">
        <v>7</v>
      </c>
      <c r="N7200" s="2">
        <v>46142</v>
      </c>
    </row>
    <row r="7201" spans="1:14" x14ac:dyDescent="0.25">
      <c r="A7201" s="4" t="s">
        <v>249</v>
      </c>
      <c r="B7201" s="5"/>
      <c r="C7201" s="4" t="s">
        <v>9</v>
      </c>
      <c r="D7201" s="4" t="s">
        <v>9</v>
      </c>
      <c r="E7201" s="4" t="s">
        <v>9</v>
      </c>
      <c r="F7201" s="6">
        <v>0</v>
      </c>
      <c r="G7201" s="6">
        <v>0</v>
      </c>
      <c r="H7201" s="4" t="s">
        <v>9</v>
      </c>
      <c r="I7201" s="4" t="s">
        <v>3</v>
      </c>
      <c r="J7201" s="4" t="s">
        <v>9</v>
      </c>
      <c r="K7201" s="4" t="s">
        <v>9</v>
      </c>
      <c r="L7201" s="4" t="s">
        <v>9</v>
      </c>
      <c r="M7201" s="4" t="s">
        <v>9</v>
      </c>
      <c r="N7201" s="5"/>
    </row>
    <row r="7202" spans="1:14" x14ac:dyDescent="0.25">
      <c r="A7202" t="s">
        <v>145</v>
      </c>
      <c r="B7202" s="2">
        <v>46173</v>
      </c>
      <c r="C7202" t="s">
        <v>145</v>
      </c>
      <c r="D7202" t="s">
        <v>1</v>
      </c>
      <c r="E7202" t="s">
        <v>9</v>
      </c>
      <c r="F7202" s="3">
        <v>36961.599999999999</v>
      </c>
      <c r="G7202" s="3">
        <v>36961.599999999999</v>
      </c>
      <c r="H7202" t="s">
        <v>3</v>
      </c>
      <c r="I7202" t="s">
        <v>3</v>
      </c>
      <c r="J7202" t="s">
        <v>10</v>
      </c>
      <c r="K7202" t="s">
        <v>13</v>
      </c>
      <c r="L7202" t="s">
        <v>18</v>
      </c>
      <c r="M7202" t="s">
        <v>7</v>
      </c>
      <c r="N7202" s="2">
        <v>46173</v>
      </c>
    </row>
    <row r="7203" spans="1:14" x14ac:dyDescent="0.25">
      <c r="A7203" t="s">
        <v>145</v>
      </c>
      <c r="B7203" s="2">
        <v>46175</v>
      </c>
      <c r="C7203" t="s">
        <v>145</v>
      </c>
      <c r="D7203" t="s">
        <v>1</v>
      </c>
      <c r="E7203" t="s">
        <v>9</v>
      </c>
      <c r="F7203" s="3">
        <v>-36961.599999999999</v>
      </c>
      <c r="G7203" s="3">
        <v>-36961.599999999999</v>
      </c>
      <c r="H7203" t="s">
        <v>3</v>
      </c>
      <c r="I7203" t="s">
        <v>3</v>
      </c>
      <c r="J7203" t="s">
        <v>778</v>
      </c>
      <c r="K7203" t="s">
        <v>13</v>
      </c>
      <c r="L7203" t="s">
        <v>18</v>
      </c>
      <c r="M7203" t="s">
        <v>7</v>
      </c>
      <c r="N7203" s="2">
        <v>46173</v>
      </c>
    </row>
    <row r="7204" spans="1:14" x14ac:dyDescent="0.25">
      <c r="A7204" s="4" t="s">
        <v>223</v>
      </c>
      <c r="B7204" s="5"/>
      <c r="C7204" s="4" t="s">
        <v>9</v>
      </c>
      <c r="D7204" s="4" t="s">
        <v>9</v>
      </c>
      <c r="E7204" s="4" t="s">
        <v>9</v>
      </c>
      <c r="F7204" s="6">
        <v>0</v>
      </c>
      <c r="G7204" s="6">
        <v>0</v>
      </c>
      <c r="H7204" s="4" t="s">
        <v>9</v>
      </c>
      <c r="I7204" s="4" t="s">
        <v>3</v>
      </c>
      <c r="J7204" s="4" t="s">
        <v>9</v>
      </c>
      <c r="K7204" s="4" t="s">
        <v>9</v>
      </c>
      <c r="L7204" s="4" t="s">
        <v>9</v>
      </c>
      <c r="M7204" s="4" t="s">
        <v>9</v>
      </c>
      <c r="N7204" s="5"/>
    </row>
    <row r="7205" spans="1:14" x14ac:dyDescent="0.25">
      <c r="A7205" t="s">
        <v>145</v>
      </c>
      <c r="B7205" s="2">
        <v>46203</v>
      </c>
      <c r="C7205" t="s">
        <v>145</v>
      </c>
      <c r="D7205" t="s">
        <v>1</v>
      </c>
      <c r="E7205" t="s">
        <v>9</v>
      </c>
      <c r="F7205" s="3">
        <v>54778.66</v>
      </c>
      <c r="G7205" s="3">
        <v>54778.66</v>
      </c>
      <c r="H7205" t="s">
        <v>3</v>
      </c>
      <c r="I7205" t="s">
        <v>3</v>
      </c>
      <c r="J7205" t="s">
        <v>10</v>
      </c>
      <c r="K7205" t="s">
        <v>13</v>
      </c>
      <c r="L7205" t="s">
        <v>19</v>
      </c>
      <c r="M7205" t="s">
        <v>7</v>
      </c>
      <c r="N7205" s="2">
        <v>46203</v>
      </c>
    </row>
    <row r="7206" spans="1:14" x14ac:dyDescent="0.25">
      <c r="A7206" t="s">
        <v>145</v>
      </c>
      <c r="B7206" s="2">
        <v>46205</v>
      </c>
      <c r="C7206" t="s">
        <v>145</v>
      </c>
      <c r="D7206" t="s">
        <v>1</v>
      </c>
      <c r="E7206" t="s">
        <v>9</v>
      </c>
      <c r="F7206" s="3">
        <v>-54778.66</v>
      </c>
      <c r="G7206" s="3">
        <v>-54778.66</v>
      </c>
      <c r="H7206" t="s">
        <v>3</v>
      </c>
      <c r="I7206" t="s">
        <v>3</v>
      </c>
      <c r="J7206" t="s">
        <v>778</v>
      </c>
      <c r="K7206" t="s">
        <v>13</v>
      </c>
      <c r="L7206" t="s">
        <v>19</v>
      </c>
      <c r="M7206" t="s">
        <v>7</v>
      </c>
      <c r="N7206" s="2">
        <v>46203</v>
      </c>
    </row>
    <row r="7207" spans="1:14" x14ac:dyDescent="0.25">
      <c r="A7207" s="4" t="s">
        <v>224</v>
      </c>
      <c r="B7207" s="5"/>
      <c r="C7207" s="4" t="s">
        <v>9</v>
      </c>
      <c r="D7207" s="4" t="s">
        <v>9</v>
      </c>
      <c r="E7207" s="4" t="s">
        <v>9</v>
      </c>
      <c r="F7207" s="6">
        <v>0</v>
      </c>
      <c r="G7207" s="6">
        <v>0</v>
      </c>
      <c r="H7207" s="4" t="s">
        <v>9</v>
      </c>
      <c r="I7207" s="4" t="s">
        <v>3</v>
      </c>
      <c r="J7207" s="4" t="s">
        <v>9</v>
      </c>
      <c r="K7207" s="4" t="s">
        <v>9</v>
      </c>
      <c r="L7207" s="4" t="s">
        <v>9</v>
      </c>
      <c r="M7207" s="4" t="s">
        <v>9</v>
      </c>
      <c r="N7207" s="5"/>
    </row>
    <row r="7208" spans="1:14" x14ac:dyDescent="0.25">
      <c r="A7208" t="s">
        <v>145</v>
      </c>
      <c r="B7208" s="2">
        <v>46234</v>
      </c>
      <c r="C7208" t="s">
        <v>145</v>
      </c>
      <c r="D7208" t="s">
        <v>1</v>
      </c>
      <c r="E7208" t="s">
        <v>9</v>
      </c>
      <c r="F7208" s="3">
        <v>19239.34</v>
      </c>
      <c r="G7208" s="3">
        <v>19239.34</v>
      </c>
      <c r="H7208" t="s">
        <v>3</v>
      </c>
      <c r="I7208" t="s">
        <v>3</v>
      </c>
      <c r="J7208" t="s">
        <v>10</v>
      </c>
      <c r="K7208" t="s">
        <v>13</v>
      </c>
      <c r="L7208" t="s">
        <v>21</v>
      </c>
      <c r="M7208" t="s">
        <v>7</v>
      </c>
      <c r="N7208" s="2">
        <v>46234</v>
      </c>
    </row>
    <row r="7209" spans="1:14" x14ac:dyDescent="0.25">
      <c r="A7209" t="s">
        <v>145</v>
      </c>
      <c r="B7209" s="2">
        <v>46239</v>
      </c>
      <c r="C7209" t="s">
        <v>145</v>
      </c>
      <c r="D7209" t="s">
        <v>1</v>
      </c>
      <c r="E7209" t="s">
        <v>9</v>
      </c>
      <c r="F7209" s="3">
        <v>-19239.34</v>
      </c>
      <c r="G7209" s="3">
        <v>-19239.34</v>
      </c>
      <c r="H7209" t="s">
        <v>3</v>
      </c>
      <c r="I7209" t="s">
        <v>3</v>
      </c>
      <c r="J7209" t="s">
        <v>778</v>
      </c>
      <c r="K7209" t="s">
        <v>13</v>
      </c>
      <c r="L7209" t="s">
        <v>21</v>
      </c>
      <c r="M7209" t="s">
        <v>7</v>
      </c>
      <c r="N7209" s="2">
        <v>46234</v>
      </c>
    </row>
    <row r="7210" spans="1:14" x14ac:dyDescent="0.25">
      <c r="A7210" s="4" t="s">
        <v>262</v>
      </c>
      <c r="B7210" s="5"/>
      <c r="C7210" s="4" t="s">
        <v>9</v>
      </c>
      <c r="D7210" s="4" t="s">
        <v>9</v>
      </c>
      <c r="E7210" s="4" t="s">
        <v>9</v>
      </c>
      <c r="F7210" s="6">
        <v>0</v>
      </c>
      <c r="G7210" s="6">
        <v>0</v>
      </c>
      <c r="H7210" s="4" t="s">
        <v>9</v>
      </c>
      <c r="I7210" s="4" t="s">
        <v>3</v>
      </c>
      <c r="J7210" s="4" t="s">
        <v>9</v>
      </c>
      <c r="K7210" s="4" t="s">
        <v>9</v>
      </c>
      <c r="L7210" s="4" t="s">
        <v>9</v>
      </c>
      <c r="M7210" s="4" t="s">
        <v>9</v>
      </c>
      <c r="N7210" s="5"/>
    </row>
    <row r="7211" spans="1:14" x14ac:dyDescent="0.25">
      <c r="A7211" t="s">
        <v>145</v>
      </c>
      <c r="B7211" s="2">
        <v>46265</v>
      </c>
      <c r="C7211" t="s">
        <v>145</v>
      </c>
      <c r="D7211" t="s">
        <v>1</v>
      </c>
      <c r="E7211" t="s">
        <v>9</v>
      </c>
      <c r="F7211" s="3">
        <v>12640</v>
      </c>
      <c r="G7211" s="3">
        <v>12640</v>
      </c>
      <c r="H7211" t="s">
        <v>3</v>
      </c>
      <c r="I7211" t="s">
        <v>3</v>
      </c>
      <c r="J7211" t="s">
        <v>10</v>
      </c>
      <c r="K7211" t="s">
        <v>13</v>
      </c>
      <c r="L7211" t="s">
        <v>22</v>
      </c>
      <c r="M7211" t="s">
        <v>7</v>
      </c>
      <c r="N7211" s="2">
        <v>46265</v>
      </c>
    </row>
    <row r="7212" spans="1:14" x14ac:dyDescent="0.25">
      <c r="A7212" t="s">
        <v>145</v>
      </c>
      <c r="B7212" s="2">
        <v>46267</v>
      </c>
      <c r="C7212" t="s">
        <v>145</v>
      </c>
      <c r="D7212" t="s">
        <v>1</v>
      </c>
      <c r="E7212" t="s">
        <v>9</v>
      </c>
      <c r="F7212" s="3">
        <v>-12640</v>
      </c>
      <c r="G7212" s="3">
        <v>-12640</v>
      </c>
      <c r="H7212" t="s">
        <v>3</v>
      </c>
      <c r="I7212" t="s">
        <v>3</v>
      </c>
      <c r="J7212" t="s">
        <v>778</v>
      </c>
      <c r="K7212" t="s">
        <v>13</v>
      </c>
      <c r="L7212" t="s">
        <v>22</v>
      </c>
      <c r="M7212" t="s">
        <v>7</v>
      </c>
      <c r="N7212" s="2">
        <v>46265</v>
      </c>
    </row>
    <row r="7213" spans="1:14" x14ac:dyDescent="0.25">
      <c r="A7213" s="4" t="s">
        <v>267</v>
      </c>
      <c r="B7213" s="5"/>
      <c r="C7213" s="4" t="s">
        <v>9</v>
      </c>
      <c r="D7213" s="4" t="s">
        <v>9</v>
      </c>
      <c r="E7213" s="4" t="s">
        <v>9</v>
      </c>
      <c r="F7213" s="6">
        <v>0</v>
      </c>
      <c r="G7213" s="6">
        <v>0</v>
      </c>
      <c r="H7213" s="4" t="s">
        <v>9</v>
      </c>
      <c r="I7213" s="4" t="s">
        <v>3</v>
      </c>
      <c r="J7213" s="4" t="s">
        <v>9</v>
      </c>
      <c r="K7213" s="4" t="s">
        <v>9</v>
      </c>
      <c r="L7213" s="4" t="s">
        <v>9</v>
      </c>
      <c r="M7213" s="4" t="s">
        <v>9</v>
      </c>
      <c r="N7213" s="5"/>
    </row>
    <row r="7214" spans="1:14" x14ac:dyDescent="0.25">
      <c r="A7214" s="4" t="s">
        <v>145</v>
      </c>
      <c r="B7214" s="5"/>
      <c r="C7214" s="4" t="s">
        <v>9</v>
      </c>
      <c r="D7214" s="4" t="s">
        <v>9</v>
      </c>
      <c r="E7214" s="4" t="s">
        <v>9</v>
      </c>
      <c r="F7214" s="6">
        <v>0</v>
      </c>
      <c r="G7214" s="6">
        <v>0</v>
      </c>
      <c r="H7214" s="4" t="s">
        <v>9</v>
      </c>
      <c r="I7214" s="4" t="s">
        <v>3</v>
      </c>
      <c r="J7214" s="4" t="s">
        <v>9</v>
      </c>
      <c r="K7214" s="4" t="s">
        <v>9</v>
      </c>
      <c r="L7214" s="4" t="s">
        <v>9</v>
      </c>
      <c r="M7214" s="4" t="s">
        <v>9</v>
      </c>
      <c r="N7214" s="5"/>
    </row>
    <row r="7215" spans="1:14" x14ac:dyDescent="0.25">
      <c r="A7215" t="s">
        <v>146</v>
      </c>
      <c r="B7215" s="2">
        <v>46112</v>
      </c>
      <c r="C7215" t="s">
        <v>146</v>
      </c>
      <c r="D7215" t="s">
        <v>1</v>
      </c>
      <c r="E7215" t="s">
        <v>147</v>
      </c>
      <c r="F7215" s="3">
        <v>20000</v>
      </c>
      <c r="G7215" s="3">
        <v>20000</v>
      </c>
      <c r="H7215" t="s">
        <v>3</v>
      </c>
      <c r="I7215" t="s">
        <v>3</v>
      </c>
      <c r="J7215" t="s">
        <v>148</v>
      </c>
      <c r="K7215" t="s">
        <v>13</v>
      </c>
      <c r="L7215" t="s">
        <v>16</v>
      </c>
      <c r="M7215" t="s">
        <v>7</v>
      </c>
      <c r="N7215" s="2">
        <v>46112</v>
      </c>
    </row>
    <row r="7216" spans="1:14" x14ac:dyDescent="0.25">
      <c r="A7216" t="s">
        <v>146</v>
      </c>
      <c r="B7216" s="2">
        <v>46112</v>
      </c>
      <c r="C7216" t="s">
        <v>146</v>
      </c>
      <c r="D7216" t="s">
        <v>1</v>
      </c>
      <c r="E7216" t="s">
        <v>147</v>
      </c>
      <c r="F7216" s="3">
        <v>10000</v>
      </c>
      <c r="G7216" s="3">
        <v>10000</v>
      </c>
      <c r="H7216" t="s">
        <v>3</v>
      </c>
      <c r="I7216" t="s">
        <v>3</v>
      </c>
      <c r="J7216" t="s">
        <v>148</v>
      </c>
      <c r="K7216" t="s">
        <v>13</v>
      </c>
      <c r="L7216" t="s">
        <v>16</v>
      </c>
      <c r="M7216" t="s">
        <v>7</v>
      </c>
      <c r="N7216" s="2">
        <v>46112</v>
      </c>
    </row>
    <row r="7217" spans="1:14" x14ac:dyDescent="0.25">
      <c r="A7217" t="s">
        <v>146</v>
      </c>
      <c r="B7217" s="2">
        <v>46112</v>
      </c>
      <c r="C7217" t="s">
        <v>146</v>
      </c>
      <c r="D7217" t="s">
        <v>1</v>
      </c>
      <c r="E7217" t="s">
        <v>9</v>
      </c>
      <c r="F7217" s="3">
        <v>32700</v>
      </c>
      <c r="G7217" s="3">
        <v>32700</v>
      </c>
      <c r="H7217" t="s">
        <v>3</v>
      </c>
      <c r="I7217" t="s">
        <v>3</v>
      </c>
      <c r="J7217" t="s">
        <v>10</v>
      </c>
      <c r="K7217" t="s">
        <v>13</v>
      </c>
      <c r="L7217" t="s">
        <v>16</v>
      </c>
      <c r="M7217" t="s">
        <v>7</v>
      </c>
      <c r="N7217" s="2">
        <v>46112</v>
      </c>
    </row>
    <row r="7218" spans="1:14" x14ac:dyDescent="0.25">
      <c r="A7218" t="s">
        <v>146</v>
      </c>
      <c r="B7218" s="2">
        <v>46115</v>
      </c>
      <c r="C7218" t="s">
        <v>146</v>
      </c>
      <c r="D7218" t="s">
        <v>1</v>
      </c>
      <c r="E7218" t="s">
        <v>9</v>
      </c>
      <c r="F7218" s="3">
        <v>-62700</v>
      </c>
      <c r="G7218" s="3">
        <v>-62700</v>
      </c>
      <c r="H7218" t="s">
        <v>3</v>
      </c>
      <c r="I7218" t="s">
        <v>3</v>
      </c>
      <c r="J7218" t="s">
        <v>779</v>
      </c>
      <c r="K7218" t="s">
        <v>13</v>
      </c>
      <c r="L7218" t="s">
        <v>16</v>
      </c>
      <c r="M7218" t="s">
        <v>7</v>
      </c>
      <c r="N7218" s="2">
        <v>46112</v>
      </c>
    </row>
    <row r="7219" spans="1:14" x14ac:dyDescent="0.25">
      <c r="A7219" s="4" t="s">
        <v>244</v>
      </c>
      <c r="B7219" s="5"/>
      <c r="C7219" s="4" t="s">
        <v>9</v>
      </c>
      <c r="D7219" s="4" t="s">
        <v>9</v>
      </c>
      <c r="E7219" s="4" t="s">
        <v>9</v>
      </c>
      <c r="F7219" s="6">
        <v>0</v>
      </c>
      <c r="G7219" s="6">
        <v>0</v>
      </c>
      <c r="H7219" s="4" t="s">
        <v>9</v>
      </c>
      <c r="I7219" s="4" t="s">
        <v>3</v>
      </c>
      <c r="J7219" s="4" t="s">
        <v>9</v>
      </c>
      <c r="K7219" s="4" t="s">
        <v>9</v>
      </c>
      <c r="L7219" s="4" t="s">
        <v>9</v>
      </c>
      <c r="M7219" s="4" t="s">
        <v>9</v>
      </c>
      <c r="N7219" s="5"/>
    </row>
    <row r="7220" spans="1:14" x14ac:dyDescent="0.25">
      <c r="A7220" t="s">
        <v>146</v>
      </c>
      <c r="B7220" s="2">
        <v>46122</v>
      </c>
      <c r="C7220" t="s">
        <v>146</v>
      </c>
      <c r="D7220" t="s">
        <v>1</v>
      </c>
      <c r="E7220" t="s">
        <v>147</v>
      </c>
      <c r="F7220" s="3">
        <v>10000</v>
      </c>
      <c r="G7220" s="3">
        <v>10000</v>
      </c>
      <c r="H7220" t="s">
        <v>3</v>
      </c>
      <c r="I7220" t="s">
        <v>3</v>
      </c>
      <c r="J7220" t="s">
        <v>148</v>
      </c>
      <c r="K7220" t="s">
        <v>13</v>
      </c>
      <c r="L7220" t="s">
        <v>17</v>
      </c>
      <c r="M7220" t="s">
        <v>7</v>
      </c>
      <c r="N7220" s="2">
        <v>46122</v>
      </c>
    </row>
    <row r="7221" spans="1:14" x14ac:dyDescent="0.25">
      <c r="A7221" t="s">
        <v>146</v>
      </c>
      <c r="B7221" s="2">
        <v>46142</v>
      </c>
      <c r="C7221" t="s">
        <v>146</v>
      </c>
      <c r="D7221" t="s">
        <v>1</v>
      </c>
      <c r="E7221" t="s">
        <v>9</v>
      </c>
      <c r="F7221" s="3">
        <v>7150</v>
      </c>
      <c r="G7221" s="3">
        <v>7150</v>
      </c>
      <c r="H7221" t="s">
        <v>3</v>
      </c>
      <c r="I7221" t="s">
        <v>3</v>
      </c>
      <c r="J7221" t="s">
        <v>10</v>
      </c>
      <c r="K7221" t="s">
        <v>13</v>
      </c>
      <c r="L7221" t="s">
        <v>17</v>
      </c>
      <c r="M7221" t="s">
        <v>7</v>
      </c>
      <c r="N7221" s="2">
        <v>46142</v>
      </c>
    </row>
    <row r="7222" spans="1:14" x14ac:dyDescent="0.25">
      <c r="A7222" t="s">
        <v>146</v>
      </c>
      <c r="B7222" s="2">
        <v>46147</v>
      </c>
      <c r="C7222" t="s">
        <v>146</v>
      </c>
      <c r="D7222" t="s">
        <v>1</v>
      </c>
      <c r="E7222" t="s">
        <v>9</v>
      </c>
      <c r="F7222" s="3">
        <v>-17150</v>
      </c>
      <c r="G7222" s="3">
        <v>-17150</v>
      </c>
      <c r="H7222" t="s">
        <v>3</v>
      </c>
      <c r="I7222" t="s">
        <v>3</v>
      </c>
      <c r="J7222" t="s">
        <v>779</v>
      </c>
      <c r="K7222" t="s">
        <v>13</v>
      </c>
      <c r="L7222" t="s">
        <v>17</v>
      </c>
      <c r="M7222" t="s">
        <v>7</v>
      </c>
      <c r="N7222" s="2">
        <v>46142</v>
      </c>
    </row>
    <row r="7223" spans="1:14" x14ac:dyDescent="0.25">
      <c r="A7223" s="4" t="s">
        <v>249</v>
      </c>
      <c r="B7223" s="5"/>
      <c r="C7223" s="4" t="s">
        <v>9</v>
      </c>
      <c r="D7223" s="4" t="s">
        <v>9</v>
      </c>
      <c r="E7223" s="4" t="s">
        <v>9</v>
      </c>
      <c r="F7223" s="6">
        <v>0</v>
      </c>
      <c r="G7223" s="6">
        <v>0</v>
      </c>
      <c r="H7223" s="4" t="s">
        <v>9</v>
      </c>
      <c r="I7223" s="4" t="s">
        <v>3</v>
      </c>
      <c r="J7223" s="4" t="s">
        <v>9</v>
      </c>
      <c r="K7223" s="4" t="s">
        <v>9</v>
      </c>
      <c r="L7223" s="4" t="s">
        <v>9</v>
      </c>
      <c r="M7223" s="4" t="s">
        <v>9</v>
      </c>
      <c r="N7223" s="5"/>
    </row>
    <row r="7224" spans="1:14" x14ac:dyDescent="0.25">
      <c r="A7224" t="s">
        <v>146</v>
      </c>
      <c r="B7224" s="2">
        <v>46173</v>
      </c>
      <c r="C7224" t="s">
        <v>146</v>
      </c>
      <c r="D7224" t="s">
        <v>1</v>
      </c>
      <c r="E7224" t="s">
        <v>9</v>
      </c>
      <c r="F7224" s="3">
        <v>6000</v>
      </c>
      <c r="G7224" s="3">
        <v>6000</v>
      </c>
      <c r="H7224" t="s">
        <v>3</v>
      </c>
      <c r="I7224" t="s">
        <v>3</v>
      </c>
      <c r="J7224" t="s">
        <v>10</v>
      </c>
      <c r="K7224" t="s">
        <v>13</v>
      </c>
      <c r="L7224" t="s">
        <v>18</v>
      </c>
      <c r="M7224" t="s">
        <v>7</v>
      </c>
      <c r="N7224" s="2">
        <v>46173</v>
      </c>
    </row>
    <row r="7225" spans="1:14" x14ac:dyDescent="0.25">
      <c r="A7225" t="s">
        <v>146</v>
      </c>
      <c r="B7225" s="2">
        <v>46175</v>
      </c>
      <c r="C7225" t="s">
        <v>146</v>
      </c>
      <c r="D7225" t="s">
        <v>1</v>
      </c>
      <c r="E7225" t="s">
        <v>9</v>
      </c>
      <c r="F7225" s="3">
        <v>-6000</v>
      </c>
      <c r="G7225" s="3">
        <v>-6000</v>
      </c>
      <c r="H7225" t="s">
        <v>3</v>
      </c>
      <c r="I7225" t="s">
        <v>3</v>
      </c>
      <c r="J7225" t="s">
        <v>779</v>
      </c>
      <c r="K7225" t="s">
        <v>13</v>
      </c>
      <c r="L7225" t="s">
        <v>18</v>
      </c>
      <c r="M7225" t="s">
        <v>7</v>
      </c>
      <c r="N7225" s="2">
        <v>46173</v>
      </c>
    </row>
    <row r="7226" spans="1:14" x14ac:dyDescent="0.25">
      <c r="A7226" s="4" t="s">
        <v>223</v>
      </c>
      <c r="B7226" s="5"/>
      <c r="C7226" s="4" t="s">
        <v>9</v>
      </c>
      <c r="D7226" s="4" t="s">
        <v>9</v>
      </c>
      <c r="E7226" s="4" t="s">
        <v>9</v>
      </c>
      <c r="F7226" s="6">
        <v>0</v>
      </c>
      <c r="G7226" s="6">
        <v>0</v>
      </c>
      <c r="H7226" s="4" t="s">
        <v>9</v>
      </c>
      <c r="I7226" s="4" t="s">
        <v>3</v>
      </c>
      <c r="J7226" s="4" t="s">
        <v>9</v>
      </c>
      <c r="K7226" s="4" t="s">
        <v>9</v>
      </c>
      <c r="L7226" s="4" t="s">
        <v>9</v>
      </c>
      <c r="M7226" s="4" t="s">
        <v>9</v>
      </c>
      <c r="N7226" s="5"/>
    </row>
    <row r="7227" spans="1:14" x14ac:dyDescent="0.25">
      <c r="A7227" t="s">
        <v>146</v>
      </c>
      <c r="B7227" s="2">
        <v>46175</v>
      </c>
      <c r="C7227" t="s">
        <v>146</v>
      </c>
      <c r="D7227" t="s">
        <v>1</v>
      </c>
      <c r="E7227" t="s">
        <v>147</v>
      </c>
      <c r="F7227" s="3">
        <v>10000</v>
      </c>
      <c r="G7227" s="3">
        <v>10000</v>
      </c>
      <c r="H7227" t="s">
        <v>3</v>
      </c>
      <c r="I7227" t="s">
        <v>3</v>
      </c>
      <c r="J7227" t="s">
        <v>148</v>
      </c>
      <c r="K7227" t="s">
        <v>13</v>
      </c>
      <c r="L7227" t="s">
        <v>19</v>
      </c>
      <c r="M7227" t="s">
        <v>7</v>
      </c>
      <c r="N7227" s="2">
        <v>46175</v>
      </c>
    </row>
    <row r="7228" spans="1:14" x14ac:dyDescent="0.25">
      <c r="A7228" t="s">
        <v>146</v>
      </c>
      <c r="B7228" s="2">
        <v>46203</v>
      </c>
      <c r="C7228" t="s">
        <v>146</v>
      </c>
      <c r="D7228" t="s">
        <v>1</v>
      </c>
      <c r="E7228" t="s">
        <v>9</v>
      </c>
      <c r="F7228" s="3">
        <v>7450.56</v>
      </c>
      <c r="G7228" s="3">
        <v>7450.56</v>
      </c>
      <c r="H7228" t="s">
        <v>3</v>
      </c>
      <c r="I7228" t="s">
        <v>3</v>
      </c>
      <c r="J7228" t="s">
        <v>10</v>
      </c>
      <c r="K7228" t="s">
        <v>13</v>
      </c>
      <c r="L7228" t="s">
        <v>19</v>
      </c>
      <c r="M7228" t="s">
        <v>7</v>
      </c>
      <c r="N7228" s="2">
        <v>46203</v>
      </c>
    </row>
    <row r="7229" spans="1:14" x14ac:dyDescent="0.25">
      <c r="A7229" t="s">
        <v>146</v>
      </c>
      <c r="B7229" s="2">
        <v>46205</v>
      </c>
      <c r="C7229" t="s">
        <v>146</v>
      </c>
      <c r="D7229" t="s">
        <v>1</v>
      </c>
      <c r="E7229" t="s">
        <v>9</v>
      </c>
      <c r="F7229" s="3">
        <v>-17450.560000000001</v>
      </c>
      <c r="G7229" s="3">
        <v>-17450.560000000001</v>
      </c>
      <c r="H7229" t="s">
        <v>3</v>
      </c>
      <c r="I7229" t="s">
        <v>3</v>
      </c>
      <c r="J7229" t="s">
        <v>779</v>
      </c>
      <c r="K7229" t="s">
        <v>13</v>
      </c>
      <c r="L7229" t="s">
        <v>19</v>
      </c>
      <c r="M7229" t="s">
        <v>7</v>
      </c>
      <c r="N7229" s="2">
        <v>46203</v>
      </c>
    </row>
    <row r="7230" spans="1:14" x14ac:dyDescent="0.25">
      <c r="A7230" s="4" t="s">
        <v>224</v>
      </c>
      <c r="B7230" s="5"/>
      <c r="C7230" s="4" t="s">
        <v>9</v>
      </c>
      <c r="D7230" s="4" t="s">
        <v>9</v>
      </c>
      <c r="E7230" s="4" t="s">
        <v>9</v>
      </c>
      <c r="F7230" s="6">
        <v>0</v>
      </c>
      <c r="G7230" s="6">
        <v>0</v>
      </c>
      <c r="H7230" s="4" t="s">
        <v>9</v>
      </c>
      <c r="I7230" s="4" t="s">
        <v>3</v>
      </c>
      <c r="J7230" s="4" t="s">
        <v>9</v>
      </c>
      <c r="K7230" s="4" t="s">
        <v>9</v>
      </c>
      <c r="L7230" s="4" t="s">
        <v>9</v>
      </c>
      <c r="M7230" s="4" t="s">
        <v>9</v>
      </c>
      <c r="N7230" s="5"/>
    </row>
    <row r="7231" spans="1:14" x14ac:dyDescent="0.25">
      <c r="A7231" t="s">
        <v>146</v>
      </c>
      <c r="B7231" s="2">
        <v>46220</v>
      </c>
      <c r="C7231" t="s">
        <v>146</v>
      </c>
      <c r="D7231" t="s">
        <v>1</v>
      </c>
      <c r="E7231" t="s">
        <v>147</v>
      </c>
      <c r="F7231" s="3">
        <v>6250</v>
      </c>
      <c r="G7231" s="3">
        <v>6250</v>
      </c>
      <c r="H7231" t="s">
        <v>3</v>
      </c>
      <c r="I7231" t="s">
        <v>3</v>
      </c>
      <c r="J7231" t="s">
        <v>148</v>
      </c>
      <c r="K7231" t="s">
        <v>13</v>
      </c>
      <c r="L7231" t="s">
        <v>21</v>
      </c>
      <c r="M7231" t="s">
        <v>7</v>
      </c>
      <c r="N7231" s="2">
        <v>46220</v>
      </c>
    </row>
    <row r="7232" spans="1:14" x14ac:dyDescent="0.25">
      <c r="A7232" t="s">
        <v>146</v>
      </c>
      <c r="B7232" s="2">
        <v>46220</v>
      </c>
      <c r="C7232" t="s">
        <v>146</v>
      </c>
      <c r="D7232" t="s">
        <v>1</v>
      </c>
      <c r="E7232" t="s">
        <v>147</v>
      </c>
      <c r="F7232" s="3">
        <v>6250</v>
      </c>
      <c r="G7232" s="3">
        <v>6250</v>
      </c>
      <c r="H7232" t="s">
        <v>3</v>
      </c>
      <c r="I7232" t="s">
        <v>3</v>
      </c>
      <c r="J7232" t="s">
        <v>148</v>
      </c>
      <c r="K7232" t="s">
        <v>13</v>
      </c>
      <c r="L7232" t="s">
        <v>21</v>
      </c>
      <c r="M7232" t="s">
        <v>7</v>
      </c>
      <c r="N7232" s="2">
        <v>46220</v>
      </c>
    </row>
    <row r="7233" spans="1:14" x14ac:dyDescent="0.25">
      <c r="A7233" t="s">
        <v>146</v>
      </c>
      <c r="B7233" s="2">
        <v>46227</v>
      </c>
      <c r="C7233" t="s">
        <v>146</v>
      </c>
      <c r="D7233" t="s">
        <v>1</v>
      </c>
      <c r="E7233" t="s">
        <v>147</v>
      </c>
      <c r="F7233" s="3">
        <v>28141.3</v>
      </c>
      <c r="G7233" s="3">
        <v>28141.3</v>
      </c>
      <c r="H7233" t="s">
        <v>3</v>
      </c>
      <c r="I7233" t="s">
        <v>3</v>
      </c>
      <c r="J7233" t="s">
        <v>148</v>
      </c>
      <c r="K7233" t="s">
        <v>13</v>
      </c>
      <c r="L7233" t="s">
        <v>21</v>
      </c>
      <c r="M7233" t="s">
        <v>7</v>
      </c>
      <c r="N7233" s="2">
        <v>46227</v>
      </c>
    </row>
    <row r="7234" spans="1:14" x14ac:dyDescent="0.25">
      <c r="A7234" t="s">
        <v>146</v>
      </c>
      <c r="B7234" s="2">
        <v>46227</v>
      </c>
      <c r="C7234" t="s">
        <v>146</v>
      </c>
      <c r="D7234" t="s">
        <v>1</v>
      </c>
      <c r="E7234" t="s">
        <v>147</v>
      </c>
      <c r="F7234" s="3">
        <v>-28141.3</v>
      </c>
      <c r="G7234" s="3">
        <v>-28141.3</v>
      </c>
      <c r="H7234" t="s">
        <v>3</v>
      </c>
      <c r="I7234" t="s">
        <v>3</v>
      </c>
      <c r="J7234" t="s">
        <v>148</v>
      </c>
      <c r="K7234" t="s">
        <v>13</v>
      </c>
      <c r="L7234" t="s">
        <v>21</v>
      </c>
      <c r="M7234" t="s">
        <v>7</v>
      </c>
      <c r="N7234" s="2">
        <v>46227</v>
      </c>
    </row>
    <row r="7235" spans="1:14" x14ac:dyDescent="0.25">
      <c r="A7235" t="s">
        <v>146</v>
      </c>
      <c r="B7235" s="2">
        <v>46239</v>
      </c>
      <c r="C7235" t="s">
        <v>146</v>
      </c>
      <c r="D7235" t="s">
        <v>1</v>
      </c>
      <c r="E7235" t="s">
        <v>9</v>
      </c>
      <c r="F7235" s="3">
        <v>-12500</v>
      </c>
      <c r="G7235" s="3">
        <v>-12500</v>
      </c>
      <c r="H7235" t="s">
        <v>3</v>
      </c>
      <c r="I7235" t="s">
        <v>3</v>
      </c>
      <c r="J7235" t="s">
        <v>779</v>
      </c>
      <c r="K7235" t="s">
        <v>13</v>
      </c>
      <c r="L7235" t="s">
        <v>21</v>
      </c>
      <c r="M7235" t="s">
        <v>7</v>
      </c>
      <c r="N7235" s="2">
        <v>46234</v>
      </c>
    </row>
    <row r="7236" spans="1:14" x14ac:dyDescent="0.25">
      <c r="A7236" s="4" t="s">
        <v>262</v>
      </c>
      <c r="B7236" s="5"/>
      <c r="C7236" s="4" t="s">
        <v>9</v>
      </c>
      <c r="D7236" s="4" t="s">
        <v>9</v>
      </c>
      <c r="E7236" s="4" t="s">
        <v>9</v>
      </c>
      <c r="F7236" s="6">
        <v>0</v>
      </c>
      <c r="G7236" s="6">
        <v>0</v>
      </c>
      <c r="H7236" s="4" t="s">
        <v>9</v>
      </c>
      <c r="I7236" s="4" t="s">
        <v>3</v>
      </c>
      <c r="J7236" s="4" t="s">
        <v>9</v>
      </c>
      <c r="K7236" s="4" t="s">
        <v>9</v>
      </c>
      <c r="L7236" s="4" t="s">
        <v>9</v>
      </c>
      <c r="M7236" s="4" t="s">
        <v>9</v>
      </c>
      <c r="N7236" s="5"/>
    </row>
    <row r="7237" spans="1:14" x14ac:dyDescent="0.25">
      <c r="A7237" t="s">
        <v>146</v>
      </c>
      <c r="B7237" s="2">
        <v>46248</v>
      </c>
      <c r="C7237" t="s">
        <v>146</v>
      </c>
      <c r="D7237" t="s">
        <v>1</v>
      </c>
      <c r="E7237" t="s">
        <v>147</v>
      </c>
      <c r="F7237" s="3">
        <v>6250</v>
      </c>
      <c r="G7237" s="3">
        <v>6250</v>
      </c>
      <c r="H7237" t="s">
        <v>3</v>
      </c>
      <c r="I7237" t="s">
        <v>3</v>
      </c>
      <c r="J7237" t="s">
        <v>148</v>
      </c>
      <c r="K7237" t="s">
        <v>13</v>
      </c>
      <c r="L7237" t="s">
        <v>22</v>
      </c>
      <c r="M7237" t="s">
        <v>7</v>
      </c>
      <c r="N7237" s="2">
        <v>46248</v>
      </c>
    </row>
    <row r="7238" spans="1:14" x14ac:dyDescent="0.25">
      <c r="A7238" t="s">
        <v>146</v>
      </c>
      <c r="B7238" s="2">
        <v>46267</v>
      </c>
      <c r="C7238" t="s">
        <v>146</v>
      </c>
      <c r="D7238" t="s">
        <v>1</v>
      </c>
      <c r="E7238" t="s">
        <v>9</v>
      </c>
      <c r="F7238" s="3">
        <v>-6250</v>
      </c>
      <c r="G7238" s="3">
        <v>-6250</v>
      </c>
      <c r="H7238" t="s">
        <v>3</v>
      </c>
      <c r="I7238" t="s">
        <v>3</v>
      </c>
      <c r="J7238" t="s">
        <v>779</v>
      </c>
      <c r="K7238" t="s">
        <v>13</v>
      </c>
      <c r="L7238" t="s">
        <v>22</v>
      </c>
      <c r="M7238" t="s">
        <v>7</v>
      </c>
      <c r="N7238" s="2">
        <v>46265</v>
      </c>
    </row>
    <row r="7239" spans="1:14" x14ac:dyDescent="0.25">
      <c r="A7239" s="4" t="s">
        <v>267</v>
      </c>
      <c r="B7239" s="5"/>
      <c r="C7239" s="4" t="s">
        <v>9</v>
      </c>
      <c r="D7239" s="4" t="s">
        <v>9</v>
      </c>
      <c r="E7239" s="4" t="s">
        <v>9</v>
      </c>
      <c r="F7239" s="6">
        <v>0</v>
      </c>
      <c r="G7239" s="6">
        <v>0</v>
      </c>
      <c r="H7239" s="4" t="s">
        <v>9</v>
      </c>
      <c r="I7239" s="4" t="s">
        <v>3</v>
      </c>
      <c r="J7239" s="4" t="s">
        <v>9</v>
      </c>
      <c r="K7239" s="4" t="s">
        <v>9</v>
      </c>
      <c r="L7239" s="4" t="s">
        <v>9</v>
      </c>
      <c r="M7239" s="4" t="s">
        <v>9</v>
      </c>
      <c r="N7239" s="5"/>
    </row>
    <row r="7240" spans="1:14" x14ac:dyDescent="0.25">
      <c r="A7240" s="4" t="s">
        <v>146</v>
      </c>
      <c r="B7240" s="5"/>
      <c r="C7240" s="4" t="s">
        <v>9</v>
      </c>
      <c r="D7240" s="4" t="s">
        <v>9</v>
      </c>
      <c r="E7240" s="4" t="s">
        <v>9</v>
      </c>
      <c r="F7240" s="6">
        <v>0</v>
      </c>
      <c r="G7240" s="6">
        <v>0</v>
      </c>
      <c r="H7240" s="4" t="s">
        <v>9</v>
      </c>
      <c r="I7240" s="4" t="s">
        <v>3</v>
      </c>
      <c r="J7240" s="4" t="s">
        <v>9</v>
      </c>
      <c r="K7240" s="4" t="s">
        <v>9</v>
      </c>
      <c r="L7240" s="4" t="s">
        <v>9</v>
      </c>
      <c r="M7240" s="4" t="s">
        <v>9</v>
      </c>
      <c r="N7240" s="5"/>
    </row>
    <row r="7241" spans="1:14" x14ac:dyDescent="0.25">
      <c r="A7241" t="s">
        <v>149</v>
      </c>
      <c r="B7241" s="2">
        <v>46112</v>
      </c>
      <c r="C7241" t="s">
        <v>149</v>
      </c>
      <c r="D7241" t="s">
        <v>1</v>
      </c>
      <c r="E7241" t="s">
        <v>9</v>
      </c>
      <c r="F7241" s="3">
        <v>8100</v>
      </c>
      <c r="G7241" s="3">
        <v>8100</v>
      </c>
      <c r="H7241" t="s">
        <v>3</v>
      </c>
      <c r="I7241" t="s">
        <v>3</v>
      </c>
      <c r="J7241" t="s">
        <v>10</v>
      </c>
      <c r="K7241" t="s">
        <v>13</v>
      </c>
      <c r="L7241" t="s">
        <v>16</v>
      </c>
      <c r="M7241" t="s">
        <v>7</v>
      </c>
      <c r="N7241" s="2">
        <v>46112</v>
      </c>
    </row>
    <row r="7242" spans="1:14" x14ac:dyDescent="0.25">
      <c r="A7242" t="s">
        <v>149</v>
      </c>
      <c r="B7242" s="2">
        <v>46112</v>
      </c>
      <c r="C7242" t="s">
        <v>149</v>
      </c>
      <c r="D7242" t="s">
        <v>99</v>
      </c>
      <c r="E7242" t="s">
        <v>9</v>
      </c>
      <c r="F7242" s="3">
        <v>25366.75</v>
      </c>
      <c r="G7242" s="3">
        <v>25366.75</v>
      </c>
      <c r="H7242" t="s">
        <v>3</v>
      </c>
      <c r="I7242" t="s">
        <v>3</v>
      </c>
      <c r="J7242" t="s">
        <v>150</v>
      </c>
      <c r="K7242" t="s">
        <v>13</v>
      </c>
      <c r="L7242" t="s">
        <v>16</v>
      </c>
      <c r="M7242" t="s">
        <v>102</v>
      </c>
      <c r="N7242" s="2">
        <v>46112</v>
      </c>
    </row>
    <row r="7243" spans="1:14" x14ac:dyDescent="0.25">
      <c r="A7243" t="s">
        <v>149</v>
      </c>
      <c r="B7243" s="2">
        <v>46115</v>
      </c>
      <c r="C7243" t="s">
        <v>149</v>
      </c>
      <c r="D7243" t="s">
        <v>99</v>
      </c>
      <c r="E7243" t="s">
        <v>9</v>
      </c>
      <c r="F7243" s="3">
        <v>-25366.75</v>
      </c>
      <c r="G7243" s="3">
        <v>-25366.75</v>
      </c>
      <c r="H7243" t="s">
        <v>3</v>
      </c>
      <c r="I7243" t="s">
        <v>3</v>
      </c>
      <c r="J7243" t="s">
        <v>156</v>
      </c>
      <c r="K7243" t="s">
        <v>13</v>
      </c>
      <c r="L7243" t="s">
        <v>16</v>
      </c>
      <c r="M7243" t="s">
        <v>102</v>
      </c>
      <c r="N7243" s="2">
        <v>46112</v>
      </c>
    </row>
    <row r="7244" spans="1:14" x14ac:dyDescent="0.25">
      <c r="A7244" t="s">
        <v>149</v>
      </c>
      <c r="B7244" s="2">
        <v>46115</v>
      </c>
      <c r="C7244" t="s">
        <v>149</v>
      </c>
      <c r="D7244" t="s">
        <v>1</v>
      </c>
      <c r="E7244" t="s">
        <v>9</v>
      </c>
      <c r="F7244" s="3">
        <v>-8100</v>
      </c>
      <c r="G7244" s="3">
        <v>-8100</v>
      </c>
      <c r="H7244" t="s">
        <v>3</v>
      </c>
      <c r="I7244" t="s">
        <v>3</v>
      </c>
      <c r="J7244" t="s">
        <v>156</v>
      </c>
      <c r="K7244" t="s">
        <v>13</v>
      </c>
      <c r="L7244" t="s">
        <v>16</v>
      </c>
      <c r="M7244" t="s">
        <v>7</v>
      </c>
      <c r="N7244" s="2">
        <v>46112</v>
      </c>
    </row>
    <row r="7245" spans="1:14" x14ac:dyDescent="0.25">
      <c r="A7245" s="4" t="s">
        <v>244</v>
      </c>
      <c r="B7245" s="5"/>
      <c r="C7245" s="4" t="s">
        <v>9</v>
      </c>
      <c r="D7245" s="4" t="s">
        <v>9</v>
      </c>
      <c r="E7245" s="4" t="s">
        <v>9</v>
      </c>
      <c r="F7245" s="6">
        <v>0</v>
      </c>
      <c r="G7245" s="6">
        <v>0</v>
      </c>
      <c r="H7245" s="4" t="s">
        <v>9</v>
      </c>
      <c r="I7245" s="4" t="s">
        <v>3</v>
      </c>
      <c r="J7245" s="4" t="s">
        <v>9</v>
      </c>
      <c r="K7245" s="4" t="s">
        <v>9</v>
      </c>
      <c r="L7245" s="4" t="s">
        <v>9</v>
      </c>
      <c r="M7245" s="4" t="s">
        <v>9</v>
      </c>
      <c r="N7245" s="5"/>
    </row>
    <row r="7246" spans="1:14" x14ac:dyDescent="0.25">
      <c r="A7246" t="s">
        <v>149</v>
      </c>
      <c r="B7246" s="2">
        <v>46142</v>
      </c>
      <c r="C7246" t="s">
        <v>149</v>
      </c>
      <c r="D7246" t="s">
        <v>99</v>
      </c>
      <c r="E7246" t="s">
        <v>9</v>
      </c>
      <c r="F7246" s="3">
        <v>4875</v>
      </c>
      <c r="G7246" s="3">
        <v>4875</v>
      </c>
      <c r="H7246" t="s">
        <v>3</v>
      </c>
      <c r="I7246" t="s">
        <v>3</v>
      </c>
      <c r="J7246" t="s">
        <v>151</v>
      </c>
      <c r="K7246" t="s">
        <v>13</v>
      </c>
      <c r="L7246" t="s">
        <v>17</v>
      </c>
      <c r="M7246" t="s">
        <v>102</v>
      </c>
      <c r="N7246" s="2">
        <v>46142</v>
      </c>
    </row>
    <row r="7247" spans="1:14" x14ac:dyDescent="0.25">
      <c r="A7247" t="s">
        <v>149</v>
      </c>
      <c r="B7247" s="2">
        <v>46133</v>
      </c>
      <c r="C7247" t="s">
        <v>149</v>
      </c>
      <c r="D7247" t="s">
        <v>1</v>
      </c>
      <c r="E7247" t="s">
        <v>152</v>
      </c>
      <c r="F7247" s="3">
        <v>8331.25</v>
      </c>
      <c r="G7247" s="3">
        <v>8331.25</v>
      </c>
      <c r="H7247" t="s">
        <v>3</v>
      </c>
      <c r="I7247" t="s">
        <v>3</v>
      </c>
      <c r="J7247" t="s">
        <v>153</v>
      </c>
      <c r="K7247" t="s">
        <v>13</v>
      </c>
      <c r="L7247" t="s">
        <v>17</v>
      </c>
      <c r="M7247" t="s">
        <v>7</v>
      </c>
      <c r="N7247" s="2">
        <v>46133</v>
      </c>
    </row>
    <row r="7248" spans="1:14" x14ac:dyDescent="0.25">
      <c r="A7248" t="s">
        <v>149</v>
      </c>
      <c r="B7248" s="2">
        <v>46142</v>
      </c>
      <c r="C7248" t="s">
        <v>149</v>
      </c>
      <c r="D7248" t="s">
        <v>1</v>
      </c>
      <c r="E7248" t="s">
        <v>9</v>
      </c>
      <c r="F7248" s="3">
        <v>4900</v>
      </c>
      <c r="G7248" s="3">
        <v>4900</v>
      </c>
      <c r="H7248" t="s">
        <v>3</v>
      </c>
      <c r="I7248" t="s">
        <v>3</v>
      </c>
      <c r="J7248" t="s">
        <v>10</v>
      </c>
      <c r="K7248" t="s">
        <v>13</v>
      </c>
      <c r="L7248" t="s">
        <v>17</v>
      </c>
      <c r="M7248" t="s">
        <v>7</v>
      </c>
      <c r="N7248" s="2">
        <v>46142</v>
      </c>
    </row>
    <row r="7249" spans="1:14" x14ac:dyDescent="0.25">
      <c r="A7249" t="s">
        <v>149</v>
      </c>
      <c r="B7249" s="2">
        <v>46147</v>
      </c>
      <c r="C7249" t="s">
        <v>149</v>
      </c>
      <c r="D7249" t="s">
        <v>99</v>
      </c>
      <c r="E7249" t="s">
        <v>9</v>
      </c>
      <c r="F7249" s="3">
        <v>-4875</v>
      </c>
      <c r="G7249" s="3">
        <v>-4875</v>
      </c>
      <c r="H7249" t="s">
        <v>3</v>
      </c>
      <c r="I7249" t="s">
        <v>3</v>
      </c>
      <c r="J7249" t="s">
        <v>156</v>
      </c>
      <c r="K7249" t="s">
        <v>13</v>
      </c>
      <c r="L7249" t="s">
        <v>17</v>
      </c>
      <c r="M7249" t="s">
        <v>102</v>
      </c>
      <c r="N7249" s="2">
        <v>46142</v>
      </c>
    </row>
    <row r="7250" spans="1:14" x14ac:dyDescent="0.25">
      <c r="A7250" t="s">
        <v>149</v>
      </c>
      <c r="B7250" s="2">
        <v>46147</v>
      </c>
      <c r="C7250" t="s">
        <v>149</v>
      </c>
      <c r="D7250" t="s">
        <v>1</v>
      </c>
      <c r="E7250" t="s">
        <v>9</v>
      </c>
      <c r="F7250" s="3">
        <v>-13231.25</v>
      </c>
      <c r="G7250" s="3">
        <v>-13231.25</v>
      </c>
      <c r="H7250" t="s">
        <v>3</v>
      </c>
      <c r="I7250" t="s">
        <v>3</v>
      </c>
      <c r="J7250" t="s">
        <v>156</v>
      </c>
      <c r="K7250" t="s">
        <v>13</v>
      </c>
      <c r="L7250" t="s">
        <v>17</v>
      </c>
      <c r="M7250" t="s">
        <v>7</v>
      </c>
      <c r="N7250" s="2">
        <v>46142</v>
      </c>
    </row>
    <row r="7251" spans="1:14" x14ac:dyDescent="0.25">
      <c r="A7251" s="4" t="s">
        <v>249</v>
      </c>
      <c r="B7251" s="5"/>
      <c r="C7251" s="4" t="s">
        <v>9</v>
      </c>
      <c r="D7251" s="4" t="s">
        <v>9</v>
      </c>
      <c r="E7251" s="4" t="s">
        <v>9</v>
      </c>
      <c r="F7251" s="6">
        <v>0</v>
      </c>
      <c r="G7251" s="6">
        <v>0</v>
      </c>
      <c r="H7251" s="4" t="s">
        <v>9</v>
      </c>
      <c r="I7251" s="4" t="s">
        <v>3</v>
      </c>
      <c r="J7251" s="4" t="s">
        <v>9</v>
      </c>
      <c r="K7251" s="4" t="s">
        <v>9</v>
      </c>
      <c r="L7251" s="4" t="s">
        <v>9</v>
      </c>
      <c r="M7251" s="4" t="s">
        <v>9</v>
      </c>
      <c r="N7251" s="5"/>
    </row>
    <row r="7252" spans="1:14" x14ac:dyDescent="0.25">
      <c r="A7252" t="s">
        <v>149</v>
      </c>
      <c r="B7252" s="2">
        <v>46154</v>
      </c>
      <c r="C7252" t="s">
        <v>149</v>
      </c>
      <c r="D7252" t="s">
        <v>1</v>
      </c>
      <c r="E7252" t="s">
        <v>152</v>
      </c>
      <c r="F7252" s="3">
        <v>193.75</v>
      </c>
      <c r="G7252" s="3">
        <v>193.75</v>
      </c>
      <c r="H7252" t="s">
        <v>3</v>
      </c>
      <c r="I7252" t="s">
        <v>3</v>
      </c>
      <c r="J7252" t="s">
        <v>153</v>
      </c>
      <c r="K7252" t="s">
        <v>13</v>
      </c>
      <c r="L7252" t="s">
        <v>18</v>
      </c>
      <c r="M7252" t="s">
        <v>7</v>
      </c>
      <c r="N7252" s="2">
        <v>46154</v>
      </c>
    </row>
    <row r="7253" spans="1:14" x14ac:dyDescent="0.25">
      <c r="A7253" t="s">
        <v>149</v>
      </c>
      <c r="B7253" s="2">
        <v>46173</v>
      </c>
      <c r="C7253" t="s">
        <v>149</v>
      </c>
      <c r="D7253" t="s">
        <v>1</v>
      </c>
      <c r="E7253" t="s">
        <v>9</v>
      </c>
      <c r="F7253" s="3">
        <v>2400</v>
      </c>
      <c r="G7253" s="3">
        <v>2400</v>
      </c>
      <c r="H7253" t="s">
        <v>3</v>
      </c>
      <c r="I7253" t="s">
        <v>3</v>
      </c>
      <c r="J7253" t="s">
        <v>10</v>
      </c>
      <c r="K7253" t="s">
        <v>13</v>
      </c>
      <c r="L7253" t="s">
        <v>18</v>
      </c>
      <c r="M7253" t="s">
        <v>7</v>
      </c>
      <c r="N7253" s="2">
        <v>46173</v>
      </c>
    </row>
    <row r="7254" spans="1:14" x14ac:dyDescent="0.25">
      <c r="A7254" t="s">
        <v>149</v>
      </c>
      <c r="B7254" s="2">
        <v>46175</v>
      </c>
      <c r="C7254" t="s">
        <v>149</v>
      </c>
      <c r="D7254" t="s">
        <v>1</v>
      </c>
      <c r="E7254" t="s">
        <v>9</v>
      </c>
      <c r="F7254" s="3">
        <v>-2593.75</v>
      </c>
      <c r="G7254" s="3">
        <v>-2593.75</v>
      </c>
      <c r="H7254" t="s">
        <v>3</v>
      </c>
      <c r="I7254" t="s">
        <v>3</v>
      </c>
      <c r="J7254" t="s">
        <v>156</v>
      </c>
      <c r="K7254" t="s">
        <v>13</v>
      </c>
      <c r="L7254" t="s">
        <v>18</v>
      </c>
      <c r="M7254" t="s">
        <v>7</v>
      </c>
      <c r="N7254" s="2">
        <v>46173</v>
      </c>
    </row>
    <row r="7255" spans="1:14" x14ac:dyDescent="0.25">
      <c r="A7255" s="4" t="s">
        <v>223</v>
      </c>
      <c r="B7255" s="5"/>
      <c r="C7255" s="4" t="s">
        <v>9</v>
      </c>
      <c r="D7255" s="4" t="s">
        <v>9</v>
      </c>
      <c r="E7255" s="4" t="s">
        <v>9</v>
      </c>
      <c r="F7255" s="6">
        <v>0</v>
      </c>
      <c r="G7255" s="6">
        <v>0</v>
      </c>
      <c r="H7255" s="4" t="s">
        <v>9</v>
      </c>
      <c r="I7255" s="4" t="s">
        <v>3</v>
      </c>
      <c r="J7255" s="4" t="s">
        <v>9</v>
      </c>
      <c r="K7255" s="4" t="s">
        <v>9</v>
      </c>
      <c r="L7255" s="4" t="s">
        <v>9</v>
      </c>
      <c r="M7255" s="4" t="s">
        <v>9</v>
      </c>
      <c r="N7255" s="5"/>
    </row>
    <row r="7256" spans="1:14" x14ac:dyDescent="0.25">
      <c r="A7256" t="s">
        <v>149</v>
      </c>
      <c r="B7256" s="2">
        <v>46188</v>
      </c>
      <c r="C7256" t="s">
        <v>149</v>
      </c>
      <c r="D7256" t="s">
        <v>1</v>
      </c>
      <c r="E7256" t="s">
        <v>132</v>
      </c>
      <c r="F7256" s="3">
        <v>4225</v>
      </c>
      <c r="G7256" s="3">
        <v>4225</v>
      </c>
      <c r="H7256" t="s">
        <v>3</v>
      </c>
      <c r="I7256" t="s">
        <v>3</v>
      </c>
      <c r="J7256" t="s">
        <v>133</v>
      </c>
      <c r="K7256" t="s">
        <v>13</v>
      </c>
      <c r="L7256" t="s">
        <v>19</v>
      </c>
      <c r="M7256" t="s">
        <v>7</v>
      </c>
      <c r="N7256" s="2">
        <v>46188</v>
      </c>
    </row>
    <row r="7257" spans="1:14" x14ac:dyDescent="0.25">
      <c r="A7257" t="s">
        <v>149</v>
      </c>
      <c r="B7257" s="2">
        <v>46205</v>
      </c>
      <c r="C7257" t="s">
        <v>149</v>
      </c>
      <c r="D7257" t="s">
        <v>1</v>
      </c>
      <c r="E7257" t="s">
        <v>9</v>
      </c>
      <c r="F7257" s="3">
        <v>-4225</v>
      </c>
      <c r="G7257" s="3">
        <v>-4225</v>
      </c>
      <c r="H7257" t="s">
        <v>3</v>
      </c>
      <c r="I7257" t="s">
        <v>3</v>
      </c>
      <c r="J7257" t="s">
        <v>156</v>
      </c>
      <c r="K7257" t="s">
        <v>13</v>
      </c>
      <c r="L7257" t="s">
        <v>19</v>
      </c>
      <c r="M7257" t="s">
        <v>7</v>
      </c>
      <c r="N7257" s="2">
        <v>46203</v>
      </c>
    </row>
    <row r="7258" spans="1:14" x14ac:dyDescent="0.25">
      <c r="A7258" s="4" t="s">
        <v>224</v>
      </c>
      <c r="B7258" s="5"/>
      <c r="C7258" s="4" t="s">
        <v>9</v>
      </c>
      <c r="D7258" s="4" t="s">
        <v>9</v>
      </c>
      <c r="E7258" s="4" t="s">
        <v>9</v>
      </c>
      <c r="F7258" s="6">
        <v>0</v>
      </c>
      <c r="G7258" s="6">
        <v>0</v>
      </c>
      <c r="H7258" s="4" t="s">
        <v>9</v>
      </c>
      <c r="I7258" s="4" t="s">
        <v>3</v>
      </c>
      <c r="J7258" s="4" t="s">
        <v>9</v>
      </c>
      <c r="K7258" s="4" t="s">
        <v>9</v>
      </c>
      <c r="L7258" s="4" t="s">
        <v>9</v>
      </c>
      <c r="M7258" s="4" t="s">
        <v>9</v>
      </c>
      <c r="N7258" s="5"/>
    </row>
    <row r="7259" spans="1:14" x14ac:dyDescent="0.25">
      <c r="A7259" t="s">
        <v>149</v>
      </c>
      <c r="B7259" s="2">
        <v>46216</v>
      </c>
      <c r="C7259" t="s">
        <v>149</v>
      </c>
      <c r="D7259" t="s">
        <v>1</v>
      </c>
      <c r="E7259" t="s">
        <v>154</v>
      </c>
      <c r="F7259" s="3">
        <v>5400</v>
      </c>
      <c r="G7259" s="3">
        <v>5400</v>
      </c>
      <c r="H7259" t="s">
        <v>3</v>
      </c>
      <c r="I7259" t="s">
        <v>3</v>
      </c>
      <c r="J7259" t="s">
        <v>155</v>
      </c>
      <c r="K7259" t="s">
        <v>13</v>
      </c>
      <c r="L7259" t="s">
        <v>21</v>
      </c>
      <c r="M7259" t="s">
        <v>7</v>
      </c>
      <c r="N7259" s="2">
        <v>46216</v>
      </c>
    </row>
    <row r="7260" spans="1:14" x14ac:dyDescent="0.25">
      <c r="A7260" t="s">
        <v>149</v>
      </c>
      <c r="B7260" s="2">
        <v>46234</v>
      </c>
      <c r="C7260" t="s">
        <v>149</v>
      </c>
      <c r="D7260" t="s">
        <v>1</v>
      </c>
      <c r="E7260" t="s">
        <v>9</v>
      </c>
      <c r="F7260" s="3">
        <v>7500</v>
      </c>
      <c r="G7260" s="3">
        <v>7500</v>
      </c>
      <c r="H7260" t="s">
        <v>3</v>
      </c>
      <c r="I7260" t="s">
        <v>3</v>
      </c>
      <c r="J7260" t="s">
        <v>10</v>
      </c>
      <c r="K7260" t="s">
        <v>13</v>
      </c>
      <c r="L7260" t="s">
        <v>21</v>
      </c>
      <c r="M7260" t="s">
        <v>7</v>
      </c>
      <c r="N7260" s="2">
        <v>46234</v>
      </c>
    </row>
    <row r="7261" spans="1:14" x14ac:dyDescent="0.25">
      <c r="A7261" t="s">
        <v>149</v>
      </c>
      <c r="B7261" s="2">
        <v>46239</v>
      </c>
      <c r="C7261" t="s">
        <v>149</v>
      </c>
      <c r="D7261" t="s">
        <v>1</v>
      </c>
      <c r="E7261" t="s">
        <v>9</v>
      </c>
      <c r="F7261" s="3">
        <v>-12900</v>
      </c>
      <c r="G7261" s="3">
        <v>-12900</v>
      </c>
      <c r="H7261" t="s">
        <v>3</v>
      </c>
      <c r="I7261" t="s">
        <v>3</v>
      </c>
      <c r="J7261" t="s">
        <v>156</v>
      </c>
      <c r="K7261" t="s">
        <v>13</v>
      </c>
      <c r="L7261" t="s">
        <v>21</v>
      </c>
      <c r="M7261" t="s">
        <v>7</v>
      </c>
      <c r="N7261" s="2">
        <v>46234</v>
      </c>
    </row>
    <row r="7262" spans="1:14" x14ac:dyDescent="0.25">
      <c r="A7262" s="4" t="s">
        <v>262</v>
      </c>
      <c r="B7262" s="5"/>
      <c r="C7262" s="4" t="s">
        <v>9</v>
      </c>
      <c r="D7262" s="4" t="s">
        <v>9</v>
      </c>
      <c r="E7262" s="4" t="s">
        <v>9</v>
      </c>
      <c r="F7262" s="6">
        <v>0</v>
      </c>
      <c r="G7262" s="6">
        <v>0</v>
      </c>
      <c r="H7262" s="4" t="s">
        <v>9</v>
      </c>
      <c r="I7262" s="4" t="s">
        <v>3</v>
      </c>
      <c r="J7262" s="4" t="s">
        <v>9</v>
      </c>
      <c r="K7262" s="4" t="s">
        <v>9</v>
      </c>
      <c r="L7262" s="4" t="s">
        <v>9</v>
      </c>
      <c r="M7262" s="4" t="s">
        <v>9</v>
      </c>
      <c r="N7262" s="5"/>
    </row>
    <row r="7263" spans="1:14" x14ac:dyDescent="0.25">
      <c r="A7263" t="s">
        <v>149</v>
      </c>
      <c r="B7263" s="2">
        <v>46265</v>
      </c>
      <c r="C7263" t="s">
        <v>149</v>
      </c>
      <c r="D7263" t="s">
        <v>112</v>
      </c>
      <c r="E7263" t="s">
        <v>9</v>
      </c>
      <c r="F7263" s="3">
        <v>-1800</v>
      </c>
      <c r="G7263" s="3">
        <v>-1800</v>
      </c>
      <c r="H7263" t="s">
        <v>3</v>
      </c>
      <c r="I7263" t="s">
        <v>3</v>
      </c>
      <c r="J7263" t="s">
        <v>715</v>
      </c>
      <c r="K7263" t="s">
        <v>13</v>
      </c>
      <c r="L7263" t="s">
        <v>22</v>
      </c>
      <c r="M7263" t="s">
        <v>114</v>
      </c>
      <c r="N7263" s="2">
        <v>46265</v>
      </c>
    </row>
    <row r="7264" spans="1:14" x14ac:dyDescent="0.25">
      <c r="A7264" t="s">
        <v>149</v>
      </c>
      <c r="B7264" s="2">
        <v>46265</v>
      </c>
      <c r="C7264" t="s">
        <v>149</v>
      </c>
      <c r="D7264" t="s">
        <v>1</v>
      </c>
      <c r="E7264" t="s">
        <v>9</v>
      </c>
      <c r="F7264" s="3">
        <v>6555</v>
      </c>
      <c r="G7264" s="3">
        <v>6555</v>
      </c>
      <c r="H7264" t="s">
        <v>3</v>
      </c>
      <c r="I7264" t="s">
        <v>3</v>
      </c>
      <c r="J7264" t="s">
        <v>10</v>
      </c>
      <c r="K7264" t="s">
        <v>13</v>
      </c>
      <c r="L7264" t="s">
        <v>22</v>
      </c>
      <c r="M7264" t="s">
        <v>7</v>
      </c>
      <c r="N7264" s="2">
        <v>46265</v>
      </c>
    </row>
    <row r="7265" spans="1:14" x14ac:dyDescent="0.25">
      <c r="A7265" t="s">
        <v>149</v>
      </c>
      <c r="B7265" s="2">
        <v>46267</v>
      </c>
      <c r="C7265" t="s">
        <v>149</v>
      </c>
      <c r="D7265" t="s">
        <v>112</v>
      </c>
      <c r="E7265" t="s">
        <v>9</v>
      </c>
      <c r="F7265" s="3">
        <v>1800</v>
      </c>
      <c r="G7265" s="3">
        <v>1800</v>
      </c>
      <c r="H7265" t="s">
        <v>3</v>
      </c>
      <c r="I7265" t="s">
        <v>3</v>
      </c>
      <c r="J7265" t="s">
        <v>156</v>
      </c>
      <c r="K7265" t="s">
        <v>13</v>
      </c>
      <c r="L7265" t="s">
        <v>22</v>
      </c>
      <c r="M7265" t="s">
        <v>114</v>
      </c>
      <c r="N7265" s="2">
        <v>46265</v>
      </c>
    </row>
    <row r="7266" spans="1:14" x14ac:dyDescent="0.25">
      <c r="A7266" t="s">
        <v>149</v>
      </c>
      <c r="B7266" s="2">
        <v>46267</v>
      </c>
      <c r="C7266" t="s">
        <v>149</v>
      </c>
      <c r="D7266" t="s">
        <v>1</v>
      </c>
      <c r="E7266" t="s">
        <v>9</v>
      </c>
      <c r="F7266" s="3">
        <v>-6555</v>
      </c>
      <c r="G7266" s="3">
        <v>-6555</v>
      </c>
      <c r="H7266" t="s">
        <v>3</v>
      </c>
      <c r="I7266" t="s">
        <v>3</v>
      </c>
      <c r="J7266" t="s">
        <v>156</v>
      </c>
      <c r="K7266" t="s">
        <v>13</v>
      </c>
      <c r="L7266" t="s">
        <v>22</v>
      </c>
      <c r="M7266" t="s">
        <v>7</v>
      </c>
      <c r="N7266" s="2">
        <v>46265</v>
      </c>
    </row>
    <row r="7267" spans="1:14" x14ac:dyDescent="0.25">
      <c r="A7267" s="4" t="s">
        <v>267</v>
      </c>
      <c r="B7267" s="5"/>
      <c r="C7267" s="4" t="s">
        <v>9</v>
      </c>
      <c r="D7267" s="4" t="s">
        <v>9</v>
      </c>
      <c r="E7267" s="4" t="s">
        <v>9</v>
      </c>
      <c r="F7267" s="6">
        <v>0</v>
      </c>
      <c r="G7267" s="6">
        <v>0</v>
      </c>
      <c r="H7267" s="4" t="s">
        <v>9</v>
      </c>
      <c r="I7267" s="4" t="s">
        <v>3</v>
      </c>
      <c r="J7267" s="4" t="s">
        <v>9</v>
      </c>
      <c r="K7267" s="4" t="s">
        <v>9</v>
      </c>
      <c r="L7267" s="4" t="s">
        <v>9</v>
      </c>
      <c r="M7267" s="4" t="s">
        <v>9</v>
      </c>
      <c r="N7267" s="5"/>
    </row>
    <row r="7268" spans="1:14" x14ac:dyDescent="0.25">
      <c r="A7268" t="s">
        <v>149</v>
      </c>
      <c r="B7268" s="2">
        <v>46268</v>
      </c>
      <c r="C7268" t="s">
        <v>149</v>
      </c>
      <c r="D7268" t="s">
        <v>1</v>
      </c>
      <c r="E7268" t="s">
        <v>154</v>
      </c>
      <c r="F7268" s="3">
        <v>12600</v>
      </c>
      <c r="G7268" s="3">
        <v>12600</v>
      </c>
      <c r="H7268" t="s">
        <v>3</v>
      </c>
      <c r="I7268" t="s">
        <v>3</v>
      </c>
      <c r="J7268" t="s">
        <v>155</v>
      </c>
      <c r="K7268" t="s">
        <v>13</v>
      </c>
      <c r="L7268" t="s">
        <v>6</v>
      </c>
      <c r="M7268" t="s">
        <v>7</v>
      </c>
      <c r="N7268" s="2">
        <v>46268</v>
      </c>
    </row>
    <row r="7269" spans="1:14" x14ac:dyDescent="0.25">
      <c r="A7269" s="4" t="s">
        <v>272</v>
      </c>
      <c r="B7269" s="5"/>
      <c r="C7269" s="4" t="s">
        <v>9</v>
      </c>
      <c r="D7269" s="4" t="s">
        <v>9</v>
      </c>
      <c r="E7269" s="4" t="s">
        <v>9</v>
      </c>
      <c r="F7269" s="6">
        <v>12600</v>
      </c>
      <c r="G7269" s="6">
        <v>12600</v>
      </c>
      <c r="H7269" s="4" t="s">
        <v>9</v>
      </c>
      <c r="I7269" s="4" t="s">
        <v>3</v>
      </c>
      <c r="J7269" s="4" t="s">
        <v>9</v>
      </c>
      <c r="K7269" s="4" t="s">
        <v>9</v>
      </c>
      <c r="L7269" s="4" t="s">
        <v>9</v>
      </c>
      <c r="M7269" s="4" t="s">
        <v>9</v>
      </c>
      <c r="N7269" s="5"/>
    </row>
    <row r="7270" spans="1:14" x14ac:dyDescent="0.25">
      <c r="A7270" s="4" t="s">
        <v>149</v>
      </c>
      <c r="B7270" s="5"/>
      <c r="C7270" s="4" t="s">
        <v>9</v>
      </c>
      <c r="D7270" s="4" t="s">
        <v>9</v>
      </c>
      <c r="E7270" s="4" t="s">
        <v>9</v>
      </c>
      <c r="F7270" s="6">
        <v>12600</v>
      </c>
      <c r="G7270" s="6">
        <v>12600</v>
      </c>
      <c r="H7270" s="4" t="s">
        <v>9</v>
      </c>
      <c r="I7270" s="4" t="s">
        <v>3</v>
      </c>
      <c r="J7270" s="4" t="s">
        <v>9</v>
      </c>
      <c r="K7270" s="4" t="s">
        <v>9</v>
      </c>
      <c r="L7270" s="4" t="s">
        <v>9</v>
      </c>
      <c r="M7270" s="4" t="s">
        <v>9</v>
      </c>
      <c r="N7270" s="5"/>
    </row>
    <row r="7271" spans="1:14" x14ac:dyDescent="0.25">
      <c r="A7271" t="s">
        <v>157</v>
      </c>
      <c r="B7271" s="2">
        <v>46112</v>
      </c>
      <c r="C7271" t="s">
        <v>157</v>
      </c>
      <c r="D7271" t="s">
        <v>1</v>
      </c>
      <c r="E7271" t="s">
        <v>9</v>
      </c>
      <c r="F7271" s="3">
        <v>7300</v>
      </c>
      <c r="G7271" s="3">
        <v>7300</v>
      </c>
      <c r="H7271" t="s">
        <v>3</v>
      </c>
      <c r="I7271" t="s">
        <v>3</v>
      </c>
      <c r="J7271" t="s">
        <v>10</v>
      </c>
      <c r="K7271" t="s">
        <v>13</v>
      </c>
      <c r="L7271" t="s">
        <v>16</v>
      </c>
      <c r="M7271" t="s">
        <v>7</v>
      </c>
      <c r="N7271" s="2">
        <v>46112</v>
      </c>
    </row>
    <row r="7272" spans="1:14" x14ac:dyDescent="0.25">
      <c r="A7272" t="s">
        <v>157</v>
      </c>
      <c r="B7272" s="2">
        <v>46115</v>
      </c>
      <c r="C7272" t="s">
        <v>157</v>
      </c>
      <c r="D7272" t="s">
        <v>1</v>
      </c>
      <c r="E7272" t="s">
        <v>9</v>
      </c>
      <c r="F7272" s="3">
        <v>-7300</v>
      </c>
      <c r="G7272" s="3">
        <v>-7300</v>
      </c>
      <c r="H7272" t="s">
        <v>3</v>
      </c>
      <c r="I7272" t="s">
        <v>3</v>
      </c>
      <c r="J7272" t="s">
        <v>780</v>
      </c>
      <c r="K7272" t="s">
        <v>13</v>
      </c>
      <c r="L7272" t="s">
        <v>16</v>
      </c>
      <c r="M7272" t="s">
        <v>7</v>
      </c>
      <c r="N7272" s="2">
        <v>46112</v>
      </c>
    </row>
    <row r="7273" spans="1:14" x14ac:dyDescent="0.25">
      <c r="A7273" s="4" t="s">
        <v>244</v>
      </c>
      <c r="B7273" s="5"/>
      <c r="C7273" s="4" t="s">
        <v>9</v>
      </c>
      <c r="D7273" s="4" t="s">
        <v>9</v>
      </c>
      <c r="E7273" s="4" t="s">
        <v>9</v>
      </c>
      <c r="F7273" s="6">
        <v>0</v>
      </c>
      <c r="G7273" s="6">
        <v>0</v>
      </c>
      <c r="H7273" s="4" t="s">
        <v>9</v>
      </c>
      <c r="I7273" s="4" t="s">
        <v>3</v>
      </c>
      <c r="J7273" s="4" t="s">
        <v>9</v>
      </c>
      <c r="K7273" s="4" t="s">
        <v>9</v>
      </c>
      <c r="L7273" s="4" t="s">
        <v>9</v>
      </c>
      <c r="M7273" s="4" t="s">
        <v>9</v>
      </c>
      <c r="N7273" s="5"/>
    </row>
    <row r="7274" spans="1:14" x14ac:dyDescent="0.25">
      <c r="A7274" t="s">
        <v>157</v>
      </c>
      <c r="B7274" s="2">
        <v>46142</v>
      </c>
      <c r="C7274" t="s">
        <v>157</v>
      </c>
      <c r="D7274" t="s">
        <v>1</v>
      </c>
      <c r="E7274" t="s">
        <v>9</v>
      </c>
      <c r="F7274" s="3">
        <v>48900</v>
      </c>
      <c r="G7274" s="3">
        <v>48900</v>
      </c>
      <c r="H7274" t="s">
        <v>3</v>
      </c>
      <c r="I7274" t="s">
        <v>3</v>
      </c>
      <c r="J7274" t="s">
        <v>10</v>
      </c>
      <c r="K7274" t="s">
        <v>13</v>
      </c>
      <c r="L7274" t="s">
        <v>17</v>
      </c>
      <c r="M7274" t="s">
        <v>7</v>
      </c>
      <c r="N7274" s="2">
        <v>46142</v>
      </c>
    </row>
    <row r="7275" spans="1:14" x14ac:dyDescent="0.25">
      <c r="A7275" t="s">
        <v>157</v>
      </c>
      <c r="B7275" s="2">
        <v>46147</v>
      </c>
      <c r="C7275" t="s">
        <v>157</v>
      </c>
      <c r="D7275" t="s">
        <v>1</v>
      </c>
      <c r="E7275" t="s">
        <v>9</v>
      </c>
      <c r="F7275" s="3">
        <v>-48900</v>
      </c>
      <c r="G7275" s="3">
        <v>-48900</v>
      </c>
      <c r="H7275" t="s">
        <v>3</v>
      </c>
      <c r="I7275" t="s">
        <v>3</v>
      </c>
      <c r="J7275" t="s">
        <v>780</v>
      </c>
      <c r="K7275" t="s">
        <v>13</v>
      </c>
      <c r="L7275" t="s">
        <v>17</v>
      </c>
      <c r="M7275" t="s">
        <v>7</v>
      </c>
      <c r="N7275" s="2">
        <v>46142</v>
      </c>
    </row>
    <row r="7276" spans="1:14" x14ac:dyDescent="0.25">
      <c r="A7276" s="4" t="s">
        <v>249</v>
      </c>
      <c r="B7276" s="5"/>
      <c r="C7276" s="4" t="s">
        <v>9</v>
      </c>
      <c r="D7276" s="4" t="s">
        <v>9</v>
      </c>
      <c r="E7276" s="4" t="s">
        <v>9</v>
      </c>
      <c r="F7276" s="6">
        <v>0</v>
      </c>
      <c r="G7276" s="6">
        <v>0</v>
      </c>
      <c r="H7276" s="4" t="s">
        <v>9</v>
      </c>
      <c r="I7276" s="4" t="s">
        <v>3</v>
      </c>
      <c r="J7276" s="4" t="s">
        <v>9</v>
      </c>
      <c r="K7276" s="4" t="s">
        <v>9</v>
      </c>
      <c r="L7276" s="4" t="s">
        <v>9</v>
      </c>
      <c r="M7276" s="4" t="s">
        <v>9</v>
      </c>
      <c r="N7276" s="5"/>
    </row>
    <row r="7277" spans="1:14" x14ac:dyDescent="0.25">
      <c r="A7277" t="s">
        <v>157</v>
      </c>
      <c r="B7277" s="2">
        <v>46173</v>
      </c>
      <c r="C7277" t="s">
        <v>157</v>
      </c>
      <c r="D7277" t="s">
        <v>1</v>
      </c>
      <c r="E7277" t="s">
        <v>9</v>
      </c>
      <c r="F7277" s="3">
        <v>11650</v>
      </c>
      <c r="G7277" s="3">
        <v>11650</v>
      </c>
      <c r="H7277" t="s">
        <v>3</v>
      </c>
      <c r="I7277" t="s">
        <v>3</v>
      </c>
      <c r="J7277" t="s">
        <v>10</v>
      </c>
      <c r="K7277" t="s">
        <v>13</v>
      </c>
      <c r="L7277" t="s">
        <v>18</v>
      </c>
      <c r="M7277" t="s">
        <v>7</v>
      </c>
      <c r="N7277" s="2">
        <v>46173</v>
      </c>
    </row>
    <row r="7278" spans="1:14" x14ac:dyDescent="0.25">
      <c r="A7278" t="s">
        <v>157</v>
      </c>
      <c r="B7278" s="2">
        <v>46175</v>
      </c>
      <c r="C7278" t="s">
        <v>157</v>
      </c>
      <c r="D7278" t="s">
        <v>1</v>
      </c>
      <c r="E7278" t="s">
        <v>9</v>
      </c>
      <c r="F7278" s="3">
        <v>-11650</v>
      </c>
      <c r="G7278" s="3">
        <v>-11650</v>
      </c>
      <c r="H7278" t="s">
        <v>3</v>
      </c>
      <c r="I7278" t="s">
        <v>3</v>
      </c>
      <c r="J7278" t="s">
        <v>780</v>
      </c>
      <c r="K7278" t="s">
        <v>13</v>
      </c>
      <c r="L7278" t="s">
        <v>18</v>
      </c>
      <c r="M7278" t="s">
        <v>7</v>
      </c>
      <c r="N7278" s="2">
        <v>46173</v>
      </c>
    </row>
    <row r="7279" spans="1:14" x14ac:dyDescent="0.25">
      <c r="A7279" s="4" t="s">
        <v>223</v>
      </c>
      <c r="B7279" s="5"/>
      <c r="C7279" s="4" t="s">
        <v>9</v>
      </c>
      <c r="D7279" s="4" t="s">
        <v>9</v>
      </c>
      <c r="E7279" s="4" t="s">
        <v>9</v>
      </c>
      <c r="F7279" s="6">
        <v>0</v>
      </c>
      <c r="G7279" s="6">
        <v>0</v>
      </c>
      <c r="H7279" s="4" t="s">
        <v>9</v>
      </c>
      <c r="I7279" s="4" t="s">
        <v>3</v>
      </c>
      <c r="J7279" s="4" t="s">
        <v>9</v>
      </c>
      <c r="K7279" s="4" t="s">
        <v>9</v>
      </c>
      <c r="L7279" s="4" t="s">
        <v>9</v>
      </c>
      <c r="M7279" s="4" t="s">
        <v>9</v>
      </c>
      <c r="N7279" s="5"/>
    </row>
    <row r="7280" spans="1:14" x14ac:dyDescent="0.25">
      <c r="A7280" t="s">
        <v>157</v>
      </c>
      <c r="B7280" s="2">
        <v>46203</v>
      </c>
      <c r="C7280" t="s">
        <v>157</v>
      </c>
      <c r="D7280" t="s">
        <v>1</v>
      </c>
      <c r="E7280" t="s">
        <v>9</v>
      </c>
      <c r="F7280" s="3">
        <v>26632.85</v>
      </c>
      <c r="G7280" s="3">
        <v>26632.85</v>
      </c>
      <c r="H7280" t="s">
        <v>3</v>
      </c>
      <c r="I7280" t="s">
        <v>3</v>
      </c>
      <c r="J7280" t="s">
        <v>10</v>
      </c>
      <c r="K7280" t="s">
        <v>13</v>
      </c>
      <c r="L7280" t="s">
        <v>19</v>
      </c>
      <c r="M7280" t="s">
        <v>7</v>
      </c>
      <c r="N7280" s="2">
        <v>46203</v>
      </c>
    </row>
    <row r="7281" spans="1:14" x14ac:dyDescent="0.25">
      <c r="A7281" t="s">
        <v>157</v>
      </c>
      <c r="B7281" s="2">
        <v>46205</v>
      </c>
      <c r="C7281" t="s">
        <v>157</v>
      </c>
      <c r="D7281" t="s">
        <v>1</v>
      </c>
      <c r="E7281" t="s">
        <v>9</v>
      </c>
      <c r="F7281" s="3">
        <v>-26632.85</v>
      </c>
      <c r="G7281" s="3">
        <v>-26632.85</v>
      </c>
      <c r="H7281" t="s">
        <v>3</v>
      </c>
      <c r="I7281" t="s">
        <v>3</v>
      </c>
      <c r="J7281" t="s">
        <v>780</v>
      </c>
      <c r="K7281" t="s">
        <v>13</v>
      </c>
      <c r="L7281" t="s">
        <v>19</v>
      </c>
      <c r="M7281" t="s">
        <v>7</v>
      </c>
      <c r="N7281" s="2">
        <v>46203</v>
      </c>
    </row>
    <row r="7282" spans="1:14" x14ac:dyDescent="0.25">
      <c r="A7282" s="4" t="s">
        <v>224</v>
      </c>
      <c r="B7282" s="5"/>
      <c r="C7282" s="4" t="s">
        <v>9</v>
      </c>
      <c r="D7282" s="4" t="s">
        <v>9</v>
      </c>
      <c r="E7282" s="4" t="s">
        <v>9</v>
      </c>
      <c r="F7282" s="6">
        <v>0</v>
      </c>
      <c r="G7282" s="6">
        <v>0</v>
      </c>
      <c r="H7282" s="4" t="s">
        <v>9</v>
      </c>
      <c r="I7282" s="4" t="s">
        <v>3</v>
      </c>
      <c r="J7282" s="4" t="s">
        <v>9</v>
      </c>
      <c r="K7282" s="4" t="s">
        <v>9</v>
      </c>
      <c r="L7282" s="4" t="s">
        <v>9</v>
      </c>
      <c r="M7282" s="4" t="s">
        <v>9</v>
      </c>
      <c r="N7282" s="5"/>
    </row>
    <row r="7283" spans="1:14" x14ac:dyDescent="0.25">
      <c r="A7283" t="s">
        <v>157</v>
      </c>
      <c r="B7283" s="2">
        <v>46234</v>
      </c>
      <c r="C7283" t="s">
        <v>157</v>
      </c>
      <c r="D7283" t="s">
        <v>1</v>
      </c>
      <c r="E7283" t="s">
        <v>9</v>
      </c>
      <c r="F7283" s="3">
        <v>30572.15</v>
      </c>
      <c r="G7283" s="3">
        <v>30572.15</v>
      </c>
      <c r="H7283" t="s">
        <v>3</v>
      </c>
      <c r="I7283" t="s">
        <v>3</v>
      </c>
      <c r="J7283" t="s">
        <v>10</v>
      </c>
      <c r="K7283" t="s">
        <v>13</v>
      </c>
      <c r="L7283" t="s">
        <v>21</v>
      </c>
      <c r="M7283" t="s">
        <v>7</v>
      </c>
      <c r="N7283" s="2">
        <v>46234</v>
      </c>
    </row>
    <row r="7284" spans="1:14" x14ac:dyDescent="0.25">
      <c r="A7284" t="s">
        <v>157</v>
      </c>
      <c r="B7284" s="2">
        <v>46239</v>
      </c>
      <c r="C7284" t="s">
        <v>157</v>
      </c>
      <c r="D7284" t="s">
        <v>1</v>
      </c>
      <c r="E7284" t="s">
        <v>9</v>
      </c>
      <c r="F7284" s="3">
        <v>-30572.15</v>
      </c>
      <c r="G7284" s="3">
        <v>-30572.15</v>
      </c>
      <c r="H7284" t="s">
        <v>3</v>
      </c>
      <c r="I7284" t="s">
        <v>3</v>
      </c>
      <c r="J7284" t="s">
        <v>780</v>
      </c>
      <c r="K7284" t="s">
        <v>13</v>
      </c>
      <c r="L7284" t="s">
        <v>21</v>
      </c>
      <c r="M7284" t="s">
        <v>7</v>
      </c>
      <c r="N7284" s="2">
        <v>46234</v>
      </c>
    </row>
    <row r="7285" spans="1:14" x14ac:dyDescent="0.25">
      <c r="A7285" s="4" t="s">
        <v>262</v>
      </c>
      <c r="B7285" s="5"/>
      <c r="C7285" s="4" t="s">
        <v>9</v>
      </c>
      <c r="D7285" s="4" t="s">
        <v>9</v>
      </c>
      <c r="E7285" s="4" t="s">
        <v>9</v>
      </c>
      <c r="F7285" s="6">
        <v>0</v>
      </c>
      <c r="G7285" s="6">
        <v>0</v>
      </c>
      <c r="H7285" s="4" t="s">
        <v>9</v>
      </c>
      <c r="I7285" s="4" t="s">
        <v>3</v>
      </c>
      <c r="J7285" s="4" t="s">
        <v>9</v>
      </c>
      <c r="K7285" s="4" t="s">
        <v>9</v>
      </c>
      <c r="L7285" s="4" t="s">
        <v>9</v>
      </c>
      <c r="M7285" s="4" t="s">
        <v>9</v>
      </c>
      <c r="N7285" s="5"/>
    </row>
    <row r="7286" spans="1:14" x14ac:dyDescent="0.25">
      <c r="A7286" t="s">
        <v>157</v>
      </c>
      <c r="B7286" s="2">
        <v>46265</v>
      </c>
      <c r="C7286" t="s">
        <v>157</v>
      </c>
      <c r="D7286" t="s">
        <v>1</v>
      </c>
      <c r="E7286" t="s">
        <v>9</v>
      </c>
      <c r="F7286" s="3">
        <v>10800</v>
      </c>
      <c r="G7286" s="3">
        <v>10800</v>
      </c>
      <c r="H7286" t="s">
        <v>3</v>
      </c>
      <c r="I7286" t="s">
        <v>3</v>
      </c>
      <c r="J7286" t="s">
        <v>10</v>
      </c>
      <c r="K7286" t="s">
        <v>13</v>
      </c>
      <c r="L7286" t="s">
        <v>22</v>
      </c>
      <c r="M7286" t="s">
        <v>7</v>
      </c>
      <c r="N7286" s="2">
        <v>46265</v>
      </c>
    </row>
    <row r="7287" spans="1:14" x14ac:dyDescent="0.25">
      <c r="A7287" t="s">
        <v>157</v>
      </c>
      <c r="B7287" s="2">
        <v>46267</v>
      </c>
      <c r="C7287" t="s">
        <v>157</v>
      </c>
      <c r="D7287" t="s">
        <v>1</v>
      </c>
      <c r="E7287" t="s">
        <v>9</v>
      </c>
      <c r="F7287" s="3">
        <v>-10800</v>
      </c>
      <c r="G7287" s="3">
        <v>-10800</v>
      </c>
      <c r="H7287" t="s">
        <v>3</v>
      </c>
      <c r="I7287" t="s">
        <v>3</v>
      </c>
      <c r="J7287" t="s">
        <v>780</v>
      </c>
      <c r="K7287" t="s">
        <v>13</v>
      </c>
      <c r="L7287" t="s">
        <v>22</v>
      </c>
      <c r="M7287" t="s">
        <v>7</v>
      </c>
      <c r="N7287" s="2">
        <v>46265</v>
      </c>
    </row>
    <row r="7288" spans="1:14" x14ac:dyDescent="0.25">
      <c r="A7288" s="4" t="s">
        <v>267</v>
      </c>
      <c r="B7288" s="5"/>
      <c r="C7288" s="4" t="s">
        <v>9</v>
      </c>
      <c r="D7288" s="4" t="s">
        <v>9</v>
      </c>
      <c r="E7288" s="4" t="s">
        <v>9</v>
      </c>
      <c r="F7288" s="6">
        <v>0</v>
      </c>
      <c r="G7288" s="6">
        <v>0</v>
      </c>
      <c r="H7288" s="4" t="s">
        <v>9</v>
      </c>
      <c r="I7288" s="4" t="s">
        <v>3</v>
      </c>
      <c r="J7288" s="4" t="s">
        <v>9</v>
      </c>
      <c r="K7288" s="4" t="s">
        <v>9</v>
      </c>
      <c r="L7288" s="4" t="s">
        <v>9</v>
      </c>
      <c r="M7288" s="4" t="s">
        <v>9</v>
      </c>
      <c r="N7288" s="5"/>
    </row>
    <row r="7289" spans="1:14" x14ac:dyDescent="0.25">
      <c r="A7289" s="4" t="s">
        <v>157</v>
      </c>
      <c r="B7289" s="5"/>
      <c r="C7289" s="4" t="s">
        <v>9</v>
      </c>
      <c r="D7289" s="4" t="s">
        <v>9</v>
      </c>
      <c r="E7289" s="4" t="s">
        <v>9</v>
      </c>
      <c r="F7289" s="6">
        <v>0</v>
      </c>
      <c r="G7289" s="6">
        <v>0</v>
      </c>
      <c r="H7289" s="4" t="s">
        <v>9</v>
      </c>
      <c r="I7289" s="4" t="s">
        <v>3</v>
      </c>
      <c r="J7289" s="4" t="s">
        <v>9</v>
      </c>
      <c r="K7289" s="4" t="s">
        <v>9</v>
      </c>
      <c r="L7289" s="4" t="s">
        <v>9</v>
      </c>
      <c r="M7289" s="4" t="s">
        <v>9</v>
      </c>
      <c r="N7289" s="5"/>
    </row>
    <row r="7290" spans="1:14" x14ac:dyDescent="0.25">
      <c r="A7290" t="s">
        <v>158</v>
      </c>
      <c r="B7290" s="2">
        <v>46142</v>
      </c>
      <c r="C7290" t="s">
        <v>158</v>
      </c>
      <c r="D7290" t="s">
        <v>1</v>
      </c>
      <c r="E7290" t="s">
        <v>9</v>
      </c>
      <c r="F7290" s="3">
        <v>4815</v>
      </c>
      <c r="G7290" s="3">
        <v>4815</v>
      </c>
      <c r="H7290" t="s">
        <v>3</v>
      </c>
      <c r="I7290" t="s">
        <v>3</v>
      </c>
      <c r="J7290" t="s">
        <v>10</v>
      </c>
      <c r="K7290" t="s">
        <v>13</v>
      </c>
      <c r="L7290" t="s">
        <v>17</v>
      </c>
      <c r="M7290" t="s">
        <v>7</v>
      </c>
      <c r="N7290" s="2">
        <v>46142</v>
      </c>
    </row>
    <row r="7291" spans="1:14" x14ac:dyDescent="0.25">
      <c r="A7291" t="s">
        <v>158</v>
      </c>
      <c r="B7291" s="2">
        <v>46147</v>
      </c>
      <c r="C7291" t="s">
        <v>158</v>
      </c>
      <c r="D7291" t="s">
        <v>1</v>
      </c>
      <c r="E7291" t="s">
        <v>9</v>
      </c>
      <c r="F7291" s="3">
        <v>-4815</v>
      </c>
      <c r="G7291" s="3">
        <v>-4815</v>
      </c>
      <c r="H7291" t="s">
        <v>3</v>
      </c>
      <c r="I7291" t="s">
        <v>3</v>
      </c>
      <c r="J7291" t="s">
        <v>781</v>
      </c>
      <c r="K7291" t="s">
        <v>13</v>
      </c>
      <c r="L7291" t="s">
        <v>17</v>
      </c>
      <c r="M7291" t="s">
        <v>7</v>
      </c>
      <c r="N7291" s="2">
        <v>46142</v>
      </c>
    </row>
    <row r="7292" spans="1:14" x14ac:dyDescent="0.25">
      <c r="A7292" s="4" t="s">
        <v>249</v>
      </c>
      <c r="B7292" s="5"/>
      <c r="C7292" s="4" t="s">
        <v>9</v>
      </c>
      <c r="D7292" s="4" t="s">
        <v>9</v>
      </c>
      <c r="E7292" s="4" t="s">
        <v>9</v>
      </c>
      <c r="F7292" s="6">
        <v>0</v>
      </c>
      <c r="G7292" s="6">
        <v>0</v>
      </c>
      <c r="H7292" s="4" t="s">
        <v>9</v>
      </c>
      <c r="I7292" s="4" t="s">
        <v>3</v>
      </c>
      <c r="J7292" s="4" t="s">
        <v>9</v>
      </c>
      <c r="K7292" s="4" t="s">
        <v>9</v>
      </c>
      <c r="L7292" s="4" t="s">
        <v>9</v>
      </c>
      <c r="M7292" s="4" t="s">
        <v>9</v>
      </c>
      <c r="N7292" s="5"/>
    </row>
    <row r="7293" spans="1:14" x14ac:dyDescent="0.25">
      <c r="A7293" t="s">
        <v>158</v>
      </c>
      <c r="B7293" s="2">
        <v>46203</v>
      </c>
      <c r="C7293" t="s">
        <v>158</v>
      </c>
      <c r="D7293" t="s">
        <v>1</v>
      </c>
      <c r="E7293" t="s">
        <v>9</v>
      </c>
      <c r="F7293" s="3">
        <v>17274.599999999999</v>
      </c>
      <c r="G7293" s="3">
        <v>17274.599999999999</v>
      </c>
      <c r="H7293" t="s">
        <v>3</v>
      </c>
      <c r="I7293" t="s">
        <v>3</v>
      </c>
      <c r="J7293" t="s">
        <v>10</v>
      </c>
      <c r="K7293" t="s">
        <v>13</v>
      </c>
      <c r="L7293" t="s">
        <v>19</v>
      </c>
      <c r="M7293" t="s">
        <v>7</v>
      </c>
      <c r="N7293" s="2">
        <v>46203</v>
      </c>
    </row>
    <row r="7294" spans="1:14" x14ac:dyDescent="0.25">
      <c r="A7294" t="s">
        <v>158</v>
      </c>
      <c r="B7294" s="2">
        <v>46205</v>
      </c>
      <c r="C7294" t="s">
        <v>158</v>
      </c>
      <c r="D7294" t="s">
        <v>1</v>
      </c>
      <c r="E7294" t="s">
        <v>9</v>
      </c>
      <c r="F7294" s="3">
        <v>-17274.599999999999</v>
      </c>
      <c r="G7294" s="3">
        <v>-17274.599999999999</v>
      </c>
      <c r="H7294" t="s">
        <v>3</v>
      </c>
      <c r="I7294" t="s">
        <v>3</v>
      </c>
      <c r="J7294" t="s">
        <v>781</v>
      </c>
      <c r="K7294" t="s">
        <v>13</v>
      </c>
      <c r="L7294" t="s">
        <v>19</v>
      </c>
      <c r="M7294" t="s">
        <v>7</v>
      </c>
      <c r="N7294" s="2">
        <v>46203</v>
      </c>
    </row>
    <row r="7295" spans="1:14" x14ac:dyDescent="0.25">
      <c r="A7295" s="4" t="s">
        <v>224</v>
      </c>
      <c r="B7295" s="5"/>
      <c r="C7295" s="4" t="s">
        <v>9</v>
      </c>
      <c r="D7295" s="4" t="s">
        <v>9</v>
      </c>
      <c r="E7295" s="4" t="s">
        <v>9</v>
      </c>
      <c r="F7295" s="6">
        <v>0</v>
      </c>
      <c r="G7295" s="6">
        <v>0</v>
      </c>
      <c r="H7295" s="4" t="s">
        <v>9</v>
      </c>
      <c r="I7295" s="4" t="s">
        <v>3</v>
      </c>
      <c r="J7295" s="4" t="s">
        <v>9</v>
      </c>
      <c r="K7295" s="4" t="s">
        <v>9</v>
      </c>
      <c r="L7295" s="4" t="s">
        <v>9</v>
      </c>
      <c r="M7295" s="4" t="s">
        <v>9</v>
      </c>
      <c r="N7295" s="5"/>
    </row>
    <row r="7296" spans="1:14" x14ac:dyDescent="0.25">
      <c r="A7296" t="s">
        <v>158</v>
      </c>
      <c r="B7296" s="2">
        <v>46234</v>
      </c>
      <c r="C7296" t="s">
        <v>158</v>
      </c>
      <c r="D7296" t="s">
        <v>1</v>
      </c>
      <c r="E7296" t="s">
        <v>9</v>
      </c>
      <c r="F7296" s="3">
        <v>17615.400000000001</v>
      </c>
      <c r="G7296" s="3">
        <v>17615.400000000001</v>
      </c>
      <c r="H7296" t="s">
        <v>3</v>
      </c>
      <c r="I7296" t="s">
        <v>3</v>
      </c>
      <c r="J7296" t="s">
        <v>10</v>
      </c>
      <c r="K7296" t="s">
        <v>13</v>
      </c>
      <c r="L7296" t="s">
        <v>21</v>
      </c>
      <c r="M7296" t="s">
        <v>7</v>
      </c>
      <c r="N7296" s="2">
        <v>46234</v>
      </c>
    </row>
    <row r="7297" spans="1:14" x14ac:dyDescent="0.25">
      <c r="A7297" t="s">
        <v>158</v>
      </c>
      <c r="B7297" s="2">
        <v>46239</v>
      </c>
      <c r="C7297" t="s">
        <v>158</v>
      </c>
      <c r="D7297" t="s">
        <v>1</v>
      </c>
      <c r="E7297" t="s">
        <v>9</v>
      </c>
      <c r="F7297" s="3">
        <v>-17615.400000000001</v>
      </c>
      <c r="G7297" s="3">
        <v>-17615.400000000001</v>
      </c>
      <c r="H7297" t="s">
        <v>3</v>
      </c>
      <c r="I7297" t="s">
        <v>3</v>
      </c>
      <c r="J7297" t="s">
        <v>781</v>
      </c>
      <c r="K7297" t="s">
        <v>13</v>
      </c>
      <c r="L7297" t="s">
        <v>21</v>
      </c>
      <c r="M7297" t="s">
        <v>7</v>
      </c>
      <c r="N7297" s="2">
        <v>46234</v>
      </c>
    </row>
    <row r="7298" spans="1:14" x14ac:dyDescent="0.25">
      <c r="A7298" s="4" t="s">
        <v>262</v>
      </c>
      <c r="B7298" s="5"/>
      <c r="C7298" s="4" t="s">
        <v>9</v>
      </c>
      <c r="D7298" s="4" t="s">
        <v>9</v>
      </c>
      <c r="E7298" s="4" t="s">
        <v>9</v>
      </c>
      <c r="F7298" s="6">
        <v>0</v>
      </c>
      <c r="G7298" s="6">
        <v>0</v>
      </c>
      <c r="H7298" s="4" t="s">
        <v>9</v>
      </c>
      <c r="I7298" s="4" t="s">
        <v>3</v>
      </c>
      <c r="J7298" s="4" t="s">
        <v>9</v>
      </c>
      <c r="K7298" s="4" t="s">
        <v>9</v>
      </c>
      <c r="L7298" s="4" t="s">
        <v>9</v>
      </c>
      <c r="M7298" s="4" t="s">
        <v>9</v>
      </c>
      <c r="N7298" s="5"/>
    </row>
    <row r="7299" spans="1:14" x14ac:dyDescent="0.25">
      <c r="A7299" t="s">
        <v>158</v>
      </c>
      <c r="B7299" s="2">
        <v>46265</v>
      </c>
      <c r="C7299" t="s">
        <v>158</v>
      </c>
      <c r="D7299" t="s">
        <v>1</v>
      </c>
      <c r="E7299" t="s">
        <v>9</v>
      </c>
      <c r="F7299" s="3">
        <v>3000</v>
      </c>
      <c r="G7299" s="3">
        <v>3000</v>
      </c>
      <c r="H7299" t="s">
        <v>3</v>
      </c>
      <c r="I7299" t="s">
        <v>3</v>
      </c>
      <c r="J7299" t="s">
        <v>10</v>
      </c>
      <c r="K7299" t="s">
        <v>13</v>
      </c>
      <c r="L7299" t="s">
        <v>22</v>
      </c>
      <c r="M7299" t="s">
        <v>7</v>
      </c>
      <c r="N7299" s="2">
        <v>46265</v>
      </c>
    </row>
    <row r="7300" spans="1:14" x14ac:dyDescent="0.25">
      <c r="A7300" t="s">
        <v>158</v>
      </c>
      <c r="B7300" s="2">
        <v>46267</v>
      </c>
      <c r="C7300" t="s">
        <v>158</v>
      </c>
      <c r="D7300" t="s">
        <v>1</v>
      </c>
      <c r="E7300" t="s">
        <v>9</v>
      </c>
      <c r="F7300" s="3">
        <v>-3000</v>
      </c>
      <c r="G7300" s="3">
        <v>-3000</v>
      </c>
      <c r="H7300" t="s">
        <v>3</v>
      </c>
      <c r="I7300" t="s">
        <v>3</v>
      </c>
      <c r="J7300" t="s">
        <v>781</v>
      </c>
      <c r="K7300" t="s">
        <v>13</v>
      </c>
      <c r="L7300" t="s">
        <v>22</v>
      </c>
      <c r="M7300" t="s">
        <v>7</v>
      </c>
      <c r="N7300" s="2">
        <v>46265</v>
      </c>
    </row>
    <row r="7301" spans="1:14" x14ac:dyDescent="0.25">
      <c r="A7301" s="4" t="s">
        <v>267</v>
      </c>
      <c r="B7301" s="5"/>
      <c r="C7301" s="4" t="s">
        <v>9</v>
      </c>
      <c r="D7301" s="4" t="s">
        <v>9</v>
      </c>
      <c r="E7301" s="4" t="s">
        <v>9</v>
      </c>
      <c r="F7301" s="6">
        <v>0</v>
      </c>
      <c r="G7301" s="6">
        <v>0</v>
      </c>
      <c r="H7301" s="4" t="s">
        <v>9</v>
      </c>
      <c r="I7301" s="4" t="s">
        <v>3</v>
      </c>
      <c r="J7301" s="4" t="s">
        <v>9</v>
      </c>
      <c r="K7301" s="4" t="s">
        <v>9</v>
      </c>
      <c r="L7301" s="4" t="s">
        <v>9</v>
      </c>
      <c r="M7301" s="4" t="s">
        <v>9</v>
      </c>
      <c r="N7301" s="5"/>
    </row>
    <row r="7302" spans="1:14" x14ac:dyDescent="0.25">
      <c r="A7302" s="4" t="s">
        <v>158</v>
      </c>
      <c r="B7302" s="5"/>
      <c r="C7302" s="4" t="s">
        <v>9</v>
      </c>
      <c r="D7302" s="4" t="s">
        <v>9</v>
      </c>
      <c r="E7302" s="4" t="s">
        <v>9</v>
      </c>
      <c r="F7302" s="6">
        <v>0</v>
      </c>
      <c r="G7302" s="6">
        <v>0</v>
      </c>
      <c r="H7302" s="4" t="s">
        <v>9</v>
      </c>
      <c r="I7302" s="4" t="s">
        <v>3</v>
      </c>
      <c r="J7302" s="4" t="s">
        <v>9</v>
      </c>
      <c r="K7302" s="4" t="s">
        <v>9</v>
      </c>
      <c r="L7302" s="4" t="s">
        <v>9</v>
      </c>
      <c r="M7302" s="4" t="s">
        <v>9</v>
      </c>
      <c r="N7302" s="5"/>
    </row>
    <row r="7303" spans="1:14" x14ac:dyDescent="0.25">
      <c r="A7303" t="s">
        <v>159</v>
      </c>
      <c r="B7303" s="2">
        <v>46177</v>
      </c>
      <c r="C7303" t="s">
        <v>159</v>
      </c>
      <c r="D7303" t="s">
        <v>1</v>
      </c>
      <c r="E7303" t="s">
        <v>160</v>
      </c>
      <c r="F7303" s="3">
        <v>12601</v>
      </c>
      <c r="G7303" s="3">
        <v>12601</v>
      </c>
      <c r="H7303" t="s">
        <v>3</v>
      </c>
      <c r="I7303" t="s">
        <v>3</v>
      </c>
      <c r="J7303" t="s">
        <v>161</v>
      </c>
      <c r="K7303" t="s">
        <v>13</v>
      </c>
      <c r="L7303" t="s">
        <v>19</v>
      </c>
      <c r="M7303" t="s">
        <v>7</v>
      </c>
      <c r="N7303" s="2">
        <v>46177</v>
      </c>
    </row>
    <row r="7304" spans="1:14" x14ac:dyDescent="0.25">
      <c r="A7304" t="s">
        <v>159</v>
      </c>
      <c r="B7304" s="2">
        <v>46205</v>
      </c>
      <c r="C7304" t="s">
        <v>159</v>
      </c>
      <c r="D7304" t="s">
        <v>1</v>
      </c>
      <c r="E7304" t="s">
        <v>9</v>
      </c>
      <c r="F7304" s="3">
        <v>-12601</v>
      </c>
      <c r="G7304" s="3">
        <v>-12601</v>
      </c>
      <c r="H7304" t="s">
        <v>3</v>
      </c>
      <c r="I7304" t="s">
        <v>3</v>
      </c>
      <c r="J7304" t="s">
        <v>782</v>
      </c>
      <c r="K7304" t="s">
        <v>13</v>
      </c>
      <c r="L7304" t="s">
        <v>19</v>
      </c>
      <c r="M7304" t="s">
        <v>7</v>
      </c>
      <c r="N7304" s="2">
        <v>46203</v>
      </c>
    </row>
    <row r="7305" spans="1:14" x14ac:dyDescent="0.25">
      <c r="A7305" s="4" t="s">
        <v>224</v>
      </c>
      <c r="B7305" s="5"/>
      <c r="C7305" s="4" t="s">
        <v>9</v>
      </c>
      <c r="D7305" s="4" t="s">
        <v>9</v>
      </c>
      <c r="E7305" s="4" t="s">
        <v>9</v>
      </c>
      <c r="F7305" s="6">
        <v>0</v>
      </c>
      <c r="G7305" s="6">
        <v>0</v>
      </c>
      <c r="H7305" s="4" t="s">
        <v>9</v>
      </c>
      <c r="I7305" s="4" t="s">
        <v>3</v>
      </c>
      <c r="J7305" s="4" t="s">
        <v>9</v>
      </c>
      <c r="K7305" s="4" t="s">
        <v>9</v>
      </c>
      <c r="L7305" s="4" t="s">
        <v>9</v>
      </c>
      <c r="M7305" s="4" t="s">
        <v>9</v>
      </c>
      <c r="N7305" s="5"/>
    </row>
    <row r="7306" spans="1:14" x14ac:dyDescent="0.25">
      <c r="A7306" t="s">
        <v>159</v>
      </c>
      <c r="B7306" s="2">
        <v>46206</v>
      </c>
      <c r="C7306" t="s">
        <v>159</v>
      </c>
      <c r="D7306" t="s">
        <v>1</v>
      </c>
      <c r="E7306" t="s">
        <v>160</v>
      </c>
      <c r="F7306" s="3">
        <v>12601</v>
      </c>
      <c r="G7306" s="3">
        <v>12601</v>
      </c>
      <c r="H7306" t="s">
        <v>3</v>
      </c>
      <c r="I7306" t="s">
        <v>3</v>
      </c>
      <c r="J7306" t="s">
        <v>161</v>
      </c>
      <c r="K7306" t="s">
        <v>13</v>
      </c>
      <c r="L7306" t="s">
        <v>21</v>
      </c>
      <c r="M7306" t="s">
        <v>7</v>
      </c>
      <c r="N7306" s="2">
        <v>46206</v>
      </c>
    </row>
    <row r="7307" spans="1:14" x14ac:dyDescent="0.25">
      <c r="A7307" t="s">
        <v>159</v>
      </c>
      <c r="B7307" s="2">
        <v>46239</v>
      </c>
      <c r="C7307" t="s">
        <v>159</v>
      </c>
      <c r="D7307" t="s">
        <v>1</v>
      </c>
      <c r="E7307" t="s">
        <v>9</v>
      </c>
      <c r="F7307" s="3">
        <v>-12601</v>
      </c>
      <c r="G7307" s="3">
        <v>-12601</v>
      </c>
      <c r="H7307" t="s">
        <v>3</v>
      </c>
      <c r="I7307" t="s">
        <v>3</v>
      </c>
      <c r="J7307" t="s">
        <v>782</v>
      </c>
      <c r="K7307" t="s">
        <v>13</v>
      </c>
      <c r="L7307" t="s">
        <v>21</v>
      </c>
      <c r="M7307" t="s">
        <v>7</v>
      </c>
      <c r="N7307" s="2">
        <v>46234</v>
      </c>
    </row>
    <row r="7308" spans="1:14" x14ac:dyDescent="0.25">
      <c r="A7308" s="4" t="s">
        <v>262</v>
      </c>
      <c r="B7308" s="5"/>
      <c r="C7308" s="4" t="s">
        <v>9</v>
      </c>
      <c r="D7308" s="4" t="s">
        <v>9</v>
      </c>
      <c r="E7308" s="4" t="s">
        <v>9</v>
      </c>
      <c r="F7308" s="6">
        <v>0</v>
      </c>
      <c r="G7308" s="6">
        <v>0</v>
      </c>
      <c r="H7308" s="4" t="s">
        <v>9</v>
      </c>
      <c r="I7308" s="4" t="s">
        <v>3</v>
      </c>
      <c r="J7308" s="4" t="s">
        <v>9</v>
      </c>
      <c r="K7308" s="4" t="s">
        <v>9</v>
      </c>
      <c r="L7308" s="4" t="s">
        <v>9</v>
      </c>
      <c r="M7308" s="4" t="s">
        <v>9</v>
      </c>
      <c r="N7308" s="5"/>
    </row>
    <row r="7309" spans="1:14" x14ac:dyDescent="0.25">
      <c r="A7309" s="4" t="s">
        <v>159</v>
      </c>
      <c r="B7309" s="5"/>
      <c r="C7309" s="4" t="s">
        <v>9</v>
      </c>
      <c r="D7309" s="4" t="s">
        <v>9</v>
      </c>
      <c r="E7309" s="4" t="s">
        <v>9</v>
      </c>
      <c r="F7309" s="6">
        <v>0</v>
      </c>
      <c r="G7309" s="6">
        <v>0</v>
      </c>
      <c r="H7309" s="4" t="s">
        <v>9</v>
      </c>
      <c r="I7309" s="4" t="s">
        <v>3</v>
      </c>
      <c r="J7309" s="4" t="s">
        <v>9</v>
      </c>
      <c r="K7309" s="4" t="s">
        <v>9</v>
      </c>
      <c r="L7309" s="4" t="s">
        <v>9</v>
      </c>
      <c r="M7309" s="4" t="s">
        <v>9</v>
      </c>
      <c r="N7309" s="5"/>
    </row>
    <row r="7310" spans="1:14" x14ac:dyDescent="0.25">
      <c r="A7310" t="s">
        <v>162</v>
      </c>
      <c r="B7310" s="2">
        <v>46177</v>
      </c>
      <c r="C7310" t="s">
        <v>162</v>
      </c>
      <c r="D7310" t="s">
        <v>1</v>
      </c>
      <c r="E7310" t="s">
        <v>163</v>
      </c>
      <c r="F7310" s="3">
        <v>9376.33</v>
      </c>
      <c r="G7310" s="3">
        <v>9376.33</v>
      </c>
      <c r="H7310" t="s">
        <v>3</v>
      </c>
      <c r="I7310" t="s">
        <v>3</v>
      </c>
      <c r="J7310" t="s">
        <v>164</v>
      </c>
      <c r="K7310" t="s">
        <v>13</v>
      </c>
      <c r="L7310" t="s">
        <v>19</v>
      </c>
      <c r="M7310" t="s">
        <v>7</v>
      </c>
      <c r="N7310" s="2">
        <v>46177</v>
      </c>
    </row>
    <row r="7311" spans="1:14" x14ac:dyDescent="0.25">
      <c r="A7311" t="s">
        <v>162</v>
      </c>
      <c r="B7311" s="2">
        <v>46205</v>
      </c>
      <c r="C7311" t="s">
        <v>162</v>
      </c>
      <c r="D7311" t="s">
        <v>1</v>
      </c>
      <c r="E7311" t="s">
        <v>9</v>
      </c>
      <c r="F7311" s="3">
        <v>-9376.33</v>
      </c>
      <c r="G7311" s="3">
        <v>-9376.33</v>
      </c>
      <c r="H7311" t="s">
        <v>3</v>
      </c>
      <c r="I7311" t="s">
        <v>3</v>
      </c>
      <c r="J7311" t="s">
        <v>783</v>
      </c>
      <c r="K7311" t="s">
        <v>13</v>
      </c>
      <c r="L7311" t="s">
        <v>19</v>
      </c>
      <c r="M7311" t="s">
        <v>7</v>
      </c>
      <c r="N7311" s="2">
        <v>46203</v>
      </c>
    </row>
    <row r="7312" spans="1:14" x14ac:dyDescent="0.25">
      <c r="A7312" s="4" t="s">
        <v>224</v>
      </c>
      <c r="B7312" s="5"/>
      <c r="C7312" s="4" t="s">
        <v>9</v>
      </c>
      <c r="D7312" s="4" t="s">
        <v>9</v>
      </c>
      <c r="E7312" s="4" t="s">
        <v>9</v>
      </c>
      <c r="F7312" s="6">
        <v>0</v>
      </c>
      <c r="G7312" s="6">
        <v>0</v>
      </c>
      <c r="H7312" s="4" t="s">
        <v>9</v>
      </c>
      <c r="I7312" s="4" t="s">
        <v>3</v>
      </c>
      <c r="J7312" s="4" t="s">
        <v>9</v>
      </c>
      <c r="K7312" s="4" t="s">
        <v>9</v>
      </c>
      <c r="L7312" s="4" t="s">
        <v>9</v>
      </c>
      <c r="M7312" s="4" t="s">
        <v>9</v>
      </c>
      <c r="N7312" s="5"/>
    </row>
    <row r="7313" spans="1:14" x14ac:dyDescent="0.25">
      <c r="A7313" t="s">
        <v>162</v>
      </c>
      <c r="B7313" s="2">
        <v>46206</v>
      </c>
      <c r="C7313" t="s">
        <v>162</v>
      </c>
      <c r="D7313" t="s">
        <v>1</v>
      </c>
      <c r="E7313" t="s">
        <v>163</v>
      </c>
      <c r="F7313" s="3">
        <v>9376.33</v>
      </c>
      <c r="G7313" s="3">
        <v>9376.33</v>
      </c>
      <c r="H7313" t="s">
        <v>3</v>
      </c>
      <c r="I7313" t="s">
        <v>3</v>
      </c>
      <c r="J7313" t="s">
        <v>164</v>
      </c>
      <c r="K7313" t="s">
        <v>13</v>
      </c>
      <c r="L7313" t="s">
        <v>21</v>
      </c>
      <c r="M7313" t="s">
        <v>7</v>
      </c>
      <c r="N7313" s="2">
        <v>46206</v>
      </c>
    </row>
    <row r="7314" spans="1:14" x14ac:dyDescent="0.25">
      <c r="A7314" t="s">
        <v>162</v>
      </c>
      <c r="B7314" s="2">
        <v>46239</v>
      </c>
      <c r="C7314" t="s">
        <v>162</v>
      </c>
      <c r="D7314" t="s">
        <v>1</v>
      </c>
      <c r="E7314" t="s">
        <v>9</v>
      </c>
      <c r="F7314" s="3">
        <v>-9376.33</v>
      </c>
      <c r="G7314" s="3">
        <v>-9376.33</v>
      </c>
      <c r="H7314" t="s">
        <v>3</v>
      </c>
      <c r="I7314" t="s">
        <v>3</v>
      </c>
      <c r="J7314" t="s">
        <v>783</v>
      </c>
      <c r="K7314" t="s">
        <v>13</v>
      </c>
      <c r="L7314" t="s">
        <v>21</v>
      </c>
      <c r="M7314" t="s">
        <v>7</v>
      </c>
      <c r="N7314" s="2">
        <v>46234</v>
      </c>
    </row>
    <row r="7315" spans="1:14" x14ac:dyDescent="0.25">
      <c r="A7315" s="4" t="s">
        <v>262</v>
      </c>
      <c r="B7315" s="5"/>
      <c r="C7315" s="4" t="s">
        <v>9</v>
      </c>
      <c r="D7315" s="4" t="s">
        <v>9</v>
      </c>
      <c r="E7315" s="4" t="s">
        <v>9</v>
      </c>
      <c r="F7315" s="6">
        <v>0</v>
      </c>
      <c r="G7315" s="6">
        <v>0</v>
      </c>
      <c r="H7315" s="4" t="s">
        <v>9</v>
      </c>
      <c r="I7315" s="4" t="s">
        <v>3</v>
      </c>
      <c r="J7315" s="4" t="s">
        <v>9</v>
      </c>
      <c r="K7315" s="4" t="s">
        <v>9</v>
      </c>
      <c r="L7315" s="4" t="s">
        <v>9</v>
      </c>
      <c r="M7315" s="4" t="s">
        <v>9</v>
      </c>
      <c r="N7315" s="5"/>
    </row>
    <row r="7316" spans="1:14" x14ac:dyDescent="0.25">
      <c r="A7316" s="4" t="s">
        <v>162</v>
      </c>
      <c r="B7316" s="5"/>
      <c r="C7316" s="4" t="s">
        <v>9</v>
      </c>
      <c r="D7316" s="4" t="s">
        <v>9</v>
      </c>
      <c r="E7316" s="4" t="s">
        <v>9</v>
      </c>
      <c r="F7316" s="6">
        <v>0</v>
      </c>
      <c r="G7316" s="6">
        <v>0</v>
      </c>
      <c r="H7316" s="4" t="s">
        <v>9</v>
      </c>
      <c r="I7316" s="4" t="s">
        <v>3</v>
      </c>
      <c r="J7316" s="4" t="s">
        <v>9</v>
      </c>
      <c r="K7316" s="4" t="s">
        <v>9</v>
      </c>
      <c r="L7316" s="4" t="s">
        <v>9</v>
      </c>
      <c r="M7316" s="4" t="s">
        <v>9</v>
      </c>
      <c r="N7316" s="5"/>
    </row>
    <row r="7317" spans="1:14" x14ac:dyDescent="0.25">
      <c r="A7317" t="s">
        <v>165</v>
      </c>
      <c r="B7317" s="2">
        <v>46132</v>
      </c>
      <c r="C7317" t="s">
        <v>165</v>
      </c>
      <c r="D7317" t="s">
        <v>99</v>
      </c>
      <c r="E7317" t="s">
        <v>166</v>
      </c>
      <c r="F7317" s="3">
        <v>31837.5</v>
      </c>
      <c r="G7317" s="3">
        <v>31837.5</v>
      </c>
      <c r="H7317" t="s">
        <v>3</v>
      </c>
      <c r="I7317" t="s">
        <v>3</v>
      </c>
      <c r="J7317" t="s">
        <v>167</v>
      </c>
      <c r="K7317" t="s">
        <v>13</v>
      </c>
      <c r="L7317" t="s">
        <v>17</v>
      </c>
      <c r="M7317" t="s">
        <v>102</v>
      </c>
      <c r="N7317" s="2">
        <v>46132</v>
      </c>
    </row>
    <row r="7318" spans="1:14" x14ac:dyDescent="0.25">
      <c r="A7318" t="s">
        <v>165</v>
      </c>
      <c r="B7318" s="2">
        <v>46142</v>
      </c>
      <c r="C7318" t="s">
        <v>165</v>
      </c>
      <c r="D7318" t="s">
        <v>1</v>
      </c>
      <c r="E7318" t="s">
        <v>9</v>
      </c>
      <c r="F7318" s="3">
        <v>263786</v>
      </c>
      <c r="G7318" s="3">
        <v>263786</v>
      </c>
      <c r="H7318" t="s">
        <v>3</v>
      </c>
      <c r="I7318" t="s">
        <v>3</v>
      </c>
      <c r="J7318" t="s">
        <v>10</v>
      </c>
      <c r="K7318" t="s">
        <v>13</v>
      </c>
      <c r="L7318" t="s">
        <v>17</v>
      </c>
      <c r="M7318" t="s">
        <v>7</v>
      </c>
      <c r="N7318" s="2">
        <v>46142</v>
      </c>
    </row>
    <row r="7319" spans="1:14" x14ac:dyDescent="0.25">
      <c r="A7319" t="s">
        <v>165</v>
      </c>
      <c r="B7319" s="2">
        <v>46147</v>
      </c>
      <c r="C7319" t="s">
        <v>165</v>
      </c>
      <c r="D7319" t="s">
        <v>99</v>
      </c>
      <c r="E7319" t="s">
        <v>9</v>
      </c>
      <c r="F7319" s="3">
        <v>-31837.5</v>
      </c>
      <c r="G7319" s="3">
        <v>-31837.5</v>
      </c>
      <c r="H7319" t="s">
        <v>3</v>
      </c>
      <c r="I7319" t="s">
        <v>3</v>
      </c>
      <c r="J7319" t="s">
        <v>784</v>
      </c>
      <c r="K7319" t="s">
        <v>13</v>
      </c>
      <c r="L7319" t="s">
        <v>17</v>
      </c>
      <c r="M7319" t="s">
        <v>102</v>
      </c>
      <c r="N7319" s="2">
        <v>46142</v>
      </c>
    </row>
    <row r="7320" spans="1:14" x14ac:dyDescent="0.25">
      <c r="A7320" t="s">
        <v>165</v>
      </c>
      <c r="B7320" s="2">
        <v>46147</v>
      </c>
      <c r="C7320" t="s">
        <v>165</v>
      </c>
      <c r="D7320" t="s">
        <v>1</v>
      </c>
      <c r="E7320" t="s">
        <v>9</v>
      </c>
      <c r="F7320" s="3">
        <v>-263786</v>
      </c>
      <c r="G7320" s="3">
        <v>-263786</v>
      </c>
      <c r="H7320" t="s">
        <v>3</v>
      </c>
      <c r="I7320" t="s">
        <v>3</v>
      </c>
      <c r="J7320" t="s">
        <v>784</v>
      </c>
      <c r="K7320" t="s">
        <v>13</v>
      </c>
      <c r="L7320" t="s">
        <v>17</v>
      </c>
      <c r="M7320" t="s">
        <v>7</v>
      </c>
      <c r="N7320" s="2">
        <v>46142</v>
      </c>
    </row>
    <row r="7321" spans="1:14" x14ac:dyDescent="0.25">
      <c r="A7321" t="s">
        <v>165</v>
      </c>
      <c r="B7321" s="2">
        <v>46142</v>
      </c>
      <c r="C7321" t="s">
        <v>165</v>
      </c>
      <c r="D7321" t="s">
        <v>99</v>
      </c>
      <c r="E7321" t="s">
        <v>9</v>
      </c>
      <c r="F7321" s="3">
        <v>35625</v>
      </c>
      <c r="G7321" s="3">
        <v>35625</v>
      </c>
      <c r="H7321" t="s">
        <v>3</v>
      </c>
      <c r="I7321" t="s">
        <v>3</v>
      </c>
      <c r="J7321" t="s">
        <v>123</v>
      </c>
      <c r="K7321" t="s">
        <v>13</v>
      </c>
      <c r="L7321" t="s">
        <v>17</v>
      </c>
      <c r="M7321" t="s">
        <v>102</v>
      </c>
      <c r="N7321" s="2">
        <v>46142</v>
      </c>
    </row>
    <row r="7322" spans="1:14" x14ac:dyDescent="0.25">
      <c r="A7322" t="s">
        <v>165</v>
      </c>
      <c r="B7322" s="2">
        <v>46148</v>
      </c>
      <c r="C7322" t="s">
        <v>165</v>
      </c>
      <c r="D7322" t="s">
        <v>99</v>
      </c>
      <c r="E7322" t="s">
        <v>9</v>
      </c>
      <c r="F7322" s="3">
        <v>-35625</v>
      </c>
      <c r="G7322" s="3">
        <v>-35625</v>
      </c>
      <c r="H7322" t="s">
        <v>3</v>
      </c>
      <c r="I7322" t="s">
        <v>3</v>
      </c>
      <c r="J7322" t="s">
        <v>784</v>
      </c>
      <c r="K7322" t="s">
        <v>13</v>
      </c>
      <c r="L7322" t="s">
        <v>17</v>
      </c>
      <c r="M7322" t="s">
        <v>102</v>
      </c>
      <c r="N7322" s="2">
        <v>46142</v>
      </c>
    </row>
    <row r="7323" spans="1:14" x14ac:dyDescent="0.25">
      <c r="A7323" s="4" t="s">
        <v>249</v>
      </c>
      <c r="B7323" s="5"/>
      <c r="C7323" s="4" t="s">
        <v>9</v>
      </c>
      <c r="D7323" s="4" t="s">
        <v>9</v>
      </c>
      <c r="E7323" s="4" t="s">
        <v>9</v>
      </c>
      <c r="F7323" s="6">
        <v>0</v>
      </c>
      <c r="G7323" s="6">
        <v>0</v>
      </c>
      <c r="H7323" s="4" t="s">
        <v>9</v>
      </c>
      <c r="I7323" s="4" t="s">
        <v>3</v>
      </c>
      <c r="J7323" s="4" t="s">
        <v>9</v>
      </c>
      <c r="K7323" s="4" t="s">
        <v>9</v>
      </c>
      <c r="L7323" s="4" t="s">
        <v>9</v>
      </c>
      <c r="M7323" s="4" t="s">
        <v>9</v>
      </c>
      <c r="N7323" s="5"/>
    </row>
    <row r="7324" spans="1:14" x14ac:dyDescent="0.25">
      <c r="A7324" t="s">
        <v>165</v>
      </c>
      <c r="B7324" s="2">
        <v>46171</v>
      </c>
      <c r="C7324" t="s">
        <v>165</v>
      </c>
      <c r="D7324" t="s">
        <v>99</v>
      </c>
      <c r="E7324" t="s">
        <v>166</v>
      </c>
      <c r="F7324" s="3">
        <v>17062.5</v>
      </c>
      <c r="G7324" s="3">
        <v>17062.5</v>
      </c>
      <c r="H7324" t="s">
        <v>3</v>
      </c>
      <c r="I7324" t="s">
        <v>3</v>
      </c>
      <c r="J7324" t="s">
        <v>167</v>
      </c>
      <c r="K7324" t="s">
        <v>13</v>
      </c>
      <c r="L7324" t="s">
        <v>18</v>
      </c>
      <c r="M7324" t="s">
        <v>102</v>
      </c>
      <c r="N7324" s="2">
        <v>46171</v>
      </c>
    </row>
    <row r="7325" spans="1:14" x14ac:dyDescent="0.25">
      <c r="A7325" t="s">
        <v>165</v>
      </c>
      <c r="B7325" s="2">
        <v>46173</v>
      </c>
      <c r="C7325" t="s">
        <v>165</v>
      </c>
      <c r="D7325" t="s">
        <v>1</v>
      </c>
      <c r="E7325" t="s">
        <v>9</v>
      </c>
      <c r="F7325" s="3">
        <v>68830</v>
      </c>
      <c r="G7325" s="3">
        <v>68830</v>
      </c>
      <c r="H7325" t="s">
        <v>3</v>
      </c>
      <c r="I7325" t="s">
        <v>3</v>
      </c>
      <c r="J7325" t="s">
        <v>10</v>
      </c>
      <c r="K7325" t="s">
        <v>13</v>
      </c>
      <c r="L7325" t="s">
        <v>18</v>
      </c>
      <c r="M7325" t="s">
        <v>7</v>
      </c>
      <c r="N7325" s="2">
        <v>46173</v>
      </c>
    </row>
    <row r="7326" spans="1:14" x14ac:dyDescent="0.25">
      <c r="A7326" t="s">
        <v>165</v>
      </c>
      <c r="B7326" s="2">
        <v>46175</v>
      </c>
      <c r="C7326" t="s">
        <v>165</v>
      </c>
      <c r="D7326" t="s">
        <v>99</v>
      </c>
      <c r="E7326" t="s">
        <v>9</v>
      </c>
      <c r="F7326" s="3">
        <v>-17062.5</v>
      </c>
      <c r="G7326" s="3">
        <v>-17062.5</v>
      </c>
      <c r="H7326" t="s">
        <v>3</v>
      </c>
      <c r="I7326" t="s">
        <v>3</v>
      </c>
      <c r="J7326" t="s">
        <v>784</v>
      </c>
      <c r="K7326" t="s">
        <v>13</v>
      </c>
      <c r="L7326" t="s">
        <v>18</v>
      </c>
      <c r="M7326" t="s">
        <v>102</v>
      </c>
      <c r="N7326" s="2">
        <v>46173</v>
      </c>
    </row>
    <row r="7327" spans="1:14" x14ac:dyDescent="0.25">
      <c r="A7327" t="s">
        <v>165</v>
      </c>
      <c r="B7327" s="2">
        <v>46175</v>
      </c>
      <c r="C7327" t="s">
        <v>165</v>
      </c>
      <c r="D7327" t="s">
        <v>1</v>
      </c>
      <c r="E7327" t="s">
        <v>9</v>
      </c>
      <c r="F7327" s="3">
        <v>-68830</v>
      </c>
      <c r="G7327" s="3">
        <v>-68830</v>
      </c>
      <c r="H7327" t="s">
        <v>3</v>
      </c>
      <c r="I7327" t="s">
        <v>3</v>
      </c>
      <c r="J7327" t="s">
        <v>784</v>
      </c>
      <c r="K7327" t="s">
        <v>13</v>
      </c>
      <c r="L7327" t="s">
        <v>18</v>
      </c>
      <c r="M7327" t="s">
        <v>7</v>
      </c>
      <c r="N7327" s="2">
        <v>46173</v>
      </c>
    </row>
    <row r="7328" spans="1:14" x14ac:dyDescent="0.25">
      <c r="A7328" s="4" t="s">
        <v>223</v>
      </c>
      <c r="B7328" s="5"/>
      <c r="C7328" s="4" t="s">
        <v>9</v>
      </c>
      <c r="D7328" s="4" t="s">
        <v>9</v>
      </c>
      <c r="E7328" s="4" t="s">
        <v>9</v>
      </c>
      <c r="F7328" s="6">
        <v>0</v>
      </c>
      <c r="G7328" s="6">
        <v>0</v>
      </c>
      <c r="H7328" s="4" t="s">
        <v>9</v>
      </c>
      <c r="I7328" s="4" t="s">
        <v>3</v>
      </c>
      <c r="J7328" s="4" t="s">
        <v>9</v>
      </c>
      <c r="K7328" s="4" t="s">
        <v>9</v>
      </c>
      <c r="L7328" s="4" t="s">
        <v>9</v>
      </c>
      <c r="M7328" s="4" t="s">
        <v>9</v>
      </c>
      <c r="N7328" s="5"/>
    </row>
    <row r="7329" spans="1:14" x14ac:dyDescent="0.25">
      <c r="A7329" t="s">
        <v>165</v>
      </c>
      <c r="B7329" s="2">
        <v>46196</v>
      </c>
      <c r="C7329" t="s">
        <v>165</v>
      </c>
      <c r="D7329" t="s">
        <v>99</v>
      </c>
      <c r="E7329" t="s">
        <v>166</v>
      </c>
      <c r="F7329" s="3">
        <v>15525</v>
      </c>
      <c r="G7329" s="3">
        <v>15525</v>
      </c>
      <c r="H7329" t="s">
        <v>3</v>
      </c>
      <c r="I7329" t="s">
        <v>3</v>
      </c>
      <c r="J7329" t="s">
        <v>167</v>
      </c>
      <c r="K7329" t="s">
        <v>13</v>
      </c>
      <c r="L7329" t="s">
        <v>19</v>
      </c>
      <c r="M7329" t="s">
        <v>102</v>
      </c>
      <c r="N7329" s="2">
        <v>46196</v>
      </c>
    </row>
    <row r="7330" spans="1:14" x14ac:dyDescent="0.25">
      <c r="A7330" t="s">
        <v>165</v>
      </c>
      <c r="B7330" s="2">
        <v>46203</v>
      </c>
      <c r="C7330" t="s">
        <v>165</v>
      </c>
      <c r="D7330" t="s">
        <v>1</v>
      </c>
      <c r="E7330" t="s">
        <v>9</v>
      </c>
      <c r="F7330" s="3">
        <v>33004.49</v>
      </c>
      <c r="G7330" s="3">
        <v>33004.49</v>
      </c>
      <c r="H7330" t="s">
        <v>3</v>
      </c>
      <c r="I7330" t="s">
        <v>3</v>
      </c>
      <c r="J7330" t="s">
        <v>10</v>
      </c>
      <c r="K7330" t="s">
        <v>13</v>
      </c>
      <c r="L7330" t="s">
        <v>19</v>
      </c>
      <c r="M7330" t="s">
        <v>7</v>
      </c>
      <c r="N7330" s="2">
        <v>46203</v>
      </c>
    </row>
    <row r="7331" spans="1:14" x14ac:dyDescent="0.25">
      <c r="A7331" t="s">
        <v>165</v>
      </c>
      <c r="B7331" s="2">
        <v>46205</v>
      </c>
      <c r="C7331" t="s">
        <v>165</v>
      </c>
      <c r="D7331" t="s">
        <v>99</v>
      </c>
      <c r="E7331" t="s">
        <v>9</v>
      </c>
      <c r="F7331" s="3">
        <v>-15525</v>
      </c>
      <c r="G7331" s="3">
        <v>-15525</v>
      </c>
      <c r="H7331" t="s">
        <v>3</v>
      </c>
      <c r="I7331" t="s">
        <v>3</v>
      </c>
      <c r="J7331" t="s">
        <v>784</v>
      </c>
      <c r="K7331" t="s">
        <v>13</v>
      </c>
      <c r="L7331" t="s">
        <v>19</v>
      </c>
      <c r="M7331" t="s">
        <v>102</v>
      </c>
      <c r="N7331" s="2">
        <v>46203</v>
      </c>
    </row>
    <row r="7332" spans="1:14" x14ac:dyDescent="0.25">
      <c r="A7332" t="s">
        <v>165</v>
      </c>
      <c r="B7332" s="2">
        <v>46205</v>
      </c>
      <c r="C7332" t="s">
        <v>165</v>
      </c>
      <c r="D7332" t="s">
        <v>1</v>
      </c>
      <c r="E7332" t="s">
        <v>9</v>
      </c>
      <c r="F7332" s="3">
        <v>-33004.49</v>
      </c>
      <c r="G7332" s="3">
        <v>-33004.49</v>
      </c>
      <c r="H7332" t="s">
        <v>3</v>
      </c>
      <c r="I7332" t="s">
        <v>3</v>
      </c>
      <c r="J7332" t="s">
        <v>784</v>
      </c>
      <c r="K7332" t="s">
        <v>13</v>
      </c>
      <c r="L7332" t="s">
        <v>19</v>
      </c>
      <c r="M7332" t="s">
        <v>7</v>
      </c>
      <c r="N7332" s="2">
        <v>46203</v>
      </c>
    </row>
    <row r="7333" spans="1:14" x14ac:dyDescent="0.25">
      <c r="A7333" s="4" t="s">
        <v>224</v>
      </c>
      <c r="B7333" s="5"/>
      <c r="C7333" s="4" t="s">
        <v>9</v>
      </c>
      <c r="D7333" s="4" t="s">
        <v>9</v>
      </c>
      <c r="E7333" s="4" t="s">
        <v>9</v>
      </c>
      <c r="F7333" s="6">
        <v>0</v>
      </c>
      <c r="G7333" s="6">
        <v>0</v>
      </c>
      <c r="H7333" s="4" t="s">
        <v>9</v>
      </c>
      <c r="I7333" s="4" t="s">
        <v>3</v>
      </c>
      <c r="J7333" s="4" t="s">
        <v>9</v>
      </c>
      <c r="K7333" s="4" t="s">
        <v>9</v>
      </c>
      <c r="L7333" s="4" t="s">
        <v>9</v>
      </c>
      <c r="M7333" s="4" t="s">
        <v>9</v>
      </c>
      <c r="N7333" s="5"/>
    </row>
    <row r="7334" spans="1:14" x14ac:dyDescent="0.25">
      <c r="A7334" t="s">
        <v>165</v>
      </c>
      <c r="B7334" s="2">
        <v>46213</v>
      </c>
      <c r="C7334" t="s">
        <v>165</v>
      </c>
      <c r="D7334" t="s">
        <v>99</v>
      </c>
      <c r="E7334" t="s">
        <v>166</v>
      </c>
      <c r="F7334" s="3">
        <v>21600</v>
      </c>
      <c r="G7334" s="3">
        <v>21600</v>
      </c>
      <c r="H7334" t="s">
        <v>3</v>
      </c>
      <c r="I7334" t="s">
        <v>3</v>
      </c>
      <c r="J7334" t="s">
        <v>167</v>
      </c>
      <c r="K7334" t="s">
        <v>13</v>
      </c>
      <c r="L7334" t="s">
        <v>21</v>
      </c>
      <c r="M7334" t="s">
        <v>102</v>
      </c>
      <c r="N7334" s="2">
        <v>46213</v>
      </c>
    </row>
    <row r="7335" spans="1:14" x14ac:dyDescent="0.25">
      <c r="A7335" t="s">
        <v>165</v>
      </c>
      <c r="B7335" s="2">
        <v>46234</v>
      </c>
      <c r="C7335" t="s">
        <v>165</v>
      </c>
      <c r="D7335" t="s">
        <v>1</v>
      </c>
      <c r="E7335" t="s">
        <v>9</v>
      </c>
      <c r="F7335" s="3">
        <v>33025.51</v>
      </c>
      <c r="G7335" s="3">
        <v>33025.51</v>
      </c>
      <c r="H7335" t="s">
        <v>3</v>
      </c>
      <c r="I7335" t="s">
        <v>3</v>
      </c>
      <c r="J7335" t="s">
        <v>10</v>
      </c>
      <c r="K7335" t="s">
        <v>13</v>
      </c>
      <c r="L7335" t="s">
        <v>21</v>
      </c>
      <c r="M7335" t="s">
        <v>7</v>
      </c>
      <c r="N7335" s="2">
        <v>46234</v>
      </c>
    </row>
    <row r="7336" spans="1:14" x14ac:dyDescent="0.25">
      <c r="A7336" t="s">
        <v>165</v>
      </c>
      <c r="B7336" s="2">
        <v>46239</v>
      </c>
      <c r="C7336" t="s">
        <v>165</v>
      </c>
      <c r="D7336" t="s">
        <v>99</v>
      </c>
      <c r="E7336" t="s">
        <v>9</v>
      </c>
      <c r="F7336" s="3">
        <v>-21600</v>
      </c>
      <c r="G7336" s="3">
        <v>-21600</v>
      </c>
      <c r="H7336" t="s">
        <v>3</v>
      </c>
      <c r="I7336" t="s">
        <v>3</v>
      </c>
      <c r="J7336" t="s">
        <v>784</v>
      </c>
      <c r="K7336" t="s">
        <v>13</v>
      </c>
      <c r="L7336" t="s">
        <v>21</v>
      </c>
      <c r="M7336" t="s">
        <v>102</v>
      </c>
      <c r="N7336" s="2">
        <v>46234</v>
      </c>
    </row>
    <row r="7337" spans="1:14" x14ac:dyDescent="0.25">
      <c r="A7337" t="s">
        <v>165</v>
      </c>
      <c r="B7337" s="2">
        <v>46239</v>
      </c>
      <c r="C7337" t="s">
        <v>165</v>
      </c>
      <c r="D7337" t="s">
        <v>1</v>
      </c>
      <c r="E7337" t="s">
        <v>9</v>
      </c>
      <c r="F7337" s="3">
        <v>-33025.51</v>
      </c>
      <c r="G7337" s="3">
        <v>-33025.51</v>
      </c>
      <c r="H7337" t="s">
        <v>3</v>
      </c>
      <c r="I7337" t="s">
        <v>3</v>
      </c>
      <c r="J7337" t="s">
        <v>784</v>
      </c>
      <c r="K7337" t="s">
        <v>13</v>
      </c>
      <c r="L7337" t="s">
        <v>21</v>
      </c>
      <c r="M7337" t="s">
        <v>7</v>
      </c>
      <c r="N7337" s="2">
        <v>46234</v>
      </c>
    </row>
    <row r="7338" spans="1:14" x14ac:dyDescent="0.25">
      <c r="A7338" s="4" t="s">
        <v>262</v>
      </c>
      <c r="B7338" s="5"/>
      <c r="C7338" s="4" t="s">
        <v>9</v>
      </c>
      <c r="D7338" s="4" t="s">
        <v>9</v>
      </c>
      <c r="E7338" s="4" t="s">
        <v>9</v>
      </c>
      <c r="F7338" s="6">
        <v>0</v>
      </c>
      <c r="G7338" s="6">
        <v>0</v>
      </c>
      <c r="H7338" s="4" t="s">
        <v>9</v>
      </c>
      <c r="I7338" s="4" t="s">
        <v>3</v>
      </c>
      <c r="J7338" s="4" t="s">
        <v>9</v>
      </c>
      <c r="K7338" s="4" t="s">
        <v>9</v>
      </c>
      <c r="L7338" s="4" t="s">
        <v>9</v>
      </c>
      <c r="M7338" s="4" t="s">
        <v>9</v>
      </c>
      <c r="N7338" s="5"/>
    </row>
    <row r="7339" spans="1:14" x14ac:dyDescent="0.25">
      <c r="A7339" t="s">
        <v>165</v>
      </c>
      <c r="B7339" s="2">
        <v>46255</v>
      </c>
      <c r="C7339" t="s">
        <v>165</v>
      </c>
      <c r="D7339" t="s">
        <v>99</v>
      </c>
      <c r="E7339" t="s">
        <v>166</v>
      </c>
      <c r="F7339" s="3">
        <v>12075</v>
      </c>
      <c r="G7339" s="3">
        <v>12075</v>
      </c>
      <c r="H7339" t="s">
        <v>3</v>
      </c>
      <c r="I7339" t="s">
        <v>3</v>
      </c>
      <c r="J7339" t="s">
        <v>167</v>
      </c>
      <c r="K7339" t="s">
        <v>13</v>
      </c>
      <c r="L7339" t="s">
        <v>22</v>
      </c>
      <c r="M7339" t="s">
        <v>102</v>
      </c>
      <c r="N7339" s="2">
        <v>46255</v>
      </c>
    </row>
    <row r="7340" spans="1:14" x14ac:dyDescent="0.25">
      <c r="A7340" t="s">
        <v>165</v>
      </c>
      <c r="B7340" s="2">
        <v>46265</v>
      </c>
      <c r="C7340" t="s">
        <v>165</v>
      </c>
      <c r="D7340" t="s">
        <v>1</v>
      </c>
      <c r="E7340" t="s">
        <v>9</v>
      </c>
      <c r="F7340" s="3">
        <v>18040</v>
      </c>
      <c r="G7340" s="3">
        <v>18040</v>
      </c>
      <c r="H7340" t="s">
        <v>3</v>
      </c>
      <c r="I7340" t="s">
        <v>3</v>
      </c>
      <c r="J7340" t="s">
        <v>10</v>
      </c>
      <c r="K7340" t="s">
        <v>13</v>
      </c>
      <c r="L7340" t="s">
        <v>22</v>
      </c>
      <c r="M7340" t="s">
        <v>7</v>
      </c>
      <c r="N7340" s="2">
        <v>46265</v>
      </c>
    </row>
    <row r="7341" spans="1:14" x14ac:dyDescent="0.25">
      <c r="A7341" t="s">
        <v>165</v>
      </c>
      <c r="B7341" s="2">
        <v>46267</v>
      </c>
      <c r="C7341" t="s">
        <v>165</v>
      </c>
      <c r="D7341" t="s">
        <v>99</v>
      </c>
      <c r="E7341" t="s">
        <v>9</v>
      </c>
      <c r="F7341" s="3">
        <v>-12075</v>
      </c>
      <c r="G7341" s="3">
        <v>-12075</v>
      </c>
      <c r="H7341" t="s">
        <v>3</v>
      </c>
      <c r="I7341" t="s">
        <v>3</v>
      </c>
      <c r="J7341" t="s">
        <v>784</v>
      </c>
      <c r="K7341" t="s">
        <v>13</v>
      </c>
      <c r="L7341" t="s">
        <v>22</v>
      </c>
      <c r="M7341" t="s">
        <v>102</v>
      </c>
      <c r="N7341" s="2">
        <v>46265</v>
      </c>
    </row>
    <row r="7342" spans="1:14" x14ac:dyDescent="0.25">
      <c r="A7342" t="s">
        <v>165</v>
      </c>
      <c r="B7342" s="2">
        <v>46267</v>
      </c>
      <c r="C7342" t="s">
        <v>165</v>
      </c>
      <c r="D7342" t="s">
        <v>1</v>
      </c>
      <c r="E7342" t="s">
        <v>9</v>
      </c>
      <c r="F7342" s="3">
        <v>-18040</v>
      </c>
      <c r="G7342" s="3">
        <v>-18040</v>
      </c>
      <c r="H7342" t="s">
        <v>3</v>
      </c>
      <c r="I7342" t="s">
        <v>3</v>
      </c>
      <c r="J7342" t="s">
        <v>784</v>
      </c>
      <c r="K7342" t="s">
        <v>13</v>
      </c>
      <c r="L7342" t="s">
        <v>22</v>
      </c>
      <c r="M7342" t="s">
        <v>7</v>
      </c>
      <c r="N7342" s="2">
        <v>46265</v>
      </c>
    </row>
    <row r="7343" spans="1:14" x14ac:dyDescent="0.25">
      <c r="A7343" s="4" t="s">
        <v>267</v>
      </c>
      <c r="B7343" s="5"/>
      <c r="C7343" s="4" t="s">
        <v>9</v>
      </c>
      <c r="D7343" s="4" t="s">
        <v>9</v>
      </c>
      <c r="E7343" s="4" t="s">
        <v>9</v>
      </c>
      <c r="F7343" s="6">
        <v>0</v>
      </c>
      <c r="G7343" s="6">
        <v>0</v>
      </c>
      <c r="H7343" s="4" t="s">
        <v>9</v>
      </c>
      <c r="I7343" s="4" t="s">
        <v>3</v>
      </c>
      <c r="J7343" s="4" t="s">
        <v>9</v>
      </c>
      <c r="K7343" s="4" t="s">
        <v>9</v>
      </c>
      <c r="L7343" s="4" t="s">
        <v>9</v>
      </c>
      <c r="M7343" s="4" t="s">
        <v>9</v>
      </c>
      <c r="N7343" s="5"/>
    </row>
    <row r="7344" spans="1:14" x14ac:dyDescent="0.25">
      <c r="A7344" s="4" t="s">
        <v>165</v>
      </c>
      <c r="B7344" s="5"/>
      <c r="C7344" s="4" t="s">
        <v>9</v>
      </c>
      <c r="D7344" s="4" t="s">
        <v>9</v>
      </c>
      <c r="E7344" s="4" t="s">
        <v>9</v>
      </c>
      <c r="F7344" s="6">
        <v>0</v>
      </c>
      <c r="G7344" s="6">
        <v>0</v>
      </c>
      <c r="H7344" s="4" t="s">
        <v>9</v>
      </c>
      <c r="I7344" s="4" t="s">
        <v>3</v>
      </c>
      <c r="J7344" s="4" t="s">
        <v>9</v>
      </c>
      <c r="K7344" s="4" t="s">
        <v>9</v>
      </c>
      <c r="L7344" s="4" t="s">
        <v>9</v>
      </c>
      <c r="M7344" s="4" t="s">
        <v>9</v>
      </c>
      <c r="N7344" s="5"/>
    </row>
    <row r="7345" spans="1:14" x14ac:dyDescent="0.25">
      <c r="A7345" t="s">
        <v>168</v>
      </c>
      <c r="B7345" s="2">
        <v>46203</v>
      </c>
      <c r="C7345" t="s">
        <v>168</v>
      </c>
      <c r="D7345" t="s">
        <v>99</v>
      </c>
      <c r="E7345" t="s">
        <v>9</v>
      </c>
      <c r="F7345" s="3">
        <v>57440</v>
      </c>
      <c r="G7345" s="3">
        <v>57440</v>
      </c>
      <c r="H7345" t="s">
        <v>3</v>
      </c>
      <c r="I7345" t="s">
        <v>3</v>
      </c>
      <c r="J7345" t="s">
        <v>169</v>
      </c>
      <c r="K7345" t="s">
        <v>13</v>
      </c>
      <c r="L7345" t="s">
        <v>19</v>
      </c>
      <c r="M7345" t="s">
        <v>102</v>
      </c>
      <c r="N7345" s="2">
        <v>46203</v>
      </c>
    </row>
    <row r="7346" spans="1:14" x14ac:dyDescent="0.25">
      <c r="A7346" t="s">
        <v>168</v>
      </c>
      <c r="B7346" s="2">
        <v>46203</v>
      </c>
      <c r="C7346" t="s">
        <v>168</v>
      </c>
      <c r="D7346" t="s">
        <v>99</v>
      </c>
      <c r="E7346" t="s">
        <v>9</v>
      </c>
      <c r="F7346" s="3">
        <v>5000</v>
      </c>
      <c r="G7346" s="3">
        <v>5000</v>
      </c>
      <c r="H7346" t="s">
        <v>3</v>
      </c>
      <c r="I7346" t="s">
        <v>3</v>
      </c>
      <c r="J7346" t="s">
        <v>169</v>
      </c>
      <c r="K7346" t="s">
        <v>13</v>
      </c>
      <c r="L7346" t="s">
        <v>19</v>
      </c>
      <c r="M7346" t="s">
        <v>102</v>
      </c>
      <c r="N7346" s="2">
        <v>46203</v>
      </c>
    </row>
    <row r="7347" spans="1:14" x14ac:dyDescent="0.25">
      <c r="A7347" t="s">
        <v>168</v>
      </c>
      <c r="B7347" s="2">
        <v>46205</v>
      </c>
      <c r="C7347" t="s">
        <v>168</v>
      </c>
      <c r="D7347" t="s">
        <v>99</v>
      </c>
      <c r="E7347" t="s">
        <v>9</v>
      </c>
      <c r="F7347" s="3">
        <v>-62440</v>
      </c>
      <c r="G7347" s="3">
        <v>-62440</v>
      </c>
      <c r="H7347" t="s">
        <v>3</v>
      </c>
      <c r="I7347" t="s">
        <v>3</v>
      </c>
      <c r="J7347" t="s">
        <v>785</v>
      </c>
      <c r="K7347" t="s">
        <v>13</v>
      </c>
      <c r="L7347" t="s">
        <v>19</v>
      </c>
      <c r="M7347" t="s">
        <v>102</v>
      </c>
      <c r="N7347" s="2">
        <v>46203</v>
      </c>
    </row>
    <row r="7348" spans="1:14" x14ac:dyDescent="0.25">
      <c r="A7348" s="4" t="s">
        <v>224</v>
      </c>
      <c r="B7348" s="5"/>
      <c r="C7348" s="4" t="s">
        <v>9</v>
      </c>
      <c r="D7348" s="4" t="s">
        <v>9</v>
      </c>
      <c r="E7348" s="4" t="s">
        <v>9</v>
      </c>
      <c r="F7348" s="6">
        <v>0</v>
      </c>
      <c r="G7348" s="6">
        <v>0</v>
      </c>
      <c r="H7348" s="4" t="s">
        <v>9</v>
      </c>
      <c r="I7348" s="4" t="s">
        <v>3</v>
      </c>
      <c r="J7348" s="4" t="s">
        <v>9</v>
      </c>
      <c r="K7348" s="4" t="s">
        <v>9</v>
      </c>
      <c r="L7348" s="4" t="s">
        <v>9</v>
      </c>
      <c r="M7348" s="4" t="s">
        <v>9</v>
      </c>
      <c r="N7348" s="5"/>
    </row>
    <row r="7349" spans="1:14" x14ac:dyDescent="0.25">
      <c r="A7349" t="s">
        <v>168</v>
      </c>
      <c r="B7349" s="2">
        <v>46234</v>
      </c>
      <c r="C7349" t="s">
        <v>168</v>
      </c>
      <c r="D7349" t="s">
        <v>99</v>
      </c>
      <c r="E7349" t="s">
        <v>9</v>
      </c>
      <c r="F7349" s="3">
        <v>64450</v>
      </c>
      <c r="G7349" s="3">
        <v>64450</v>
      </c>
      <c r="H7349" t="s">
        <v>3</v>
      </c>
      <c r="I7349" t="s">
        <v>3</v>
      </c>
      <c r="J7349" t="s">
        <v>170</v>
      </c>
      <c r="K7349" t="s">
        <v>13</v>
      </c>
      <c r="L7349" t="s">
        <v>21</v>
      </c>
      <c r="M7349" t="s">
        <v>102</v>
      </c>
      <c r="N7349" s="2">
        <v>46234</v>
      </c>
    </row>
    <row r="7350" spans="1:14" x14ac:dyDescent="0.25">
      <c r="A7350" t="s">
        <v>168</v>
      </c>
      <c r="B7350" s="2">
        <v>46239</v>
      </c>
      <c r="C7350" t="s">
        <v>168</v>
      </c>
      <c r="D7350" t="s">
        <v>99</v>
      </c>
      <c r="E7350" t="s">
        <v>9</v>
      </c>
      <c r="F7350" s="3">
        <v>-64450</v>
      </c>
      <c r="G7350" s="3">
        <v>-64450</v>
      </c>
      <c r="H7350" t="s">
        <v>3</v>
      </c>
      <c r="I7350" t="s">
        <v>3</v>
      </c>
      <c r="J7350" t="s">
        <v>785</v>
      </c>
      <c r="K7350" t="s">
        <v>13</v>
      </c>
      <c r="L7350" t="s">
        <v>21</v>
      </c>
      <c r="M7350" t="s">
        <v>102</v>
      </c>
      <c r="N7350" s="2">
        <v>46234</v>
      </c>
    </row>
    <row r="7351" spans="1:14" x14ac:dyDescent="0.25">
      <c r="A7351" s="4" t="s">
        <v>262</v>
      </c>
      <c r="B7351" s="5"/>
      <c r="C7351" s="4" t="s">
        <v>9</v>
      </c>
      <c r="D7351" s="4" t="s">
        <v>9</v>
      </c>
      <c r="E7351" s="4" t="s">
        <v>9</v>
      </c>
      <c r="F7351" s="6">
        <v>0</v>
      </c>
      <c r="G7351" s="6">
        <v>0</v>
      </c>
      <c r="H7351" s="4" t="s">
        <v>9</v>
      </c>
      <c r="I7351" s="4" t="s">
        <v>3</v>
      </c>
      <c r="J7351" s="4" t="s">
        <v>9</v>
      </c>
      <c r="K7351" s="4" t="s">
        <v>9</v>
      </c>
      <c r="L7351" s="4" t="s">
        <v>9</v>
      </c>
      <c r="M7351" s="4" t="s">
        <v>9</v>
      </c>
      <c r="N7351" s="5"/>
    </row>
    <row r="7352" spans="1:14" x14ac:dyDescent="0.25">
      <c r="A7352" t="s">
        <v>168</v>
      </c>
      <c r="B7352" s="2">
        <v>46265</v>
      </c>
      <c r="C7352" t="s">
        <v>168</v>
      </c>
      <c r="D7352" t="s">
        <v>99</v>
      </c>
      <c r="E7352" t="s">
        <v>9</v>
      </c>
      <c r="F7352" s="3">
        <v>35610</v>
      </c>
      <c r="G7352" s="3">
        <v>35610</v>
      </c>
      <c r="H7352" t="s">
        <v>3</v>
      </c>
      <c r="I7352" t="s">
        <v>3</v>
      </c>
      <c r="J7352" t="s">
        <v>171</v>
      </c>
      <c r="K7352" t="s">
        <v>13</v>
      </c>
      <c r="L7352" t="s">
        <v>22</v>
      </c>
      <c r="M7352" t="s">
        <v>102</v>
      </c>
      <c r="N7352" s="2">
        <v>46265</v>
      </c>
    </row>
    <row r="7353" spans="1:14" x14ac:dyDescent="0.25">
      <c r="A7353" t="s">
        <v>168</v>
      </c>
      <c r="B7353" s="2">
        <v>46272</v>
      </c>
      <c r="C7353" t="s">
        <v>168</v>
      </c>
      <c r="D7353" t="s">
        <v>99</v>
      </c>
      <c r="E7353" t="s">
        <v>9</v>
      </c>
      <c r="F7353" s="3">
        <v>-35610</v>
      </c>
      <c r="G7353" s="3">
        <v>-35610</v>
      </c>
      <c r="H7353" t="s">
        <v>3</v>
      </c>
      <c r="I7353" t="s">
        <v>3</v>
      </c>
      <c r="J7353" t="s">
        <v>785</v>
      </c>
      <c r="K7353" t="s">
        <v>13</v>
      </c>
      <c r="L7353" t="s">
        <v>22</v>
      </c>
      <c r="M7353" t="s">
        <v>102</v>
      </c>
      <c r="N7353" s="2">
        <v>46265</v>
      </c>
    </row>
    <row r="7354" spans="1:14" x14ac:dyDescent="0.25">
      <c r="A7354" s="4" t="s">
        <v>267</v>
      </c>
      <c r="B7354" s="5"/>
      <c r="C7354" s="4" t="s">
        <v>9</v>
      </c>
      <c r="D7354" s="4" t="s">
        <v>9</v>
      </c>
      <c r="E7354" s="4" t="s">
        <v>9</v>
      </c>
      <c r="F7354" s="6">
        <v>0</v>
      </c>
      <c r="G7354" s="6">
        <v>0</v>
      </c>
      <c r="H7354" s="4" t="s">
        <v>9</v>
      </c>
      <c r="I7354" s="4" t="s">
        <v>3</v>
      </c>
      <c r="J7354" s="4" t="s">
        <v>9</v>
      </c>
      <c r="K7354" s="4" t="s">
        <v>9</v>
      </c>
      <c r="L7354" s="4" t="s">
        <v>9</v>
      </c>
      <c r="M7354" s="4" t="s">
        <v>9</v>
      </c>
      <c r="N7354" s="5"/>
    </row>
    <row r="7355" spans="1:14" x14ac:dyDescent="0.25">
      <c r="A7355" s="4" t="s">
        <v>168</v>
      </c>
      <c r="B7355" s="5"/>
      <c r="C7355" s="4" t="s">
        <v>9</v>
      </c>
      <c r="D7355" s="4" t="s">
        <v>9</v>
      </c>
      <c r="E7355" s="4" t="s">
        <v>9</v>
      </c>
      <c r="F7355" s="6">
        <v>0</v>
      </c>
      <c r="G7355" s="6">
        <v>0</v>
      </c>
      <c r="H7355" s="4" t="s">
        <v>9</v>
      </c>
      <c r="I7355" s="4" t="s">
        <v>3</v>
      </c>
      <c r="J7355" s="4" t="s">
        <v>9</v>
      </c>
      <c r="K7355" s="4" t="s">
        <v>9</v>
      </c>
      <c r="L7355" s="4" t="s">
        <v>9</v>
      </c>
      <c r="M7355" s="4" t="s">
        <v>9</v>
      </c>
      <c r="N7355" s="5"/>
    </row>
    <row r="7356" spans="1:14" x14ac:dyDescent="0.25">
      <c r="A7356" t="s">
        <v>172</v>
      </c>
      <c r="B7356" s="2">
        <v>46203</v>
      </c>
      <c r="C7356" t="s">
        <v>172</v>
      </c>
      <c r="D7356" t="s">
        <v>1</v>
      </c>
      <c r="E7356" t="s">
        <v>9</v>
      </c>
      <c r="F7356" s="3">
        <v>4441.84</v>
      </c>
      <c r="G7356" s="3">
        <v>4441.84</v>
      </c>
      <c r="H7356" t="s">
        <v>3</v>
      </c>
      <c r="I7356" t="s">
        <v>3</v>
      </c>
      <c r="J7356" t="s">
        <v>10</v>
      </c>
      <c r="K7356" t="s">
        <v>13</v>
      </c>
      <c r="L7356" t="s">
        <v>19</v>
      </c>
      <c r="M7356" t="s">
        <v>7</v>
      </c>
      <c r="N7356" s="2">
        <v>46203</v>
      </c>
    </row>
    <row r="7357" spans="1:14" x14ac:dyDescent="0.25">
      <c r="A7357" t="s">
        <v>172</v>
      </c>
      <c r="B7357" s="2">
        <v>46205</v>
      </c>
      <c r="C7357" t="s">
        <v>172</v>
      </c>
      <c r="D7357" t="s">
        <v>1</v>
      </c>
      <c r="E7357" t="s">
        <v>9</v>
      </c>
      <c r="F7357" s="3">
        <v>-4441.84</v>
      </c>
      <c r="G7357" s="3">
        <v>-4441.84</v>
      </c>
      <c r="H7357" t="s">
        <v>3</v>
      </c>
      <c r="I7357" t="s">
        <v>3</v>
      </c>
      <c r="J7357" t="s">
        <v>786</v>
      </c>
      <c r="K7357" t="s">
        <v>13</v>
      </c>
      <c r="L7357" t="s">
        <v>19</v>
      </c>
      <c r="M7357" t="s">
        <v>7</v>
      </c>
      <c r="N7357" s="2">
        <v>46203</v>
      </c>
    </row>
    <row r="7358" spans="1:14" x14ac:dyDescent="0.25">
      <c r="A7358" s="4" t="s">
        <v>224</v>
      </c>
      <c r="B7358" s="5"/>
      <c r="C7358" s="4" t="s">
        <v>9</v>
      </c>
      <c r="D7358" s="4" t="s">
        <v>9</v>
      </c>
      <c r="E7358" s="4" t="s">
        <v>9</v>
      </c>
      <c r="F7358" s="6">
        <v>0</v>
      </c>
      <c r="G7358" s="6">
        <v>0</v>
      </c>
      <c r="H7358" s="4" t="s">
        <v>9</v>
      </c>
      <c r="I7358" s="4" t="s">
        <v>3</v>
      </c>
      <c r="J7358" s="4" t="s">
        <v>9</v>
      </c>
      <c r="K7358" s="4" t="s">
        <v>9</v>
      </c>
      <c r="L7358" s="4" t="s">
        <v>9</v>
      </c>
      <c r="M7358" s="4" t="s">
        <v>9</v>
      </c>
      <c r="N7358" s="5"/>
    </row>
    <row r="7359" spans="1:14" x14ac:dyDescent="0.25">
      <c r="A7359" t="s">
        <v>172</v>
      </c>
      <c r="B7359" s="2">
        <v>46234</v>
      </c>
      <c r="C7359" t="s">
        <v>172</v>
      </c>
      <c r="D7359" t="s">
        <v>1</v>
      </c>
      <c r="E7359" t="s">
        <v>9</v>
      </c>
      <c r="F7359" s="3">
        <v>22016.16</v>
      </c>
      <c r="G7359" s="3">
        <v>22016.16</v>
      </c>
      <c r="H7359" t="s">
        <v>3</v>
      </c>
      <c r="I7359" t="s">
        <v>3</v>
      </c>
      <c r="J7359" t="s">
        <v>10</v>
      </c>
      <c r="K7359" t="s">
        <v>13</v>
      </c>
      <c r="L7359" t="s">
        <v>21</v>
      </c>
      <c r="M7359" t="s">
        <v>7</v>
      </c>
      <c r="N7359" s="2">
        <v>46234</v>
      </c>
    </row>
    <row r="7360" spans="1:14" x14ac:dyDescent="0.25">
      <c r="A7360" t="s">
        <v>172</v>
      </c>
      <c r="B7360" s="2">
        <v>46239</v>
      </c>
      <c r="C7360" t="s">
        <v>172</v>
      </c>
      <c r="D7360" t="s">
        <v>1</v>
      </c>
      <c r="E7360" t="s">
        <v>9</v>
      </c>
      <c r="F7360" s="3">
        <v>-22016.16</v>
      </c>
      <c r="G7360" s="3">
        <v>-22016.16</v>
      </c>
      <c r="H7360" t="s">
        <v>3</v>
      </c>
      <c r="I7360" t="s">
        <v>3</v>
      </c>
      <c r="J7360" t="s">
        <v>786</v>
      </c>
      <c r="K7360" t="s">
        <v>13</v>
      </c>
      <c r="L7360" t="s">
        <v>21</v>
      </c>
      <c r="M7360" t="s">
        <v>7</v>
      </c>
      <c r="N7360" s="2">
        <v>46234</v>
      </c>
    </row>
    <row r="7361" spans="1:14" x14ac:dyDescent="0.25">
      <c r="A7361" s="4" t="s">
        <v>262</v>
      </c>
      <c r="B7361" s="5"/>
      <c r="C7361" s="4" t="s">
        <v>9</v>
      </c>
      <c r="D7361" s="4" t="s">
        <v>9</v>
      </c>
      <c r="E7361" s="4" t="s">
        <v>9</v>
      </c>
      <c r="F7361" s="6">
        <v>0</v>
      </c>
      <c r="G7361" s="6">
        <v>0</v>
      </c>
      <c r="H7361" s="4" t="s">
        <v>9</v>
      </c>
      <c r="I7361" s="4" t="s">
        <v>3</v>
      </c>
      <c r="J7361" s="4" t="s">
        <v>9</v>
      </c>
      <c r="K7361" s="4" t="s">
        <v>9</v>
      </c>
      <c r="L7361" s="4" t="s">
        <v>9</v>
      </c>
      <c r="M7361" s="4" t="s">
        <v>9</v>
      </c>
      <c r="N7361" s="5"/>
    </row>
    <row r="7362" spans="1:14" x14ac:dyDescent="0.25">
      <c r="A7362" t="s">
        <v>172</v>
      </c>
      <c r="B7362" s="2">
        <v>46265</v>
      </c>
      <c r="C7362" t="s">
        <v>172</v>
      </c>
      <c r="D7362" t="s">
        <v>1</v>
      </c>
      <c r="E7362" t="s">
        <v>9</v>
      </c>
      <c r="F7362" s="3">
        <v>20892</v>
      </c>
      <c r="G7362" s="3">
        <v>20892</v>
      </c>
      <c r="H7362" t="s">
        <v>3</v>
      </c>
      <c r="I7362" t="s">
        <v>3</v>
      </c>
      <c r="J7362" t="s">
        <v>10</v>
      </c>
      <c r="K7362" t="s">
        <v>13</v>
      </c>
      <c r="L7362" t="s">
        <v>22</v>
      </c>
      <c r="M7362" t="s">
        <v>7</v>
      </c>
      <c r="N7362" s="2">
        <v>46265</v>
      </c>
    </row>
    <row r="7363" spans="1:14" x14ac:dyDescent="0.25">
      <c r="A7363" t="s">
        <v>172</v>
      </c>
      <c r="B7363" s="2">
        <v>46267</v>
      </c>
      <c r="C7363" t="s">
        <v>172</v>
      </c>
      <c r="D7363" t="s">
        <v>1</v>
      </c>
      <c r="E7363" t="s">
        <v>9</v>
      </c>
      <c r="F7363" s="3">
        <v>-20892</v>
      </c>
      <c r="G7363" s="3">
        <v>-20892</v>
      </c>
      <c r="H7363" t="s">
        <v>3</v>
      </c>
      <c r="I7363" t="s">
        <v>3</v>
      </c>
      <c r="J7363" t="s">
        <v>786</v>
      </c>
      <c r="K7363" t="s">
        <v>13</v>
      </c>
      <c r="L7363" t="s">
        <v>22</v>
      </c>
      <c r="M7363" t="s">
        <v>7</v>
      </c>
      <c r="N7363" s="2">
        <v>46265</v>
      </c>
    </row>
    <row r="7364" spans="1:14" x14ac:dyDescent="0.25">
      <c r="A7364" s="4" t="s">
        <v>267</v>
      </c>
      <c r="B7364" s="5"/>
      <c r="C7364" s="4" t="s">
        <v>9</v>
      </c>
      <c r="D7364" s="4" t="s">
        <v>9</v>
      </c>
      <c r="E7364" s="4" t="s">
        <v>9</v>
      </c>
      <c r="F7364" s="6">
        <v>0</v>
      </c>
      <c r="G7364" s="6">
        <v>0</v>
      </c>
      <c r="H7364" s="4" t="s">
        <v>9</v>
      </c>
      <c r="I7364" s="4" t="s">
        <v>3</v>
      </c>
      <c r="J7364" s="4" t="s">
        <v>9</v>
      </c>
      <c r="K7364" s="4" t="s">
        <v>9</v>
      </c>
      <c r="L7364" s="4" t="s">
        <v>9</v>
      </c>
      <c r="M7364" s="4" t="s">
        <v>9</v>
      </c>
      <c r="N7364" s="5"/>
    </row>
    <row r="7365" spans="1:14" x14ac:dyDescent="0.25">
      <c r="A7365" s="4" t="s">
        <v>172</v>
      </c>
      <c r="B7365" s="5"/>
      <c r="C7365" s="4" t="s">
        <v>9</v>
      </c>
      <c r="D7365" s="4" t="s">
        <v>9</v>
      </c>
      <c r="E7365" s="4" t="s">
        <v>9</v>
      </c>
      <c r="F7365" s="6">
        <v>0</v>
      </c>
      <c r="G7365" s="6">
        <v>0</v>
      </c>
      <c r="H7365" s="4" t="s">
        <v>9</v>
      </c>
      <c r="I7365" s="4" t="s">
        <v>3</v>
      </c>
      <c r="J7365" s="4" t="s">
        <v>9</v>
      </c>
      <c r="K7365" s="4" t="s">
        <v>9</v>
      </c>
      <c r="L7365" s="4" t="s">
        <v>9</v>
      </c>
      <c r="M7365" s="4" t="s">
        <v>9</v>
      </c>
      <c r="N7365" s="5"/>
    </row>
    <row r="7366" spans="1:14" x14ac:dyDescent="0.25">
      <c r="A7366" t="s">
        <v>176</v>
      </c>
      <c r="B7366" s="2">
        <v>46203</v>
      </c>
      <c r="C7366" t="s">
        <v>176</v>
      </c>
      <c r="D7366" t="s">
        <v>99</v>
      </c>
      <c r="E7366" t="s">
        <v>9</v>
      </c>
      <c r="F7366" s="3">
        <v>230000</v>
      </c>
      <c r="G7366" s="3">
        <v>230000</v>
      </c>
      <c r="H7366" t="s">
        <v>3</v>
      </c>
      <c r="I7366" t="s">
        <v>3</v>
      </c>
      <c r="J7366" t="s">
        <v>169</v>
      </c>
      <c r="K7366" t="s">
        <v>13</v>
      </c>
      <c r="L7366" t="s">
        <v>19</v>
      </c>
      <c r="M7366" t="s">
        <v>102</v>
      </c>
      <c r="N7366" s="2">
        <v>46203</v>
      </c>
    </row>
    <row r="7367" spans="1:14" x14ac:dyDescent="0.25">
      <c r="A7367" t="s">
        <v>176</v>
      </c>
      <c r="B7367" s="2">
        <v>46203</v>
      </c>
      <c r="C7367" t="s">
        <v>176</v>
      </c>
      <c r="D7367" t="s">
        <v>99</v>
      </c>
      <c r="E7367" t="s">
        <v>9</v>
      </c>
      <c r="F7367" s="3">
        <v>130000</v>
      </c>
      <c r="G7367" s="3">
        <v>130000</v>
      </c>
      <c r="H7367" t="s">
        <v>3</v>
      </c>
      <c r="I7367" t="s">
        <v>3</v>
      </c>
      <c r="J7367" t="s">
        <v>169</v>
      </c>
      <c r="K7367" t="s">
        <v>13</v>
      </c>
      <c r="L7367" t="s">
        <v>19</v>
      </c>
      <c r="M7367" t="s">
        <v>102</v>
      </c>
      <c r="N7367" s="2">
        <v>46203</v>
      </c>
    </row>
    <row r="7368" spans="1:14" x14ac:dyDescent="0.25">
      <c r="A7368" t="s">
        <v>176</v>
      </c>
      <c r="B7368" s="2">
        <v>46205</v>
      </c>
      <c r="C7368" t="s">
        <v>176</v>
      </c>
      <c r="D7368" t="s">
        <v>99</v>
      </c>
      <c r="E7368" t="s">
        <v>9</v>
      </c>
      <c r="F7368" s="3">
        <v>-360000</v>
      </c>
      <c r="G7368" s="3">
        <v>-360000</v>
      </c>
      <c r="H7368" t="s">
        <v>3</v>
      </c>
      <c r="I7368" t="s">
        <v>3</v>
      </c>
      <c r="J7368" t="s">
        <v>787</v>
      </c>
      <c r="K7368" t="s">
        <v>13</v>
      </c>
      <c r="L7368" t="s">
        <v>19</v>
      </c>
      <c r="M7368" t="s">
        <v>102</v>
      </c>
      <c r="N7368" s="2">
        <v>46203</v>
      </c>
    </row>
    <row r="7369" spans="1:14" x14ac:dyDescent="0.25">
      <c r="A7369" s="4" t="s">
        <v>224</v>
      </c>
      <c r="B7369" s="5"/>
      <c r="C7369" s="4" t="s">
        <v>9</v>
      </c>
      <c r="D7369" s="4" t="s">
        <v>9</v>
      </c>
      <c r="E7369" s="4" t="s">
        <v>9</v>
      </c>
      <c r="F7369" s="6">
        <v>0</v>
      </c>
      <c r="G7369" s="6">
        <v>0</v>
      </c>
      <c r="H7369" s="4" t="s">
        <v>9</v>
      </c>
      <c r="I7369" s="4" t="s">
        <v>3</v>
      </c>
      <c r="J7369" s="4" t="s">
        <v>9</v>
      </c>
      <c r="K7369" s="4" t="s">
        <v>9</v>
      </c>
      <c r="L7369" s="4" t="s">
        <v>9</v>
      </c>
      <c r="M7369" s="4" t="s">
        <v>9</v>
      </c>
      <c r="N7369" s="5"/>
    </row>
    <row r="7370" spans="1:14" x14ac:dyDescent="0.25">
      <c r="A7370" s="4" t="s">
        <v>176</v>
      </c>
      <c r="B7370" s="5"/>
      <c r="C7370" s="4" t="s">
        <v>9</v>
      </c>
      <c r="D7370" s="4" t="s">
        <v>9</v>
      </c>
      <c r="E7370" s="4" t="s">
        <v>9</v>
      </c>
      <c r="F7370" s="6">
        <v>0</v>
      </c>
      <c r="G7370" s="6">
        <v>0</v>
      </c>
      <c r="H7370" s="4" t="s">
        <v>9</v>
      </c>
      <c r="I7370" s="4" t="s">
        <v>3</v>
      </c>
      <c r="J7370" s="4" t="s">
        <v>9</v>
      </c>
      <c r="K7370" s="4" t="s">
        <v>9</v>
      </c>
      <c r="L7370" s="4" t="s">
        <v>9</v>
      </c>
      <c r="M7370" s="4" t="s">
        <v>9</v>
      </c>
      <c r="N7370" s="5"/>
    </row>
    <row r="7371" spans="1:14" x14ac:dyDescent="0.25">
      <c r="A7371" t="s">
        <v>177</v>
      </c>
      <c r="B7371" s="2">
        <v>46203</v>
      </c>
      <c r="C7371" t="s">
        <v>177</v>
      </c>
      <c r="D7371" t="s">
        <v>99</v>
      </c>
      <c r="E7371" t="s">
        <v>9</v>
      </c>
      <c r="F7371" s="3">
        <v>25000</v>
      </c>
      <c r="G7371" s="3">
        <v>25000</v>
      </c>
      <c r="H7371" t="s">
        <v>3</v>
      </c>
      <c r="I7371" t="s">
        <v>3</v>
      </c>
      <c r="J7371" t="s">
        <v>169</v>
      </c>
      <c r="K7371" t="s">
        <v>13</v>
      </c>
      <c r="L7371" t="s">
        <v>19</v>
      </c>
      <c r="M7371" t="s">
        <v>102</v>
      </c>
      <c r="N7371" s="2">
        <v>46203</v>
      </c>
    </row>
    <row r="7372" spans="1:14" x14ac:dyDescent="0.25">
      <c r="A7372" t="s">
        <v>177</v>
      </c>
      <c r="B7372" s="2">
        <v>46203</v>
      </c>
      <c r="C7372" t="s">
        <v>177</v>
      </c>
      <c r="D7372" t="s">
        <v>99</v>
      </c>
      <c r="E7372" t="s">
        <v>9</v>
      </c>
      <c r="F7372" s="3">
        <v>67620</v>
      </c>
      <c r="G7372" s="3">
        <v>67620</v>
      </c>
      <c r="H7372" t="s">
        <v>3</v>
      </c>
      <c r="I7372" t="s">
        <v>3</v>
      </c>
      <c r="J7372" t="s">
        <v>169</v>
      </c>
      <c r="K7372" t="s">
        <v>13</v>
      </c>
      <c r="L7372" t="s">
        <v>19</v>
      </c>
      <c r="M7372" t="s">
        <v>102</v>
      </c>
      <c r="N7372" s="2">
        <v>46203</v>
      </c>
    </row>
    <row r="7373" spans="1:14" x14ac:dyDescent="0.25">
      <c r="A7373" t="s">
        <v>177</v>
      </c>
      <c r="B7373" s="2">
        <v>46205</v>
      </c>
      <c r="C7373" t="s">
        <v>177</v>
      </c>
      <c r="D7373" t="s">
        <v>99</v>
      </c>
      <c r="E7373" t="s">
        <v>9</v>
      </c>
      <c r="F7373" s="3">
        <v>-92620</v>
      </c>
      <c r="G7373" s="3">
        <v>-92620</v>
      </c>
      <c r="H7373" t="s">
        <v>3</v>
      </c>
      <c r="I7373" t="s">
        <v>3</v>
      </c>
      <c r="J7373" t="s">
        <v>788</v>
      </c>
      <c r="K7373" t="s">
        <v>13</v>
      </c>
      <c r="L7373" t="s">
        <v>19</v>
      </c>
      <c r="M7373" t="s">
        <v>102</v>
      </c>
      <c r="N7373" s="2">
        <v>46203</v>
      </c>
    </row>
    <row r="7374" spans="1:14" x14ac:dyDescent="0.25">
      <c r="A7374" s="4" t="s">
        <v>224</v>
      </c>
      <c r="B7374" s="5"/>
      <c r="C7374" s="4" t="s">
        <v>9</v>
      </c>
      <c r="D7374" s="4" t="s">
        <v>9</v>
      </c>
      <c r="E7374" s="4" t="s">
        <v>9</v>
      </c>
      <c r="F7374" s="6">
        <v>0</v>
      </c>
      <c r="G7374" s="6">
        <v>0</v>
      </c>
      <c r="H7374" s="4" t="s">
        <v>9</v>
      </c>
      <c r="I7374" s="4" t="s">
        <v>3</v>
      </c>
      <c r="J7374" s="4" t="s">
        <v>9</v>
      </c>
      <c r="K7374" s="4" t="s">
        <v>9</v>
      </c>
      <c r="L7374" s="4" t="s">
        <v>9</v>
      </c>
      <c r="M7374" s="4" t="s">
        <v>9</v>
      </c>
      <c r="N7374" s="5"/>
    </row>
    <row r="7375" spans="1:14" x14ac:dyDescent="0.25">
      <c r="A7375" t="s">
        <v>177</v>
      </c>
      <c r="B7375" s="2">
        <v>46234</v>
      </c>
      <c r="C7375" t="s">
        <v>177</v>
      </c>
      <c r="D7375" t="s">
        <v>99</v>
      </c>
      <c r="E7375" t="s">
        <v>9</v>
      </c>
      <c r="F7375" s="3">
        <v>5037</v>
      </c>
      <c r="G7375" s="3">
        <v>5037</v>
      </c>
      <c r="H7375" t="s">
        <v>3</v>
      </c>
      <c r="I7375" t="s">
        <v>3</v>
      </c>
      <c r="J7375" t="s">
        <v>178</v>
      </c>
      <c r="K7375" t="s">
        <v>13</v>
      </c>
      <c r="L7375" t="s">
        <v>21</v>
      </c>
      <c r="M7375" t="s">
        <v>102</v>
      </c>
      <c r="N7375" s="2">
        <v>46234</v>
      </c>
    </row>
    <row r="7376" spans="1:14" x14ac:dyDescent="0.25">
      <c r="A7376" t="s">
        <v>177</v>
      </c>
      <c r="B7376" s="2">
        <v>46239</v>
      </c>
      <c r="C7376" t="s">
        <v>177</v>
      </c>
      <c r="D7376" t="s">
        <v>99</v>
      </c>
      <c r="E7376" t="s">
        <v>9</v>
      </c>
      <c r="F7376" s="3">
        <v>-5037</v>
      </c>
      <c r="G7376" s="3">
        <v>-5037</v>
      </c>
      <c r="H7376" t="s">
        <v>3</v>
      </c>
      <c r="I7376" t="s">
        <v>3</v>
      </c>
      <c r="J7376" t="s">
        <v>788</v>
      </c>
      <c r="K7376" t="s">
        <v>13</v>
      </c>
      <c r="L7376" t="s">
        <v>21</v>
      </c>
      <c r="M7376" t="s">
        <v>102</v>
      </c>
      <c r="N7376" s="2">
        <v>46234</v>
      </c>
    </row>
    <row r="7377" spans="1:14" x14ac:dyDescent="0.25">
      <c r="A7377" s="4" t="s">
        <v>262</v>
      </c>
      <c r="B7377" s="5"/>
      <c r="C7377" s="4" t="s">
        <v>9</v>
      </c>
      <c r="D7377" s="4" t="s">
        <v>9</v>
      </c>
      <c r="E7377" s="4" t="s">
        <v>9</v>
      </c>
      <c r="F7377" s="6">
        <v>0</v>
      </c>
      <c r="G7377" s="6">
        <v>0</v>
      </c>
      <c r="H7377" s="4" t="s">
        <v>9</v>
      </c>
      <c r="I7377" s="4" t="s">
        <v>3</v>
      </c>
      <c r="J7377" s="4" t="s">
        <v>9</v>
      </c>
      <c r="K7377" s="4" t="s">
        <v>9</v>
      </c>
      <c r="L7377" s="4" t="s">
        <v>9</v>
      </c>
      <c r="M7377" s="4" t="s">
        <v>9</v>
      </c>
      <c r="N7377" s="5"/>
    </row>
    <row r="7378" spans="1:14" x14ac:dyDescent="0.25">
      <c r="A7378" t="s">
        <v>177</v>
      </c>
      <c r="B7378" s="2">
        <v>46265</v>
      </c>
      <c r="C7378" t="s">
        <v>177</v>
      </c>
      <c r="D7378" t="s">
        <v>99</v>
      </c>
      <c r="E7378" t="s">
        <v>9</v>
      </c>
      <c r="F7378" s="3">
        <v>17486</v>
      </c>
      <c r="G7378" s="3">
        <v>17486</v>
      </c>
      <c r="H7378" t="s">
        <v>3</v>
      </c>
      <c r="I7378" t="s">
        <v>3</v>
      </c>
      <c r="J7378" t="s">
        <v>171</v>
      </c>
      <c r="K7378" t="s">
        <v>13</v>
      </c>
      <c r="L7378" t="s">
        <v>22</v>
      </c>
      <c r="M7378" t="s">
        <v>102</v>
      </c>
      <c r="N7378" s="2">
        <v>46265</v>
      </c>
    </row>
    <row r="7379" spans="1:14" x14ac:dyDescent="0.25">
      <c r="A7379" t="s">
        <v>177</v>
      </c>
      <c r="B7379" s="2">
        <v>46272</v>
      </c>
      <c r="C7379" t="s">
        <v>177</v>
      </c>
      <c r="D7379" t="s">
        <v>99</v>
      </c>
      <c r="E7379" t="s">
        <v>9</v>
      </c>
      <c r="F7379" s="3">
        <v>-17486</v>
      </c>
      <c r="G7379" s="3">
        <v>-17486</v>
      </c>
      <c r="H7379" t="s">
        <v>3</v>
      </c>
      <c r="I7379" t="s">
        <v>3</v>
      </c>
      <c r="J7379" t="s">
        <v>788</v>
      </c>
      <c r="K7379" t="s">
        <v>13</v>
      </c>
      <c r="L7379" t="s">
        <v>22</v>
      </c>
      <c r="M7379" t="s">
        <v>102</v>
      </c>
      <c r="N7379" s="2">
        <v>46265</v>
      </c>
    </row>
    <row r="7380" spans="1:14" x14ac:dyDescent="0.25">
      <c r="A7380" s="4" t="s">
        <v>267</v>
      </c>
      <c r="B7380" s="5"/>
      <c r="C7380" s="4" t="s">
        <v>9</v>
      </c>
      <c r="D7380" s="4" t="s">
        <v>9</v>
      </c>
      <c r="E7380" s="4" t="s">
        <v>9</v>
      </c>
      <c r="F7380" s="6">
        <v>0</v>
      </c>
      <c r="G7380" s="6">
        <v>0</v>
      </c>
      <c r="H7380" s="4" t="s">
        <v>9</v>
      </c>
      <c r="I7380" s="4" t="s">
        <v>3</v>
      </c>
      <c r="J7380" s="4" t="s">
        <v>9</v>
      </c>
      <c r="K7380" s="4" t="s">
        <v>9</v>
      </c>
      <c r="L7380" s="4" t="s">
        <v>9</v>
      </c>
      <c r="M7380" s="4" t="s">
        <v>9</v>
      </c>
      <c r="N7380" s="5"/>
    </row>
    <row r="7381" spans="1:14" x14ac:dyDescent="0.25">
      <c r="A7381" s="4" t="s">
        <v>177</v>
      </c>
      <c r="B7381" s="5"/>
      <c r="C7381" s="4" t="s">
        <v>9</v>
      </c>
      <c r="D7381" s="4" t="s">
        <v>9</v>
      </c>
      <c r="E7381" s="4" t="s">
        <v>9</v>
      </c>
      <c r="F7381" s="6">
        <v>0</v>
      </c>
      <c r="G7381" s="6">
        <v>0</v>
      </c>
      <c r="H7381" s="4" t="s">
        <v>9</v>
      </c>
      <c r="I7381" s="4" t="s">
        <v>3</v>
      </c>
      <c r="J7381" s="4" t="s">
        <v>9</v>
      </c>
      <c r="K7381" s="4" t="s">
        <v>9</v>
      </c>
      <c r="L7381" s="4" t="s">
        <v>9</v>
      </c>
      <c r="M7381" s="4" t="s">
        <v>9</v>
      </c>
      <c r="N7381" s="5"/>
    </row>
    <row r="7382" spans="1:14" x14ac:dyDescent="0.25">
      <c r="A7382" t="s">
        <v>179</v>
      </c>
      <c r="B7382" s="2">
        <v>46203</v>
      </c>
      <c r="C7382" t="s">
        <v>179</v>
      </c>
      <c r="D7382" t="s">
        <v>1</v>
      </c>
      <c r="E7382" t="s">
        <v>9</v>
      </c>
      <c r="F7382" s="3">
        <v>100000</v>
      </c>
      <c r="G7382" s="3">
        <v>100000</v>
      </c>
      <c r="H7382" t="s">
        <v>3</v>
      </c>
      <c r="I7382" t="s">
        <v>3</v>
      </c>
      <c r="J7382" t="s">
        <v>10</v>
      </c>
      <c r="K7382" t="s">
        <v>13</v>
      </c>
      <c r="L7382" t="s">
        <v>19</v>
      </c>
      <c r="M7382" t="s">
        <v>7</v>
      </c>
      <c r="N7382" s="2">
        <v>46203</v>
      </c>
    </row>
    <row r="7383" spans="1:14" x14ac:dyDescent="0.25">
      <c r="A7383" t="s">
        <v>179</v>
      </c>
      <c r="B7383" s="2">
        <v>46205</v>
      </c>
      <c r="C7383" t="s">
        <v>179</v>
      </c>
      <c r="D7383" t="s">
        <v>1</v>
      </c>
      <c r="E7383" t="s">
        <v>9</v>
      </c>
      <c r="F7383" s="3">
        <v>-100000</v>
      </c>
      <c r="G7383" s="3">
        <v>-100000</v>
      </c>
      <c r="H7383" t="s">
        <v>3</v>
      </c>
      <c r="I7383" t="s">
        <v>3</v>
      </c>
      <c r="J7383" t="s">
        <v>789</v>
      </c>
      <c r="K7383" t="s">
        <v>13</v>
      </c>
      <c r="L7383" t="s">
        <v>19</v>
      </c>
      <c r="M7383" t="s">
        <v>7</v>
      </c>
      <c r="N7383" s="2">
        <v>46203</v>
      </c>
    </row>
    <row r="7384" spans="1:14" x14ac:dyDescent="0.25">
      <c r="A7384" s="4" t="s">
        <v>224</v>
      </c>
      <c r="B7384" s="5"/>
      <c r="C7384" s="4" t="s">
        <v>9</v>
      </c>
      <c r="D7384" s="4" t="s">
        <v>9</v>
      </c>
      <c r="E7384" s="4" t="s">
        <v>9</v>
      </c>
      <c r="F7384" s="6">
        <v>0</v>
      </c>
      <c r="G7384" s="6">
        <v>0</v>
      </c>
      <c r="H7384" s="4" t="s">
        <v>9</v>
      </c>
      <c r="I7384" s="4" t="s">
        <v>3</v>
      </c>
      <c r="J7384" s="4" t="s">
        <v>9</v>
      </c>
      <c r="K7384" s="4" t="s">
        <v>9</v>
      </c>
      <c r="L7384" s="4" t="s">
        <v>9</v>
      </c>
      <c r="M7384" s="4" t="s">
        <v>9</v>
      </c>
      <c r="N7384" s="5"/>
    </row>
    <row r="7385" spans="1:14" x14ac:dyDescent="0.25">
      <c r="A7385" s="4" t="s">
        <v>179</v>
      </c>
      <c r="B7385" s="5"/>
      <c r="C7385" s="4" t="s">
        <v>9</v>
      </c>
      <c r="D7385" s="4" t="s">
        <v>9</v>
      </c>
      <c r="E7385" s="4" t="s">
        <v>9</v>
      </c>
      <c r="F7385" s="6">
        <v>0</v>
      </c>
      <c r="G7385" s="6">
        <v>0</v>
      </c>
      <c r="H7385" s="4" t="s">
        <v>9</v>
      </c>
      <c r="I7385" s="4" t="s">
        <v>3</v>
      </c>
      <c r="J7385" s="4" t="s">
        <v>9</v>
      </c>
      <c r="K7385" s="4" t="s">
        <v>9</v>
      </c>
      <c r="L7385" s="4" t="s">
        <v>9</v>
      </c>
      <c r="M7385" s="4" t="s">
        <v>9</v>
      </c>
      <c r="N7385" s="5"/>
    </row>
    <row r="7386" spans="1:14" x14ac:dyDescent="0.25">
      <c r="A7386" t="s">
        <v>180</v>
      </c>
      <c r="B7386" s="2">
        <v>46203</v>
      </c>
      <c r="C7386" t="s">
        <v>180</v>
      </c>
      <c r="D7386" t="s">
        <v>1</v>
      </c>
      <c r="E7386" t="s">
        <v>9</v>
      </c>
      <c r="F7386" s="3">
        <v>5775.28</v>
      </c>
      <c r="G7386" s="3">
        <v>5775.28</v>
      </c>
      <c r="H7386" t="s">
        <v>3</v>
      </c>
      <c r="I7386" t="s">
        <v>3</v>
      </c>
      <c r="J7386" t="s">
        <v>10</v>
      </c>
      <c r="K7386" t="s">
        <v>13</v>
      </c>
      <c r="L7386" t="s">
        <v>19</v>
      </c>
      <c r="M7386" t="s">
        <v>7</v>
      </c>
      <c r="N7386" s="2">
        <v>46203</v>
      </c>
    </row>
    <row r="7387" spans="1:14" x14ac:dyDescent="0.25">
      <c r="A7387" t="s">
        <v>180</v>
      </c>
      <c r="B7387" s="2">
        <v>46205</v>
      </c>
      <c r="C7387" t="s">
        <v>180</v>
      </c>
      <c r="D7387" t="s">
        <v>1</v>
      </c>
      <c r="E7387" t="s">
        <v>9</v>
      </c>
      <c r="F7387" s="3">
        <v>-5775.28</v>
      </c>
      <c r="G7387" s="3">
        <v>-5775.28</v>
      </c>
      <c r="H7387" t="s">
        <v>3</v>
      </c>
      <c r="I7387" t="s">
        <v>3</v>
      </c>
      <c r="J7387" t="s">
        <v>790</v>
      </c>
      <c r="K7387" t="s">
        <v>13</v>
      </c>
      <c r="L7387" t="s">
        <v>19</v>
      </c>
      <c r="M7387" t="s">
        <v>7</v>
      </c>
      <c r="N7387" s="2">
        <v>46203</v>
      </c>
    </row>
    <row r="7388" spans="1:14" x14ac:dyDescent="0.25">
      <c r="A7388" s="4" t="s">
        <v>224</v>
      </c>
      <c r="B7388" s="5"/>
      <c r="C7388" s="4" t="s">
        <v>9</v>
      </c>
      <c r="D7388" s="4" t="s">
        <v>9</v>
      </c>
      <c r="E7388" s="4" t="s">
        <v>9</v>
      </c>
      <c r="F7388" s="6">
        <v>0</v>
      </c>
      <c r="G7388" s="6">
        <v>0</v>
      </c>
      <c r="H7388" s="4" t="s">
        <v>9</v>
      </c>
      <c r="I7388" s="4" t="s">
        <v>3</v>
      </c>
      <c r="J7388" s="4" t="s">
        <v>9</v>
      </c>
      <c r="K7388" s="4" t="s">
        <v>9</v>
      </c>
      <c r="L7388" s="4" t="s">
        <v>9</v>
      </c>
      <c r="M7388" s="4" t="s">
        <v>9</v>
      </c>
      <c r="N7388" s="5"/>
    </row>
    <row r="7389" spans="1:14" x14ac:dyDescent="0.25">
      <c r="A7389" t="s">
        <v>180</v>
      </c>
      <c r="B7389" s="2">
        <v>46234</v>
      </c>
      <c r="C7389" t="s">
        <v>180</v>
      </c>
      <c r="D7389" t="s">
        <v>1</v>
      </c>
      <c r="E7389" t="s">
        <v>9</v>
      </c>
      <c r="F7389" s="3">
        <v>5324.72</v>
      </c>
      <c r="G7389" s="3">
        <v>5324.72</v>
      </c>
      <c r="H7389" t="s">
        <v>3</v>
      </c>
      <c r="I7389" t="s">
        <v>3</v>
      </c>
      <c r="J7389" t="s">
        <v>10</v>
      </c>
      <c r="K7389" t="s">
        <v>13</v>
      </c>
      <c r="L7389" t="s">
        <v>21</v>
      </c>
      <c r="M7389" t="s">
        <v>7</v>
      </c>
      <c r="N7389" s="2">
        <v>46234</v>
      </c>
    </row>
    <row r="7390" spans="1:14" x14ac:dyDescent="0.25">
      <c r="A7390" t="s">
        <v>180</v>
      </c>
      <c r="B7390" s="2">
        <v>46239</v>
      </c>
      <c r="C7390" t="s">
        <v>180</v>
      </c>
      <c r="D7390" t="s">
        <v>1</v>
      </c>
      <c r="E7390" t="s">
        <v>9</v>
      </c>
      <c r="F7390" s="3">
        <v>-5324.72</v>
      </c>
      <c r="G7390" s="3">
        <v>-5324.72</v>
      </c>
      <c r="H7390" t="s">
        <v>3</v>
      </c>
      <c r="I7390" t="s">
        <v>3</v>
      </c>
      <c r="J7390" t="s">
        <v>790</v>
      </c>
      <c r="K7390" t="s">
        <v>13</v>
      </c>
      <c r="L7390" t="s">
        <v>21</v>
      </c>
      <c r="M7390" t="s">
        <v>7</v>
      </c>
      <c r="N7390" s="2">
        <v>46234</v>
      </c>
    </row>
    <row r="7391" spans="1:14" x14ac:dyDescent="0.25">
      <c r="A7391" s="4" t="s">
        <v>262</v>
      </c>
      <c r="B7391" s="5"/>
      <c r="C7391" s="4" t="s">
        <v>9</v>
      </c>
      <c r="D7391" s="4" t="s">
        <v>9</v>
      </c>
      <c r="E7391" s="4" t="s">
        <v>9</v>
      </c>
      <c r="F7391" s="6">
        <v>0</v>
      </c>
      <c r="G7391" s="6">
        <v>0</v>
      </c>
      <c r="H7391" s="4" t="s">
        <v>9</v>
      </c>
      <c r="I7391" s="4" t="s">
        <v>3</v>
      </c>
      <c r="J7391" s="4" t="s">
        <v>9</v>
      </c>
      <c r="K7391" s="4" t="s">
        <v>9</v>
      </c>
      <c r="L7391" s="4" t="s">
        <v>9</v>
      </c>
      <c r="M7391" s="4" t="s">
        <v>9</v>
      </c>
      <c r="N7391" s="5"/>
    </row>
    <row r="7392" spans="1:14" x14ac:dyDescent="0.25">
      <c r="A7392" t="s">
        <v>180</v>
      </c>
      <c r="B7392" s="2">
        <v>46248</v>
      </c>
      <c r="C7392" t="s">
        <v>180</v>
      </c>
      <c r="D7392" t="s">
        <v>1</v>
      </c>
      <c r="E7392" t="s">
        <v>181</v>
      </c>
      <c r="F7392" s="3">
        <v>84000</v>
      </c>
      <c r="G7392" s="3">
        <v>84000</v>
      </c>
      <c r="H7392" t="s">
        <v>3</v>
      </c>
      <c r="I7392" t="s">
        <v>3</v>
      </c>
      <c r="J7392" t="s">
        <v>182</v>
      </c>
      <c r="K7392" t="s">
        <v>13</v>
      </c>
      <c r="L7392" t="s">
        <v>22</v>
      </c>
      <c r="M7392" t="s">
        <v>7</v>
      </c>
      <c r="N7392" s="2">
        <v>46248</v>
      </c>
    </row>
    <row r="7393" spans="1:14" x14ac:dyDescent="0.25">
      <c r="A7393" t="s">
        <v>180</v>
      </c>
      <c r="B7393" s="2">
        <v>46265</v>
      </c>
      <c r="C7393" t="s">
        <v>180</v>
      </c>
      <c r="D7393" t="s">
        <v>1</v>
      </c>
      <c r="E7393" t="s">
        <v>9</v>
      </c>
      <c r="F7393" s="3">
        <v>1400</v>
      </c>
      <c r="G7393" s="3">
        <v>1400</v>
      </c>
      <c r="H7393" t="s">
        <v>3</v>
      </c>
      <c r="I7393" t="s">
        <v>3</v>
      </c>
      <c r="J7393" t="s">
        <v>10</v>
      </c>
      <c r="K7393" t="s">
        <v>13</v>
      </c>
      <c r="L7393" t="s">
        <v>22</v>
      </c>
      <c r="M7393" t="s">
        <v>7</v>
      </c>
      <c r="N7393" s="2">
        <v>46265</v>
      </c>
    </row>
    <row r="7394" spans="1:14" x14ac:dyDescent="0.25">
      <c r="A7394" t="s">
        <v>180</v>
      </c>
      <c r="B7394" s="2">
        <v>46267</v>
      </c>
      <c r="C7394" t="s">
        <v>180</v>
      </c>
      <c r="D7394" t="s">
        <v>1</v>
      </c>
      <c r="E7394" t="s">
        <v>9</v>
      </c>
      <c r="F7394" s="3">
        <v>-85400</v>
      </c>
      <c r="G7394" s="3">
        <v>-85400</v>
      </c>
      <c r="H7394" t="s">
        <v>3</v>
      </c>
      <c r="I7394" t="s">
        <v>3</v>
      </c>
      <c r="J7394" t="s">
        <v>790</v>
      </c>
      <c r="K7394" t="s">
        <v>13</v>
      </c>
      <c r="L7394" t="s">
        <v>22</v>
      </c>
      <c r="M7394" t="s">
        <v>7</v>
      </c>
      <c r="N7394" s="2">
        <v>46265</v>
      </c>
    </row>
    <row r="7395" spans="1:14" x14ac:dyDescent="0.25">
      <c r="A7395" s="4" t="s">
        <v>267</v>
      </c>
      <c r="B7395" s="5"/>
      <c r="C7395" s="4" t="s">
        <v>9</v>
      </c>
      <c r="D7395" s="4" t="s">
        <v>9</v>
      </c>
      <c r="E7395" s="4" t="s">
        <v>9</v>
      </c>
      <c r="F7395" s="6">
        <v>0</v>
      </c>
      <c r="G7395" s="6">
        <v>0</v>
      </c>
      <c r="H7395" s="4" t="s">
        <v>9</v>
      </c>
      <c r="I7395" s="4" t="s">
        <v>3</v>
      </c>
      <c r="J7395" s="4" t="s">
        <v>9</v>
      </c>
      <c r="K7395" s="4" t="s">
        <v>9</v>
      </c>
      <c r="L7395" s="4" t="s">
        <v>9</v>
      </c>
      <c r="M7395" s="4" t="s">
        <v>9</v>
      </c>
      <c r="N7395" s="5"/>
    </row>
    <row r="7396" spans="1:14" x14ac:dyDescent="0.25">
      <c r="A7396" s="4" t="s">
        <v>180</v>
      </c>
      <c r="B7396" s="5"/>
      <c r="C7396" s="4" t="s">
        <v>9</v>
      </c>
      <c r="D7396" s="4" t="s">
        <v>9</v>
      </c>
      <c r="E7396" s="4" t="s">
        <v>9</v>
      </c>
      <c r="F7396" s="6">
        <v>0</v>
      </c>
      <c r="G7396" s="6">
        <v>0</v>
      </c>
      <c r="H7396" s="4" t="s">
        <v>9</v>
      </c>
      <c r="I7396" s="4" t="s">
        <v>3</v>
      </c>
      <c r="J7396" s="4" t="s">
        <v>9</v>
      </c>
      <c r="K7396" s="4" t="s">
        <v>9</v>
      </c>
      <c r="L7396" s="4" t="s">
        <v>9</v>
      </c>
      <c r="M7396" s="4" t="s">
        <v>9</v>
      </c>
      <c r="N7396" s="5"/>
    </row>
    <row r="7397" spans="1:14" x14ac:dyDescent="0.25">
      <c r="A7397" t="s">
        <v>183</v>
      </c>
      <c r="B7397" s="2">
        <v>46203</v>
      </c>
      <c r="C7397" t="s">
        <v>183</v>
      </c>
      <c r="D7397" t="s">
        <v>1</v>
      </c>
      <c r="E7397" t="s">
        <v>9</v>
      </c>
      <c r="F7397" s="3">
        <v>187.64</v>
      </c>
      <c r="G7397" s="3">
        <v>187.64</v>
      </c>
      <c r="H7397" t="s">
        <v>3</v>
      </c>
      <c r="I7397" t="s">
        <v>3</v>
      </c>
      <c r="J7397" t="s">
        <v>10</v>
      </c>
      <c r="K7397" t="s">
        <v>13</v>
      </c>
      <c r="L7397" t="s">
        <v>19</v>
      </c>
      <c r="M7397" t="s">
        <v>7</v>
      </c>
      <c r="N7397" s="2">
        <v>46203</v>
      </c>
    </row>
    <row r="7398" spans="1:14" x14ac:dyDescent="0.25">
      <c r="A7398" t="s">
        <v>183</v>
      </c>
      <c r="B7398" s="2">
        <v>46203</v>
      </c>
      <c r="C7398" t="s">
        <v>183</v>
      </c>
      <c r="D7398" t="s">
        <v>99</v>
      </c>
      <c r="E7398" t="s">
        <v>9</v>
      </c>
      <c r="F7398" s="3">
        <v>63000</v>
      </c>
      <c r="G7398" s="3">
        <v>63000</v>
      </c>
      <c r="H7398" t="s">
        <v>3</v>
      </c>
      <c r="I7398" t="s">
        <v>3</v>
      </c>
      <c r="J7398" t="s">
        <v>184</v>
      </c>
      <c r="K7398" t="s">
        <v>13</v>
      </c>
      <c r="L7398" t="s">
        <v>19</v>
      </c>
      <c r="M7398" t="s">
        <v>102</v>
      </c>
      <c r="N7398" s="2">
        <v>46203</v>
      </c>
    </row>
    <row r="7399" spans="1:14" x14ac:dyDescent="0.25">
      <c r="A7399" t="s">
        <v>183</v>
      </c>
      <c r="B7399" s="2">
        <v>46203</v>
      </c>
      <c r="C7399" t="s">
        <v>183</v>
      </c>
      <c r="D7399" t="s">
        <v>99</v>
      </c>
      <c r="E7399" t="s">
        <v>9</v>
      </c>
      <c r="F7399" s="3">
        <v>28000</v>
      </c>
      <c r="G7399" s="3">
        <v>28000</v>
      </c>
      <c r="H7399" t="s">
        <v>3</v>
      </c>
      <c r="I7399" t="s">
        <v>3</v>
      </c>
      <c r="J7399" t="s">
        <v>185</v>
      </c>
      <c r="K7399" t="s">
        <v>13</v>
      </c>
      <c r="L7399" t="s">
        <v>19</v>
      </c>
      <c r="M7399" t="s">
        <v>102</v>
      </c>
      <c r="N7399" s="2">
        <v>46203</v>
      </c>
    </row>
    <row r="7400" spans="1:14" x14ac:dyDescent="0.25">
      <c r="A7400" t="s">
        <v>183</v>
      </c>
      <c r="B7400" s="2">
        <v>46203</v>
      </c>
      <c r="C7400" t="s">
        <v>183</v>
      </c>
      <c r="D7400" t="s">
        <v>99</v>
      </c>
      <c r="E7400" t="s">
        <v>9</v>
      </c>
      <c r="F7400" s="3">
        <v>10000</v>
      </c>
      <c r="G7400" s="3">
        <v>10000</v>
      </c>
      <c r="H7400" t="s">
        <v>3</v>
      </c>
      <c r="I7400" t="s">
        <v>3</v>
      </c>
      <c r="J7400" t="s">
        <v>185</v>
      </c>
      <c r="K7400" t="s">
        <v>13</v>
      </c>
      <c r="L7400" t="s">
        <v>19</v>
      </c>
      <c r="M7400" t="s">
        <v>102</v>
      </c>
      <c r="N7400" s="2">
        <v>46203</v>
      </c>
    </row>
    <row r="7401" spans="1:14" x14ac:dyDescent="0.25">
      <c r="A7401" t="s">
        <v>183</v>
      </c>
      <c r="B7401" s="2">
        <v>46203</v>
      </c>
      <c r="C7401" t="s">
        <v>183</v>
      </c>
      <c r="D7401" t="s">
        <v>99</v>
      </c>
      <c r="E7401" t="s">
        <v>9</v>
      </c>
      <c r="F7401" s="3">
        <v>10000</v>
      </c>
      <c r="G7401" s="3">
        <v>10000</v>
      </c>
      <c r="H7401" t="s">
        <v>3</v>
      </c>
      <c r="I7401" t="s">
        <v>3</v>
      </c>
      <c r="J7401" t="s">
        <v>185</v>
      </c>
      <c r="K7401" t="s">
        <v>13</v>
      </c>
      <c r="L7401" t="s">
        <v>19</v>
      </c>
      <c r="M7401" t="s">
        <v>102</v>
      </c>
      <c r="N7401" s="2">
        <v>46203</v>
      </c>
    </row>
    <row r="7402" spans="1:14" x14ac:dyDescent="0.25">
      <c r="A7402" t="s">
        <v>183</v>
      </c>
      <c r="B7402" s="2">
        <v>46203</v>
      </c>
      <c r="C7402" t="s">
        <v>183</v>
      </c>
      <c r="D7402" t="s">
        <v>99</v>
      </c>
      <c r="E7402" t="s">
        <v>9</v>
      </c>
      <c r="F7402" s="3">
        <v>10000</v>
      </c>
      <c r="G7402" s="3">
        <v>10000</v>
      </c>
      <c r="H7402" t="s">
        <v>3</v>
      </c>
      <c r="I7402" t="s">
        <v>3</v>
      </c>
      <c r="J7402" t="s">
        <v>184</v>
      </c>
      <c r="K7402" t="s">
        <v>13</v>
      </c>
      <c r="L7402" t="s">
        <v>19</v>
      </c>
      <c r="M7402" t="s">
        <v>102</v>
      </c>
      <c r="N7402" s="2">
        <v>46203</v>
      </c>
    </row>
    <row r="7403" spans="1:14" x14ac:dyDescent="0.25">
      <c r="A7403" t="s">
        <v>183</v>
      </c>
      <c r="B7403" s="2">
        <v>46203</v>
      </c>
      <c r="C7403" t="s">
        <v>183</v>
      </c>
      <c r="D7403" t="s">
        <v>99</v>
      </c>
      <c r="E7403" t="s">
        <v>9</v>
      </c>
      <c r="F7403" s="3">
        <v>412274</v>
      </c>
      <c r="G7403" s="3">
        <v>412274</v>
      </c>
      <c r="H7403" t="s">
        <v>3</v>
      </c>
      <c r="I7403" t="s">
        <v>3</v>
      </c>
      <c r="J7403" t="s">
        <v>184</v>
      </c>
      <c r="K7403" t="s">
        <v>13</v>
      </c>
      <c r="L7403" t="s">
        <v>19</v>
      </c>
      <c r="M7403" t="s">
        <v>102</v>
      </c>
      <c r="N7403" s="2">
        <v>46203</v>
      </c>
    </row>
    <row r="7404" spans="1:14" x14ac:dyDescent="0.25">
      <c r="A7404" t="s">
        <v>183</v>
      </c>
      <c r="B7404" s="2">
        <v>46203</v>
      </c>
      <c r="C7404" t="s">
        <v>183</v>
      </c>
      <c r="D7404" t="s">
        <v>99</v>
      </c>
      <c r="E7404" t="s">
        <v>9</v>
      </c>
      <c r="F7404" s="3">
        <v>72790</v>
      </c>
      <c r="G7404" s="3">
        <v>72790</v>
      </c>
      <c r="H7404" t="s">
        <v>3</v>
      </c>
      <c r="I7404" t="s">
        <v>3</v>
      </c>
      <c r="J7404" t="s">
        <v>185</v>
      </c>
      <c r="K7404" t="s">
        <v>13</v>
      </c>
      <c r="L7404" t="s">
        <v>19</v>
      </c>
      <c r="M7404" t="s">
        <v>102</v>
      </c>
      <c r="N7404" s="2">
        <v>46203</v>
      </c>
    </row>
    <row r="7405" spans="1:14" x14ac:dyDescent="0.25">
      <c r="A7405" t="s">
        <v>183</v>
      </c>
      <c r="B7405" s="2">
        <v>46205</v>
      </c>
      <c r="C7405" t="s">
        <v>183</v>
      </c>
      <c r="D7405" t="s">
        <v>99</v>
      </c>
      <c r="E7405" t="s">
        <v>9</v>
      </c>
      <c r="F7405" s="3">
        <v>-606064</v>
      </c>
      <c r="G7405" s="3">
        <v>-606064</v>
      </c>
      <c r="H7405" t="s">
        <v>3</v>
      </c>
      <c r="I7405" t="s">
        <v>3</v>
      </c>
      <c r="J7405" t="s">
        <v>186</v>
      </c>
      <c r="K7405" t="s">
        <v>13</v>
      </c>
      <c r="L7405" t="s">
        <v>19</v>
      </c>
      <c r="M7405" t="s">
        <v>102</v>
      </c>
      <c r="N7405" s="2">
        <v>46203</v>
      </c>
    </row>
    <row r="7406" spans="1:14" x14ac:dyDescent="0.25">
      <c r="A7406" t="s">
        <v>183</v>
      </c>
      <c r="B7406" s="2">
        <v>46205</v>
      </c>
      <c r="C7406" t="s">
        <v>183</v>
      </c>
      <c r="D7406" t="s">
        <v>1</v>
      </c>
      <c r="E7406" t="s">
        <v>9</v>
      </c>
      <c r="F7406" s="3">
        <v>-187.64</v>
      </c>
      <c r="G7406" s="3">
        <v>-187.64</v>
      </c>
      <c r="H7406" t="s">
        <v>3</v>
      </c>
      <c r="I7406" t="s">
        <v>3</v>
      </c>
      <c r="J7406" t="s">
        <v>186</v>
      </c>
      <c r="K7406" t="s">
        <v>13</v>
      </c>
      <c r="L7406" t="s">
        <v>19</v>
      </c>
      <c r="M7406" t="s">
        <v>7</v>
      </c>
      <c r="N7406" s="2">
        <v>46203</v>
      </c>
    </row>
    <row r="7407" spans="1:14" x14ac:dyDescent="0.25">
      <c r="A7407" s="4" t="s">
        <v>224</v>
      </c>
      <c r="B7407" s="5"/>
      <c r="C7407" s="4" t="s">
        <v>9</v>
      </c>
      <c r="D7407" s="4" t="s">
        <v>9</v>
      </c>
      <c r="E7407" s="4" t="s">
        <v>9</v>
      </c>
      <c r="F7407" s="6">
        <v>0</v>
      </c>
      <c r="G7407" s="6">
        <v>0</v>
      </c>
      <c r="H7407" s="4" t="s">
        <v>9</v>
      </c>
      <c r="I7407" s="4" t="s">
        <v>3</v>
      </c>
      <c r="J7407" s="4" t="s">
        <v>9</v>
      </c>
      <c r="K7407" s="4" t="s">
        <v>9</v>
      </c>
      <c r="L7407" s="4" t="s">
        <v>9</v>
      </c>
      <c r="M7407" s="4" t="s">
        <v>9</v>
      </c>
      <c r="N7407" s="5"/>
    </row>
    <row r="7408" spans="1:14" x14ac:dyDescent="0.25">
      <c r="A7408" t="s">
        <v>183</v>
      </c>
      <c r="B7408" s="2">
        <v>46234</v>
      </c>
      <c r="C7408" t="s">
        <v>183</v>
      </c>
      <c r="D7408" t="s">
        <v>1</v>
      </c>
      <c r="E7408" t="s">
        <v>9</v>
      </c>
      <c r="F7408" s="3">
        <v>1513</v>
      </c>
      <c r="G7408" s="3">
        <v>1513</v>
      </c>
      <c r="H7408" t="s">
        <v>3</v>
      </c>
      <c r="I7408" t="s">
        <v>3</v>
      </c>
      <c r="J7408" t="s">
        <v>10</v>
      </c>
      <c r="K7408" t="s">
        <v>13</v>
      </c>
      <c r="L7408" t="s">
        <v>21</v>
      </c>
      <c r="M7408" t="s">
        <v>7</v>
      </c>
      <c r="N7408" s="2">
        <v>46234</v>
      </c>
    </row>
    <row r="7409" spans="1:14" x14ac:dyDescent="0.25">
      <c r="A7409" t="s">
        <v>183</v>
      </c>
      <c r="B7409" s="2">
        <v>46239</v>
      </c>
      <c r="C7409" t="s">
        <v>183</v>
      </c>
      <c r="D7409" t="s">
        <v>1</v>
      </c>
      <c r="E7409" t="s">
        <v>9</v>
      </c>
      <c r="F7409" s="3">
        <v>-1513</v>
      </c>
      <c r="G7409" s="3">
        <v>-1513</v>
      </c>
      <c r="H7409" t="s">
        <v>3</v>
      </c>
      <c r="I7409" t="s">
        <v>3</v>
      </c>
      <c r="J7409" t="s">
        <v>186</v>
      </c>
      <c r="K7409" t="s">
        <v>13</v>
      </c>
      <c r="L7409" t="s">
        <v>21</v>
      </c>
      <c r="M7409" t="s">
        <v>7</v>
      </c>
      <c r="N7409" s="2">
        <v>46234</v>
      </c>
    </row>
    <row r="7410" spans="1:14" x14ac:dyDescent="0.25">
      <c r="A7410" s="4" t="s">
        <v>262</v>
      </c>
      <c r="B7410" s="5"/>
      <c r="C7410" s="4" t="s">
        <v>9</v>
      </c>
      <c r="D7410" s="4" t="s">
        <v>9</v>
      </c>
      <c r="E7410" s="4" t="s">
        <v>9</v>
      </c>
      <c r="F7410" s="6">
        <v>0</v>
      </c>
      <c r="G7410" s="6">
        <v>0</v>
      </c>
      <c r="H7410" s="4" t="s">
        <v>9</v>
      </c>
      <c r="I7410" s="4" t="s">
        <v>3</v>
      </c>
      <c r="J7410" s="4" t="s">
        <v>9</v>
      </c>
      <c r="K7410" s="4" t="s">
        <v>9</v>
      </c>
      <c r="L7410" s="4" t="s">
        <v>9</v>
      </c>
      <c r="M7410" s="4" t="s">
        <v>9</v>
      </c>
      <c r="N7410" s="5"/>
    </row>
    <row r="7411" spans="1:14" x14ac:dyDescent="0.25">
      <c r="A7411" t="s">
        <v>183</v>
      </c>
      <c r="B7411" s="2">
        <v>46265</v>
      </c>
      <c r="C7411" t="s">
        <v>183</v>
      </c>
      <c r="D7411" t="s">
        <v>112</v>
      </c>
      <c r="E7411" t="s">
        <v>9</v>
      </c>
      <c r="F7411" s="3">
        <v>-1700</v>
      </c>
      <c r="G7411" s="3">
        <v>-1700</v>
      </c>
      <c r="H7411" t="s">
        <v>3</v>
      </c>
      <c r="I7411" t="s">
        <v>3</v>
      </c>
      <c r="J7411" t="s">
        <v>706</v>
      </c>
      <c r="K7411" t="s">
        <v>13</v>
      </c>
      <c r="L7411" t="s">
        <v>22</v>
      </c>
      <c r="M7411" t="s">
        <v>114</v>
      </c>
      <c r="N7411" s="2">
        <v>46265</v>
      </c>
    </row>
    <row r="7412" spans="1:14" x14ac:dyDescent="0.25">
      <c r="A7412" t="s">
        <v>183</v>
      </c>
      <c r="B7412" s="2">
        <v>46267</v>
      </c>
      <c r="C7412" t="s">
        <v>183</v>
      </c>
      <c r="D7412" t="s">
        <v>112</v>
      </c>
      <c r="E7412" t="s">
        <v>9</v>
      </c>
      <c r="F7412" s="3">
        <v>1700</v>
      </c>
      <c r="G7412" s="3">
        <v>1700</v>
      </c>
      <c r="H7412" t="s">
        <v>3</v>
      </c>
      <c r="I7412" t="s">
        <v>3</v>
      </c>
      <c r="J7412" t="s">
        <v>186</v>
      </c>
      <c r="K7412" t="s">
        <v>13</v>
      </c>
      <c r="L7412" t="s">
        <v>22</v>
      </c>
      <c r="M7412" t="s">
        <v>114</v>
      </c>
      <c r="N7412" s="2">
        <v>46265</v>
      </c>
    </row>
    <row r="7413" spans="1:14" x14ac:dyDescent="0.25">
      <c r="A7413" s="4" t="s">
        <v>267</v>
      </c>
      <c r="B7413" s="5"/>
      <c r="C7413" s="4" t="s">
        <v>9</v>
      </c>
      <c r="D7413" s="4" t="s">
        <v>9</v>
      </c>
      <c r="E7413" s="4" t="s">
        <v>9</v>
      </c>
      <c r="F7413" s="6">
        <v>0</v>
      </c>
      <c r="G7413" s="6">
        <v>0</v>
      </c>
      <c r="H7413" s="4" t="s">
        <v>9</v>
      </c>
      <c r="I7413" s="4" t="s">
        <v>3</v>
      </c>
      <c r="J7413" s="4" t="s">
        <v>9</v>
      </c>
      <c r="K7413" s="4" t="s">
        <v>9</v>
      </c>
      <c r="L7413" s="4" t="s">
        <v>9</v>
      </c>
      <c r="M7413" s="4" t="s">
        <v>9</v>
      </c>
      <c r="N7413" s="5"/>
    </row>
    <row r="7414" spans="1:14" x14ac:dyDescent="0.25">
      <c r="A7414" s="4" t="s">
        <v>183</v>
      </c>
      <c r="B7414" s="5"/>
      <c r="C7414" s="4" t="s">
        <v>9</v>
      </c>
      <c r="D7414" s="4" t="s">
        <v>9</v>
      </c>
      <c r="E7414" s="4" t="s">
        <v>9</v>
      </c>
      <c r="F7414" s="6">
        <v>0</v>
      </c>
      <c r="G7414" s="6">
        <v>0</v>
      </c>
      <c r="H7414" s="4" t="s">
        <v>9</v>
      </c>
      <c r="I7414" s="4" t="s">
        <v>3</v>
      </c>
      <c r="J7414" s="4" t="s">
        <v>9</v>
      </c>
      <c r="K7414" s="4" t="s">
        <v>9</v>
      </c>
      <c r="L7414" s="4" t="s">
        <v>9</v>
      </c>
      <c r="M7414" s="4" t="s">
        <v>9</v>
      </c>
      <c r="N7414" s="5"/>
    </row>
    <row r="7415" spans="1:14" x14ac:dyDescent="0.25">
      <c r="A7415" t="s">
        <v>187</v>
      </c>
      <c r="B7415" s="2">
        <v>46234</v>
      </c>
      <c r="C7415" t="s">
        <v>187</v>
      </c>
      <c r="D7415" t="s">
        <v>1</v>
      </c>
      <c r="E7415" t="s">
        <v>9</v>
      </c>
      <c r="F7415" s="3">
        <v>14805</v>
      </c>
      <c r="G7415" s="3">
        <v>14805</v>
      </c>
      <c r="H7415" t="s">
        <v>3</v>
      </c>
      <c r="I7415" t="s">
        <v>3</v>
      </c>
      <c r="J7415" t="s">
        <v>10</v>
      </c>
      <c r="K7415" t="s">
        <v>13</v>
      </c>
      <c r="L7415" t="s">
        <v>21</v>
      </c>
      <c r="M7415" t="s">
        <v>7</v>
      </c>
      <c r="N7415" s="2">
        <v>46234</v>
      </c>
    </row>
    <row r="7416" spans="1:14" x14ac:dyDescent="0.25">
      <c r="A7416" t="s">
        <v>187</v>
      </c>
      <c r="B7416" s="2">
        <v>46239</v>
      </c>
      <c r="C7416" t="s">
        <v>187</v>
      </c>
      <c r="D7416" t="s">
        <v>1</v>
      </c>
      <c r="E7416" t="s">
        <v>9</v>
      </c>
      <c r="F7416" s="3">
        <v>-14805</v>
      </c>
      <c r="G7416" s="3">
        <v>-14805</v>
      </c>
      <c r="H7416" t="s">
        <v>3</v>
      </c>
      <c r="I7416" t="s">
        <v>3</v>
      </c>
      <c r="J7416" t="s">
        <v>791</v>
      </c>
      <c r="K7416" t="s">
        <v>13</v>
      </c>
      <c r="L7416" t="s">
        <v>21</v>
      </c>
      <c r="M7416" t="s">
        <v>7</v>
      </c>
      <c r="N7416" s="2">
        <v>46234</v>
      </c>
    </row>
    <row r="7417" spans="1:14" x14ac:dyDescent="0.25">
      <c r="A7417" s="4" t="s">
        <v>262</v>
      </c>
      <c r="B7417" s="5"/>
      <c r="C7417" s="4" t="s">
        <v>9</v>
      </c>
      <c r="D7417" s="4" t="s">
        <v>9</v>
      </c>
      <c r="E7417" s="4" t="s">
        <v>9</v>
      </c>
      <c r="F7417" s="6">
        <v>0</v>
      </c>
      <c r="G7417" s="6">
        <v>0</v>
      </c>
      <c r="H7417" s="4" t="s">
        <v>9</v>
      </c>
      <c r="I7417" s="4" t="s">
        <v>3</v>
      </c>
      <c r="J7417" s="4" t="s">
        <v>9</v>
      </c>
      <c r="K7417" s="4" t="s">
        <v>9</v>
      </c>
      <c r="L7417" s="4" t="s">
        <v>9</v>
      </c>
      <c r="M7417" s="4" t="s">
        <v>9</v>
      </c>
      <c r="N7417" s="5"/>
    </row>
    <row r="7418" spans="1:14" x14ac:dyDescent="0.25">
      <c r="A7418" t="s">
        <v>187</v>
      </c>
      <c r="B7418" s="2">
        <v>46265</v>
      </c>
      <c r="C7418" t="s">
        <v>187</v>
      </c>
      <c r="D7418" t="s">
        <v>1</v>
      </c>
      <c r="E7418" t="s">
        <v>9</v>
      </c>
      <c r="F7418" s="3">
        <v>3360</v>
      </c>
      <c r="G7418" s="3">
        <v>3360</v>
      </c>
      <c r="H7418" t="s">
        <v>3</v>
      </c>
      <c r="I7418" t="s">
        <v>3</v>
      </c>
      <c r="J7418" t="s">
        <v>10</v>
      </c>
      <c r="K7418" t="s">
        <v>13</v>
      </c>
      <c r="L7418" t="s">
        <v>22</v>
      </c>
      <c r="M7418" t="s">
        <v>7</v>
      </c>
      <c r="N7418" s="2">
        <v>46265</v>
      </c>
    </row>
    <row r="7419" spans="1:14" x14ac:dyDescent="0.25">
      <c r="A7419" t="s">
        <v>187</v>
      </c>
      <c r="B7419" s="2">
        <v>46267</v>
      </c>
      <c r="C7419" t="s">
        <v>187</v>
      </c>
      <c r="D7419" t="s">
        <v>1</v>
      </c>
      <c r="E7419" t="s">
        <v>9</v>
      </c>
      <c r="F7419" s="3">
        <v>-3360</v>
      </c>
      <c r="G7419" s="3">
        <v>-3360</v>
      </c>
      <c r="H7419" t="s">
        <v>3</v>
      </c>
      <c r="I7419" t="s">
        <v>3</v>
      </c>
      <c r="J7419" t="s">
        <v>791</v>
      </c>
      <c r="K7419" t="s">
        <v>13</v>
      </c>
      <c r="L7419" t="s">
        <v>22</v>
      </c>
      <c r="M7419" t="s">
        <v>7</v>
      </c>
      <c r="N7419" s="2">
        <v>46265</v>
      </c>
    </row>
    <row r="7420" spans="1:14" x14ac:dyDescent="0.25">
      <c r="A7420" s="4" t="s">
        <v>267</v>
      </c>
      <c r="B7420" s="5"/>
      <c r="C7420" s="4" t="s">
        <v>9</v>
      </c>
      <c r="D7420" s="4" t="s">
        <v>9</v>
      </c>
      <c r="E7420" s="4" t="s">
        <v>9</v>
      </c>
      <c r="F7420" s="6">
        <v>0</v>
      </c>
      <c r="G7420" s="6">
        <v>0</v>
      </c>
      <c r="H7420" s="4" t="s">
        <v>9</v>
      </c>
      <c r="I7420" s="4" t="s">
        <v>3</v>
      </c>
      <c r="J7420" s="4" t="s">
        <v>9</v>
      </c>
      <c r="K7420" s="4" t="s">
        <v>9</v>
      </c>
      <c r="L7420" s="4" t="s">
        <v>9</v>
      </c>
      <c r="M7420" s="4" t="s">
        <v>9</v>
      </c>
      <c r="N7420" s="5"/>
    </row>
    <row r="7421" spans="1:14" x14ac:dyDescent="0.25">
      <c r="A7421" s="4" t="s">
        <v>187</v>
      </c>
      <c r="B7421" s="5"/>
      <c r="C7421" s="4" t="s">
        <v>9</v>
      </c>
      <c r="D7421" s="4" t="s">
        <v>9</v>
      </c>
      <c r="E7421" s="4" t="s">
        <v>9</v>
      </c>
      <c r="F7421" s="6">
        <v>0</v>
      </c>
      <c r="G7421" s="6">
        <v>0</v>
      </c>
      <c r="H7421" s="4" t="s">
        <v>9</v>
      </c>
      <c r="I7421" s="4" t="s">
        <v>3</v>
      </c>
      <c r="J7421" s="4" t="s">
        <v>9</v>
      </c>
      <c r="K7421" s="4" t="s">
        <v>9</v>
      </c>
      <c r="L7421" s="4" t="s">
        <v>9</v>
      </c>
      <c r="M7421" s="4" t="s">
        <v>9</v>
      </c>
      <c r="N7421" s="5"/>
    </row>
    <row r="7422" spans="1:14" x14ac:dyDescent="0.25">
      <c r="A7422" t="s">
        <v>188</v>
      </c>
      <c r="B7422" s="2">
        <v>46203</v>
      </c>
      <c r="C7422" t="s">
        <v>188</v>
      </c>
      <c r="D7422" t="s">
        <v>1</v>
      </c>
      <c r="E7422" t="s">
        <v>9</v>
      </c>
      <c r="F7422" s="3">
        <v>17331</v>
      </c>
      <c r="G7422" s="3">
        <v>17331</v>
      </c>
      <c r="H7422" t="s">
        <v>3</v>
      </c>
      <c r="I7422" t="s">
        <v>3</v>
      </c>
      <c r="J7422" t="s">
        <v>10</v>
      </c>
      <c r="K7422" t="s">
        <v>13</v>
      </c>
      <c r="L7422" t="s">
        <v>19</v>
      </c>
      <c r="M7422" t="s">
        <v>7</v>
      </c>
      <c r="N7422" s="2">
        <v>46203</v>
      </c>
    </row>
    <row r="7423" spans="1:14" x14ac:dyDescent="0.25">
      <c r="A7423" t="s">
        <v>188</v>
      </c>
      <c r="B7423" s="2">
        <v>46205</v>
      </c>
      <c r="C7423" t="s">
        <v>188</v>
      </c>
      <c r="D7423" t="s">
        <v>1</v>
      </c>
      <c r="E7423" t="s">
        <v>9</v>
      </c>
      <c r="F7423" s="3">
        <v>-17331</v>
      </c>
      <c r="G7423" s="3">
        <v>-17331</v>
      </c>
      <c r="H7423" t="s">
        <v>3</v>
      </c>
      <c r="I7423" t="s">
        <v>3</v>
      </c>
      <c r="J7423" t="s">
        <v>792</v>
      </c>
      <c r="K7423" t="s">
        <v>13</v>
      </c>
      <c r="L7423" t="s">
        <v>19</v>
      </c>
      <c r="M7423" t="s">
        <v>7</v>
      </c>
      <c r="N7423" s="2">
        <v>46203</v>
      </c>
    </row>
    <row r="7424" spans="1:14" x14ac:dyDescent="0.25">
      <c r="A7424" s="4" t="s">
        <v>224</v>
      </c>
      <c r="B7424" s="5"/>
      <c r="C7424" s="4" t="s">
        <v>9</v>
      </c>
      <c r="D7424" s="4" t="s">
        <v>9</v>
      </c>
      <c r="E7424" s="4" t="s">
        <v>9</v>
      </c>
      <c r="F7424" s="6">
        <v>0</v>
      </c>
      <c r="G7424" s="6">
        <v>0</v>
      </c>
      <c r="H7424" s="4" t="s">
        <v>9</v>
      </c>
      <c r="I7424" s="4" t="s">
        <v>3</v>
      </c>
      <c r="J7424" s="4" t="s">
        <v>9</v>
      </c>
      <c r="K7424" s="4" t="s">
        <v>9</v>
      </c>
      <c r="L7424" s="4" t="s">
        <v>9</v>
      </c>
      <c r="M7424" s="4" t="s">
        <v>9</v>
      </c>
      <c r="N7424" s="5"/>
    </row>
    <row r="7425" spans="1:14" x14ac:dyDescent="0.25">
      <c r="A7425" t="s">
        <v>188</v>
      </c>
      <c r="B7425" s="2">
        <v>46234</v>
      </c>
      <c r="C7425" t="s">
        <v>188</v>
      </c>
      <c r="D7425" t="s">
        <v>1</v>
      </c>
      <c r="E7425" t="s">
        <v>9</v>
      </c>
      <c r="F7425" s="3">
        <v>13219</v>
      </c>
      <c r="G7425" s="3">
        <v>13219</v>
      </c>
      <c r="H7425" t="s">
        <v>3</v>
      </c>
      <c r="I7425" t="s">
        <v>3</v>
      </c>
      <c r="J7425" t="s">
        <v>10</v>
      </c>
      <c r="K7425" t="s">
        <v>13</v>
      </c>
      <c r="L7425" t="s">
        <v>21</v>
      </c>
      <c r="M7425" t="s">
        <v>7</v>
      </c>
      <c r="N7425" s="2">
        <v>46234</v>
      </c>
    </row>
    <row r="7426" spans="1:14" x14ac:dyDescent="0.25">
      <c r="A7426" t="s">
        <v>188</v>
      </c>
      <c r="B7426" s="2">
        <v>46239</v>
      </c>
      <c r="C7426" t="s">
        <v>188</v>
      </c>
      <c r="D7426" t="s">
        <v>1</v>
      </c>
      <c r="E7426" t="s">
        <v>9</v>
      </c>
      <c r="F7426" s="3">
        <v>-13219</v>
      </c>
      <c r="G7426" s="3">
        <v>-13219</v>
      </c>
      <c r="H7426" t="s">
        <v>3</v>
      </c>
      <c r="I7426" t="s">
        <v>3</v>
      </c>
      <c r="J7426" t="s">
        <v>792</v>
      </c>
      <c r="K7426" t="s">
        <v>13</v>
      </c>
      <c r="L7426" t="s">
        <v>21</v>
      </c>
      <c r="M7426" t="s">
        <v>7</v>
      </c>
      <c r="N7426" s="2">
        <v>46234</v>
      </c>
    </row>
    <row r="7427" spans="1:14" x14ac:dyDescent="0.25">
      <c r="A7427" s="4" t="s">
        <v>262</v>
      </c>
      <c r="B7427" s="5"/>
      <c r="C7427" s="4" t="s">
        <v>9</v>
      </c>
      <c r="D7427" s="4" t="s">
        <v>9</v>
      </c>
      <c r="E7427" s="4" t="s">
        <v>9</v>
      </c>
      <c r="F7427" s="6">
        <v>0</v>
      </c>
      <c r="G7427" s="6">
        <v>0</v>
      </c>
      <c r="H7427" s="4" t="s">
        <v>9</v>
      </c>
      <c r="I7427" s="4" t="s">
        <v>3</v>
      </c>
      <c r="J7427" s="4" t="s">
        <v>9</v>
      </c>
      <c r="K7427" s="4" t="s">
        <v>9</v>
      </c>
      <c r="L7427" s="4" t="s">
        <v>9</v>
      </c>
      <c r="M7427" s="4" t="s">
        <v>9</v>
      </c>
      <c r="N7427" s="5"/>
    </row>
    <row r="7428" spans="1:14" x14ac:dyDescent="0.25">
      <c r="A7428" t="s">
        <v>188</v>
      </c>
      <c r="B7428" s="2">
        <v>46265</v>
      </c>
      <c r="C7428" t="s">
        <v>188</v>
      </c>
      <c r="D7428" t="s">
        <v>1</v>
      </c>
      <c r="E7428" t="s">
        <v>9</v>
      </c>
      <c r="F7428" s="3">
        <v>5850</v>
      </c>
      <c r="G7428" s="3">
        <v>5850</v>
      </c>
      <c r="H7428" t="s">
        <v>3</v>
      </c>
      <c r="I7428" t="s">
        <v>3</v>
      </c>
      <c r="J7428" t="s">
        <v>10</v>
      </c>
      <c r="K7428" t="s">
        <v>13</v>
      </c>
      <c r="L7428" t="s">
        <v>22</v>
      </c>
      <c r="M7428" t="s">
        <v>7</v>
      </c>
      <c r="N7428" s="2">
        <v>46265</v>
      </c>
    </row>
    <row r="7429" spans="1:14" x14ac:dyDescent="0.25">
      <c r="A7429" t="s">
        <v>188</v>
      </c>
      <c r="B7429" s="2">
        <v>46267</v>
      </c>
      <c r="C7429" t="s">
        <v>188</v>
      </c>
      <c r="D7429" t="s">
        <v>1</v>
      </c>
      <c r="E7429" t="s">
        <v>9</v>
      </c>
      <c r="F7429" s="3">
        <v>-5850</v>
      </c>
      <c r="G7429" s="3">
        <v>-5850</v>
      </c>
      <c r="H7429" t="s">
        <v>3</v>
      </c>
      <c r="I7429" t="s">
        <v>3</v>
      </c>
      <c r="J7429" t="s">
        <v>792</v>
      </c>
      <c r="K7429" t="s">
        <v>13</v>
      </c>
      <c r="L7429" t="s">
        <v>22</v>
      </c>
      <c r="M7429" t="s">
        <v>7</v>
      </c>
      <c r="N7429" s="2">
        <v>46265</v>
      </c>
    </row>
    <row r="7430" spans="1:14" x14ac:dyDescent="0.25">
      <c r="A7430" s="4" t="s">
        <v>267</v>
      </c>
      <c r="B7430" s="5"/>
      <c r="C7430" s="4" t="s">
        <v>9</v>
      </c>
      <c r="D7430" s="4" t="s">
        <v>9</v>
      </c>
      <c r="E7430" s="4" t="s">
        <v>9</v>
      </c>
      <c r="F7430" s="6">
        <v>0</v>
      </c>
      <c r="G7430" s="6">
        <v>0</v>
      </c>
      <c r="H7430" s="4" t="s">
        <v>9</v>
      </c>
      <c r="I7430" s="4" t="s">
        <v>3</v>
      </c>
      <c r="J7430" s="4" t="s">
        <v>9</v>
      </c>
      <c r="K7430" s="4" t="s">
        <v>9</v>
      </c>
      <c r="L7430" s="4" t="s">
        <v>9</v>
      </c>
      <c r="M7430" s="4" t="s">
        <v>9</v>
      </c>
      <c r="N7430" s="5"/>
    </row>
    <row r="7431" spans="1:14" x14ac:dyDescent="0.25">
      <c r="A7431" s="4" t="s">
        <v>188</v>
      </c>
      <c r="B7431" s="5"/>
      <c r="C7431" s="4" t="s">
        <v>9</v>
      </c>
      <c r="D7431" s="4" t="s">
        <v>9</v>
      </c>
      <c r="E7431" s="4" t="s">
        <v>9</v>
      </c>
      <c r="F7431" s="6">
        <v>0</v>
      </c>
      <c r="G7431" s="6">
        <v>0</v>
      </c>
      <c r="H7431" s="4" t="s">
        <v>9</v>
      </c>
      <c r="I7431" s="4" t="s">
        <v>3</v>
      </c>
      <c r="J7431" s="4" t="s">
        <v>9</v>
      </c>
      <c r="K7431" s="4" t="s">
        <v>9</v>
      </c>
      <c r="L7431" s="4" t="s">
        <v>9</v>
      </c>
      <c r="M7431" s="4" t="s">
        <v>9</v>
      </c>
      <c r="N7431" s="5"/>
    </row>
    <row r="7432" spans="1:14" x14ac:dyDescent="0.25">
      <c r="A7432" t="s">
        <v>189</v>
      </c>
      <c r="B7432" s="2">
        <v>46234</v>
      </c>
      <c r="C7432" t="s">
        <v>189</v>
      </c>
      <c r="D7432" t="s">
        <v>1</v>
      </c>
      <c r="E7432" t="s">
        <v>9</v>
      </c>
      <c r="F7432" s="3">
        <v>2300</v>
      </c>
      <c r="G7432" s="3">
        <v>2300</v>
      </c>
      <c r="H7432" t="s">
        <v>3</v>
      </c>
      <c r="I7432" t="s">
        <v>3</v>
      </c>
      <c r="J7432" t="s">
        <v>10</v>
      </c>
      <c r="K7432" t="s">
        <v>13</v>
      </c>
      <c r="L7432" t="s">
        <v>21</v>
      </c>
      <c r="M7432" t="s">
        <v>7</v>
      </c>
      <c r="N7432" s="2">
        <v>46234</v>
      </c>
    </row>
    <row r="7433" spans="1:14" x14ac:dyDescent="0.25">
      <c r="A7433" t="s">
        <v>189</v>
      </c>
      <c r="B7433" s="2">
        <v>46239</v>
      </c>
      <c r="C7433" t="s">
        <v>189</v>
      </c>
      <c r="D7433" t="s">
        <v>1</v>
      </c>
      <c r="E7433" t="s">
        <v>9</v>
      </c>
      <c r="F7433" s="3">
        <v>-2300</v>
      </c>
      <c r="G7433" s="3">
        <v>-2300</v>
      </c>
      <c r="H7433" t="s">
        <v>3</v>
      </c>
      <c r="I7433" t="s">
        <v>3</v>
      </c>
      <c r="J7433" t="s">
        <v>793</v>
      </c>
      <c r="K7433" t="s">
        <v>13</v>
      </c>
      <c r="L7433" t="s">
        <v>21</v>
      </c>
      <c r="M7433" t="s">
        <v>7</v>
      </c>
      <c r="N7433" s="2">
        <v>46234</v>
      </c>
    </row>
    <row r="7434" spans="1:14" x14ac:dyDescent="0.25">
      <c r="A7434" s="4" t="s">
        <v>262</v>
      </c>
      <c r="B7434" s="5"/>
      <c r="C7434" s="4" t="s">
        <v>9</v>
      </c>
      <c r="D7434" s="4" t="s">
        <v>9</v>
      </c>
      <c r="E7434" s="4" t="s">
        <v>9</v>
      </c>
      <c r="F7434" s="6">
        <v>0</v>
      </c>
      <c r="G7434" s="6">
        <v>0</v>
      </c>
      <c r="H7434" s="4" t="s">
        <v>9</v>
      </c>
      <c r="I7434" s="4" t="s">
        <v>3</v>
      </c>
      <c r="J7434" s="4" t="s">
        <v>9</v>
      </c>
      <c r="K7434" s="4" t="s">
        <v>9</v>
      </c>
      <c r="L7434" s="4" t="s">
        <v>9</v>
      </c>
      <c r="M7434" s="4" t="s">
        <v>9</v>
      </c>
      <c r="N7434" s="5"/>
    </row>
    <row r="7435" spans="1:14" x14ac:dyDescent="0.25">
      <c r="A7435" s="4" t="s">
        <v>189</v>
      </c>
      <c r="B7435" s="5"/>
      <c r="C7435" s="4" t="s">
        <v>9</v>
      </c>
      <c r="D7435" s="4" t="s">
        <v>9</v>
      </c>
      <c r="E7435" s="4" t="s">
        <v>9</v>
      </c>
      <c r="F7435" s="6">
        <v>0</v>
      </c>
      <c r="G7435" s="6">
        <v>0</v>
      </c>
      <c r="H7435" s="4" t="s">
        <v>9</v>
      </c>
      <c r="I7435" s="4" t="s">
        <v>3</v>
      </c>
      <c r="J7435" s="4" t="s">
        <v>9</v>
      </c>
      <c r="K7435" s="4" t="s">
        <v>9</v>
      </c>
      <c r="L7435" s="4" t="s">
        <v>9</v>
      </c>
      <c r="M7435" s="4" t="s">
        <v>9</v>
      </c>
      <c r="N7435" s="5"/>
    </row>
    <row r="7436" spans="1:14" x14ac:dyDescent="0.25">
      <c r="A7436" t="s">
        <v>190</v>
      </c>
      <c r="B7436" s="2">
        <v>46260</v>
      </c>
      <c r="C7436" t="s">
        <v>190</v>
      </c>
      <c r="D7436" t="s">
        <v>1</v>
      </c>
      <c r="E7436" t="s">
        <v>191</v>
      </c>
      <c r="F7436" s="3">
        <v>4950</v>
      </c>
      <c r="G7436" s="3">
        <v>4950</v>
      </c>
      <c r="H7436" t="s">
        <v>3</v>
      </c>
      <c r="I7436" t="s">
        <v>3</v>
      </c>
      <c r="J7436" t="s">
        <v>192</v>
      </c>
      <c r="K7436" t="s">
        <v>13</v>
      </c>
      <c r="L7436" t="s">
        <v>22</v>
      </c>
      <c r="M7436" t="s">
        <v>7</v>
      </c>
      <c r="N7436" s="2">
        <v>46260</v>
      </c>
    </row>
    <row r="7437" spans="1:14" x14ac:dyDescent="0.25">
      <c r="A7437" t="s">
        <v>190</v>
      </c>
      <c r="B7437" s="2">
        <v>46260</v>
      </c>
      <c r="C7437" t="s">
        <v>190</v>
      </c>
      <c r="D7437" t="s">
        <v>1</v>
      </c>
      <c r="E7437" t="s">
        <v>191</v>
      </c>
      <c r="F7437" s="3">
        <v>644</v>
      </c>
      <c r="G7437" s="3">
        <v>644</v>
      </c>
      <c r="H7437" t="s">
        <v>3</v>
      </c>
      <c r="I7437" t="s">
        <v>3</v>
      </c>
      <c r="J7437" t="s">
        <v>193</v>
      </c>
      <c r="K7437" t="s">
        <v>13</v>
      </c>
      <c r="L7437" t="s">
        <v>22</v>
      </c>
      <c r="M7437" t="s">
        <v>7</v>
      </c>
      <c r="N7437" s="2">
        <v>46260</v>
      </c>
    </row>
    <row r="7438" spans="1:14" x14ac:dyDescent="0.25">
      <c r="A7438" t="s">
        <v>190</v>
      </c>
      <c r="B7438" s="2">
        <v>46267</v>
      </c>
      <c r="C7438" t="s">
        <v>190</v>
      </c>
      <c r="D7438" t="s">
        <v>1</v>
      </c>
      <c r="E7438" t="s">
        <v>9</v>
      </c>
      <c r="F7438" s="3">
        <v>-5594</v>
      </c>
      <c r="G7438" s="3">
        <v>-5594</v>
      </c>
      <c r="H7438" t="s">
        <v>3</v>
      </c>
      <c r="I7438" t="s">
        <v>3</v>
      </c>
      <c r="J7438" t="s">
        <v>794</v>
      </c>
      <c r="K7438" t="s">
        <v>13</v>
      </c>
      <c r="L7438" t="s">
        <v>22</v>
      </c>
      <c r="M7438" t="s">
        <v>7</v>
      </c>
      <c r="N7438" s="2">
        <v>46265</v>
      </c>
    </row>
    <row r="7439" spans="1:14" x14ac:dyDescent="0.25">
      <c r="A7439" s="4" t="s">
        <v>267</v>
      </c>
      <c r="B7439" s="5"/>
      <c r="C7439" s="4" t="s">
        <v>9</v>
      </c>
      <c r="D7439" s="4" t="s">
        <v>9</v>
      </c>
      <c r="E7439" s="4" t="s">
        <v>9</v>
      </c>
      <c r="F7439" s="6">
        <v>0</v>
      </c>
      <c r="G7439" s="6">
        <v>0</v>
      </c>
      <c r="H7439" s="4" t="s">
        <v>9</v>
      </c>
      <c r="I7439" s="4" t="s">
        <v>3</v>
      </c>
      <c r="J7439" s="4" t="s">
        <v>9</v>
      </c>
      <c r="K7439" s="4" t="s">
        <v>9</v>
      </c>
      <c r="L7439" s="4" t="s">
        <v>9</v>
      </c>
      <c r="M7439" s="4" t="s">
        <v>9</v>
      </c>
      <c r="N7439" s="5"/>
    </row>
    <row r="7440" spans="1:14" x14ac:dyDescent="0.25">
      <c r="A7440" t="s">
        <v>190</v>
      </c>
      <c r="B7440" s="2">
        <v>46267</v>
      </c>
      <c r="C7440" t="s">
        <v>190</v>
      </c>
      <c r="D7440" t="s">
        <v>1</v>
      </c>
      <c r="E7440" t="s">
        <v>191</v>
      </c>
      <c r="F7440" s="3">
        <v>862.5</v>
      </c>
      <c r="G7440" s="3">
        <v>862.5</v>
      </c>
      <c r="H7440" t="s">
        <v>3</v>
      </c>
      <c r="I7440" t="s">
        <v>3</v>
      </c>
      <c r="J7440" t="s">
        <v>193</v>
      </c>
      <c r="K7440" t="s">
        <v>13</v>
      </c>
      <c r="L7440" t="s">
        <v>6</v>
      </c>
      <c r="M7440" t="s">
        <v>7</v>
      </c>
      <c r="N7440" s="2">
        <v>46267</v>
      </c>
    </row>
    <row r="7441" spans="1:14" x14ac:dyDescent="0.25">
      <c r="A7441" t="s">
        <v>190</v>
      </c>
      <c r="B7441" s="2">
        <v>46267</v>
      </c>
      <c r="C7441" t="s">
        <v>190</v>
      </c>
      <c r="D7441" t="s">
        <v>1</v>
      </c>
      <c r="E7441" t="s">
        <v>191</v>
      </c>
      <c r="F7441" s="3">
        <v>7012.5</v>
      </c>
      <c r="G7441" s="3">
        <v>7012.5</v>
      </c>
      <c r="H7441" t="s">
        <v>3</v>
      </c>
      <c r="I7441" t="s">
        <v>3</v>
      </c>
      <c r="J7441" t="s">
        <v>192</v>
      </c>
      <c r="K7441" t="s">
        <v>13</v>
      </c>
      <c r="L7441" t="s">
        <v>6</v>
      </c>
      <c r="M7441" t="s">
        <v>7</v>
      </c>
      <c r="N7441" s="2">
        <v>46267</v>
      </c>
    </row>
    <row r="7442" spans="1:14" x14ac:dyDescent="0.25">
      <c r="A7442" s="4" t="s">
        <v>272</v>
      </c>
      <c r="B7442" s="5"/>
      <c r="C7442" s="4" t="s">
        <v>9</v>
      </c>
      <c r="D7442" s="4" t="s">
        <v>9</v>
      </c>
      <c r="E7442" s="4" t="s">
        <v>9</v>
      </c>
      <c r="F7442" s="6">
        <v>7875</v>
      </c>
      <c r="G7442" s="6">
        <v>7875</v>
      </c>
      <c r="H7442" s="4" t="s">
        <v>9</v>
      </c>
      <c r="I7442" s="4" t="s">
        <v>3</v>
      </c>
      <c r="J7442" s="4" t="s">
        <v>9</v>
      </c>
      <c r="K7442" s="4" t="s">
        <v>9</v>
      </c>
      <c r="L7442" s="4" t="s">
        <v>9</v>
      </c>
      <c r="M7442" s="4" t="s">
        <v>9</v>
      </c>
      <c r="N7442" s="5"/>
    </row>
    <row r="7443" spans="1:14" x14ac:dyDescent="0.25">
      <c r="A7443" s="4" t="s">
        <v>190</v>
      </c>
      <c r="B7443" s="5"/>
      <c r="C7443" s="4" t="s">
        <v>9</v>
      </c>
      <c r="D7443" s="4" t="s">
        <v>9</v>
      </c>
      <c r="E7443" s="4" t="s">
        <v>9</v>
      </c>
      <c r="F7443" s="6">
        <v>7875</v>
      </c>
      <c r="G7443" s="6">
        <v>7875</v>
      </c>
      <c r="H7443" s="4" t="s">
        <v>9</v>
      </c>
      <c r="I7443" s="4" t="s">
        <v>3</v>
      </c>
      <c r="J7443" s="4" t="s">
        <v>9</v>
      </c>
      <c r="K7443" s="4" t="s">
        <v>9</v>
      </c>
      <c r="L7443" s="4" t="s">
        <v>9</v>
      </c>
      <c r="M7443" s="4" t="s">
        <v>9</v>
      </c>
      <c r="N7443" s="5"/>
    </row>
    <row r="7444" spans="1:14" x14ac:dyDescent="0.25">
      <c r="A7444" t="s">
        <v>194</v>
      </c>
      <c r="B7444" s="2">
        <v>46234</v>
      </c>
      <c r="C7444" t="s">
        <v>194</v>
      </c>
      <c r="D7444" t="s">
        <v>1</v>
      </c>
      <c r="E7444" t="s">
        <v>9</v>
      </c>
      <c r="F7444" s="3">
        <v>25250</v>
      </c>
      <c r="G7444" s="3">
        <v>25250</v>
      </c>
      <c r="H7444" t="s">
        <v>3</v>
      </c>
      <c r="I7444" t="s">
        <v>3</v>
      </c>
      <c r="J7444" t="s">
        <v>10</v>
      </c>
      <c r="K7444" t="s">
        <v>13</v>
      </c>
      <c r="L7444" t="s">
        <v>21</v>
      </c>
      <c r="M7444" t="s">
        <v>7</v>
      </c>
      <c r="N7444" s="2">
        <v>46234</v>
      </c>
    </row>
    <row r="7445" spans="1:14" x14ac:dyDescent="0.25">
      <c r="A7445" t="s">
        <v>194</v>
      </c>
      <c r="B7445" s="2">
        <v>46239</v>
      </c>
      <c r="C7445" t="s">
        <v>194</v>
      </c>
      <c r="D7445" t="s">
        <v>1</v>
      </c>
      <c r="E7445" t="s">
        <v>9</v>
      </c>
      <c r="F7445" s="3">
        <v>-25250</v>
      </c>
      <c r="G7445" s="3">
        <v>-25250</v>
      </c>
      <c r="H7445" t="s">
        <v>3</v>
      </c>
      <c r="I7445" t="s">
        <v>3</v>
      </c>
      <c r="J7445" t="s">
        <v>795</v>
      </c>
      <c r="K7445" t="s">
        <v>13</v>
      </c>
      <c r="L7445" t="s">
        <v>21</v>
      </c>
      <c r="M7445" t="s">
        <v>7</v>
      </c>
      <c r="N7445" s="2">
        <v>46234</v>
      </c>
    </row>
    <row r="7446" spans="1:14" x14ac:dyDescent="0.25">
      <c r="A7446" s="4" t="s">
        <v>262</v>
      </c>
      <c r="B7446" s="5"/>
      <c r="C7446" s="4" t="s">
        <v>9</v>
      </c>
      <c r="D7446" s="4" t="s">
        <v>9</v>
      </c>
      <c r="E7446" s="4" t="s">
        <v>9</v>
      </c>
      <c r="F7446" s="6">
        <v>0</v>
      </c>
      <c r="G7446" s="6">
        <v>0</v>
      </c>
      <c r="H7446" s="4" t="s">
        <v>9</v>
      </c>
      <c r="I7446" s="4" t="s">
        <v>3</v>
      </c>
      <c r="J7446" s="4" t="s">
        <v>9</v>
      </c>
      <c r="K7446" s="4" t="s">
        <v>9</v>
      </c>
      <c r="L7446" s="4" t="s">
        <v>9</v>
      </c>
      <c r="M7446" s="4" t="s">
        <v>9</v>
      </c>
      <c r="N7446" s="5"/>
    </row>
    <row r="7447" spans="1:14" x14ac:dyDescent="0.25">
      <c r="A7447" t="s">
        <v>194</v>
      </c>
      <c r="B7447" s="2">
        <v>46265</v>
      </c>
      <c r="C7447" t="s">
        <v>194</v>
      </c>
      <c r="D7447" t="s">
        <v>1</v>
      </c>
      <c r="E7447" t="s">
        <v>9</v>
      </c>
      <c r="F7447" s="3">
        <v>19700</v>
      </c>
      <c r="G7447" s="3">
        <v>19700</v>
      </c>
      <c r="H7447" t="s">
        <v>3</v>
      </c>
      <c r="I7447" t="s">
        <v>3</v>
      </c>
      <c r="J7447" t="s">
        <v>10</v>
      </c>
      <c r="K7447" t="s">
        <v>13</v>
      </c>
      <c r="L7447" t="s">
        <v>22</v>
      </c>
      <c r="M7447" t="s">
        <v>7</v>
      </c>
      <c r="N7447" s="2">
        <v>46265</v>
      </c>
    </row>
    <row r="7448" spans="1:14" x14ac:dyDescent="0.25">
      <c r="A7448" t="s">
        <v>194</v>
      </c>
      <c r="B7448" s="2">
        <v>46267</v>
      </c>
      <c r="C7448" t="s">
        <v>194</v>
      </c>
      <c r="D7448" t="s">
        <v>1</v>
      </c>
      <c r="E7448" t="s">
        <v>9</v>
      </c>
      <c r="F7448" s="3">
        <v>-19700</v>
      </c>
      <c r="G7448" s="3">
        <v>-19700</v>
      </c>
      <c r="H7448" t="s">
        <v>3</v>
      </c>
      <c r="I7448" t="s">
        <v>3</v>
      </c>
      <c r="J7448" t="s">
        <v>795</v>
      </c>
      <c r="K7448" t="s">
        <v>13</v>
      </c>
      <c r="L7448" t="s">
        <v>22</v>
      </c>
      <c r="M7448" t="s">
        <v>7</v>
      </c>
      <c r="N7448" s="2">
        <v>46265</v>
      </c>
    </row>
    <row r="7449" spans="1:14" x14ac:dyDescent="0.25">
      <c r="A7449" s="4" t="s">
        <v>267</v>
      </c>
      <c r="B7449" s="5"/>
      <c r="C7449" s="4" t="s">
        <v>9</v>
      </c>
      <c r="D7449" s="4" t="s">
        <v>9</v>
      </c>
      <c r="E7449" s="4" t="s">
        <v>9</v>
      </c>
      <c r="F7449" s="6">
        <v>0</v>
      </c>
      <c r="G7449" s="6">
        <v>0</v>
      </c>
      <c r="H7449" s="4" t="s">
        <v>9</v>
      </c>
      <c r="I7449" s="4" t="s">
        <v>3</v>
      </c>
      <c r="J7449" s="4" t="s">
        <v>9</v>
      </c>
      <c r="K7449" s="4" t="s">
        <v>9</v>
      </c>
      <c r="L7449" s="4" t="s">
        <v>9</v>
      </c>
      <c r="M7449" s="4" t="s">
        <v>9</v>
      </c>
      <c r="N7449" s="5"/>
    </row>
    <row r="7450" spans="1:14" x14ac:dyDescent="0.25">
      <c r="A7450" s="4" t="s">
        <v>194</v>
      </c>
      <c r="B7450" s="5"/>
      <c r="C7450" s="4" t="s">
        <v>9</v>
      </c>
      <c r="D7450" s="4" t="s">
        <v>9</v>
      </c>
      <c r="E7450" s="4" t="s">
        <v>9</v>
      </c>
      <c r="F7450" s="6">
        <v>0</v>
      </c>
      <c r="G7450" s="6">
        <v>0</v>
      </c>
      <c r="H7450" s="4" t="s">
        <v>9</v>
      </c>
      <c r="I7450" s="4" t="s">
        <v>3</v>
      </c>
      <c r="J7450" s="4" t="s">
        <v>9</v>
      </c>
      <c r="K7450" s="4" t="s">
        <v>9</v>
      </c>
      <c r="L7450" s="4" t="s">
        <v>9</v>
      </c>
      <c r="M7450" s="4" t="s">
        <v>9</v>
      </c>
      <c r="N7450" s="5"/>
    </row>
    <row r="7451" spans="1:14" x14ac:dyDescent="0.25">
      <c r="A7451" t="s">
        <v>195</v>
      </c>
      <c r="B7451" s="2">
        <v>46234</v>
      </c>
      <c r="C7451" t="s">
        <v>195</v>
      </c>
      <c r="D7451" t="s">
        <v>99</v>
      </c>
      <c r="E7451" t="s">
        <v>9</v>
      </c>
      <c r="F7451" s="3">
        <v>75772</v>
      </c>
      <c r="G7451" s="3">
        <v>75772</v>
      </c>
      <c r="H7451" t="s">
        <v>3</v>
      </c>
      <c r="I7451" t="s">
        <v>3</v>
      </c>
      <c r="J7451" t="s">
        <v>196</v>
      </c>
      <c r="K7451" t="s">
        <v>13</v>
      </c>
      <c r="L7451" t="s">
        <v>21</v>
      </c>
      <c r="M7451" t="s">
        <v>102</v>
      </c>
      <c r="N7451" s="2">
        <v>46234</v>
      </c>
    </row>
    <row r="7452" spans="1:14" x14ac:dyDescent="0.25">
      <c r="A7452" t="s">
        <v>195</v>
      </c>
      <c r="B7452" s="2">
        <v>46239</v>
      </c>
      <c r="C7452" t="s">
        <v>195</v>
      </c>
      <c r="D7452" t="s">
        <v>99</v>
      </c>
      <c r="E7452" t="s">
        <v>9</v>
      </c>
      <c r="F7452" s="3">
        <v>-75772</v>
      </c>
      <c r="G7452" s="3">
        <v>-75772</v>
      </c>
      <c r="H7452" t="s">
        <v>3</v>
      </c>
      <c r="I7452" t="s">
        <v>3</v>
      </c>
      <c r="J7452" t="s">
        <v>796</v>
      </c>
      <c r="K7452" t="s">
        <v>13</v>
      </c>
      <c r="L7452" t="s">
        <v>21</v>
      </c>
      <c r="M7452" t="s">
        <v>102</v>
      </c>
      <c r="N7452" s="2">
        <v>46234</v>
      </c>
    </row>
    <row r="7453" spans="1:14" x14ac:dyDescent="0.25">
      <c r="A7453" s="4" t="s">
        <v>262</v>
      </c>
      <c r="B7453" s="5"/>
      <c r="C7453" s="4" t="s">
        <v>9</v>
      </c>
      <c r="D7453" s="4" t="s">
        <v>9</v>
      </c>
      <c r="E7453" s="4" t="s">
        <v>9</v>
      </c>
      <c r="F7453" s="6">
        <v>0</v>
      </c>
      <c r="G7453" s="6">
        <v>0</v>
      </c>
      <c r="H7453" s="4" t="s">
        <v>9</v>
      </c>
      <c r="I7453" s="4" t="s">
        <v>3</v>
      </c>
      <c r="J7453" s="4" t="s">
        <v>9</v>
      </c>
      <c r="K7453" s="4" t="s">
        <v>9</v>
      </c>
      <c r="L7453" s="4" t="s">
        <v>9</v>
      </c>
      <c r="M7453" s="4" t="s">
        <v>9</v>
      </c>
      <c r="N7453" s="5"/>
    </row>
    <row r="7454" spans="1:14" x14ac:dyDescent="0.25">
      <c r="A7454" t="s">
        <v>195</v>
      </c>
      <c r="B7454" s="2">
        <v>46265</v>
      </c>
      <c r="C7454" t="s">
        <v>195</v>
      </c>
      <c r="D7454" t="s">
        <v>99</v>
      </c>
      <c r="E7454" t="s">
        <v>9</v>
      </c>
      <c r="F7454" s="3">
        <v>46347</v>
      </c>
      <c r="G7454" s="3">
        <v>46347</v>
      </c>
      <c r="H7454" t="s">
        <v>3</v>
      </c>
      <c r="I7454" t="s">
        <v>3</v>
      </c>
      <c r="J7454" t="s">
        <v>171</v>
      </c>
      <c r="K7454" t="s">
        <v>13</v>
      </c>
      <c r="L7454" t="s">
        <v>22</v>
      </c>
      <c r="M7454" t="s">
        <v>102</v>
      </c>
      <c r="N7454" s="2">
        <v>46265</v>
      </c>
    </row>
    <row r="7455" spans="1:14" x14ac:dyDescent="0.25">
      <c r="A7455" t="s">
        <v>195</v>
      </c>
      <c r="B7455" s="2">
        <v>46272</v>
      </c>
      <c r="C7455" t="s">
        <v>195</v>
      </c>
      <c r="D7455" t="s">
        <v>99</v>
      </c>
      <c r="E7455" t="s">
        <v>9</v>
      </c>
      <c r="F7455" s="3">
        <v>-46347</v>
      </c>
      <c r="G7455" s="3">
        <v>-46347</v>
      </c>
      <c r="H7455" t="s">
        <v>3</v>
      </c>
      <c r="I7455" t="s">
        <v>3</v>
      </c>
      <c r="J7455" t="s">
        <v>796</v>
      </c>
      <c r="K7455" t="s">
        <v>13</v>
      </c>
      <c r="L7455" t="s">
        <v>22</v>
      </c>
      <c r="M7455" t="s">
        <v>102</v>
      </c>
      <c r="N7455" s="2">
        <v>46265</v>
      </c>
    </row>
    <row r="7456" spans="1:14" x14ac:dyDescent="0.25">
      <c r="A7456" s="4" t="s">
        <v>267</v>
      </c>
      <c r="B7456" s="5"/>
      <c r="C7456" s="4" t="s">
        <v>9</v>
      </c>
      <c r="D7456" s="4" t="s">
        <v>9</v>
      </c>
      <c r="E7456" s="4" t="s">
        <v>9</v>
      </c>
      <c r="F7456" s="6">
        <v>0</v>
      </c>
      <c r="G7456" s="6">
        <v>0</v>
      </c>
      <c r="H7456" s="4" t="s">
        <v>9</v>
      </c>
      <c r="I7456" s="4" t="s">
        <v>3</v>
      </c>
      <c r="J7456" s="4" t="s">
        <v>9</v>
      </c>
      <c r="K7456" s="4" t="s">
        <v>9</v>
      </c>
      <c r="L7456" s="4" t="s">
        <v>9</v>
      </c>
      <c r="M7456" s="4" t="s">
        <v>9</v>
      </c>
      <c r="N7456" s="5"/>
    </row>
    <row r="7457" spans="1:14" x14ac:dyDescent="0.25">
      <c r="A7457" s="4" t="s">
        <v>195</v>
      </c>
      <c r="B7457" s="5"/>
      <c r="C7457" s="4" t="s">
        <v>9</v>
      </c>
      <c r="D7457" s="4" t="s">
        <v>9</v>
      </c>
      <c r="E7457" s="4" t="s">
        <v>9</v>
      </c>
      <c r="F7457" s="6">
        <v>0</v>
      </c>
      <c r="G7457" s="6">
        <v>0</v>
      </c>
      <c r="H7457" s="4" t="s">
        <v>9</v>
      </c>
      <c r="I7457" s="4" t="s">
        <v>3</v>
      </c>
      <c r="J7457" s="4" t="s">
        <v>9</v>
      </c>
      <c r="K7457" s="4" t="s">
        <v>9</v>
      </c>
      <c r="L7457" s="4" t="s">
        <v>9</v>
      </c>
      <c r="M7457" s="4" t="s">
        <v>9</v>
      </c>
      <c r="N7457" s="5"/>
    </row>
    <row r="7458" spans="1:14" x14ac:dyDescent="0.25">
      <c r="A7458" t="s">
        <v>197</v>
      </c>
      <c r="B7458" s="2">
        <v>46234</v>
      </c>
      <c r="C7458" t="s">
        <v>197</v>
      </c>
      <c r="D7458" t="s">
        <v>99</v>
      </c>
      <c r="E7458" t="s">
        <v>9</v>
      </c>
      <c r="F7458" s="3">
        <v>47811</v>
      </c>
      <c r="G7458" s="3">
        <v>47811</v>
      </c>
      <c r="H7458" t="s">
        <v>3</v>
      </c>
      <c r="I7458" t="s">
        <v>3</v>
      </c>
      <c r="J7458" t="s">
        <v>198</v>
      </c>
      <c r="K7458" t="s">
        <v>13</v>
      </c>
      <c r="L7458" t="s">
        <v>21</v>
      </c>
      <c r="M7458" t="s">
        <v>102</v>
      </c>
      <c r="N7458" s="2">
        <v>46234</v>
      </c>
    </row>
    <row r="7459" spans="1:14" x14ac:dyDescent="0.25">
      <c r="A7459" t="s">
        <v>197</v>
      </c>
      <c r="B7459" s="2">
        <v>46239</v>
      </c>
      <c r="C7459" t="s">
        <v>197</v>
      </c>
      <c r="D7459" t="s">
        <v>99</v>
      </c>
      <c r="E7459" t="s">
        <v>9</v>
      </c>
      <c r="F7459" s="3">
        <v>-47811</v>
      </c>
      <c r="G7459" s="3">
        <v>-47811</v>
      </c>
      <c r="H7459" t="s">
        <v>3</v>
      </c>
      <c r="I7459" t="s">
        <v>3</v>
      </c>
      <c r="J7459" t="s">
        <v>797</v>
      </c>
      <c r="K7459" t="s">
        <v>13</v>
      </c>
      <c r="L7459" t="s">
        <v>21</v>
      </c>
      <c r="M7459" t="s">
        <v>102</v>
      </c>
      <c r="N7459" s="2">
        <v>46234</v>
      </c>
    </row>
    <row r="7460" spans="1:14" x14ac:dyDescent="0.25">
      <c r="A7460" s="4" t="s">
        <v>262</v>
      </c>
      <c r="B7460" s="5"/>
      <c r="C7460" s="4" t="s">
        <v>9</v>
      </c>
      <c r="D7460" s="4" t="s">
        <v>9</v>
      </c>
      <c r="E7460" s="4" t="s">
        <v>9</v>
      </c>
      <c r="F7460" s="6">
        <v>0</v>
      </c>
      <c r="G7460" s="6">
        <v>0</v>
      </c>
      <c r="H7460" s="4" t="s">
        <v>9</v>
      </c>
      <c r="I7460" s="4" t="s">
        <v>3</v>
      </c>
      <c r="J7460" s="4" t="s">
        <v>9</v>
      </c>
      <c r="K7460" s="4" t="s">
        <v>9</v>
      </c>
      <c r="L7460" s="4" t="s">
        <v>9</v>
      </c>
      <c r="M7460" s="4" t="s">
        <v>9</v>
      </c>
      <c r="N7460" s="5"/>
    </row>
    <row r="7461" spans="1:14" x14ac:dyDescent="0.25">
      <c r="A7461" t="s">
        <v>197</v>
      </c>
      <c r="B7461" s="2">
        <v>46265</v>
      </c>
      <c r="C7461" t="s">
        <v>197</v>
      </c>
      <c r="D7461" t="s">
        <v>99</v>
      </c>
      <c r="E7461" t="s">
        <v>9</v>
      </c>
      <c r="F7461" s="3">
        <v>11181</v>
      </c>
      <c r="G7461" s="3">
        <v>11181</v>
      </c>
      <c r="H7461" t="s">
        <v>3</v>
      </c>
      <c r="I7461" t="s">
        <v>3</v>
      </c>
      <c r="J7461" t="s">
        <v>171</v>
      </c>
      <c r="K7461" t="s">
        <v>13</v>
      </c>
      <c r="L7461" t="s">
        <v>22</v>
      </c>
      <c r="M7461" t="s">
        <v>102</v>
      </c>
      <c r="N7461" s="2">
        <v>46265</v>
      </c>
    </row>
    <row r="7462" spans="1:14" x14ac:dyDescent="0.25">
      <c r="A7462" t="s">
        <v>197</v>
      </c>
      <c r="B7462" s="2">
        <v>46272</v>
      </c>
      <c r="C7462" t="s">
        <v>197</v>
      </c>
      <c r="D7462" t="s">
        <v>99</v>
      </c>
      <c r="E7462" t="s">
        <v>9</v>
      </c>
      <c r="F7462" s="3">
        <v>-11181</v>
      </c>
      <c r="G7462" s="3">
        <v>-11181</v>
      </c>
      <c r="H7462" t="s">
        <v>3</v>
      </c>
      <c r="I7462" t="s">
        <v>3</v>
      </c>
      <c r="J7462" t="s">
        <v>797</v>
      </c>
      <c r="K7462" t="s">
        <v>13</v>
      </c>
      <c r="L7462" t="s">
        <v>22</v>
      </c>
      <c r="M7462" t="s">
        <v>102</v>
      </c>
      <c r="N7462" s="2">
        <v>46265</v>
      </c>
    </row>
    <row r="7463" spans="1:14" x14ac:dyDescent="0.25">
      <c r="A7463" s="4" t="s">
        <v>267</v>
      </c>
      <c r="B7463" s="5"/>
      <c r="C7463" s="4" t="s">
        <v>9</v>
      </c>
      <c r="D7463" s="4" t="s">
        <v>9</v>
      </c>
      <c r="E7463" s="4" t="s">
        <v>9</v>
      </c>
      <c r="F7463" s="6">
        <v>0</v>
      </c>
      <c r="G7463" s="6">
        <v>0</v>
      </c>
      <c r="H7463" s="4" t="s">
        <v>9</v>
      </c>
      <c r="I7463" s="4" t="s">
        <v>3</v>
      </c>
      <c r="J7463" s="4" t="s">
        <v>9</v>
      </c>
      <c r="K7463" s="4" t="s">
        <v>9</v>
      </c>
      <c r="L7463" s="4" t="s">
        <v>9</v>
      </c>
      <c r="M7463" s="4" t="s">
        <v>9</v>
      </c>
      <c r="N7463" s="5"/>
    </row>
    <row r="7464" spans="1:14" x14ac:dyDescent="0.25">
      <c r="A7464" s="4" t="s">
        <v>197</v>
      </c>
      <c r="B7464" s="5"/>
      <c r="C7464" s="4" t="s">
        <v>9</v>
      </c>
      <c r="D7464" s="4" t="s">
        <v>9</v>
      </c>
      <c r="E7464" s="4" t="s">
        <v>9</v>
      </c>
      <c r="F7464" s="6">
        <v>0</v>
      </c>
      <c r="G7464" s="6">
        <v>0</v>
      </c>
      <c r="H7464" s="4" t="s">
        <v>9</v>
      </c>
      <c r="I7464" s="4" t="s">
        <v>3</v>
      </c>
      <c r="J7464" s="4" t="s">
        <v>9</v>
      </c>
      <c r="K7464" s="4" t="s">
        <v>9</v>
      </c>
      <c r="L7464" s="4" t="s">
        <v>9</v>
      </c>
      <c r="M7464" s="4" t="s">
        <v>9</v>
      </c>
      <c r="N7464" s="5"/>
    </row>
    <row r="7465" spans="1:14" x14ac:dyDescent="0.25">
      <c r="A7465" t="s">
        <v>199</v>
      </c>
      <c r="B7465" s="2">
        <v>46265</v>
      </c>
      <c r="C7465" t="s">
        <v>199</v>
      </c>
      <c r="D7465" t="s">
        <v>1</v>
      </c>
      <c r="E7465" t="s">
        <v>9</v>
      </c>
      <c r="F7465" s="3">
        <v>2700</v>
      </c>
      <c r="G7465" s="3">
        <v>2700</v>
      </c>
      <c r="H7465" t="s">
        <v>3</v>
      </c>
      <c r="I7465" t="s">
        <v>3</v>
      </c>
      <c r="J7465" t="s">
        <v>10</v>
      </c>
      <c r="K7465" t="s">
        <v>13</v>
      </c>
      <c r="L7465" t="s">
        <v>22</v>
      </c>
      <c r="M7465" t="s">
        <v>7</v>
      </c>
      <c r="N7465" s="2">
        <v>46265</v>
      </c>
    </row>
    <row r="7466" spans="1:14" x14ac:dyDescent="0.25">
      <c r="A7466" t="s">
        <v>199</v>
      </c>
      <c r="B7466" s="2">
        <v>46267</v>
      </c>
      <c r="C7466" t="s">
        <v>199</v>
      </c>
      <c r="D7466" t="s">
        <v>1</v>
      </c>
      <c r="E7466" t="s">
        <v>9</v>
      </c>
      <c r="F7466" s="3">
        <v>-2700</v>
      </c>
      <c r="G7466" s="3">
        <v>-2700</v>
      </c>
      <c r="H7466" t="s">
        <v>3</v>
      </c>
      <c r="I7466" t="s">
        <v>3</v>
      </c>
      <c r="J7466" t="s">
        <v>798</v>
      </c>
      <c r="K7466" t="s">
        <v>13</v>
      </c>
      <c r="L7466" t="s">
        <v>22</v>
      </c>
      <c r="M7466" t="s">
        <v>7</v>
      </c>
      <c r="N7466" s="2">
        <v>46265</v>
      </c>
    </row>
    <row r="7467" spans="1:14" x14ac:dyDescent="0.25">
      <c r="A7467" s="4" t="s">
        <v>267</v>
      </c>
      <c r="B7467" s="5"/>
      <c r="C7467" s="4" t="s">
        <v>9</v>
      </c>
      <c r="D7467" s="4" t="s">
        <v>9</v>
      </c>
      <c r="E7467" s="4" t="s">
        <v>9</v>
      </c>
      <c r="F7467" s="6">
        <v>0</v>
      </c>
      <c r="G7467" s="6">
        <v>0</v>
      </c>
      <c r="H7467" s="4" t="s">
        <v>9</v>
      </c>
      <c r="I7467" s="4" t="s">
        <v>3</v>
      </c>
      <c r="J7467" s="4" t="s">
        <v>9</v>
      </c>
      <c r="K7467" s="4" t="s">
        <v>9</v>
      </c>
      <c r="L7467" s="4" t="s">
        <v>9</v>
      </c>
      <c r="M7467" s="4" t="s">
        <v>9</v>
      </c>
      <c r="N7467" s="5"/>
    </row>
    <row r="7468" spans="1:14" x14ac:dyDescent="0.25">
      <c r="A7468" s="4" t="s">
        <v>199</v>
      </c>
      <c r="B7468" s="5"/>
      <c r="C7468" s="4" t="s">
        <v>9</v>
      </c>
      <c r="D7468" s="4" t="s">
        <v>9</v>
      </c>
      <c r="E7468" s="4" t="s">
        <v>9</v>
      </c>
      <c r="F7468" s="6">
        <v>0</v>
      </c>
      <c r="G7468" s="6">
        <v>0</v>
      </c>
      <c r="H7468" s="4" t="s">
        <v>9</v>
      </c>
      <c r="I7468" s="4" t="s">
        <v>3</v>
      </c>
      <c r="J7468" s="4" t="s">
        <v>9</v>
      </c>
      <c r="K7468" s="4" t="s">
        <v>9</v>
      </c>
      <c r="L7468" s="4" t="s">
        <v>9</v>
      </c>
      <c r="M7468" s="4" t="s">
        <v>9</v>
      </c>
      <c r="N7468" s="5"/>
    </row>
    <row r="7469" spans="1:14" x14ac:dyDescent="0.25">
      <c r="A7469" t="s">
        <v>200</v>
      </c>
      <c r="B7469" s="2">
        <v>46142</v>
      </c>
      <c r="C7469" t="s">
        <v>200</v>
      </c>
      <c r="D7469" t="s">
        <v>1</v>
      </c>
      <c r="E7469" t="s">
        <v>9</v>
      </c>
      <c r="F7469" s="3">
        <v>41702.5</v>
      </c>
      <c r="G7469" s="3">
        <v>41702.5</v>
      </c>
      <c r="H7469" t="s">
        <v>3</v>
      </c>
      <c r="I7469" t="s">
        <v>3</v>
      </c>
      <c r="J7469" t="s">
        <v>10</v>
      </c>
      <c r="K7469" t="s">
        <v>13</v>
      </c>
      <c r="L7469" t="s">
        <v>17</v>
      </c>
      <c r="M7469" t="s">
        <v>7</v>
      </c>
      <c r="N7469" s="2">
        <v>46142</v>
      </c>
    </row>
    <row r="7470" spans="1:14" x14ac:dyDescent="0.25">
      <c r="A7470" t="s">
        <v>200</v>
      </c>
      <c r="B7470" s="2">
        <v>46147</v>
      </c>
      <c r="C7470" t="s">
        <v>200</v>
      </c>
      <c r="D7470" t="s">
        <v>1</v>
      </c>
      <c r="E7470" t="s">
        <v>9</v>
      </c>
      <c r="F7470" s="3">
        <v>-41702.5</v>
      </c>
      <c r="G7470" s="3">
        <v>-41702.5</v>
      </c>
      <c r="H7470" t="s">
        <v>3</v>
      </c>
      <c r="I7470" t="s">
        <v>3</v>
      </c>
      <c r="J7470" t="s">
        <v>799</v>
      </c>
      <c r="K7470" t="s">
        <v>13</v>
      </c>
      <c r="L7470" t="s">
        <v>17</v>
      </c>
      <c r="M7470" t="s">
        <v>7</v>
      </c>
      <c r="N7470" s="2">
        <v>46142</v>
      </c>
    </row>
    <row r="7471" spans="1:14" x14ac:dyDescent="0.25">
      <c r="A7471" s="4" t="s">
        <v>249</v>
      </c>
      <c r="B7471" s="5"/>
      <c r="C7471" s="4" t="s">
        <v>9</v>
      </c>
      <c r="D7471" s="4" t="s">
        <v>9</v>
      </c>
      <c r="E7471" s="4" t="s">
        <v>9</v>
      </c>
      <c r="F7471" s="6">
        <v>0</v>
      </c>
      <c r="G7471" s="6">
        <v>0</v>
      </c>
      <c r="H7471" s="4" t="s">
        <v>9</v>
      </c>
      <c r="I7471" s="4" t="s">
        <v>3</v>
      </c>
      <c r="J7471" s="4" t="s">
        <v>9</v>
      </c>
      <c r="K7471" s="4" t="s">
        <v>9</v>
      </c>
      <c r="L7471" s="4" t="s">
        <v>9</v>
      </c>
      <c r="M7471" s="4" t="s">
        <v>9</v>
      </c>
      <c r="N7471" s="5"/>
    </row>
    <row r="7472" spans="1:14" x14ac:dyDescent="0.25">
      <c r="A7472" t="s">
        <v>200</v>
      </c>
      <c r="B7472" s="2">
        <v>46173</v>
      </c>
      <c r="C7472" t="s">
        <v>200</v>
      </c>
      <c r="D7472" t="s">
        <v>1</v>
      </c>
      <c r="E7472" t="s">
        <v>9</v>
      </c>
      <c r="F7472" s="3">
        <v>5287.5</v>
      </c>
      <c r="G7472" s="3">
        <v>5287.5</v>
      </c>
      <c r="H7472" t="s">
        <v>3</v>
      </c>
      <c r="I7472" t="s">
        <v>3</v>
      </c>
      <c r="J7472" t="s">
        <v>10</v>
      </c>
      <c r="K7472" t="s">
        <v>13</v>
      </c>
      <c r="L7472" t="s">
        <v>18</v>
      </c>
      <c r="M7472" t="s">
        <v>7</v>
      </c>
      <c r="N7472" s="2">
        <v>46173</v>
      </c>
    </row>
    <row r="7473" spans="1:14" x14ac:dyDescent="0.25">
      <c r="A7473" t="s">
        <v>200</v>
      </c>
      <c r="B7473" s="2">
        <v>46175</v>
      </c>
      <c r="C7473" t="s">
        <v>200</v>
      </c>
      <c r="D7473" t="s">
        <v>1</v>
      </c>
      <c r="E7473" t="s">
        <v>9</v>
      </c>
      <c r="F7473" s="3">
        <v>-5287.5</v>
      </c>
      <c r="G7473" s="3">
        <v>-5287.5</v>
      </c>
      <c r="H7473" t="s">
        <v>3</v>
      </c>
      <c r="I7473" t="s">
        <v>3</v>
      </c>
      <c r="J7473" t="s">
        <v>799</v>
      </c>
      <c r="K7473" t="s">
        <v>13</v>
      </c>
      <c r="L7473" t="s">
        <v>18</v>
      </c>
      <c r="M7473" t="s">
        <v>7</v>
      </c>
      <c r="N7473" s="2">
        <v>46173</v>
      </c>
    </row>
    <row r="7474" spans="1:14" x14ac:dyDescent="0.25">
      <c r="A7474" s="4" t="s">
        <v>223</v>
      </c>
      <c r="B7474" s="5"/>
      <c r="C7474" s="4" t="s">
        <v>9</v>
      </c>
      <c r="D7474" s="4" t="s">
        <v>9</v>
      </c>
      <c r="E7474" s="4" t="s">
        <v>9</v>
      </c>
      <c r="F7474" s="6">
        <v>0</v>
      </c>
      <c r="G7474" s="6">
        <v>0</v>
      </c>
      <c r="H7474" s="4" t="s">
        <v>9</v>
      </c>
      <c r="I7474" s="4" t="s">
        <v>3</v>
      </c>
      <c r="J7474" s="4" t="s">
        <v>9</v>
      </c>
      <c r="K7474" s="4" t="s">
        <v>9</v>
      </c>
      <c r="L7474" s="4" t="s">
        <v>9</v>
      </c>
      <c r="M7474" s="4" t="s">
        <v>9</v>
      </c>
      <c r="N7474" s="5"/>
    </row>
    <row r="7475" spans="1:14" x14ac:dyDescent="0.25">
      <c r="A7475" t="s">
        <v>200</v>
      </c>
      <c r="B7475" s="2">
        <v>46203</v>
      </c>
      <c r="C7475" t="s">
        <v>200</v>
      </c>
      <c r="D7475" t="s">
        <v>1</v>
      </c>
      <c r="E7475" t="s">
        <v>9</v>
      </c>
      <c r="F7475" s="3">
        <v>2391.06</v>
      </c>
      <c r="G7475" s="3">
        <v>2391.06</v>
      </c>
      <c r="H7475" t="s">
        <v>3</v>
      </c>
      <c r="I7475" t="s">
        <v>3</v>
      </c>
      <c r="J7475" t="s">
        <v>10</v>
      </c>
      <c r="K7475" t="s">
        <v>13</v>
      </c>
      <c r="L7475" t="s">
        <v>19</v>
      </c>
      <c r="M7475" t="s">
        <v>7</v>
      </c>
      <c r="N7475" s="2">
        <v>46203</v>
      </c>
    </row>
    <row r="7476" spans="1:14" x14ac:dyDescent="0.25">
      <c r="A7476" t="s">
        <v>200</v>
      </c>
      <c r="B7476" s="2">
        <v>46205</v>
      </c>
      <c r="C7476" t="s">
        <v>200</v>
      </c>
      <c r="D7476" t="s">
        <v>1</v>
      </c>
      <c r="E7476" t="s">
        <v>9</v>
      </c>
      <c r="F7476" s="3">
        <v>-2391.06</v>
      </c>
      <c r="G7476" s="3">
        <v>-2391.06</v>
      </c>
      <c r="H7476" t="s">
        <v>3</v>
      </c>
      <c r="I7476" t="s">
        <v>3</v>
      </c>
      <c r="J7476" t="s">
        <v>799</v>
      </c>
      <c r="K7476" t="s">
        <v>13</v>
      </c>
      <c r="L7476" t="s">
        <v>19</v>
      </c>
      <c r="M7476" t="s">
        <v>7</v>
      </c>
      <c r="N7476" s="2">
        <v>46203</v>
      </c>
    </row>
    <row r="7477" spans="1:14" x14ac:dyDescent="0.25">
      <c r="A7477" s="4" t="s">
        <v>224</v>
      </c>
      <c r="B7477" s="5"/>
      <c r="C7477" s="4" t="s">
        <v>9</v>
      </c>
      <c r="D7477" s="4" t="s">
        <v>9</v>
      </c>
      <c r="E7477" s="4" t="s">
        <v>9</v>
      </c>
      <c r="F7477" s="6">
        <v>0</v>
      </c>
      <c r="G7477" s="6">
        <v>0</v>
      </c>
      <c r="H7477" s="4" t="s">
        <v>9</v>
      </c>
      <c r="I7477" s="4" t="s">
        <v>3</v>
      </c>
      <c r="J7477" s="4" t="s">
        <v>9</v>
      </c>
      <c r="K7477" s="4" t="s">
        <v>9</v>
      </c>
      <c r="L7477" s="4" t="s">
        <v>9</v>
      </c>
      <c r="M7477" s="4" t="s">
        <v>9</v>
      </c>
      <c r="N7477" s="5"/>
    </row>
    <row r="7478" spans="1:14" x14ac:dyDescent="0.25">
      <c r="A7478" t="s">
        <v>200</v>
      </c>
      <c r="B7478" s="2">
        <v>46234</v>
      </c>
      <c r="C7478" t="s">
        <v>200</v>
      </c>
      <c r="D7478" t="s">
        <v>1</v>
      </c>
      <c r="E7478" t="s">
        <v>9</v>
      </c>
      <c r="F7478" s="3">
        <v>10591.44</v>
      </c>
      <c r="G7478" s="3">
        <v>10591.44</v>
      </c>
      <c r="H7478" t="s">
        <v>3</v>
      </c>
      <c r="I7478" t="s">
        <v>3</v>
      </c>
      <c r="J7478" t="s">
        <v>10</v>
      </c>
      <c r="K7478" t="s">
        <v>13</v>
      </c>
      <c r="L7478" t="s">
        <v>21</v>
      </c>
      <c r="M7478" t="s">
        <v>7</v>
      </c>
      <c r="N7478" s="2">
        <v>46234</v>
      </c>
    </row>
    <row r="7479" spans="1:14" x14ac:dyDescent="0.25">
      <c r="A7479" t="s">
        <v>200</v>
      </c>
      <c r="B7479" s="2">
        <v>46239</v>
      </c>
      <c r="C7479" t="s">
        <v>200</v>
      </c>
      <c r="D7479" t="s">
        <v>1</v>
      </c>
      <c r="E7479" t="s">
        <v>9</v>
      </c>
      <c r="F7479" s="3">
        <v>-10591.44</v>
      </c>
      <c r="G7479" s="3">
        <v>-10591.44</v>
      </c>
      <c r="H7479" t="s">
        <v>3</v>
      </c>
      <c r="I7479" t="s">
        <v>3</v>
      </c>
      <c r="J7479" t="s">
        <v>799</v>
      </c>
      <c r="K7479" t="s">
        <v>13</v>
      </c>
      <c r="L7479" t="s">
        <v>21</v>
      </c>
      <c r="M7479" t="s">
        <v>7</v>
      </c>
      <c r="N7479" s="2">
        <v>46234</v>
      </c>
    </row>
    <row r="7480" spans="1:14" x14ac:dyDescent="0.25">
      <c r="A7480" s="4" t="s">
        <v>262</v>
      </c>
      <c r="B7480" s="5"/>
      <c r="C7480" s="4" t="s">
        <v>9</v>
      </c>
      <c r="D7480" s="4" t="s">
        <v>9</v>
      </c>
      <c r="E7480" s="4" t="s">
        <v>9</v>
      </c>
      <c r="F7480" s="6">
        <v>0</v>
      </c>
      <c r="G7480" s="6">
        <v>0</v>
      </c>
      <c r="H7480" s="4" t="s">
        <v>9</v>
      </c>
      <c r="I7480" s="4" t="s">
        <v>3</v>
      </c>
      <c r="J7480" s="4" t="s">
        <v>9</v>
      </c>
      <c r="K7480" s="4" t="s">
        <v>9</v>
      </c>
      <c r="L7480" s="4" t="s">
        <v>9</v>
      </c>
      <c r="M7480" s="4" t="s">
        <v>9</v>
      </c>
      <c r="N7480" s="5"/>
    </row>
    <row r="7481" spans="1:14" x14ac:dyDescent="0.25">
      <c r="A7481" s="4" t="s">
        <v>200</v>
      </c>
      <c r="B7481" s="5"/>
      <c r="C7481" s="4" t="s">
        <v>9</v>
      </c>
      <c r="D7481" s="4" t="s">
        <v>9</v>
      </c>
      <c r="E7481" s="4" t="s">
        <v>9</v>
      </c>
      <c r="F7481" s="6">
        <v>0</v>
      </c>
      <c r="G7481" s="6">
        <v>0</v>
      </c>
      <c r="H7481" s="4" t="s">
        <v>9</v>
      </c>
      <c r="I7481" s="4" t="s">
        <v>3</v>
      </c>
      <c r="J7481" s="4" t="s">
        <v>9</v>
      </c>
      <c r="K7481" s="4" t="s">
        <v>9</v>
      </c>
      <c r="L7481" s="4" t="s">
        <v>9</v>
      </c>
      <c r="M7481" s="4" t="s">
        <v>9</v>
      </c>
      <c r="N7481" s="5"/>
    </row>
    <row r="7482" spans="1:14" x14ac:dyDescent="0.25">
      <c r="A7482" t="s">
        <v>201</v>
      </c>
      <c r="B7482" s="2">
        <v>46132</v>
      </c>
      <c r="C7482" t="s">
        <v>201</v>
      </c>
      <c r="D7482" t="s">
        <v>202</v>
      </c>
      <c r="E7482" t="s">
        <v>203</v>
      </c>
      <c r="F7482" s="3">
        <v>1565.28</v>
      </c>
      <c r="G7482" s="3">
        <v>1565.28</v>
      </c>
      <c r="H7482" t="s">
        <v>3</v>
      </c>
      <c r="I7482" t="s">
        <v>3</v>
      </c>
      <c r="J7482" t="s">
        <v>9</v>
      </c>
      <c r="K7482" t="s">
        <v>13</v>
      </c>
      <c r="L7482" t="s">
        <v>17</v>
      </c>
      <c r="M7482" t="s">
        <v>204</v>
      </c>
      <c r="N7482" s="2">
        <v>46139</v>
      </c>
    </row>
    <row r="7483" spans="1:14" x14ac:dyDescent="0.25">
      <c r="A7483" t="s">
        <v>201</v>
      </c>
      <c r="B7483" s="2">
        <v>46132</v>
      </c>
      <c r="C7483" t="s">
        <v>201</v>
      </c>
      <c r="D7483" t="s">
        <v>202</v>
      </c>
      <c r="E7483" t="s">
        <v>203</v>
      </c>
      <c r="F7483" s="3">
        <v>-1565.28</v>
      </c>
      <c r="G7483" s="3">
        <v>-1565.28</v>
      </c>
      <c r="H7483" t="s">
        <v>3</v>
      </c>
      <c r="I7483" t="s">
        <v>3</v>
      </c>
      <c r="J7483" t="s">
        <v>9</v>
      </c>
      <c r="K7483" t="s">
        <v>13</v>
      </c>
      <c r="L7483" t="s">
        <v>17</v>
      </c>
      <c r="M7483" t="s">
        <v>204</v>
      </c>
      <c r="N7483" s="2">
        <v>46139</v>
      </c>
    </row>
    <row r="7484" spans="1:14" x14ac:dyDescent="0.25">
      <c r="A7484" t="s">
        <v>201</v>
      </c>
      <c r="B7484" s="2">
        <v>46132</v>
      </c>
      <c r="C7484" t="s">
        <v>201</v>
      </c>
      <c r="D7484" t="s">
        <v>205</v>
      </c>
      <c r="E7484" t="s">
        <v>9</v>
      </c>
      <c r="F7484" s="3">
        <v>1565.28</v>
      </c>
      <c r="G7484" s="3">
        <v>1565.28</v>
      </c>
      <c r="H7484" t="s">
        <v>3</v>
      </c>
      <c r="I7484" t="s">
        <v>3</v>
      </c>
      <c r="J7484" t="s">
        <v>9</v>
      </c>
      <c r="K7484" t="s">
        <v>13</v>
      </c>
      <c r="L7484" t="s">
        <v>17</v>
      </c>
      <c r="M7484" t="s">
        <v>206</v>
      </c>
      <c r="N7484" s="2">
        <v>46139</v>
      </c>
    </row>
    <row r="7485" spans="1:14" x14ac:dyDescent="0.25">
      <c r="A7485" s="4" t="s">
        <v>249</v>
      </c>
      <c r="B7485" s="5"/>
      <c r="C7485" s="4" t="s">
        <v>9</v>
      </c>
      <c r="D7485" s="4" t="s">
        <v>9</v>
      </c>
      <c r="E7485" s="4" t="s">
        <v>9</v>
      </c>
      <c r="F7485" s="6">
        <v>1565.28</v>
      </c>
      <c r="G7485" s="6">
        <v>1565.28</v>
      </c>
      <c r="H7485" s="4" t="s">
        <v>9</v>
      </c>
      <c r="I7485" s="4" t="s">
        <v>3</v>
      </c>
      <c r="J7485" s="4" t="s">
        <v>9</v>
      </c>
      <c r="K7485" s="4" t="s">
        <v>9</v>
      </c>
      <c r="L7485" s="4" t="s">
        <v>9</v>
      </c>
      <c r="M7485" s="4" t="s">
        <v>9</v>
      </c>
      <c r="N7485" s="5"/>
    </row>
    <row r="7486" spans="1:14" x14ac:dyDescent="0.25">
      <c r="A7486" s="4" t="s">
        <v>201</v>
      </c>
      <c r="B7486" s="5"/>
      <c r="C7486" s="4" t="s">
        <v>9</v>
      </c>
      <c r="D7486" s="4" t="s">
        <v>9</v>
      </c>
      <c r="E7486" s="4" t="s">
        <v>9</v>
      </c>
      <c r="F7486" s="6">
        <v>1565.28</v>
      </c>
      <c r="G7486" s="6">
        <v>1565.28</v>
      </c>
      <c r="H7486" s="4" t="s">
        <v>9</v>
      </c>
      <c r="I7486" s="4" t="s">
        <v>3</v>
      </c>
      <c r="J7486" s="4" t="s">
        <v>9</v>
      </c>
      <c r="K7486" s="4" t="s">
        <v>9</v>
      </c>
      <c r="L7486" s="4" t="s">
        <v>9</v>
      </c>
      <c r="M7486" s="4" t="s">
        <v>9</v>
      </c>
      <c r="N7486" s="5"/>
    </row>
    <row r="7487" spans="1:14" x14ac:dyDescent="0.25">
      <c r="A7487" s="8" t="s">
        <v>9</v>
      </c>
      <c r="B7487" s="9"/>
      <c r="C7487" s="8" t="s">
        <v>9</v>
      </c>
      <c r="D7487" s="8" t="s">
        <v>9</v>
      </c>
      <c r="E7487" s="8" t="s">
        <v>9</v>
      </c>
      <c r="F7487" s="10">
        <v>68411.03</v>
      </c>
      <c r="G7487" s="10">
        <v>69861.63</v>
      </c>
      <c r="H7487" s="8" t="s">
        <v>9</v>
      </c>
      <c r="I7487" s="8" t="s">
        <v>3</v>
      </c>
      <c r="J7487" s="8" t="s">
        <v>9</v>
      </c>
      <c r="K7487" s="8" t="s">
        <v>9</v>
      </c>
      <c r="L7487" s="8" t="s">
        <v>9</v>
      </c>
      <c r="M7487" s="8" t="s">
        <v>9</v>
      </c>
      <c r="N7487" s="9"/>
    </row>
    <row r="7488" spans="1:14" x14ac:dyDescent="0.25">
      <c r="A7488" s="8" t="s">
        <v>9</v>
      </c>
      <c r="B7488" s="9"/>
      <c r="C7488" s="8" t="s">
        <v>9</v>
      </c>
      <c r="D7488" s="8" t="s">
        <v>9</v>
      </c>
      <c r="E7488" s="8" t="s">
        <v>9</v>
      </c>
      <c r="F7488" s="10">
        <v>0</v>
      </c>
      <c r="G7488" s="10">
        <v>0</v>
      </c>
      <c r="H7488" s="8" t="s">
        <v>9</v>
      </c>
      <c r="I7488" s="8" t="s">
        <v>174</v>
      </c>
      <c r="J7488" s="8" t="s">
        <v>9</v>
      </c>
      <c r="K7488" s="8" t="s">
        <v>9</v>
      </c>
      <c r="L7488" s="8" t="s">
        <v>9</v>
      </c>
      <c r="M7488" s="8" t="s">
        <v>9</v>
      </c>
      <c r="N7488" s="9"/>
    </row>
    <row r="7489" spans="1:14" x14ac:dyDescent="0.25">
      <c r="A7489" s="8" t="s">
        <v>9</v>
      </c>
      <c r="B7489" s="9"/>
      <c r="C7489" s="8" t="s">
        <v>9</v>
      </c>
      <c r="D7489" s="8" t="s">
        <v>9</v>
      </c>
      <c r="E7489" s="8" t="s">
        <v>9</v>
      </c>
      <c r="F7489" s="11"/>
      <c r="G7489" s="10">
        <v>-7467.98</v>
      </c>
      <c r="H7489" s="8" t="s">
        <v>9</v>
      </c>
      <c r="I7489" s="8" t="s">
        <v>760</v>
      </c>
      <c r="J7489" s="8" t="s">
        <v>9</v>
      </c>
      <c r="K7489" s="8" t="s">
        <v>9</v>
      </c>
      <c r="L7489" s="8" t="s">
        <v>9</v>
      </c>
      <c r="M7489" s="8" t="s">
        <v>9</v>
      </c>
      <c r="N7489" s="9"/>
    </row>
    <row r="7490" spans="1:14" x14ac:dyDescent="0.25">
      <c r="A7490" s="8" t="s">
        <v>9</v>
      </c>
      <c r="B7490" s="9"/>
      <c r="C7490" s="8" t="s">
        <v>9</v>
      </c>
      <c r="D7490" s="8" t="s">
        <v>9</v>
      </c>
      <c r="E7490" s="8" t="s">
        <v>9</v>
      </c>
      <c r="F7490" s="11"/>
      <c r="G7490" s="10">
        <v>0</v>
      </c>
      <c r="H7490" s="8" t="s">
        <v>9</v>
      </c>
      <c r="I7490" s="8" t="s">
        <v>120</v>
      </c>
      <c r="J7490" s="8" t="s">
        <v>9</v>
      </c>
      <c r="K7490" s="8" t="s">
        <v>9</v>
      </c>
      <c r="L7490" s="8" t="s">
        <v>9</v>
      </c>
      <c r="M7490" s="8" t="s">
        <v>9</v>
      </c>
      <c r="N7490" s="9"/>
    </row>
  </sheetData>
  <pageMargins left="0.7" right="0.7" top="0.75" bottom="0.75" header="0.3" footer="0.3"/>
  <headerFooter>
    <oddFooter xml:space="preserve">&amp;C_x000D_&amp;1#&amp;"Aptos"&amp;11&amp;K000000 Classification: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3DF3-F4EC-4CDD-99E0-F922E93B1583}">
  <dimension ref="A1:O89"/>
  <sheetViews>
    <sheetView topLeftCell="A32" workbookViewId="0">
      <selection activeCell="B49" sqref="B49"/>
    </sheetView>
  </sheetViews>
  <sheetFormatPr defaultRowHeight="12.5" x14ac:dyDescent="0.25"/>
  <cols>
    <col min="1" max="1" width="13.81640625" style="15" bestFit="1" customWidth="1"/>
    <col min="2" max="2" width="43.7265625" style="15" bestFit="1" customWidth="1"/>
    <col min="3" max="4" width="14.7265625" style="15" bestFit="1" customWidth="1"/>
    <col min="5" max="5" width="14.1796875" style="15" bestFit="1" customWidth="1"/>
    <col min="6" max="6" width="21.54296875" style="15" bestFit="1" customWidth="1"/>
    <col min="7" max="7" width="14.7265625" style="15" bestFit="1" customWidth="1"/>
    <col min="8" max="8" width="12.54296875" style="15" bestFit="1" customWidth="1"/>
    <col min="9" max="9" width="12" style="15" bestFit="1" customWidth="1"/>
    <col min="10" max="10" width="13.36328125" style="15" bestFit="1" customWidth="1"/>
    <col min="11" max="11" width="15.6328125" style="15" bestFit="1" customWidth="1"/>
    <col min="12" max="12" width="14.36328125" style="15" bestFit="1" customWidth="1"/>
    <col min="13" max="13" width="10.90625" style="15" bestFit="1" customWidth="1"/>
    <col min="14" max="14" width="11" style="15" bestFit="1" customWidth="1"/>
    <col min="15" max="15" width="16" style="15" bestFit="1" customWidth="1"/>
    <col min="16" max="16384" width="8.7265625" style="15"/>
  </cols>
  <sheetData>
    <row r="1" spans="1:15" ht="30" customHeight="1" x14ac:dyDescent="0.55000000000000004">
      <c r="A1" s="14" t="s">
        <v>800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14.5" x14ac:dyDescent="0.35">
      <c r="A2" s="16" t="s">
        <v>801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5" ht="30" customHeight="1" x14ac:dyDescent="0.25">
      <c r="A3" s="17" t="s">
        <v>802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5" ht="30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5" ht="14.5" x14ac:dyDescent="0.35">
      <c r="A5" s="18" t="s">
        <v>803</v>
      </c>
      <c r="B5" s="19">
        <f>SUM(CapexProjectSpend[Grand Total])</f>
        <v>7830293.6899999985</v>
      </c>
      <c r="D5" s="18" t="s">
        <v>804</v>
      </c>
      <c r="E5" s="19">
        <f>SUM(CapexProjectSpend[2025 Internal Reclass])+SUM(CapexProjectSpend[2026 Internal Reclass])</f>
        <v>2396751.7000000002</v>
      </c>
      <c r="G5" s="18" t="s">
        <v>805</v>
      </c>
      <c r="H5" s="19">
        <f>SUM(CapexProjectSpend[2025 External])+SUM(CapexProjectSpend[2026 External])</f>
        <v>2492605.4799999995</v>
      </c>
      <c r="J5" s="18" t="s">
        <v>806</v>
      </c>
      <c r="K5" s="19">
        <f>SUM(CapexProjectSpend[2025 Other])+SUM(CapexProjectSpend[2026 Other])</f>
        <v>2312831.2000000002</v>
      </c>
    </row>
    <row r="6" spans="1:15" ht="14.5" x14ac:dyDescent="0.35">
      <c r="A6" s="20" t="s">
        <v>807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5" x14ac:dyDescent="0.25">
      <c r="A7" s="15" t="s">
        <v>808</v>
      </c>
      <c r="B7" s="15" t="s">
        <v>809</v>
      </c>
      <c r="C7" s="15" t="s">
        <v>810</v>
      </c>
      <c r="D7" s="15" t="s">
        <v>811</v>
      </c>
      <c r="E7" s="15" t="s">
        <v>812</v>
      </c>
      <c r="F7" s="15" t="s">
        <v>813</v>
      </c>
      <c r="G7" s="15" t="s">
        <v>814</v>
      </c>
      <c r="H7" s="15" t="s">
        <v>815</v>
      </c>
      <c r="I7" s="15" t="s">
        <v>816</v>
      </c>
      <c r="J7" s="15" t="s">
        <v>817</v>
      </c>
      <c r="K7" s="15" t="s">
        <v>818</v>
      </c>
      <c r="L7" s="15" t="s">
        <v>819</v>
      </c>
      <c r="M7" s="15" t="s">
        <v>820</v>
      </c>
      <c r="N7" s="15" t="s">
        <v>821</v>
      </c>
      <c r="O7" s="15" t="s">
        <v>822</v>
      </c>
    </row>
    <row r="8" spans="1:15" x14ac:dyDescent="0.25">
      <c r="A8" s="15" t="s">
        <v>0</v>
      </c>
      <c r="B8" s="21">
        <f>SUMIFS('[1]Capex CJI3'!$F$2:$F$433,'[1]Capex CJI3'!$A$2:$A$433,$A8,'[1]Capex CJI3'!$K$2:$K$433,2025,'[1]Capex CJI3'!$J$2:$J$433,"*Reclass internal hours*")</f>
        <v>13150</v>
      </c>
      <c r="C8" s="21" cm="1">
        <f t="array" ref="C8">SUMPRODUCT(('[1]Capex CJI3'!$A$2:$A$433=$A8)*(IFERROR(VALUE('[1]Capex CJI3'!$K$2:$K$433),0)=2025)*(LEN('[1]Capex CJI3'!$E$2:$E$433)&gt;0)*ISERROR(SEARCH("Reclass internal hours",'[1]Capex CJI3'!$J$2:$J$433))*IFERROR(VALUE('[1]Capex CJI3'!$F$2:$F$433),0))</f>
        <v>8015</v>
      </c>
      <c r="D8" s="21" cm="1">
        <f t="array" ref="D8">SUMPRODUCT(('[1]Capex CJI3'!$A$2:$A$433=$A8)*(IFERROR(VALUE('[1]Capex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8" s="21">
        <f>SUM(B8:D8)</f>
        <v>21165</v>
      </c>
      <c r="F8" s="21">
        <f>SUMIFS('[1]Capex CJI3'!$F$2:$F$433,'[1]Capex CJI3'!$A$2:$A$433,$A8,'[1]Capex CJI3'!$K$2:$K$433,2026,'[1]Capex CJI3'!$J$2:$J$433,"*Reclass internal hours*")</f>
        <v>44918</v>
      </c>
      <c r="G8" s="21" cm="1">
        <f t="array" ref="G8">SUMPRODUCT(('[1]Capex CJI3'!$A$2:$A$433=$A8)*(IFERROR(VALUE('[1]Capex CJI3'!$K$2:$K$433),0)=2026)*(LEN('[1]Capex CJI3'!$E$2:$E$433)&gt;0)*ISERROR(SEARCH("Reclass internal hours",'[1]Capex CJI3'!$J$2:$J$433))*IFERROR(VALUE('[1]Capex CJI3'!$F$2:$F$433),0))-IF($A8="O7941/2517",'[1]Capex CJI3'!$F$124,0)-IF($A8="O7941/2613",'[1]Capex CJI3'!$F$313,0)</f>
        <v>2290</v>
      </c>
      <c r="H8" s="21" cm="1">
        <f t="array" ref="H8">SUMPRODUCT(('[1]Capex CJI3'!$A$2:$A$433=$A8)*(IFERROR(VALUE('[1]Capex CJI3'!$K$2:$K$433),0)=2026)*(LEN('[1]Capex CJI3'!$E$2:$E$433)=0)*ISERROR(SEARCH("Reclass internal hours",'[1]Capex CJI3'!$J$2:$J$433))*ISERROR(SEARCH("WBS Correction",'[1]Capex CJI3'!$J$2:$J$433))*('[1]Capex CJI3'!$D$2:$D$433&lt;&gt;"6405000000")*((($A8&lt;&gt;"O7941/2513")+('[1]Capex CJI3'!$D$2:$D$433&lt;&gt;"7405000000")+(IFERROR(VALUE('[1]Capex CJI3'!$L$2:$L$433),0)&gt;=3))&gt;0)*IFERROR(VALUE('[1]Capex CJI3'!$F$2:$F$433),0))-IF($A8="O7941/2517",'[1]Capex CJI3'!$F$132,0)-IF($A8="O9100/2601",'[1]Capex CJI3'!$F$429,0)</f>
        <v>0</v>
      </c>
      <c r="I8" s="21">
        <f>SUM(F8:H8)</f>
        <v>47208</v>
      </c>
      <c r="J8" s="21">
        <f>E8+I8</f>
        <v>68373</v>
      </c>
      <c r="K8" s="22">
        <v>46265</v>
      </c>
      <c r="L8" s="23" cm="1">
        <f t="array" ref="L8">SUMPRODUCT(('[1]Capex CJI3'!$A$2:$A$433=$A8)*(IFERROR(VALUE('[1]Capex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CJI3'!$D$2:$D$433&lt;&gt;"6405000000"))&gt;0))-IF($A8="O7941/2517",2,0)-IF($A8="O7941/2613",1,0)-IF($A8="O9100/2601",1,0)-IF($A8="O7941/2513",4,0)</f>
        <v>16</v>
      </c>
      <c r="M8" s="23" cm="1">
        <f t="array" ref="M8">SUMPRODUCT(('[1]Capex CJI3'!$A$2:$A$433=$A8)*(IFERROR(VALUE('[1]Capex CJI3'!$K$2:$K$433),0)&gt;0)*(LEN('[1]Capex CJI3'!$E$2:$E$433)&gt;0)*ISERROR(SEARCH("Reclass internal hours",'[1]Capex CJI3'!$J$2:$J$433)))-IF($A8="O7941/2517",1,0)-IF($A8="O7941/2613",1,0)</f>
        <v>5</v>
      </c>
      <c r="N8" s="15" t="s">
        <v>3</v>
      </c>
      <c r="O8" s="21">
        <v>140000</v>
      </c>
    </row>
    <row r="9" spans="1:15" x14ac:dyDescent="0.25">
      <c r="A9" s="15" t="s">
        <v>23</v>
      </c>
      <c r="B9" s="21">
        <f>SUMIFS('[1]Capex CJI3'!$F$2:$F$433,'[1]Capex CJI3'!$A$2:$A$433,$A9,'[1]Capex CJI3'!$K$2:$K$433,2025,'[1]Capex CJI3'!$J$2:$J$433,"*Reclass internal hours*")</f>
        <v>0</v>
      </c>
      <c r="C9" s="21" cm="1">
        <f t="array" ref="C9">SUMPRODUCT(('[1]Capex CJI3'!$A$2:$A$433=$A9)*(IFERROR(VALUE('[1]Capex CJI3'!$K$2:$K$433),0)=2025)*(LEN('[1]Capex CJI3'!$E$2:$E$433)&gt;0)*ISERROR(SEARCH("Reclass internal hours",'[1]Capex CJI3'!$J$2:$J$433))*IFERROR(VALUE('[1]Capex CJI3'!$F$2:$F$433),0))</f>
        <v>0</v>
      </c>
      <c r="D9" s="21" cm="1">
        <f t="array" ref="D9">SUMPRODUCT(('[1]Capex CJI3'!$A$2:$A$433=$A9)*(IFERROR(VALUE('[1]Capex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9" s="21">
        <f t="shared" ref="E9:E54" si="0">SUM(B9:D9)</f>
        <v>0</v>
      </c>
      <c r="F9" s="21">
        <f>SUMIFS('[1]Capex CJI3'!$F$2:$F$433,'[1]Capex CJI3'!$A$2:$A$433,$A9,'[1]Capex CJI3'!$K$2:$K$433,2026,'[1]Capex CJI3'!$J$2:$J$433,"*Reclass internal hours*")</f>
        <v>0</v>
      </c>
      <c r="G9" s="21" cm="1">
        <f t="array" ref="G9">SUMPRODUCT(('[1]Capex CJI3'!$A$2:$A$433=$A9)*(IFERROR(VALUE('[1]Capex CJI3'!$K$2:$K$433),0)=2026)*(LEN('[1]Capex CJI3'!$E$2:$E$433)&gt;0)*ISERROR(SEARCH("Reclass internal hours",'[1]Capex CJI3'!$J$2:$J$433))*IFERROR(VALUE('[1]Capex CJI3'!$F$2:$F$433),0))-IF($A9="O7941/2517",'[1]Capex CJI3'!$F$124,0)-IF($A9="O7941/2613",'[1]Capex CJI3'!$F$313,0)</f>
        <v>571.85</v>
      </c>
      <c r="H9" s="21" cm="1">
        <f t="array" ref="H9">SUMPRODUCT(('[1]Capex CJI3'!$A$2:$A$433=$A9)*(IFERROR(VALUE('[1]Capex CJI3'!$K$2:$K$433),0)=2026)*(LEN('[1]Capex CJI3'!$E$2:$E$433)=0)*ISERROR(SEARCH("Reclass internal hours",'[1]Capex CJI3'!$J$2:$J$433))*ISERROR(SEARCH("WBS Correction",'[1]Capex CJI3'!$J$2:$J$433))*('[1]Capex CJI3'!$D$2:$D$433&lt;&gt;"6405000000")*((($A9&lt;&gt;"O7941/2513")+('[1]Capex CJI3'!$D$2:$D$433&lt;&gt;"7405000000")+(IFERROR(VALUE('[1]Capex CJI3'!$L$2:$L$433),0)&gt;=3))&gt;0)*IFERROR(VALUE('[1]Capex CJI3'!$F$2:$F$433),0))-IF($A9="O7941/2517",'[1]Capex CJI3'!$F$132,0)-IF($A9="O9100/2601",'[1]Capex CJI3'!$F$429,0)</f>
        <v>0</v>
      </c>
      <c r="I9" s="21">
        <f t="shared" ref="I9:I13" si="1">SUM(F9:H9)</f>
        <v>571.85</v>
      </c>
      <c r="J9" s="21">
        <f t="shared" ref="J9:J54" si="2">E9+I9</f>
        <v>571.85</v>
      </c>
      <c r="K9" s="22">
        <v>46258</v>
      </c>
      <c r="L9" s="23" cm="1">
        <f t="array" ref="L9">SUMPRODUCT(('[1]Capex CJI3'!$A$2:$A$433=$A9)*(IFERROR(VALUE('[1]Capex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CJI3'!$D$2:$D$433&lt;&gt;"6405000000"))&gt;0))-IF($A9="O7941/2517",2,0)-IF($A9="O7941/2613",1,0)-IF($A9="O9100/2601",1,0)-IF($A9="O7941/2513",4,0)</f>
        <v>1</v>
      </c>
      <c r="M9" s="23" cm="1">
        <f t="array" ref="M9">SUMPRODUCT(('[1]Capex CJI3'!$A$2:$A$433=$A9)*(IFERROR(VALUE('[1]Capex CJI3'!$K$2:$K$433),0)&gt;0)*(LEN('[1]Capex CJI3'!$E$2:$E$433)&gt;0)*ISERROR(SEARCH("Reclass internal hours",'[1]Capex CJI3'!$J$2:$J$433)))-IF($A9="O7941/2517",1,0)-IF($A9="O7941/2613",1,0)</f>
        <v>1</v>
      </c>
      <c r="N9" s="15" t="s">
        <v>3</v>
      </c>
      <c r="O9" s="21">
        <v>54700</v>
      </c>
    </row>
    <row r="10" spans="1:15" x14ac:dyDescent="0.25">
      <c r="A10" s="15" t="s">
        <v>26</v>
      </c>
      <c r="B10" s="21">
        <f>SUMIFS('[1]Capex CJI3'!$F$2:$F$433,'[1]Capex CJI3'!$A$2:$A$433,$A10,'[1]Capex CJI3'!$K$2:$K$433,2025,'[1]Capex CJI3'!$J$2:$J$433,"*Reclass internal hours*")</f>
        <v>18000</v>
      </c>
      <c r="C10" s="21" cm="1">
        <f t="array" ref="C10">SUMPRODUCT(('[1]Capex CJI3'!$A$2:$A$433=$A10)*(IFERROR(VALUE('[1]Capex CJI3'!$K$2:$K$433),0)=2025)*(LEN('[1]Capex CJI3'!$E$2:$E$433)&gt;0)*ISERROR(SEARCH("Reclass internal hours",'[1]Capex CJI3'!$J$2:$J$433))*IFERROR(VALUE('[1]Capex CJI3'!$F$2:$F$433),0))</f>
        <v>128447.8</v>
      </c>
      <c r="D10" s="21" cm="1">
        <f t="array" ref="D10">SUMPRODUCT(('[1]Capex CJI3'!$A$2:$A$433=$A10)*(IFERROR(VALUE('[1]Capex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17548</v>
      </c>
      <c r="E10" s="21">
        <f t="shared" si="0"/>
        <v>163995.79999999999</v>
      </c>
      <c r="F10" s="21">
        <f>SUMIFS('[1]Capex CJI3'!$F$2:$F$433,'[1]Capex CJI3'!$A$2:$A$433,$A10,'[1]Capex CJI3'!$K$2:$K$433,2026,'[1]Capex CJI3'!$J$2:$J$433,"*Reclass internal hours*")</f>
        <v>48690</v>
      </c>
      <c r="G10" s="21" cm="1">
        <f t="array" ref="G10">SUMPRODUCT(('[1]Capex CJI3'!$A$2:$A$433=$A10)*(IFERROR(VALUE('[1]Capex CJI3'!$K$2:$K$433),0)=2026)*(LEN('[1]Capex CJI3'!$E$2:$E$433)&gt;0)*ISERROR(SEARCH("Reclass internal hours",'[1]Capex CJI3'!$J$2:$J$433))*IFERROR(VALUE('[1]Capex CJI3'!$F$2:$F$433),0))-IF($A10="O7941/2517",'[1]Capex CJI3'!$F$124,0)-IF($A10="O7941/2613",'[1]Capex CJI3'!$F$313,0)</f>
        <v>188080.05</v>
      </c>
      <c r="H10" s="21" cm="1">
        <f t="array" ref="H10">SUMPRODUCT(('[1]Capex CJI3'!$A$2:$A$433=$A10)*(IFERROR(VALUE('[1]Capex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CJI3'!$D$2:$D$433&lt;&gt;"6405000000")*((($A10&lt;&gt;"O7941/2513")+('[1]Capex CJI3'!$D$2:$D$433&lt;&gt;"7405000000")+(IFERROR(VALUE('[1]Capex CJI3'!$L$2:$L$433),0)&gt;=3))&gt;0)*IFERROR(VALUE('[1]Capex CJI3'!$F$2:$F$433),0))-IF($A10="O7941/2517",'[1]Capex CJI3'!$F$132,0)-IF($A10="O9100/2601",'[1]Capex CJI3'!$F$429,0)</f>
        <v>93999.5</v>
      </c>
      <c r="I10" s="21">
        <f t="shared" si="1"/>
        <v>330769.55</v>
      </c>
      <c r="J10" s="21">
        <f t="shared" si="2"/>
        <v>494765.35</v>
      </c>
      <c r="K10" s="22">
        <v>46269</v>
      </c>
      <c r="L10" s="23" cm="1">
        <f t="array" ref="L10">SUMPRODUCT(('[1]Capex CJI3'!$A$2:$A$433=$A10)*(IFERROR(VALUE('[1]Capex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CJI3'!$D$2:$D$433&lt;&gt;"6405000000"))&gt;0))-IF($A10="O7941/2517",2,0)-IF($A10="O7941/2613",1,0)-IF($A10="O9100/2601",1,0)-IF($A10="O7941/2513",4,0)</f>
        <v>40</v>
      </c>
      <c r="M10" s="23" cm="1">
        <f t="array" ref="M10">SUMPRODUCT(('[1]Capex CJI3'!$A$2:$A$433=$A10)*(IFERROR(VALUE('[1]Capex CJI3'!$K$2:$K$433),0)&gt;0)*(LEN('[1]Capex CJI3'!$E$2:$E$433)&gt;0)*ISERROR(SEARCH("Reclass internal hours",'[1]Capex CJI3'!$J$2:$J$433)))-IF($A10="O7941/2517",1,0)-IF($A10="O7941/2613",1,0)</f>
        <v>23</v>
      </c>
      <c r="N10" s="15" t="s">
        <v>3</v>
      </c>
      <c r="O10" s="21">
        <v>585000</v>
      </c>
    </row>
    <row r="11" spans="1:15" x14ac:dyDescent="0.25">
      <c r="A11" s="15" t="s">
        <v>50</v>
      </c>
      <c r="B11" s="21">
        <f>SUMIFS('[1]Capex CJI3'!$F$2:$F$433,'[1]Capex CJI3'!$A$2:$A$433,$A11,'[1]Capex CJI3'!$K$2:$K$433,2025,'[1]Capex CJI3'!$J$2:$J$433,"*Reclass internal hours*")</f>
        <v>2900</v>
      </c>
      <c r="C11" s="21" cm="1">
        <f t="array" ref="C11">SUMPRODUCT(('[1]Capex CJI3'!$A$2:$A$433=$A11)*(IFERROR(VALUE('[1]Capex CJI3'!$K$2:$K$433),0)=2025)*(LEN('[1]Capex CJI3'!$E$2:$E$433)&gt;0)*ISERROR(SEARCH("Reclass internal hours",'[1]Capex CJI3'!$J$2:$J$433))*IFERROR(VALUE('[1]Capex CJI3'!$F$2:$F$433),0))</f>
        <v>121088</v>
      </c>
      <c r="D11" s="21" cm="1">
        <f t="array" ref="D11">SUMPRODUCT(('[1]Capex CJI3'!$A$2:$A$433=$A11)*(IFERROR(VALUE('[1]Capex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89012</v>
      </c>
      <c r="E11" s="21">
        <f t="shared" si="0"/>
        <v>213000</v>
      </c>
      <c r="F11" s="21">
        <f>SUMIFS('[1]Capex CJI3'!$F$2:$F$433,'[1]Capex CJI3'!$A$2:$A$433,$A11,'[1]Capex CJI3'!$K$2:$K$433,2026,'[1]Capex CJI3'!$J$2:$J$433,"*Reclass internal hours*")</f>
        <v>79238</v>
      </c>
      <c r="G11" s="21" cm="1">
        <f t="array" ref="G11">SUMPRODUCT(('[1]Capex CJI3'!$A$2:$A$433=$A11)*(IFERROR(VALUE('[1]Capex CJI3'!$K$2:$K$433),0)=2026)*(LEN('[1]Capex CJI3'!$E$2:$E$433)&gt;0)*ISERROR(SEARCH("Reclass internal hours",'[1]Capex CJI3'!$J$2:$J$433))*IFERROR(VALUE('[1]Capex CJI3'!$F$2:$F$433),0))-IF($A11="O7941/2517",'[1]Capex CJI3'!$F$124,0)-IF($A11="O7941/2613",'[1]Capex CJI3'!$F$313,0)</f>
        <v>164692.23000000001</v>
      </c>
      <c r="H11" s="21">
        <v>148581.51999999999</v>
      </c>
      <c r="I11" s="21">
        <f t="shared" si="1"/>
        <v>392511.75</v>
      </c>
      <c r="J11" s="24">
        <f t="shared" si="2"/>
        <v>605511.75</v>
      </c>
      <c r="K11" s="22">
        <v>46265</v>
      </c>
      <c r="L11" s="23" cm="1">
        <f t="array" ref="L11">SUMPRODUCT(('[1]Capex CJI3'!$A$2:$A$433=$A11)*(IFERROR(VALUE('[1]Capex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CJI3'!$D$2:$D$433&lt;&gt;"6405000000"))&gt;0))-IF($A11="O7941/2517",2,0)-IF($A11="O7941/2613",1,0)-IF($A11="O9100/2601",1,0)-IF($A11="O7941/2513",4,0)</f>
        <v>30</v>
      </c>
      <c r="M11" s="23" cm="1">
        <f t="array" ref="M11">SUMPRODUCT(('[1]Capex CJI3'!$A$2:$A$433=$A11)*(IFERROR(VALUE('[1]Capex CJI3'!$K$2:$K$433),0)&gt;0)*(LEN('[1]Capex CJI3'!$E$2:$E$433)&gt;0)*ISERROR(SEARCH("Reclass internal hours",'[1]Capex CJI3'!$J$2:$J$433)))-IF($A11="O7941/2517",1,0)-IF($A11="O7941/2613",1,0)</f>
        <v>11</v>
      </c>
      <c r="N11" s="15" t="s">
        <v>3</v>
      </c>
      <c r="O11" s="21">
        <v>928000</v>
      </c>
    </row>
    <row r="12" spans="1:15" x14ac:dyDescent="0.25">
      <c r="A12" s="15" t="s">
        <v>67</v>
      </c>
      <c r="B12" s="21">
        <f>SUMIFS('[1]Capex CJI3'!$F$2:$F$433,'[1]Capex CJI3'!$A$2:$A$433,$A12,'[1]Capex CJI3'!$K$2:$K$433,2025,'[1]Capex CJI3'!$J$2:$J$433,"*Reclass internal hours*")</f>
        <v>38000</v>
      </c>
      <c r="C12" s="21" cm="1">
        <f t="array" ref="C12">SUMPRODUCT(('[1]Capex CJI3'!$A$2:$A$433=$A12)*(IFERROR(VALUE('[1]Capex CJI3'!$K$2:$K$433),0)=2025)*(LEN('[1]Capex CJI3'!$E$2:$E$433)&gt;0)*ISERROR(SEARCH("Reclass internal hours",'[1]Capex CJI3'!$J$2:$J$433))*IFERROR(VALUE('[1]Capex CJI3'!$F$2:$F$433),0))</f>
        <v>100000</v>
      </c>
      <c r="D12" s="21" cm="1">
        <f t="array" ref="D12">SUMPRODUCT(('[1]Capex CJI3'!$A$2:$A$433=$A12)*(IFERROR(VALUE('[1]Capex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2" s="21">
        <f t="shared" si="0"/>
        <v>138000</v>
      </c>
      <c r="F12" s="21">
        <f>SUMIFS('[1]Capex CJI3'!$F$2:$F$433,'[1]Capex CJI3'!$A$2:$A$433,$A12,'[1]Capex CJI3'!$K$2:$K$433,2026,'[1]Capex CJI3'!$J$2:$J$433,"*Reclass internal hours*")</f>
        <v>227750.39999999999</v>
      </c>
      <c r="G12" s="21" cm="1">
        <f t="array" ref="G12">SUMPRODUCT(('[1]Capex CJI3'!$A$2:$A$433=$A12)*(IFERROR(VALUE('[1]Capex CJI3'!$K$2:$K$433),0)=2026)*(LEN('[1]Capex CJI3'!$E$2:$E$433)&gt;0)*ISERROR(SEARCH("Reclass internal hours",'[1]Capex CJI3'!$J$2:$J$433))*IFERROR(VALUE('[1]Capex CJI3'!$F$2:$F$433),0))-IF($A12="O7941/2517",'[1]Capex CJI3'!$F$124,0)-IF($A12="O7941/2613",'[1]Capex CJI3'!$F$313,0)</f>
        <v>277505.09999999998</v>
      </c>
      <c r="H12" s="21">
        <v>112698.44</v>
      </c>
      <c r="I12" s="21">
        <f t="shared" si="1"/>
        <v>617953.93999999994</v>
      </c>
      <c r="J12" s="25">
        <f t="shared" si="2"/>
        <v>755953.94</v>
      </c>
      <c r="K12" s="22">
        <v>46269</v>
      </c>
      <c r="L12" s="23" cm="1">
        <f t="array" ref="L12">SUMPRODUCT(('[1]Capex CJI3'!$A$2:$A$433=$A12)*(IFERROR(VALUE('[1]Capex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CJI3'!$D$2:$D$433&lt;&gt;"6405000000"))&gt;0))-IF($A12="O7941/2517",2,0)-IF($A12="O7941/2613",1,0)-IF($A12="O9100/2601",1,0)-IF($A12="O7941/2513",4,0)</f>
        <v>32</v>
      </c>
      <c r="M12" s="23" cm="1">
        <f t="array" ref="M12">SUMPRODUCT(('[1]Capex CJI3'!$A$2:$A$433=$A12)*(IFERROR(VALUE('[1]Capex CJI3'!$K$2:$K$433),0)&gt;0)*(LEN('[1]Capex CJI3'!$E$2:$E$433)&gt;0)*ISERROR(SEARCH("Reclass internal hours",'[1]Capex CJI3'!$J$2:$J$433)))-IF($A12="O7941/2517",1,0)-IF($A12="O7941/2613",1,0)</f>
        <v>10</v>
      </c>
      <c r="N12" s="15" t="s">
        <v>3</v>
      </c>
      <c r="O12" s="21">
        <v>874000</v>
      </c>
    </row>
    <row r="13" spans="1:15" x14ac:dyDescent="0.25">
      <c r="A13" s="15" t="s">
        <v>86</v>
      </c>
      <c r="B13" s="21">
        <f>SUMIFS('[1]Capex CJI3'!$F$2:$F$433,'[1]Capex CJI3'!$A$2:$A$433,$A13,'[1]Capex CJI3'!$K$2:$K$433,2025,'[1]Capex CJI3'!$J$2:$J$433,"*Reclass internal hours*")</f>
        <v>0</v>
      </c>
      <c r="C13" s="21" cm="1">
        <f t="array" ref="C13">SUMPRODUCT(('[1]Capex CJI3'!$A$2:$A$433=$A13)*(IFERROR(VALUE('[1]Capex CJI3'!$K$2:$K$433),0)=2025)*(LEN('[1]Capex CJI3'!$E$2:$E$433)&gt;0)*ISERROR(SEARCH("Reclass internal hours",'[1]Capex CJI3'!$J$2:$J$433))*IFERROR(VALUE('[1]Capex CJI3'!$F$2:$F$433),0))</f>
        <v>31990.6</v>
      </c>
      <c r="D13" s="21" cm="1">
        <f t="array" ref="D13">SUMPRODUCT(('[1]Capex CJI3'!$A$2:$A$433=$A13)*(IFERROR(VALUE('[1]Capex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3" s="21">
        <f t="shared" si="0"/>
        <v>31990.6</v>
      </c>
      <c r="F13" s="21">
        <f>SUMIFS('[1]Capex CJI3'!$F$2:$F$433,'[1]Capex CJI3'!$A$2:$A$433,$A13,'[1]Capex CJI3'!$K$2:$K$433,2026,'[1]Capex CJI3'!$J$2:$J$433,"*Reclass internal hours*")</f>
        <v>26009</v>
      </c>
      <c r="G13" s="21" cm="1">
        <f t="array" ref="G13">SUMPRODUCT(('[1]Capex CJI3'!$A$2:$A$433=$A13)*(IFERROR(VALUE('[1]Capex CJI3'!$K$2:$K$433),0)=2026)*(LEN('[1]Capex CJI3'!$E$2:$E$433)&gt;0)*ISERROR(SEARCH("Reclass internal hours",'[1]Capex CJI3'!$J$2:$J$433))*IFERROR(VALUE('[1]Capex CJI3'!$F$2:$F$433),0))-IF($A13="O7941/2517",'[1]Capex CJI3'!$F$124,0)-IF($A13="O7941/2613",'[1]Capex CJI3'!$F$313,0)</f>
        <v>39646</v>
      </c>
      <c r="H13" s="21" cm="1">
        <f t="array" ref="H13">SUMPRODUCT(('[1]Capex CJI3'!$A$2:$A$433=$A13)*(IFERROR(VALUE('[1]Capex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CJI3'!$D$2:$D$433&lt;&gt;"6405000000")*((($A13&lt;&gt;"O7941/2513")+('[1]Capex CJI3'!$D$2:$D$433&lt;&gt;"7405000000")+(IFERROR(VALUE('[1]Capex CJI3'!$L$2:$L$433),0)&gt;=3))&gt;0)*IFERROR(VALUE('[1]Capex CJI3'!$F$2:$F$433),0))-IF($A13="O7941/2517",'[1]Capex CJI3'!$F$132,0)-IF($A13="O9100/2601",'[1]Capex CJI3'!$F$429,0)</f>
        <v>0</v>
      </c>
      <c r="I13" s="21">
        <f t="shared" si="1"/>
        <v>65655</v>
      </c>
      <c r="J13" s="21">
        <f t="shared" si="2"/>
        <v>97645.6</v>
      </c>
      <c r="K13" s="22">
        <v>46255</v>
      </c>
      <c r="L13" s="23" cm="1">
        <f t="array" ref="L13">SUMPRODUCT(('[1]Capex CJI3'!$A$2:$A$433=$A13)*(IFERROR(VALUE('[1]Capex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CJI3'!$D$2:$D$433&lt;&gt;"6405000000"))&gt;0))-IF($A13="O7941/2517",2,0)-IF($A13="O7941/2613",1,0)-IF($A13="O9100/2601",1,0)-IF($A13="O7941/2513",4,0)</f>
        <v>7</v>
      </c>
      <c r="M13" s="23" cm="1">
        <f t="array" ref="M13">SUMPRODUCT(('[1]Capex CJI3'!$A$2:$A$433=$A13)*(IFERROR(VALUE('[1]Capex CJI3'!$K$2:$K$433),0)&gt;0)*(LEN('[1]Capex CJI3'!$E$2:$E$433)&gt;0)*ISERROR(SEARCH("Reclass internal hours",'[1]Capex CJI3'!$J$2:$J$433)))-IF($A13="O7941/2517",1,0)-IF($A13="O7941/2613",1,0)</f>
        <v>3</v>
      </c>
      <c r="N13" s="15" t="s">
        <v>3</v>
      </c>
      <c r="O13" s="21">
        <v>119580</v>
      </c>
    </row>
    <row r="14" spans="1:15" x14ac:dyDescent="0.25">
      <c r="A14" s="15" t="s">
        <v>91</v>
      </c>
      <c r="B14" s="21">
        <f>SUMIFS('[1]Capex CJI3'!$F$2:$F$433,'[1]Capex CJI3'!$A$2:$A$433,$A14,'[1]Capex CJI3'!$K$2:$K$433,2025,'[1]Capex CJI3'!$J$2:$J$433,"*Reclass internal hours*")</f>
        <v>0</v>
      </c>
      <c r="C14" s="21" cm="1">
        <f t="array" ref="C14">SUMPRODUCT(('[1]Capex CJI3'!$A$2:$A$433=$A14)*(IFERROR(VALUE('[1]Capex CJI3'!$K$2:$K$433),0)=2025)*(LEN('[1]Capex CJI3'!$E$2:$E$433)&gt;0)*ISERROR(SEARCH("Reclass internal hours",'[1]Capex CJI3'!$J$2:$J$433))*IFERROR(VALUE('[1]Capex CJI3'!$F$2:$F$433),0))</f>
        <v>0</v>
      </c>
      <c r="D14" s="21" cm="1">
        <f t="array" ref="D14">SUMPRODUCT(('[1]Capex CJI3'!$A$2:$A$433=$A14)*(IFERROR(VALUE('[1]Capex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4" s="21">
        <f t="shared" si="0"/>
        <v>0</v>
      </c>
      <c r="F14" s="21">
        <f>SUMIFS('[1]Capex CJI3'!$F$2:$F$433,'[1]Capex CJI3'!$A$2:$A$433,$A14,'[1]Capex CJI3'!$K$2:$K$433,2026,'[1]Capex CJI3'!$J$2:$J$433,"*Reclass internal hours*")</f>
        <v>0</v>
      </c>
      <c r="G14" s="21" cm="1">
        <f t="array" ref="G14">SUMPRODUCT(('[1]Capex CJI3'!$A$2:$A$433=$A14)*(IFERROR(VALUE('[1]Capex CJI3'!$K$2:$K$433),0)=2026)*(LEN('[1]Capex CJI3'!$E$2:$E$433)&gt;0)*ISERROR(SEARCH("Reclass internal hours",'[1]Capex CJI3'!$J$2:$J$433))*IFERROR(VALUE('[1]Capex CJI3'!$F$2:$F$433),0))-IF($A14="O7941/2517",'[1]Capex CJI3'!$F$124,0)-IF($A14="O7941/2613",'[1]Capex CJI3'!$F$313,0)</f>
        <v>169189</v>
      </c>
      <c r="H14" s="21" cm="1">
        <f t="array" ref="H14">SUMPRODUCT(('[1]Capex CJI3'!$A$2:$A$433=$A14)*(IFERROR(VALUE('[1]Capex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CJI3'!$D$2:$D$433&lt;&gt;"6405000000")*((($A14&lt;&gt;"O7941/2513")+('[1]Capex CJI3'!$D$2:$D$433&lt;&gt;"7405000000")+(IFERROR(VALUE('[1]Capex CJI3'!$L$2:$L$433),0)&gt;=3))&gt;0)*IFERROR(VALUE('[1]Capex CJI3'!$F$2:$F$433),0))-IF($A14="O7941/2517",'[1]Capex CJI3'!$F$132,0)-IF($A14="O9100/2601",'[1]Capex CJI3'!$F$429,0)</f>
        <v>164155</v>
      </c>
      <c r="I14" s="21">
        <f>SUM(I15:I21)</f>
        <v>961449.30999999994</v>
      </c>
      <c r="J14" s="25">
        <f t="shared" si="2"/>
        <v>961449.30999999994</v>
      </c>
      <c r="K14" s="22">
        <v>46274</v>
      </c>
      <c r="L14" s="23" cm="1">
        <f t="array" ref="L14">SUMPRODUCT(('[1]Capex CJI3'!$A$2:$A$433=$A14)*(IFERROR(VALUE('[1]Capex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CJI3'!$D$2:$D$433&lt;&gt;"6405000000"))&gt;0))-IF($A14="O7941/2517",2,0)-IF($A14="O7941/2613",1,0)-IF($A14="O9100/2601",1,0)-IF($A14="O7941/2513",4,0)</f>
        <v>6</v>
      </c>
      <c r="M14" s="23" cm="1">
        <f t="array" ref="M14">SUMPRODUCT(('[1]Capex CJI3'!$A$2:$A$433=$A14)*(IFERROR(VALUE('[1]Capex CJI3'!$K$2:$K$433),0)&gt;0)*(LEN('[1]Capex CJI3'!$E$2:$E$433)&gt;0)*ISERROR(SEARCH("Reclass internal hours",'[1]Capex CJI3'!$J$2:$J$433)))-IF($A14="O7941/2517",1,0)-IF($A14="O7941/2613",1,0)</f>
        <v>5</v>
      </c>
      <c r="N14" s="15" t="s">
        <v>3</v>
      </c>
      <c r="O14" s="21">
        <v>1937717</v>
      </c>
    </row>
    <row r="15" spans="1:15" x14ac:dyDescent="0.25">
      <c r="A15" s="15" t="s">
        <v>96</v>
      </c>
      <c r="B15" s="21">
        <f>SUMIFS('[1]Capex CJI3'!$F$2:$F$433,'[1]Capex CJI3'!$A$2:$A$433,$A15,'[1]Capex CJI3'!$K$2:$K$433,2025,'[1]Capex CJI3'!$J$2:$J$433,"*Reclass internal hours*")</f>
        <v>0</v>
      </c>
      <c r="C15" s="21" cm="1">
        <f t="array" ref="C15">SUMPRODUCT(('[1]Capex CJI3'!$A$2:$A$433=$A15)*(IFERROR(VALUE('[1]Capex CJI3'!$K$2:$K$433),0)=2025)*(LEN('[1]Capex CJI3'!$E$2:$E$433)&gt;0)*ISERROR(SEARCH("Reclass internal hours",'[1]Capex CJI3'!$J$2:$J$433))*IFERROR(VALUE('[1]Capex CJI3'!$F$2:$F$433),0))</f>
        <v>0</v>
      </c>
      <c r="D15" s="21" cm="1">
        <f t="array" ref="D15">SUMPRODUCT(('[1]Capex CJI3'!$A$2:$A$433=$A15)*(IFERROR(VALUE('[1]Capex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5" s="21">
        <f t="shared" si="0"/>
        <v>0</v>
      </c>
      <c r="F15" s="21">
        <f>SUMIFS('[1]Capex CJI3'!$F$2:$F$433,'[1]Capex CJI3'!$A$2:$A$433,$A15,'[1]Capex CJI3'!$K$2:$K$433,2026,'[1]Capex CJI3'!$J$2:$J$433,"*Reclass internal hours*")</f>
        <v>0</v>
      </c>
      <c r="G15" s="21" cm="1">
        <f t="array" ref="G15">SUMPRODUCT(('[1]Capex CJI3'!$A$2:$A$433=$A15)*(IFERROR(VALUE('[1]Capex CJI3'!$K$2:$K$433),0)=2026)*(LEN('[1]Capex CJI3'!$E$2:$E$433)&gt;0)*ISERROR(SEARCH("Reclass internal hours",'[1]Capex CJI3'!$J$2:$J$433))*IFERROR(VALUE('[1]Capex CJI3'!$F$2:$F$433),0))-IF($A15="O7941/2517",'[1]Capex CJI3'!$F$124,0)-IF($A15="O7941/2613",'[1]Capex CJI3'!$F$313,0)</f>
        <v>632000</v>
      </c>
      <c r="H15" s="21" cm="1">
        <f t="array" ref="H15">SUMPRODUCT(('[1]Capex CJI3'!$A$2:$A$433=$A15)*(IFERROR(VALUE('[1]Capex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CJI3'!$D$2:$D$433&lt;&gt;"6405000000")*((($A15&lt;&gt;"O7941/2513")+('[1]Capex CJI3'!$D$2:$D$433&lt;&gt;"7405000000")+(IFERROR(VALUE('[1]Capex CJI3'!$L$2:$L$433),0)&gt;=3))&gt;0)*IFERROR(VALUE('[1]Capex CJI3'!$F$2:$F$433),0))-IF($A15="O7941/2517",'[1]Capex CJI3'!$F$132,0)-IF($A15="O9100/2601",'[1]Capex CJI3'!$F$429,0)</f>
        <v>161000</v>
      </c>
      <c r="I15" s="21">
        <f t="shared" ref="I15:I54" si="3">SUM(F15:H15)</f>
        <v>793000</v>
      </c>
      <c r="J15" s="21">
        <f t="shared" si="2"/>
        <v>793000</v>
      </c>
      <c r="K15" s="22">
        <v>46274</v>
      </c>
      <c r="L15" s="23" cm="1">
        <f t="array" ref="L15">SUMPRODUCT(('[1]Capex CJI3'!$A$2:$A$433=$A15)*(IFERROR(VALUE('[1]Capex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CJI3'!$D$2:$D$433&lt;&gt;"6405000000"))&gt;0))-IF($A15="O7941/2517",2,0)-IF($A15="O7941/2613",1,0)-IF($A15="O9100/2601",1,0)-IF($A15="O7941/2513",4,0)</f>
        <v>8</v>
      </c>
      <c r="M15" s="23" cm="1">
        <f t="array" ref="M15">SUMPRODUCT(('[1]Capex CJI3'!$A$2:$A$433=$A15)*(IFERROR(VALUE('[1]Capex CJI3'!$K$2:$K$433),0)&gt;0)*(LEN('[1]Capex CJI3'!$E$2:$E$433)&gt;0)*ISERROR(SEARCH("Reclass internal hours",'[1]Capex CJI3'!$J$2:$J$433)))-IF($A15="O7941/2517",1,0)-IF($A15="O7941/2613",1,0)</f>
        <v>6</v>
      </c>
      <c r="N15" s="15" t="s">
        <v>3</v>
      </c>
      <c r="O15" s="21"/>
    </row>
    <row r="16" spans="1:15" x14ac:dyDescent="0.25">
      <c r="A16" s="15" t="s">
        <v>98</v>
      </c>
      <c r="B16" s="21">
        <f>SUMIFS('[1]Capex CJI3'!$F$2:$F$433,'[1]Capex CJI3'!$A$2:$A$433,$A16,'[1]Capex CJI3'!$K$2:$K$433,2025,'[1]Capex CJI3'!$J$2:$J$433,"*Reclass internal hours*")</f>
        <v>0</v>
      </c>
      <c r="C16" s="21" cm="1">
        <f t="array" ref="C16">SUMPRODUCT(('[1]Capex CJI3'!$A$2:$A$433=$A16)*(IFERROR(VALUE('[1]Capex CJI3'!$K$2:$K$433),0)=2025)*(LEN('[1]Capex CJI3'!$E$2:$E$433)&gt;0)*ISERROR(SEARCH("Reclass internal hours",'[1]Capex CJI3'!$J$2:$J$433))*IFERROR(VALUE('[1]Capex CJI3'!$F$2:$F$433),0))</f>
        <v>0</v>
      </c>
      <c r="D16" s="21" cm="1">
        <f t="array" ref="D16">SUMPRODUCT(('[1]Capex CJI3'!$A$2:$A$433=$A16)*(IFERROR(VALUE('[1]Capex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6" s="21">
        <f t="shared" si="0"/>
        <v>0</v>
      </c>
      <c r="F16" s="21">
        <f>SUMIFS('[1]Capex CJI3'!$F$2:$F$433,'[1]Capex CJI3'!$A$2:$A$433,$A16,'[1]Capex CJI3'!$K$2:$K$433,2026,'[1]Capex CJI3'!$J$2:$J$433,"*Reclass internal hours*")</f>
        <v>0</v>
      </c>
      <c r="G16" s="21" cm="1">
        <f t="array" ref="G16">SUMPRODUCT(('[1]Capex CJI3'!$A$2:$A$433=$A16)*(IFERROR(VALUE('[1]Capex CJI3'!$K$2:$K$433),0)=2026)*(LEN('[1]Capex CJI3'!$E$2:$E$433)&gt;0)*ISERROR(SEARCH("Reclass internal hours",'[1]Capex CJI3'!$J$2:$J$433))*IFERROR(VALUE('[1]Capex CJI3'!$F$2:$F$433),0))-IF($A16="O7941/2517",'[1]Capex CJI3'!$F$124,0)-IF($A16="O7941/2613",'[1]Capex CJI3'!$F$313,0)</f>
        <v>74760</v>
      </c>
      <c r="H16" s="21" cm="1">
        <f t="array" ref="H16">SUMPRODUCT(('[1]Capex CJI3'!$A$2:$A$433=$A16)*(IFERROR(VALUE('[1]Capex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CJI3'!$D$2:$D$433&lt;&gt;"6405000000")*((($A16&lt;&gt;"O7941/2513")+('[1]Capex CJI3'!$D$2:$D$433&lt;&gt;"7405000000")+(IFERROR(VALUE('[1]Capex CJI3'!$L$2:$L$433),0)&gt;=3))&gt;0)*IFERROR(VALUE('[1]Capex CJI3'!$F$2:$F$433),0))-IF($A16="O7941/2517",'[1]Capex CJI3'!$F$132,0)-IF($A16="O9100/2601",'[1]Capex CJI3'!$F$429,0)</f>
        <v>14199.99</v>
      </c>
      <c r="I16" s="21">
        <f t="shared" si="3"/>
        <v>88959.99</v>
      </c>
      <c r="J16" s="21">
        <f t="shared" si="2"/>
        <v>88959.99</v>
      </c>
      <c r="K16" s="22">
        <v>46251</v>
      </c>
      <c r="L16" s="23" cm="1">
        <f t="array" ref="L16">SUMPRODUCT(('[1]Capex CJI3'!$A$2:$A$433=$A16)*(IFERROR(VALUE('[1]Capex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CJI3'!$D$2:$D$433&lt;&gt;"6405000000"))&gt;0))-IF($A16="O7941/2517",2,0)-IF($A16="O7941/2613",1,0)-IF($A16="O9100/2601",1,0)-IF($A16="O7941/2513",4,0)</f>
        <v>7</v>
      </c>
      <c r="M16" s="23" cm="1">
        <f t="array" ref="M16">SUMPRODUCT(('[1]Capex CJI3'!$A$2:$A$433=$A16)*(IFERROR(VALUE('[1]Capex CJI3'!$K$2:$K$433),0)&gt;0)*(LEN('[1]Capex CJI3'!$E$2:$E$433)&gt;0)*ISERROR(SEARCH("Reclass internal hours",'[1]Capex CJI3'!$J$2:$J$433)))-IF($A16="O7941/2517",1,0)-IF($A16="O7941/2613",1,0)</f>
        <v>6</v>
      </c>
      <c r="N16" s="15" t="s">
        <v>3</v>
      </c>
    </row>
    <row r="17" spans="1:15" x14ac:dyDescent="0.25">
      <c r="A17" s="15" t="s">
        <v>105</v>
      </c>
      <c r="B17" s="21">
        <f>SUMIFS('[1]Capex CJI3'!$F$2:$F$433,'[1]Capex CJI3'!$A$2:$A$433,$A17,'[1]Capex CJI3'!$K$2:$K$433,2025,'[1]Capex CJI3'!$J$2:$J$433,"*Reclass internal hours*")</f>
        <v>0</v>
      </c>
      <c r="C17" s="21" cm="1">
        <f t="array" ref="C17">SUMPRODUCT(('[1]Capex CJI3'!$A$2:$A$433=$A17)*(IFERROR(VALUE('[1]Capex CJI3'!$K$2:$K$433),0)=2025)*(LEN('[1]Capex CJI3'!$E$2:$E$433)&gt;0)*ISERROR(SEARCH("Reclass internal hours",'[1]Capex CJI3'!$J$2:$J$433))*IFERROR(VALUE('[1]Capex CJI3'!$F$2:$F$433),0))</f>
        <v>0</v>
      </c>
      <c r="D17" s="21" cm="1">
        <f t="array" ref="D17">SUMPRODUCT(('[1]Capex CJI3'!$A$2:$A$433=$A17)*(IFERROR(VALUE('[1]Capex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7" s="21">
        <f t="shared" si="0"/>
        <v>0</v>
      </c>
      <c r="F17" s="21">
        <f>SUMIFS('[1]Capex CJI3'!$F$2:$F$433,'[1]Capex CJI3'!$A$2:$A$433,$A17,'[1]Capex CJI3'!$K$2:$K$433,2026,'[1]Capex CJI3'!$J$2:$J$433,"*Reclass internal hours*")</f>
        <v>0</v>
      </c>
      <c r="G17" s="21" cm="1">
        <f t="array" ref="G17">SUMPRODUCT(('[1]Capex CJI3'!$A$2:$A$433=$A17)*(IFERROR(VALUE('[1]Capex CJI3'!$K$2:$K$433),0)=2026)*(LEN('[1]Capex CJI3'!$E$2:$E$433)&gt;0)*ISERROR(SEARCH("Reclass internal hours",'[1]Capex CJI3'!$J$2:$J$433))*IFERROR(VALUE('[1]Capex CJI3'!$F$2:$F$433),0))-IF($A17="O7941/2517",'[1]Capex CJI3'!$F$124,0)-IF($A17="O7941/2613",'[1]Capex CJI3'!$F$313,0)</f>
        <v>0</v>
      </c>
      <c r="H17" s="21" cm="1">
        <f t="array" ref="H17">SUMPRODUCT(('[1]Capex CJI3'!$A$2:$A$433=$A17)*(IFERROR(VALUE('[1]Capex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CJI3'!$D$2:$D$433&lt;&gt;"6405000000")*((($A17&lt;&gt;"O7941/2513")+('[1]Capex CJI3'!$D$2:$D$433&lt;&gt;"7405000000")+(IFERROR(VALUE('[1]Capex CJI3'!$L$2:$L$433),0)&gt;=3))&gt;0)*IFERROR(VALUE('[1]Capex CJI3'!$F$2:$F$433),0))-IF($A17="O7941/2517",'[1]Capex CJI3'!$F$132,0)-IF($A17="O9100/2601",'[1]Capex CJI3'!$F$429,0)</f>
        <v>11745</v>
      </c>
      <c r="I17" s="21">
        <f t="shared" si="3"/>
        <v>11745</v>
      </c>
      <c r="J17" s="21">
        <f t="shared" si="2"/>
        <v>11745</v>
      </c>
      <c r="K17" s="22">
        <v>46265</v>
      </c>
      <c r="L17" s="23" cm="1">
        <f t="array" ref="L17">SUMPRODUCT(('[1]Capex CJI3'!$A$2:$A$433=$A17)*(IFERROR(VALUE('[1]Capex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CJI3'!$D$2:$D$433&lt;&gt;"6405000000"))&gt;0))-IF($A17="O7941/2517",2,0)-IF($A17="O7941/2613",1,0)-IF($A17="O9100/2601",1,0)-IF($A17="O7941/2513",4,0)</f>
        <v>5</v>
      </c>
      <c r="M17" s="23" cm="1">
        <f t="array" ref="M17">SUMPRODUCT(('[1]Capex CJI3'!$A$2:$A$433=$A17)*(IFERROR(VALUE('[1]Capex CJI3'!$K$2:$K$433),0)&gt;0)*(LEN('[1]Capex CJI3'!$E$2:$E$433)&gt;0)*ISERROR(SEARCH("Reclass internal hours",'[1]Capex CJI3'!$J$2:$J$433)))-IF($A17="O7941/2517",1,0)-IF($A17="O7941/2613",1,0)</f>
        <v>0</v>
      </c>
      <c r="N17" s="15" t="s">
        <v>3</v>
      </c>
    </row>
    <row r="18" spans="1:15" x14ac:dyDescent="0.25">
      <c r="A18" s="15" t="s">
        <v>109</v>
      </c>
      <c r="B18" s="21">
        <f>SUMIFS('[1]Capex CJI3'!$F$2:$F$433,'[1]Capex CJI3'!$A$2:$A$433,$A18,'[1]Capex CJI3'!$K$2:$K$433,2025,'[1]Capex CJI3'!$J$2:$J$433,"*Reclass internal hours*")</f>
        <v>0</v>
      </c>
      <c r="C18" s="21" cm="1">
        <f t="array" ref="C18">SUMPRODUCT(('[1]Capex CJI3'!$A$2:$A$433=$A18)*(IFERROR(VALUE('[1]Capex CJI3'!$K$2:$K$433),0)=2025)*(LEN('[1]Capex CJI3'!$E$2:$E$433)&gt;0)*ISERROR(SEARCH("Reclass internal hours",'[1]Capex CJI3'!$J$2:$J$433))*IFERROR(VALUE('[1]Capex CJI3'!$F$2:$F$433),0))</f>
        <v>0</v>
      </c>
      <c r="D18" s="21" cm="1">
        <f t="array" ref="D18">SUMPRODUCT(('[1]Capex CJI3'!$A$2:$A$433=$A18)*(IFERROR(VALUE('[1]Capex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8" s="21">
        <f t="shared" si="0"/>
        <v>0</v>
      </c>
      <c r="F18" s="21">
        <f>SUMIFS('[1]Capex CJI3'!$F$2:$F$433,'[1]Capex CJI3'!$A$2:$A$433,$A18,'[1]Capex CJI3'!$K$2:$K$433,2026,'[1]Capex CJI3'!$J$2:$J$433,"*Reclass internal hours*")</f>
        <v>43090</v>
      </c>
      <c r="G18" s="21" cm="1">
        <f t="array" ref="G18">SUMPRODUCT(('[1]Capex CJI3'!$A$2:$A$433=$A18)*(IFERROR(VALUE('[1]Capex CJI3'!$K$2:$K$433),0)=2026)*(LEN('[1]Capex CJI3'!$E$2:$E$433)&gt;0)*ISERROR(SEARCH("Reclass internal hours",'[1]Capex CJI3'!$J$2:$J$433))*IFERROR(VALUE('[1]Capex CJI3'!$F$2:$F$433),0))-IF($A18="O7941/2517",'[1]Capex CJI3'!$F$124,0)-IF($A18="O7941/2613",'[1]Capex CJI3'!$F$313,0)</f>
        <v>14062.5</v>
      </c>
      <c r="H18" s="21">
        <v>-14062.5</v>
      </c>
      <c r="I18" s="21">
        <f t="shared" si="3"/>
        <v>43090</v>
      </c>
      <c r="J18" s="25">
        <f t="shared" si="2"/>
        <v>43090</v>
      </c>
      <c r="K18" s="22">
        <v>46265</v>
      </c>
      <c r="L18" s="23" cm="1">
        <f t="array" ref="L18">SUMPRODUCT(('[1]Capex CJI3'!$A$2:$A$433=$A18)*(IFERROR(VALUE('[1]Capex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CJI3'!$D$2:$D$433&lt;&gt;"6405000000"))&gt;0))-IF($A18="O7941/2517",2,0)-IF($A18="O7941/2613",1,0)-IF($A18="O9100/2601",1,0)-IF($A18="O7941/2513",4,0)</f>
        <v>9</v>
      </c>
      <c r="M18" s="23" cm="1">
        <f t="array" ref="M18">SUMPRODUCT(('[1]Capex CJI3'!$A$2:$A$433=$A18)*(IFERROR(VALUE('[1]Capex CJI3'!$K$2:$K$433),0)&gt;0)*(LEN('[1]Capex CJI3'!$E$2:$E$433)&gt;0)*ISERROR(SEARCH("Reclass internal hours",'[1]Capex CJI3'!$J$2:$J$433)))-IF($A18="O7941/2517",1,0)-IF($A18="O7941/2613",1,0)</f>
        <v>2</v>
      </c>
      <c r="N18" s="15" t="s">
        <v>3</v>
      </c>
    </row>
    <row r="19" spans="1:15" x14ac:dyDescent="0.25">
      <c r="A19" s="15" t="s">
        <v>115</v>
      </c>
      <c r="B19" s="21">
        <f>SUMIFS('[1]Capex CJI3'!$F$2:$F$433,'[1]Capex CJI3'!$A$2:$A$433,$A19,'[1]Capex CJI3'!$K$2:$K$433,2025,'[1]Capex CJI3'!$J$2:$J$433,"*Reclass internal hours*")</f>
        <v>0</v>
      </c>
      <c r="C19" s="21" cm="1">
        <f t="array" ref="C19">SUMPRODUCT(('[1]Capex CJI3'!$A$2:$A$433=$A19)*(IFERROR(VALUE('[1]Capex CJI3'!$K$2:$K$433),0)=2025)*(LEN('[1]Capex CJI3'!$E$2:$E$433)&gt;0)*ISERROR(SEARCH("Reclass internal hours",'[1]Capex CJI3'!$J$2:$J$433))*IFERROR(VALUE('[1]Capex CJI3'!$F$2:$F$433),0))</f>
        <v>0</v>
      </c>
      <c r="D19" s="21" cm="1">
        <f t="array" ref="D19">SUMPRODUCT(('[1]Capex CJI3'!$A$2:$A$433=$A19)*(IFERROR(VALUE('[1]Capex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19" s="21">
        <f t="shared" si="0"/>
        <v>0</v>
      </c>
      <c r="F19" s="21">
        <f>SUMIFS('[1]Capex CJI3'!$F$2:$F$433,'[1]Capex CJI3'!$A$2:$A$433,$A19,'[1]Capex CJI3'!$K$2:$K$433,2026,'[1]Capex CJI3'!$J$2:$J$433,"*Reclass internal hours*")</f>
        <v>0</v>
      </c>
      <c r="G19" s="21" cm="1">
        <f t="array" ref="G19">SUMPRODUCT(('[1]Capex CJI3'!$A$2:$A$433=$A19)*(IFERROR(VALUE('[1]Capex CJI3'!$K$2:$K$433),0)=2026)*(LEN('[1]Capex CJI3'!$E$2:$E$433)&gt;0)*ISERROR(SEARCH("Reclass internal hours",'[1]Capex CJI3'!$J$2:$J$433))*IFERROR(VALUE('[1]Capex CJI3'!$F$2:$F$433),0))-IF($A19="O7941/2517",'[1]Capex CJI3'!$F$124,0)-IF($A19="O7941/2613",'[1]Capex CJI3'!$F$313,0)</f>
        <v>2058.59</v>
      </c>
      <c r="H19" s="21" cm="1">
        <f t="array" ref="H19">SUMPRODUCT(('[1]Capex CJI3'!$A$2:$A$433=$A19)*(IFERROR(VALUE('[1]Capex CJI3'!$K$2:$K$433),0)=2026)*(LEN('[1]Capex CJI3'!$E$2:$E$433)=0)*ISERROR(SEARCH("Reclass internal hours",'[1]Capex CJI3'!$J$2:$J$433))*ISERROR(SEARCH("WBS Correction",'[1]Capex CJI3'!$J$2:$J$433))*('[1]Capex CJI3'!$D$2:$D$433&lt;&gt;"6405000000")*((($A19&lt;&gt;"O7941/2513")+('[1]Capex CJI3'!$D$2:$D$433&lt;&gt;"7405000000")+(IFERROR(VALUE('[1]Capex CJI3'!$L$2:$L$433),0)&gt;=3))&gt;0)*IFERROR(VALUE('[1]Capex CJI3'!$F$2:$F$433),0))-IF($A19="O7941/2517",'[1]Capex CJI3'!$F$132,0)-IF($A19="O9100/2601",'[1]Capex CJI3'!$F$429,0)</f>
        <v>3155</v>
      </c>
      <c r="I19" s="21">
        <f t="shared" si="3"/>
        <v>5213.59</v>
      </c>
      <c r="J19" s="21">
        <f t="shared" si="2"/>
        <v>5213.59</v>
      </c>
      <c r="K19" s="22">
        <v>46237</v>
      </c>
      <c r="L19" s="23" cm="1">
        <f t="array" ref="L19">SUMPRODUCT(('[1]Capex CJI3'!$A$2:$A$433=$A19)*(IFERROR(VALUE('[1]Capex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CJI3'!$D$2:$D$433&lt;&gt;"6405000000"))&gt;0))-IF($A19="O7941/2517",2,0)-IF($A19="O7941/2613",1,0)-IF($A19="O9100/2601",1,0)-IF($A19="O7941/2513",4,0)</f>
        <v>3</v>
      </c>
      <c r="M19" s="23" cm="1">
        <f t="array" ref="M19">SUMPRODUCT(('[1]Capex CJI3'!$A$2:$A$433=$A19)*(IFERROR(VALUE('[1]Capex CJI3'!$K$2:$K$433),0)&gt;0)*(LEN('[1]Capex CJI3'!$E$2:$E$433)&gt;0)*ISERROR(SEARCH("Reclass internal hours",'[1]Capex CJI3'!$J$2:$J$433)))-IF($A19="O7941/2517",1,0)-IF($A19="O7941/2613",1,0)</f>
        <v>2</v>
      </c>
      <c r="N19" s="15" t="s">
        <v>3</v>
      </c>
    </row>
    <row r="20" spans="1:15" x14ac:dyDescent="0.25">
      <c r="A20" s="15" t="s">
        <v>118</v>
      </c>
      <c r="B20" s="21">
        <f>SUMIFS('[1]Capex CJI3'!$F$2:$F$433,'[1]Capex CJI3'!$A$2:$A$433,$A20,'[1]Capex CJI3'!$K$2:$K$433,2025,'[1]Capex CJI3'!$J$2:$J$433,"*Reclass internal hours*")</f>
        <v>0</v>
      </c>
      <c r="C20" s="21" cm="1">
        <f t="array" ref="C20">SUMPRODUCT(('[1]Capex CJI3'!$A$2:$A$433=$A20)*(IFERROR(VALUE('[1]Capex CJI3'!$K$2:$K$433),0)=2025)*(LEN('[1]Capex CJI3'!$E$2:$E$433)&gt;0)*ISERROR(SEARCH("Reclass internal hours",'[1]Capex CJI3'!$J$2:$J$433))*IFERROR(VALUE('[1]Capex CJI3'!$F$2:$F$433),0))</f>
        <v>0</v>
      </c>
      <c r="D20" s="21" cm="1">
        <f t="array" ref="D20">SUMPRODUCT(('[1]Capex CJI3'!$A$2:$A$433=$A20)*(IFERROR(VALUE('[1]Capex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0" s="21">
        <f t="shared" si="0"/>
        <v>0</v>
      </c>
      <c r="F20" s="21">
        <f>SUMIFS('[1]Capex CJI3'!$F$2:$F$433,'[1]Capex CJI3'!$A$2:$A$433,$A20,'[1]Capex CJI3'!$K$2:$K$433,2026,'[1]Capex CJI3'!$J$2:$J$433,"*Reclass internal hours*")</f>
        <v>0</v>
      </c>
      <c r="G20" s="21" cm="1">
        <f t="array" ref="G20">SUMPRODUCT(('[1]Capex CJI3'!$A$2:$A$433=$A20)*(IFERROR(VALUE('[1]Capex CJI3'!$K$2:$K$433),0)=2026)*(LEN('[1]Capex CJI3'!$E$2:$E$433)&gt;0)*ISERROR(SEARCH("Reclass internal hours",'[1]Capex CJI3'!$J$2:$J$433))*IFERROR(VALUE('[1]Capex CJI3'!$F$2:$F$433),0))-IF($A20="O7941/2517",'[1]Capex CJI3'!$F$124,0)-IF($A20="O7941/2613",'[1]Capex CJI3'!$F$313,0)</f>
        <v>5378.23</v>
      </c>
      <c r="H20" s="21" cm="1">
        <f t="array" ref="H20">SUMPRODUCT(('[1]Capex CJI3'!$A$2:$A$433=$A20)*(IFERROR(VALUE('[1]Capex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CJI3'!$D$2:$D$433&lt;&gt;"6405000000")*((($A20&lt;&gt;"O7941/2513")+('[1]Capex CJI3'!$D$2:$D$433&lt;&gt;"7405000000")+(IFERROR(VALUE('[1]Capex CJI3'!$L$2:$L$433),0)&gt;=3))&gt;0)*IFERROR(VALUE('[1]Capex CJI3'!$F$2:$F$433),0))-IF($A20="O7941/2517",'[1]Capex CJI3'!$F$132,0)-IF($A20="O9100/2601",'[1]Capex CJI3'!$F$429,0)</f>
        <v>0</v>
      </c>
      <c r="I20" s="21">
        <f t="shared" si="3"/>
        <v>5378.23</v>
      </c>
      <c r="J20" s="21">
        <f t="shared" si="2"/>
        <v>5378.23</v>
      </c>
      <c r="K20" s="22">
        <v>46212</v>
      </c>
      <c r="L20" s="23" cm="1">
        <f t="array" ref="L20">SUMPRODUCT(('[1]Capex CJI3'!$A$2:$A$433=$A20)*(IFERROR(VALUE('[1]Capex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CJI3'!$D$2:$D$433&lt;&gt;"6405000000"))&gt;0))-IF($A20="O7941/2517",2,0)-IF($A20="O7941/2613",1,0)-IF($A20="O9100/2601",1,0)-IF($A20="O7941/2513",4,0)</f>
        <v>1</v>
      </c>
      <c r="M20" s="23" cm="1">
        <f t="array" ref="M20">SUMPRODUCT(('[1]Capex CJI3'!$A$2:$A$433=$A20)*(IFERROR(VALUE('[1]Capex CJI3'!$K$2:$K$433),0)&gt;0)*(LEN('[1]Capex CJI3'!$E$2:$E$433)&gt;0)*ISERROR(SEARCH("Reclass internal hours",'[1]Capex CJI3'!$J$2:$J$433)))-IF($A20="O7941/2517",1,0)-IF($A20="O7941/2613",1,0)</f>
        <v>1</v>
      </c>
      <c r="N20" s="15" t="s">
        <v>3</v>
      </c>
    </row>
    <row r="21" spans="1:15" x14ac:dyDescent="0.25">
      <c r="A21" s="15" t="s">
        <v>122</v>
      </c>
      <c r="B21" s="21">
        <f>SUMIFS('[1]Capex CJI3'!$F$2:$F$433,'[1]Capex CJI3'!$A$2:$A$433,$A21,'[1]Capex CJI3'!$K$2:$K$433,2025,'[1]Capex CJI3'!$J$2:$J$433,"*Reclass internal hours*")</f>
        <v>0</v>
      </c>
      <c r="C21" s="21" cm="1">
        <f t="array" ref="C21">SUMPRODUCT(('[1]Capex CJI3'!$A$2:$A$433=$A21)*(IFERROR(VALUE('[1]Capex CJI3'!$K$2:$K$433),0)=2025)*(LEN('[1]Capex CJI3'!$E$2:$E$433)&gt;0)*ISERROR(SEARCH("Reclass internal hours",'[1]Capex CJI3'!$J$2:$J$433))*IFERROR(VALUE('[1]Capex CJI3'!$F$2:$F$433),0))</f>
        <v>0</v>
      </c>
      <c r="D21" s="21" cm="1">
        <f t="array" ref="D21">SUMPRODUCT(('[1]Capex CJI3'!$A$2:$A$433=$A21)*(IFERROR(VALUE('[1]Capex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1" s="21">
        <f t="shared" si="0"/>
        <v>0</v>
      </c>
      <c r="F21" s="21">
        <f>SUMIFS('[1]Capex CJI3'!$F$2:$F$433,'[1]Capex CJI3'!$A$2:$A$433,$A21,'[1]Capex CJI3'!$K$2:$K$433,2026,'[1]Capex CJI3'!$J$2:$J$433,"*Reclass internal hours*")</f>
        <v>0</v>
      </c>
      <c r="G21" s="21" cm="1">
        <f t="array" ref="G21">SUMPRODUCT(('[1]Capex CJI3'!$A$2:$A$433=$A21)*(IFERROR(VALUE('[1]Capex CJI3'!$K$2:$K$433),0)=2026)*(LEN('[1]Capex CJI3'!$E$2:$E$433)&gt;0)*ISERROR(SEARCH("Reclass internal hours",'[1]Capex CJI3'!$J$2:$J$433))*IFERROR(VALUE('[1]Capex CJI3'!$F$2:$F$433),0))-IF($A21="O7941/2517",'[1]Capex CJI3'!$F$124,0)-IF($A21="O7941/2613",'[1]Capex CJI3'!$F$313,0)</f>
        <v>0</v>
      </c>
      <c r="H21" s="21" cm="1">
        <f t="array" ref="H21">SUMPRODUCT(('[1]Capex CJI3'!$A$2:$A$433=$A21)*(IFERROR(VALUE('[1]Capex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CJI3'!$D$2:$D$433&lt;&gt;"6405000000")*((($A21&lt;&gt;"O7941/2513")+('[1]Capex CJI3'!$D$2:$D$433&lt;&gt;"7405000000")+(IFERROR(VALUE('[1]Capex CJI3'!$L$2:$L$433),0)&gt;=3))&gt;0)*IFERROR(VALUE('[1]Capex CJI3'!$F$2:$F$433),0))-IF($A21="O7941/2517",'[1]Capex CJI3'!$F$132,0)-IF($A21="O9100/2601",'[1]Capex CJI3'!$F$429,0)</f>
        <v>14062.5</v>
      </c>
      <c r="I21" s="21">
        <f t="shared" si="3"/>
        <v>14062.5</v>
      </c>
      <c r="J21" s="21">
        <f t="shared" si="2"/>
        <v>14062.5</v>
      </c>
      <c r="K21" s="22">
        <v>46265</v>
      </c>
      <c r="L21" s="23" cm="1">
        <f t="array" ref="L21">SUMPRODUCT(('[1]Capex CJI3'!$A$2:$A$433=$A21)*(IFERROR(VALUE('[1]Capex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CJI3'!$D$2:$D$433&lt;&gt;"6405000000"))&gt;0))-IF($A21="O7941/2517",2,0)-IF($A21="O7941/2613",1,0)-IF($A21="O9100/2601",1,0)-IF($A21="O7941/2513",4,0)</f>
        <v>1</v>
      </c>
      <c r="M21" s="23" cm="1">
        <f t="array" ref="M21">SUMPRODUCT(('[1]Capex CJI3'!$A$2:$A$433=$A21)*(IFERROR(VALUE('[1]Capex CJI3'!$K$2:$K$433),0)&gt;0)*(LEN('[1]Capex CJI3'!$E$2:$E$433)&gt;0)*ISERROR(SEARCH("Reclass internal hours",'[1]Capex CJI3'!$J$2:$J$433)))-IF($A21="O7941/2517",1,0)-IF($A21="O7941/2613",1,0)</f>
        <v>0</v>
      </c>
      <c r="N21" s="15" t="s">
        <v>3</v>
      </c>
    </row>
    <row r="22" spans="1:15" x14ac:dyDescent="0.25">
      <c r="A22" s="15" t="s">
        <v>124</v>
      </c>
      <c r="B22" s="21">
        <f>SUMIFS('[1]Capex CJI3'!$F$2:$F$433,'[1]Capex CJI3'!$A$2:$A$433,$A22,'[1]Capex CJI3'!$K$2:$K$433,2025,'[1]Capex CJI3'!$J$2:$J$433,"*Reclass internal hours*")</f>
        <v>0</v>
      </c>
      <c r="C22" s="21" cm="1">
        <f t="array" ref="C22">SUMPRODUCT(('[1]Capex CJI3'!$A$2:$A$433=$A22)*(IFERROR(VALUE('[1]Capex CJI3'!$K$2:$K$433),0)=2025)*(LEN('[1]Capex CJI3'!$E$2:$E$433)&gt;0)*ISERROR(SEARCH("Reclass internal hours",'[1]Capex CJI3'!$J$2:$J$433))*IFERROR(VALUE('[1]Capex CJI3'!$F$2:$F$433),0))</f>
        <v>0</v>
      </c>
      <c r="D22" s="21" cm="1">
        <f t="array" ref="D22">SUMPRODUCT(('[1]Capex CJI3'!$A$2:$A$433=$A22)*(IFERROR(VALUE('[1]Capex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2" s="21">
        <f t="shared" si="0"/>
        <v>0</v>
      </c>
      <c r="F22" s="21">
        <f>SUMIFS('[1]Capex CJI3'!$F$2:$F$433,'[1]Capex CJI3'!$A$2:$A$433,$A22,'[1]Capex CJI3'!$K$2:$K$433,2026,'[1]Capex CJI3'!$J$2:$J$433,"*Reclass internal hours*")</f>
        <v>15650</v>
      </c>
      <c r="G22" s="21" cm="1">
        <f t="array" ref="G22">SUMPRODUCT(('[1]Capex CJI3'!$A$2:$A$433=$A22)*(IFERROR(VALUE('[1]Capex CJI3'!$K$2:$K$433),0)=2026)*(LEN('[1]Capex CJI3'!$E$2:$E$433)&gt;0)*ISERROR(SEARCH("Reclass internal hours",'[1]Capex CJI3'!$J$2:$J$433))*IFERROR(VALUE('[1]Capex CJI3'!$F$2:$F$433),0))-IF($A22="O7941/2517",'[1]Capex CJI3'!$F$124,0)-IF($A22="O7941/2613",'[1]Capex CJI3'!$F$313,0)</f>
        <v>84480.530000000013</v>
      </c>
      <c r="H22" s="21">
        <v>-3073</v>
      </c>
      <c r="I22" s="21">
        <f t="shared" si="3"/>
        <v>97057.530000000013</v>
      </c>
      <c r="J22" s="25">
        <f t="shared" si="2"/>
        <v>97057.530000000013</v>
      </c>
      <c r="K22" s="22">
        <v>46274</v>
      </c>
      <c r="L22" s="23" cm="1">
        <f t="array" ref="L22">SUMPRODUCT(('[1]Capex CJI3'!$A$2:$A$433=$A22)*(IFERROR(VALUE('[1]Capex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CJI3'!$D$2:$D$433&lt;&gt;"6405000000"))&gt;0))-IF($A22="O7941/2517",2,0)-IF($A22="O7941/2613",1,0)-IF($A22="O9100/2601",1,0)-IF($A22="O7941/2513",4,0)</f>
        <v>17</v>
      </c>
      <c r="M22" s="23" cm="1">
        <f t="array" ref="M22">SUMPRODUCT(('[1]Capex CJI3'!$A$2:$A$433=$A22)*(IFERROR(VALUE('[1]Capex CJI3'!$K$2:$K$433),0)&gt;0)*(LEN('[1]Capex CJI3'!$E$2:$E$433)&gt;0)*ISERROR(SEARCH("Reclass internal hours",'[1]Capex CJI3'!$J$2:$J$433)))-IF($A22="O7941/2517",1,0)-IF($A22="O7941/2613",1,0)</f>
        <v>13</v>
      </c>
      <c r="N22" s="15" t="s">
        <v>3</v>
      </c>
      <c r="O22" s="21">
        <f>J22</f>
        <v>97057.530000000013</v>
      </c>
    </row>
    <row r="23" spans="1:15" x14ac:dyDescent="0.25">
      <c r="A23" s="15" t="s">
        <v>128</v>
      </c>
      <c r="B23" s="21">
        <f>SUMIFS('[1]Capex CJI3'!$F$2:$F$433,'[1]Capex CJI3'!$A$2:$A$433,$A23,'[1]Capex CJI3'!$K$2:$K$433,2025,'[1]Capex CJI3'!$J$2:$J$433,"*Reclass internal hours*")</f>
        <v>0</v>
      </c>
      <c r="C23" s="21" cm="1">
        <f t="array" ref="C23">SUMPRODUCT(('[1]Capex CJI3'!$A$2:$A$433=$A23)*(IFERROR(VALUE('[1]Capex CJI3'!$K$2:$K$433),0)=2025)*(LEN('[1]Capex CJI3'!$E$2:$E$433)&gt;0)*ISERROR(SEARCH("Reclass internal hours",'[1]Capex CJI3'!$J$2:$J$433))*IFERROR(VALUE('[1]Capex CJI3'!$F$2:$F$433),0))</f>
        <v>0</v>
      </c>
      <c r="D23" s="21" cm="1">
        <f t="array" ref="D23">SUMPRODUCT(('[1]Capex CJI3'!$A$2:$A$433=$A23)*(IFERROR(VALUE('[1]Capex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3" s="21">
        <f t="shared" si="0"/>
        <v>0</v>
      </c>
      <c r="F23" s="21">
        <f>SUMIFS('[1]Capex CJI3'!$F$2:$F$433,'[1]Capex CJI3'!$A$2:$A$433,$A23,'[1]Capex CJI3'!$K$2:$K$433,2026,'[1]Capex CJI3'!$J$2:$J$433,"*Reclass internal hours*")</f>
        <v>38000</v>
      </c>
      <c r="G23" s="21" cm="1">
        <f t="array" ref="G23">SUMPRODUCT(('[1]Capex CJI3'!$A$2:$A$433=$A23)*(IFERROR(VALUE('[1]Capex CJI3'!$K$2:$K$433),0)=2026)*(LEN('[1]Capex CJI3'!$E$2:$E$433)&gt;0)*ISERROR(SEARCH("Reclass internal hours",'[1]Capex CJI3'!$J$2:$J$433))*IFERROR(VALUE('[1]Capex CJI3'!$F$2:$F$433),0))-IF($A23="O7941/2517",'[1]Capex CJI3'!$F$124,0)-IF($A23="O7941/2613",'[1]Capex CJI3'!$F$313,0)</f>
        <v>3583.96</v>
      </c>
      <c r="H23" s="21" cm="1">
        <f t="array" ref="H23">SUMPRODUCT(('[1]Capex CJI3'!$A$2:$A$433=$A23)*(IFERROR(VALUE('[1]Capex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CJI3'!$D$2:$D$433&lt;&gt;"6405000000")*((($A23&lt;&gt;"O7941/2513")+('[1]Capex CJI3'!$D$2:$D$433&lt;&gt;"7405000000")+(IFERROR(VALUE('[1]Capex CJI3'!$L$2:$L$433),0)&gt;=3))&gt;0)*IFERROR(VALUE('[1]Capex CJI3'!$F$2:$F$433),0))-IF($A23="O7941/2517",'[1]Capex CJI3'!$F$132,0)-IF($A23="O9100/2601",'[1]Capex CJI3'!$F$429,0)</f>
        <v>0</v>
      </c>
      <c r="I23" s="21">
        <f t="shared" si="3"/>
        <v>41583.96</v>
      </c>
      <c r="J23" s="21">
        <f t="shared" si="2"/>
        <v>41583.96</v>
      </c>
      <c r="K23" s="22">
        <v>46265</v>
      </c>
      <c r="L23" s="23" cm="1">
        <f t="array" ref="L23">SUMPRODUCT(('[1]Capex CJI3'!$A$2:$A$433=$A23)*(IFERROR(VALUE('[1]Capex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CJI3'!$D$2:$D$433&lt;&gt;"6405000000"))&gt;0))-IF($A23="O7941/2517",2,0)-IF($A23="O7941/2613",1,0)-IF($A23="O9100/2601",1,0)-IF($A23="O7941/2513",4,0)</f>
        <v>10</v>
      </c>
      <c r="M23" s="23" cm="1">
        <f t="array" ref="M23">SUMPRODUCT(('[1]Capex CJI3'!$A$2:$A$433=$A23)*(IFERROR(VALUE('[1]Capex CJI3'!$K$2:$K$433),0)&gt;0)*(LEN('[1]Capex CJI3'!$E$2:$E$433)&gt;0)*ISERROR(SEARCH("Reclass internal hours",'[1]Capex CJI3'!$J$2:$J$433)))-IF($A23="O7941/2517",1,0)-IF($A23="O7941/2613",1,0)</f>
        <v>3</v>
      </c>
      <c r="N23" s="15" t="s">
        <v>3</v>
      </c>
      <c r="O23" s="21">
        <v>116424</v>
      </c>
    </row>
    <row r="24" spans="1:15" x14ac:dyDescent="0.25">
      <c r="A24" s="15" t="s">
        <v>131</v>
      </c>
      <c r="B24" s="21">
        <f>SUMIFS('[1]Capex CJI3'!$F$2:$F$433,'[1]Capex CJI3'!$A$2:$A$433,$A24,'[1]Capex CJI3'!$K$2:$K$433,2025,'[1]Capex CJI3'!$J$2:$J$433,"*Reclass internal hours*")</f>
        <v>0</v>
      </c>
      <c r="C24" s="21" cm="1">
        <f t="array" ref="C24">SUMPRODUCT(('[1]Capex CJI3'!$A$2:$A$433=$A24)*(IFERROR(VALUE('[1]Capex CJI3'!$K$2:$K$433),0)=2025)*(LEN('[1]Capex CJI3'!$E$2:$E$433)&gt;0)*ISERROR(SEARCH("Reclass internal hours",'[1]Capex CJI3'!$J$2:$J$433))*IFERROR(VALUE('[1]Capex CJI3'!$F$2:$F$433),0))</f>
        <v>0</v>
      </c>
      <c r="D24" s="21" cm="1">
        <f t="array" ref="D24">SUMPRODUCT(('[1]Capex CJI3'!$A$2:$A$433=$A24)*(IFERROR(VALUE('[1]Capex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4" s="21">
        <f t="shared" si="0"/>
        <v>0</v>
      </c>
      <c r="F24" s="21">
        <f>SUMIFS('[1]Capex CJI3'!$F$2:$F$433,'[1]Capex CJI3'!$A$2:$A$433,$A24,'[1]Capex CJI3'!$K$2:$K$433,2026,'[1]Capex CJI3'!$J$2:$J$433,"*Reclass internal hours*")</f>
        <v>0</v>
      </c>
      <c r="G24" s="21" cm="1">
        <f t="array" ref="G24">SUMPRODUCT(('[1]Capex CJI3'!$A$2:$A$433=$A24)*(IFERROR(VALUE('[1]Capex CJI3'!$K$2:$K$433),0)=2026)*(LEN('[1]Capex CJI3'!$E$2:$E$433)&gt;0)*ISERROR(SEARCH("Reclass internal hours",'[1]Capex CJI3'!$J$2:$J$433))*IFERROR(VALUE('[1]Capex CJI3'!$F$2:$F$433),0))-IF($A24="O7941/2517",'[1]Capex CJI3'!$F$124,0)-IF($A24="O7941/2613",'[1]Capex CJI3'!$F$313,0)</f>
        <v>50000</v>
      </c>
      <c r="H24" s="21" cm="1">
        <f t="array" ref="H24">SUMPRODUCT(('[1]Capex CJI3'!$A$2:$A$433=$A24)*(IFERROR(VALUE('[1]Capex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CJI3'!$D$2:$D$433&lt;&gt;"6405000000")*((($A24&lt;&gt;"O7941/2513")+('[1]Capex CJI3'!$D$2:$D$433&lt;&gt;"7405000000")+(IFERROR(VALUE('[1]Capex CJI3'!$L$2:$L$433),0)&gt;=3))&gt;0)*IFERROR(VALUE('[1]Capex CJI3'!$F$2:$F$433),0))-IF($A24="O7941/2517",'[1]Capex CJI3'!$F$132,0)-IF($A24="O9100/2601",'[1]Capex CJI3'!$F$429,0)</f>
        <v>0</v>
      </c>
      <c r="I24" s="21">
        <f t="shared" si="3"/>
        <v>50000</v>
      </c>
      <c r="J24" s="21">
        <f t="shared" si="2"/>
        <v>50000</v>
      </c>
      <c r="K24" s="22">
        <v>46188</v>
      </c>
      <c r="L24" s="23" cm="1">
        <f t="array" ref="L24">SUMPRODUCT(('[1]Capex CJI3'!$A$2:$A$433=$A24)*(IFERROR(VALUE('[1]Capex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CJI3'!$D$2:$D$433&lt;&gt;"6405000000"))&gt;0))-IF($A24="O7941/2517",2,0)-IF($A24="O7941/2613",1,0)-IF($A24="O9100/2601",1,0)-IF($A24="O7941/2513",4,0)</f>
        <v>5</v>
      </c>
      <c r="M24" s="23" cm="1">
        <f t="array" ref="M24">SUMPRODUCT(('[1]Capex CJI3'!$A$2:$A$433=$A24)*(IFERROR(VALUE('[1]Capex CJI3'!$K$2:$K$433),0)&gt;0)*(LEN('[1]Capex CJI3'!$E$2:$E$433)&gt;0)*ISERROR(SEARCH("Reclass internal hours",'[1]Capex CJI3'!$J$2:$J$433)))-IF($A24="O7941/2517",1,0)-IF($A24="O7941/2613",1,0)</f>
        <v>5</v>
      </c>
      <c r="N24" s="15" t="s">
        <v>3</v>
      </c>
      <c r="O24" s="21">
        <v>50000</v>
      </c>
    </row>
    <row r="25" spans="1:15" x14ac:dyDescent="0.25">
      <c r="A25" s="15" t="s">
        <v>134</v>
      </c>
      <c r="B25" s="21">
        <f>SUMIFS('[1]Capex CJI3'!$F$2:$F$433,'[1]Capex CJI3'!$A$2:$A$433,$A25,'[1]Capex CJI3'!$K$2:$K$433,2025,'[1]Capex CJI3'!$J$2:$J$433,"*Reclass internal hours*")</f>
        <v>0</v>
      </c>
      <c r="C25" s="21" cm="1">
        <f t="array" ref="C25">SUMPRODUCT(('[1]Capex CJI3'!$A$2:$A$433=$A25)*(IFERROR(VALUE('[1]Capex CJI3'!$K$2:$K$433),0)=2025)*(LEN('[1]Capex CJI3'!$E$2:$E$433)&gt;0)*ISERROR(SEARCH("Reclass internal hours",'[1]Capex CJI3'!$J$2:$J$433))*IFERROR(VALUE('[1]Capex CJI3'!$F$2:$F$433),0))</f>
        <v>0</v>
      </c>
      <c r="D25" s="21" cm="1">
        <f t="array" ref="D25">SUMPRODUCT(('[1]Capex CJI3'!$A$2:$A$433=$A25)*(IFERROR(VALUE('[1]Capex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5" s="21">
        <f t="shared" si="0"/>
        <v>0</v>
      </c>
      <c r="F25" s="21">
        <f>SUMIFS('[1]Capex CJI3'!$F$2:$F$433,'[1]Capex CJI3'!$A$2:$A$433,$A25,'[1]Capex CJI3'!$K$2:$K$433,2026,'[1]Capex CJI3'!$J$2:$J$433,"*Reclass internal hours*")</f>
        <v>0</v>
      </c>
      <c r="G25" s="21" cm="1">
        <f t="array" ref="G25">SUMPRODUCT(('[1]Capex CJI3'!$A$2:$A$433=$A25)*(IFERROR(VALUE('[1]Capex CJI3'!$K$2:$K$433),0)=2026)*(LEN('[1]Capex CJI3'!$E$2:$E$433)&gt;0)*ISERROR(SEARCH("Reclass internal hours",'[1]Capex CJI3'!$J$2:$J$433))*IFERROR(VALUE('[1]Capex CJI3'!$F$2:$F$433),0))-IF($A25="O7941/2517",'[1]Capex CJI3'!$F$124,0)-IF($A25="O7941/2613",'[1]Capex CJI3'!$F$313,0)</f>
        <v>32500</v>
      </c>
      <c r="H25" s="21" cm="1">
        <f t="array" ref="H25">SUMPRODUCT(('[1]Capex CJI3'!$A$2:$A$433=$A25)*(IFERROR(VALUE('[1]Capex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CJI3'!$D$2:$D$433&lt;&gt;"6405000000")*((($A25&lt;&gt;"O7941/2513")+('[1]Capex CJI3'!$D$2:$D$433&lt;&gt;"7405000000")+(IFERROR(VALUE('[1]Capex CJI3'!$L$2:$L$433),0)&gt;=3))&gt;0)*IFERROR(VALUE('[1]Capex CJI3'!$F$2:$F$433),0))-IF($A25="O7941/2517",'[1]Capex CJI3'!$F$132,0)-IF($A25="O9100/2601",'[1]Capex CJI3'!$F$429,0)</f>
        <v>0</v>
      </c>
      <c r="I25" s="21">
        <f t="shared" si="3"/>
        <v>32500</v>
      </c>
      <c r="J25" s="21">
        <f t="shared" si="2"/>
        <v>32500</v>
      </c>
      <c r="K25" s="22">
        <v>46085</v>
      </c>
      <c r="L25" s="23" cm="1">
        <f t="array" ref="L25">SUMPRODUCT(('[1]Capex CJI3'!$A$2:$A$433=$A25)*(IFERROR(VALUE('[1]Capex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CJI3'!$D$2:$D$433&lt;&gt;"6405000000"))&gt;0))-IF($A25="O7941/2517",2,0)-IF($A25="O7941/2613",1,0)-IF($A25="O9100/2601",1,0)-IF($A25="O7941/2513",4,0)</f>
        <v>2</v>
      </c>
      <c r="M25" s="23" cm="1">
        <f t="array" ref="M25">SUMPRODUCT(('[1]Capex CJI3'!$A$2:$A$433=$A25)*(IFERROR(VALUE('[1]Capex CJI3'!$K$2:$K$433),0)&gt;0)*(LEN('[1]Capex CJI3'!$E$2:$E$433)&gt;0)*ISERROR(SEARCH("Reclass internal hours",'[1]Capex CJI3'!$J$2:$J$433)))-IF($A25="O7941/2517",1,0)-IF($A25="O7941/2613",1,0)</f>
        <v>2</v>
      </c>
      <c r="N25" s="15" t="s">
        <v>3</v>
      </c>
      <c r="O25" s="21">
        <v>135470</v>
      </c>
    </row>
    <row r="26" spans="1:15" x14ac:dyDescent="0.25">
      <c r="A26" s="15" t="s">
        <v>138</v>
      </c>
      <c r="B26" s="21">
        <f>SUMIFS('[1]Capex CJI3'!$F$2:$F$433,'[1]Capex CJI3'!$A$2:$A$433,$A26,'[1]Capex CJI3'!$K$2:$K$433,2025,'[1]Capex CJI3'!$J$2:$J$433,"*Reclass internal hours*")</f>
        <v>0</v>
      </c>
      <c r="C26" s="21" cm="1">
        <f t="array" ref="C26">SUMPRODUCT(('[1]Capex CJI3'!$A$2:$A$433=$A26)*(IFERROR(VALUE('[1]Capex CJI3'!$K$2:$K$433),0)=2025)*(LEN('[1]Capex CJI3'!$E$2:$E$433)&gt;0)*ISERROR(SEARCH("Reclass internal hours",'[1]Capex CJI3'!$J$2:$J$433))*IFERROR(VALUE('[1]Capex CJI3'!$F$2:$F$433),0))</f>
        <v>0</v>
      </c>
      <c r="D26" s="21" cm="1">
        <f t="array" ref="D26">SUMPRODUCT(('[1]Capex CJI3'!$A$2:$A$433=$A26)*(IFERROR(VALUE('[1]Capex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6" s="21">
        <f t="shared" si="0"/>
        <v>0</v>
      </c>
      <c r="F26" s="21">
        <f>SUMIFS('[1]Capex CJI3'!$F$2:$F$433,'[1]Capex CJI3'!$A$2:$A$433,$A26,'[1]Capex CJI3'!$K$2:$K$433,2026,'[1]Capex CJI3'!$J$2:$J$433,"*Reclass internal hours*")</f>
        <v>191538</v>
      </c>
      <c r="G26" s="21" cm="1">
        <f t="array" ref="G26">SUMPRODUCT(('[1]Capex CJI3'!$A$2:$A$433=$A26)*(IFERROR(VALUE('[1]Capex CJI3'!$K$2:$K$433),0)=2026)*(LEN('[1]Capex CJI3'!$E$2:$E$433)&gt;0)*ISERROR(SEARCH("Reclass internal hours",'[1]Capex CJI3'!$J$2:$J$433))*IFERROR(VALUE('[1]Capex CJI3'!$F$2:$F$433),0))-IF($A26="O7941/2517",'[1]Capex CJI3'!$F$124,0)-IF($A26="O7941/2613",'[1]Capex CJI3'!$F$313,0)</f>
        <v>0</v>
      </c>
      <c r="H26" s="21" cm="1">
        <f t="array" ref="H26">SUMPRODUCT(('[1]Capex CJI3'!$A$2:$A$433=$A26)*(IFERROR(VALUE('[1]Capex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CJI3'!$D$2:$D$433&lt;&gt;"6405000000")*((($A26&lt;&gt;"O7941/2513")+('[1]Capex CJI3'!$D$2:$D$433&lt;&gt;"7405000000")+(IFERROR(VALUE('[1]Capex CJI3'!$L$2:$L$433),0)&gt;=3))&gt;0)*IFERROR(VALUE('[1]Capex CJI3'!$F$2:$F$433),0))-IF($A26="O7941/2517",'[1]Capex CJI3'!$F$132,0)-IF($A26="O9100/2601",'[1]Capex CJI3'!$F$429,0)</f>
        <v>0</v>
      </c>
      <c r="I26" s="21">
        <f t="shared" si="3"/>
        <v>191538</v>
      </c>
      <c r="J26" s="21">
        <f t="shared" si="2"/>
        <v>191538</v>
      </c>
      <c r="K26" s="22">
        <v>46142</v>
      </c>
      <c r="L26" s="23" cm="1">
        <f t="array" ref="L26">SUMPRODUCT(('[1]Capex CJI3'!$A$2:$A$433=$A26)*(IFERROR(VALUE('[1]Capex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CJI3'!$D$2:$D$433&lt;&gt;"6405000000"))&gt;0))-IF($A26="O7941/2517",2,0)-IF($A26="O7941/2613",1,0)-IF($A26="O9100/2601",1,0)-IF($A26="O7941/2513",4,0)</f>
        <v>3</v>
      </c>
      <c r="M26" s="23" cm="1">
        <f t="array" ref="M26">SUMPRODUCT(('[1]Capex CJI3'!$A$2:$A$433=$A26)*(IFERROR(VALUE('[1]Capex CJI3'!$K$2:$K$433),0)&gt;0)*(LEN('[1]Capex CJI3'!$E$2:$E$433)&gt;0)*ISERROR(SEARCH("Reclass internal hours",'[1]Capex CJI3'!$J$2:$J$433)))-IF($A26="O7941/2517",1,0)-IF($A26="O7941/2613",1,0)</f>
        <v>0</v>
      </c>
      <c r="N26" s="15" t="s">
        <v>3</v>
      </c>
      <c r="O26" s="21">
        <v>191538</v>
      </c>
    </row>
    <row r="27" spans="1:15" s="26" customFormat="1" ht="14.5" x14ac:dyDescent="0.35">
      <c r="A27" s="26" t="s">
        <v>139</v>
      </c>
      <c r="B27" s="27">
        <f>SUMIFS('[1]Capex CJI3'!$F$2:$F$433,'[1]Capex CJI3'!$A$2:$A$433,$A27,'[1]Capex CJI3'!$K$2:$K$433,2025,'[1]Capex CJI3'!$J$2:$J$433,"*Reclass internal hours*")</f>
        <v>0</v>
      </c>
      <c r="C27" s="27" cm="1">
        <f t="array" ref="C27">SUMPRODUCT(('[1]Capex CJI3'!$A$2:$A$433=$A27)*(IFERROR(VALUE('[1]Capex CJI3'!$K$2:$K$433),0)=2025)*(LEN('[1]Capex CJI3'!$E$2:$E$433)&gt;0)*ISERROR(SEARCH("Reclass internal hours",'[1]Capex CJI3'!$J$2:$J$433))*IFERROR(VALUE('[1]Capex CJI3'!$F$2:$F$433),0))</f>
        <v>0</v>
      </c>
      <c r="D27" s="27" cm="1">
        <f t="array" ref="D27">SUMPRODUCT(('[1]Capex CJI3'!$A$2:$A$433=$A27)*(IFERROR(VALUE('[1]Capex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7" s="27">
        <f t="shared" si="0"/>
        <v>0</v>
      </c>
      <c r="F27" s="27">
        <f>SUMIFS('[1]Capex CJI3'!$F$2:$F$433,'[1]Capex CJI3'!$A$2:$A$433,$A27,'[1]Capex CJI3'!$K$2:$K$433,2026,'[1]Capex CJI3'!$J$2:$J$433,"*Reclass internal hours*")</f>
        <v>58560</v>
      </c>
      <c r="G27" s="27" cm="1">
        <f t="array" ref="G27">SUMPRODUCT(('[1]Capex CJI3'!$A$2:$A$433=$A27)*(IFERROR(VALUE('[1]Capex CJI3'!$K$2:$K$433),0)=2026)*(LEN('[1]Capex CJI3'!$E$2:$E$433)&gt;0)*ISERROR(SEARCH("Reclass internal hours",'[1]Capex CJI3'!$J$2:$J$433))*IFERROR(VALUE('[1]Capex CJI3'!$F$2:$F$433),0))-IF($A27="O7941/2517",'[1]Capex CJI3'!$F$124,0)-IF($A27="O7941/2613",'[1]Capex CJI3'!$F$313,0)</f>
        <v>8100</v>
      </c>
      <c r="H27" s="27" cm="1">
        <f t="array" ref="H27">SUMPRODUCT(('[1]Capex CJI3'!$A$2:$A$433=$A27)*(IFERROR(VALUE('[1]Capex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CJI3'!$D$2:$D$433&lt;&gt;"6405000000")*((($A27&lt;&gt;"O7941/2513")+('[1]Capex CJI3'!$D$2:$D$433&lt;&gt;"7405000000")+(IFERROR(VALUE('[1]Capex CJI3'!$L$2:$L$433),0)&gt;=3))&gt;0)*IFERROR(VALUE('[1]Capex CJI3'!$F$2:$F$433),0))-IF($A27="O7941/2517",'[1]Capex CJI3'!$F$132,0)-IF($A27="O9100/2601",'[1]Capex CJI3'!$F$429,0)</f>
        <v>9225</v>
      </c>
      <c r="I27" s="27">
        <f t="shared" si="3"/>
        <v>75885</v>
      </c>
      <c r="J27" s="28">
        <f t="shared" si="2"/>
        <v>75885</v>
      </c>
      <c r="K27" s="29">
        <v>46265</v>
      </c>
      <c r="L27" s="30" cm="1">
        <f t="array" ref="L27">SUMPRODUCT(('[1]Capex CJI3'!$A$2:$A$433=$A27)*(IFERROR(VALUE('[1]Capex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CJI3'!$D$2:$D$433&lt;&gt;"6405000000"))&gt;0))-IF($A27="O7941/2517",2,0)-IF($A27="O7941/2613",1,0)-IF($A27="O9100/2601",1,0)-IF($A27="O7941/2513",4,0)</f>
        <v>9</v>
      </c>
      <c r="M27" s="30" cm="1">
        <f t="array" ref="M27">SUMPRODUCT(('[1]Capex CJI3'!$A$2:$A$433=$A27)*(IFERROR(VALUE('[1]Capex CJI3'!$K$2:$K$433),0)&gt;0)*(LEN('[1]Capex CJI3'!$E$2:$E$433)&gt;0)*ISERROR(SEARCH("Reclass internal hours",'[1]Capex CJI3'!$J$2:$J$433)))-IF($A27="O7941/2517",1,0)-IF($A27="O7941/2613",1,0)</f>
        <v>3</v>
      </c>
      <c r="N27" s="26" t="s">
        <v>3</v>
      </c>
      <c r="O27" s="27"/>
    </row>
    <row r="28" spans="1:15" x14ac:dyDescent="0.25">
      <c r="A28" s="15" t="s">
        <v>143</v>
      </c>
      <c r="B28" s="21">
        <f>SUMIFS('[1]Capex CJI3'!$F$2:$F$433,'[1]Capex CJI3'!$A$2:$A$433,$A28,'[1]Capex CJI3'!$K$2:$K$433,2025,'[1]Capex CJI3'!$J$2:$J$433,"*Reclass internal hours*")</f>
        <v>0</v>
      </c>
      <c r="C28" s="21" cm="1">
        <f t="array" ref="C28">SUMPRODUCT(('[1]Capex CJI3'!$A$2:$A$433=$A28)*(IFERROR(VALUE('[1]Capex CJI3'!$K$2:$K$433),0)=2025)*(LEN('[1]Capex CJI3'!$E$2:$E$433)&gt;0)*ISERROR(SEARCH("Reclass internal hours",'[1]Capex CJI3'!$J$2:$J$433))*IFERROR(VALUE('[1]Capex CJI3'!$F$2:$F$433),0))</f>
        <v>0</v>
      </c>
      <c r="D28" s="21" cm="1">
        <f t="array" ref="D28">SUMPRODUCT(('[1]Capex CJI3'!$A$2:$A$433=$A28)*(IFERROR(VALUE('[1]Capex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8" s="21">
        <f t="shared" si="0"/>
        <v>0</v>
      </c>
      <c r="F28" s="21">
        <f>SUMIFS('[1]Capex CJI3'!$F$2:$F$433,'[1]Capex CJI3'!$A$2:$A$433,$A28,'[1]Capex CJI3'!$K$2:$K$433,2026,'[1]Capex CJI3'!$J$2:$J$433,"*Reclass internal hours*")</f>
        <v>329156</v>
      </c>
      <c r="G28" s="21" cm="1">
        <f t="array" ref="G28">SUMPRODUCT(('[1]Capex CJI3'!$A$2:$A$433=$A28)*(IFERROR(VALUE('[1]Capex CJI3'!$K$2:$K$433),0)=2026)*(LEN('[1]Capex CJI3'!$E$2:$E$433)&gt;0)*ISERROR(SEARCH("Reclass internal hours",'[1]Capex CJI3'!$J$2:$J$433))*IFERROR(VALUE('[1]Capex CJI3'!$F$2:$F$433),0))-IF($A28="O7941/2517",'[1]Capex CJI3'!$F$124,0)-IF($A28="O7941/2613",'[1]Capex CJI3'!$F$313,0)</f>
        <v>0</v>
      </c>
      <c r="H28" s="21" cm="1">
        <f t="array" ref="H28">SUMPRODUCT(('[1]Capex CJI3'!$A$2:$A$433=$A28)*(IFERROR(VALUE('[1]Capex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CJI3'!$D$2:$D$433&lt;&gt;"6405000000")*((($A28&lt;&gt;"O7941/2513")+('[1]Capex CJI3'!$D$2:$D$433&lt;&gt;"7405000000")+(IFERROR(VALUE('[1]Capex CJI3'!$L$2:$L$433),0)&gt;=3))&gt;0)*IFERROR(VALUE('[1]Capex CJI3'!$F$2:$F$433),0))-IF($A28="O7941/2517",'[1]Capex CJI3'!$F$132,0)-IF($A28="O9100/2601",'[1]Capex CJI3'!$F$429,0)</f>
        <v>0</v>
      </c>
      <c r="I28" s="21">
        <f t="shared" si="3"/>
        <v>329156</v>
      </c>
      <c r="J28" s="21">
        <f t="shared" si="2"/>
        <v>329156</v>
      </c>
      <c r="K28" s="22">
        <v>46265</v>
      </c>
      <c r="L28" s="23" cm="1">
        <f t="array" ref="L28">SUMPRODUCT(('[1]Capex CJI3'!$A$2:$A$433=$A28)*(IFERROR(VALUE('[1]Capex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CJI3'!$D$2:$D$433&lt;&gt;"6405000000"))&gt;0))-IF($A28="O7941/2517",2,0)-IF($A28="O7941/2613",1,0)-IF($A28="O9100/2601",1,0)-IF($A28="O7941/2513",4,0)</f>
        <v>6</v>
      </c>
      <c r="M28" s="23" cm="1">
        <f t="array" ref="M28">SUMPRODUCT(('[1]Capex CJI3'!$A$2:$A$433=$A28)*(IFERROR(VALUE('[1]Capex CJI3'!$K$2:$K$433),0)&gt;0)*(LEN('[1]Capex CJI3'!$E$2:$E$433)&gt;0)*ISERROR(SEARCH("Reclass internal hours",'[1]Capex CJI3'!$J$2:$J$433)))-IF($A28="O7941/2517",1,0)-IF($A28="O7941/2613",1,0)</f>
        <v>0</v>
      </c>
      <c r="N28" s="15" t="s">
        <v>3</v>
      </c>
      <c r="O28" s="21">
        <v>450000</v>
      </c>
    </row>
    <row r="29" spans="1:15" x14ac:dyDescent="0.25">
      <c r="A29" s="15" t="s">
        <v>144</v>
      </c>
      <c r="B29" s="21">
        <f>SUMIFS('[1]Capex CJI3'!$F$2:$F$433,'[1]Capex CJI3'!$A$2:$A$433,$A29,'[1]Capex CJI3'!$K$2:$K$433,2025,'[1]Capex CJI3'!$J$2:$J$433,"*Reclass internal hours*")</f>
        <v>0</v>
      </c>
      <c r="C29" s="21" cm="1">
        <f t="array" ref="C29">SUMPRODUCT(('[1]Capex CJI3'!$A$2:$A$433=$A29)*(IFERROR(VALUE('[1]Capex CJI3'!$K$2:$K$433),0)=2025)*(LEN('[1]Capex CJI3'!$E$2:$E$433)&gt;0)*ISERROR(SEARCH("Reclass internal hours",'[1]Capex CJI3'!$J$2:$J$433))*IFERROR(VALUE('[1]Capex CJI3'!$F$2:$F$433),0))</f>
        <v>0</v>
      </c>
      <c r="D29" s="21" cm="1">
        <f t="array" ref="D29">SUMPRODUCT(('[1]Capex CJI3'!$A$2:$A$433=$A29)*(IFERROR(VALUE('[1]Capex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29" s="21">
        <f t="shared" si="0"/>
        <v>0</v>
      </c>
      <c r="F29" s="21">
        <f>SUMIFS('[1]Capex CJI3'!$F$2:$F$433,'[1]Capex CJI3'!$A$2:$A$433,$A29,'[1]Capex CJI3'!$K$2:$K$433,2026,'[1]Capex CJI3'!$J$2:$J$433,"*Reclass internal hours*")</f>
        <v>38115</v>
      </c>
      <c r="G29" s="21" cm="1">
        <f t="array" ref="G29">SUMPRODUCT(('[1]Capex CJI3'!$A$2:$A$433=$A29)*(IFERROR(VALUE('[1]Capex CJI3'!$K$2:$K$433),0)=2026)*(LEN('[1]Capex CJI3'!$E$2:$E$433)&gt;0)*ISERROR(SEARCH("Reclass internal hours",'[1]Capex CJI3'!$J$2:$J$433))*IFERROR(VALUE('[1]Capex CJI3'!$F$2:$F$433),0))-IF($A29="O7941/2517",'[1]Capex CJI3'!$F$124,0)-IF($A29="O7941/2613",'[1]Capex CJI3'!$F$313,0)</f>
        <v>0</v>
      </c>
      <c r="H29" s="21" cm="1">
        <f t="array" ref="H29">SUMPRODUCT(('[1]Capex CJI3'!$A$2:$A$433=$A29)*(IFERROR(VALUE('[1]Capex CJI3'!$K$2:$K$433),0)=2026)*(LEN('[1]Capex CJI3'!$E$2:$E$433)=0)*ISERROR(SEARCH("Reclass internal hours",'[1]Capex CJI3'!$J$2:$J$433))*ISERROR(SEARCH("WBS Correction",'[1]Capex CJI3'!$J$2:$J$433))*('[1]Capex CJI3'!$D$2:$D$433&lt;&gt;"6405000000")*((($A29&lt;&gt;"O7941/2513")+('[1]Capex CJI3'!$D$2:$D$433&lt;&gt;"7405000000")+(IFERROR(VALUE('[1]Capex CJI3'!$L$2:$L$433),0)&gt;=3))&gt;0)*IFERROR(VALUE('[1]Capex CJI3'!$F$2:$F$433),0))-IF($A29="O7941/2517",'[1]Capex CJI3'!$F$132,0)-IF($A29="O9100/2601",'[1]Capex CJI3'!$F$429,0)</f>
        <v>0</v>
      </c>
      <c r="I29" s="21">
        <f t="shared" si="3"/>
        <v>38115</v>
      </c>
      <c r="J29" s="21">
        <f t="shared" si="2"/>
        <v>38115</v>
      </c>
      <c r="K29" s="22">
        <v>46265</v>
      </c>
      <c r="L29" s="23" cm="1">
        <f t="array" ref="L29">SUMPRODUCT(('[1]Capex CJI3'!$A$2:$A$433=$A29)*(IFERROR(VALUE('[1]Capex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CJI3'!$D$2:$D$433&lt;&gt;"6405000000"))&gt;0))-IF($A29="O7941/2517",2,0)-IF($A29="O7941/2613",1,0)-IF($A29="O9100/2601",1,0)-IF($A29="O7941/2513",4,0)</f>
        <v>4</v>
      </c>
      <c r="M29" s="23" cm="1">
        <f t="array" ref="M29">SUMPRODUCT(('[1]Capex CJI3'!$A$2:$A$433=$A29)*(IFERROR(VALUE('[1]Capex CJI3'!$K$2:$K$433),0)&gt;0)*(LEN('[1]Capex CJI3'!$E$2:$E$433)&gt;0)*ISERROR(SEARCH("Reclass internal hours",'[1]Capex CJI3'!$J$2:$J$433)))-IF($A29="O7941/2517",1,0)-IF($A29="O7941/2613",1,0)</f>
        <v>0</v>
      </c>
      <c r="N29" s="15" t="s">
        <v>3</v>
      </c>
      <c r="O29" s="21">
        <v>38115</v>
      </c>
    </row>
    <row r="30" spans="1:15" x14ac:dyDescent="0.25">
      <c r="A30" s="15" t="s">
        <v>145</v>
      </c>
      <c r="B30" s="21">
        <f>SUMIFS('[1]Capex CJI3'!$F$2:$F$433,'[1]Capex CJI3'!$A$2:$A$433,$A30,'[1]Capex CJI3'!$K$2:$K$433,2025,'[1]Capex CJI3'!$J$2:$J$433,"*Reclass internal hours*")</f>
        <v>0</v>
      </c>
      <c r="C30" s="21" cm="1">
        <f t="array" ref="C30">SUMPRODUCT(('[1]Capex CJI3'!$A$2:$A$433=$A30)*(IFERROR(VALUE('[1]Capex CJI3'!$K$2:$K$433),0)=2025)*(LEN('[1]Capex CJI3'!$E$2:$E$433)&gt;0)*ISERROR(SEARCH("Reclass internal hours",'[1]Capex CJI3'!$J$2:$J$433))*IFERROR(VALUE('[1]Capex CJI3'!$F$2:$F$433),0))</f>
        <v>0</v>
      </c>
      <c r="D30" s="21" cm="1">
        <f t="array" ref="D30">SUMPRODUCT(('[1]Capex CJI3'!$A$2:$A$433=$A30)*(IFERROR(VALUE('[1]Capex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0" s="21">
        <f t="shared" si="0"/>
        <v>0</v>
      </c>
      <c r="F30" s="21">
        <f>SUMIFS('[1]Capex CJI3'!$F$2:$F$433,'[1]Capex CJI3'!$A$2:$A$433,$A30,'[1]Capex CJI3'!$K$2:$K$433,2026,'[1]Capex CJI3'!$J$2:$J$433,"*Reclass internal hours*")</f>
        <v>179947.6</v>
      </c>
      <c r="G30" s="21" cm="1">
        <f t="array" ref="G30">SUMPRODUCT(('[1]Capex CJI3'!$A$2:$A$433=$A30)*(IFERROR(VALUE('[1]Capex CJI3'!$K$2:$K$433),0)=2026)*(LEN('[1]Capex CJI3'!$E$2:$E$433)&gt;0)*ISERROR(SEARCH("Reclass internal hours",'[1]Capex CJI3'!$J$2:$J$433))*IFERROR(VALUE('[1]Capex CJI3'!$F$2:$F$433),0))-IF($A30="O7941/2517",'[1]Capex CJI3'!$F$124,0)-IF($A30="O7941/2613",'[1]Capex CJI3'!$F$313,0)</f>
        <v>0</v>
      </c>
      <c r="H30" s="21" cm="1">
        <f t="array" ref="H30">SUMPRODUCT(('[1]Capex CJI3'!$A$2:$A$433=$A30)*(IFERROR(VALUE('[1]Capex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CJI3'!$D$2:$D$433&lt;&gt;"6405000000")*((($A30&lt;&gt;"O7941/2513")+('[1]Capex CJI3'!$D$2:$D$433&lt;&gt;"7405000000")+(IFERROR(VALUE('[1]Capex CJI3'!$L$2:$L$433),0)&gt;=3))&gt;0)*IFERROR(VALUE('[1]Capex CJI3'!$F$2:$F$433),0))-IF($A30="O7941/2517",'[1]Capex CJI3'!$F$132,0)-IF($A30="O9100/2601",'[1]Capex CJI3'!$F$429,0)</f>
        <v>0</v>
      </c>
      <c r="I30" s="21">
        <f t="shared" si="3"/>
        <v>179947.6</v>
      </c>
      <c r="J30" s="21">
        <f t="shared" si="2"/>
        <v>179947.6</v>
      </c>
      <c r="K30" s="22">
        <v>46265</v>
      </c>
      <c r="L30" s="23" cm="1">
        <f t="array" ref="L30">SUMPRODUCT(('[1]Capex CJI3'!$A$2:$A$433=$A30)*(IFERROR(VALUE('[1]Capex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CJI3'!$D$2:$D$433&lt;&gt;"6405000000"))&gt;0))-IF($A30="O7941/2517",2,0)-IF($A30="O7941/2613",1,0)-IF($A30="O9100/2601",1,0)-IF($A30="O7941/2513",4,0)</f>
        <v>6</v>
      </c>
      <c r="M30" s="23" cm="1">
        <f t="array" ref="M30">SUMPRODUCT(('[1]Capex CJI3'!$A$2:$A$433=$A30)*(IFERROR(VALUE('[1]Capex CJI3'!$K$2:$K$433),0)&gt;0)*(LEN('[1]Capex CJI3'!$E$2:$E$433)&gt;0)*ISERROR(SEARCH("Reclass internal hours",'[1]Capex CJI3'!$J$2:$J$433)))-IF($A30="O7941/2517",1,0)-IF($A30="O7941/2613",1,0)</f>
        <v>0</v>
      </c>
      <c r="N30" s="15" t="s">
        <v>3</v>
      </c>
      <c r="O30" s="21">
        <v>192154</v>
      </c>
    </row>
    <row r="31" spans="1:15" x14ac:dyDescent="0.25">
      <c r="A31" s="15" t="s">
        <v>146</v>
      </c>
      <c r="B31" s="21">
        <f>SUMIFS('[1]Capex CJI3'!$F$2:$F$433,'[1]Capex CJI3'!$A$2:$A$433,$A31,'[1]Capex CJI3'!$K$2:$K$433,2025,'[1]Capex CJI3'!$J$2:$J$433,"*Reclass internal hours*")</f>
        <v>0</v>
      </c>
      <c r="C31" s="21" cm="1">
        <f t="array" ref="C31">SUMPRODUCT(('[1]Capex CJI3'!$A$2:$A$433=$A31)*(IFERROR(VALUE('[1]Capex CJI3'!$K$2:$K$433),0)=2025)*(LEN('[1]Capex CJI3'!$E$2:$E$433)&gt;0)*ISERROR(SEARCH("Reclass internal hours",'[1]Capex CJI3'!$J$2:$J$433))*IFERROR(VALUE('[1]Capex CJI3'!$F$2:$F$433),0))</f>
        <v>0</v>
      </c>
      <c r="D31" s="21" cm="1">
        <f t="array" ref="D31">SUMPRODUCT(('[1]Capex CJI3'!$A$2:$A$433=$A31)*(IFERROR(VALUE('[1]Capex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1" s="21">
        <f t="shared" si="0"/>
        <v>0</v>
      </c>
      <c r="F31" s="21">
        <f>SUMIFS('[1]Capex CJI3'!$F$2:$F$433,'[1]Capex CJI3'!$A$2:$A$433,$A31,'[1]Capex CJI3'!$K$2:$K$433,2026,'[1]Capex CJI3'!$J$2:$J$433,"*Reclass internal hours*")</f>
        <v>53300.56</v>
      </c>
      <c r="G31" s="21" cm="1">
        <f t="array" ref="G31">SUMPRODUCT(('[1]Capex CJI3'!$A$2:$A$433=$A31)*(IFERROR(VALUE('[1]Capex CJI3'!$K$2:$K$433),0)=2026)*(LEN('[1]Capex CJI3'!$E$2:$E$433)&gt;0)*ISERROR(SEARCH("Reclass internal hours",'[1]Capex CJI3'!$J$2:$J$433))*IFERROR(VALUE('[1]Capex CJI3'!$F$2:$F$433),0))-IF($A31="O7941/2517",'[1]Capex CJI3'!$F$124,0)-IF($A31="O7941/2613",'[1]Capex CJI3'!$F$313,0)</f>
        <v>68750</v>
      </c>
      <c r="H31" s="21" cm="1">
        <f t="array" ref="H31">SUMPRODUCT(('[1]Capex CJI3'!$A$2:$A$433=$A31)*(IFERROR(VALUE('[1]Capex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CJI3'!$D$2:$D$433&lt;&gt;"6405000000")*((($A31&lt;&gt;"O7941/2513")+('[1]Capex CJI3'!$D$2:$D$433&lt;&gt;"7405000000")+(IFERROR(VALUE('[1]Capex CJI3'!$L$2:$L$433),0)&gt;=3))&gt;0)*IFERROR(VALUE('[1]Capex CJI3'!$F$2:$F$433),0))-IF($A31="O7941/2517",'[1]Capex CJI3'!$F$132,0)-IF($A31="O9100/2601",'[1]Capex CJI3'!$F$429,0)</f>
        <v>0</v>
      </c>
      <c r="I31" s="21">
        <f t="shared" si="3"/>
        <v>122050.56</v>
      </c>
      <c r="J31" s="21">
        <f t="shared" si="2"/>
        <v>122050.56</v>
      </c>
      <c r="K31" s="22">
        <v>46248</v>
      </c>
      <c r="L31" s="23" cm="1">
        <f t="array" ref="L31">SUMPRODUCT(('[1]Capex CJI3'!$A$2:$A$433=$A31)*(IFERROR(VALUE('[1]Capex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CJI3'!$D$2:$D$433&lt;&gt;"6405000000"))&gt;0))-IF($A31="O7941/2517",2,0)-IF($A31="O7941/2613",1,0)-IF($A31="O9100/2601",1,0)-IF($A31="O7941/2513",4,0)</f>
        <v>11</v>
      </c>
      <c r="M31" s="23" cm="1">
        <f t="array" ref="M31">SUMPRODUCT(('[1]Capex CJI3'!$A$2:$A$433=$A31)*(IFERROR(VALUE('[1]Capex CJI3'!$K$2:$K$433),0)&gt;0)*(LEN('[1]Capex CJI3'!$E$2:$E$433)&gt;0)*ISERROR(SEARCH("Reclass internal hours",'[1]Capex CJI3'!$J$2:$J$433)))-IF($A31="O7941/2517",1,0)-IF($A31="O7941/2613",1,0)</f>
        <v>7</v>
      </c>
      <c r="N31" s="15" t="s">
        <v>3</v>
      </c>
      <c r="O31" s="21">
        <v>160500</v>
      </c>
    </row>
    <row r="32" spans="1:15" x14ac:dyDescent="0.25">
      <c r="A32" s="15" t="s">
        <v>149</v>
      </c>
      <c r="B32" s="21">
        <f>SUMIFS('[1]Capex CJI3'!$F$2:$F$433,'[1]Capex CJI3'!$A$2:$A$433,$A32,'[1]Capex CJI3'!$K$2:$K$433,2025,'[1]Capex CJI3'!$J$2:$J$433,"*Reclass internal hours*")</f>
        <v>0</v>
      </c>
      <c r="C32" s="21" cm="1">
        <f t="array" ref="C32">SUMPRODUCT(('[1]Capex CJI3'!$A$2:$A$433=$A32)*(IFERROR(VALUE('[1]Capex CJI3'!$K$2:$K$433),0)=2025)*(LEN('[1]Capex CJI3'!$E$2:$E$433)&gt;0)*ISERROR(SEARCH("Reclass internal hours",'[1]Capex CJI3'!$J$2:$J$433))*IFERROR(VALUE('[1]Capex CJI3'!$F$2:$F$433),0))</f>
        <v>0</v>
      </c>
      <c r="D32" s="21" cm="1">
        <f t="array" ref="D32">SUMPRODUCT(('[1]Capex CJI3'!$A$2:$A$433=$A32)*(IFERROR(VALUE('[1]Capex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2" s="21">
        <f t="shared" si="0"/>
        <v>0</v>
      </c>
      <c r="F32" s="21">
        <f>SUMIFS('[1]Capex CJI3'!$F$2:$F$433,'[1]Capex CJI3'!$A$2:$A$433,$A32,'[1]Capex CJI3'!$K$2:$K$433,2026,'[1]Capex CJI3'!$J$2:$J$433,"*Reclass internal hours*")</f>
        <v>29455</v>
      </c>
      <c r="G32" s="21" cm="1">
        <f t="array" ref="G32">SUMPRODUCT(('[1]Capex CJI3'!$A$2:$A$433=$A32)*(IFERROR(VALUE('[1]Capex CJI3'!$K$2:$K$433),0)=2026)*(LEN('[1]Capex CJI3'!$E$2:$E$433)&gt;0)*ISERROR(SEARCH("Reclass internal hours",'[1]Capex CJI3'!$J$2:$J$433))*IFERROR(VALUE('[1]Capex CJI3'!$F$2:$F$433),0))-IF($A32="O7941/2517",'[1]Capex CJI3'!$F$124,0)-IF($A32="O7941/2613",'[1]Capex CJI3'!$F$313,0)</f>
        <v>30750</v>
      </c>
      <c r="H32" s="21">
        <v>28441.75</v>
      </c>
      <c r="I32" s="21">
        <f t="shared" si="3"/>
        <v>88646.75</v>
      </c>
      <c r="J32" s="31">
        <f t="shared" si="2"/>
        <v>88646.75</v>
      </c>
      <c r="K32" s="22">
        <v>46268</v>
      </c>
      <c r="L32" s="23" cm="1">
        <f t="array" ref="L32">SUMPRODUCT(('[1]Capex CJI3'!$A$2:$A$433=$A32)*(IFERROR(VALUE('[1]Capex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CJI3'!$D$2:$D$433&lt;&gt;"6405000000"))&gt;0))-IF($A32="O7941/2517",2,0)-IF($A32="O7941/2613",1,0)-IF($A32="O9100/2601",1,0)-IF($A32="O7941/2513",4,0)</f>
        <v>13</v>
      </c>
      <c r="M32" s="23" cm="1">
        <f t="array" ref="M32">SUMPRODUCT(('[1]Capex CJI3'!$A$2:$A$433=$A32)*(IFERROR(VALUE('[1]Capex CJI3'!$K$2:$K$433),0)&gt;0)*(LEN('[1]Capex CJI3'!$E$2:$E$433)&gt;0)*ISERROR(SEARCH("Reclass internal hours",'[1]Capex CJI3'!$J$2:$J$433)))-IF($A32="O7941/2517",1,0)-IF($A32="O7941/2613",1,0)</f>
        <v>5</v>
      </c>
      <c r="N32" s="15" t="s">
        <v>3</v>
      </c>
      <c r="O32" s="21">
        <v>160000</v>
      </c>
    </row>
    <row r="33" spans="1:15" x14ac:dyDescent="0.25">
      <c r="A33" s="15" t="s">
        <v>157</v>
      </c>
      <c r="B33" s="21">
        <f>SUMIFS('[1]Capex CJI3'!$F$2:$F$433,'[1]Capex CJI3'!$A$2:$A$433,$A33,'[1]Capex CJI3'!$K$2:$K$433,2025,'[1]Capex CJI3'!$J$2:$J$433,"*Reclass internal hours*")</f>
        <v>0</v>
      </c>
      <c r="C33" s="21" cm="1">
        <f t="array" ref="C33">SUMPRODUCT(('[1]Capex CJI3'!$A$2:$A$433=$A33)*(IFERROR(VALUE('[1]Capex CJI3'!$K$2:$K$433),0)=2025)*(LEN('[1]Capex CJI3'!$E$2:$E$433)&gt;0)*ISERROR(SEARCH("Reclass internal hours",'[1]Capex CJI3'!$J$2:$J$433))*IFERROR(VALUE('[1]Capex CJI3'!$F$2:$F$433),0))</f>
        <v>0</v>
      </c>
      <c r="D33" s="21" cm="1">
        <f t="array" ref="D33">SUMPRODUCT(('[1]Capex CJI3'!$A$2:$A$433=$A33)*(IFERROR(VALUE('[1]Capex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3" s="21">
        <f t="shared" si="0"/>
        <v>0</v>
      </c>
      <c r="F33" s="21">
        <f>SUMIFS('[1]Capex CJI3'!$F$2:$F$433,'[1]Capex CJI3'!$A$2:$A$433,$A33,'[1]Capex CJI3'!$K$2:$K$433,2026,'[1]Capex CJI3'!$J$2:$J$433,"*Reclass internal hours*")</f>
        <v>135855</v>
      </c>
      <c r="G33" s="21" cm="1">
        <f t="array" ref="G33">SUMPRODUCT(('[1]Capex CJI3'!$A$2:$A$433=$A33)*(IFERROR(VALUE('[1]Capex CJI3'!$K$2:$K$433),0)=2026)*(LEN('[1]Capex CJI3'!$E$2:$E$433)&gt;0)*ISERROR(SEARCH("Reclass internal hours",'[1]Capex CJI3'!$J$2:$J$433))*IFERROR(VALUE('[1]Capex CJI3'!$F$2:$F$433),0))-IF($A33="O7941/2517",'[1]Capex CJI3'!$F$124,0)-IF($A33="O7941/2613",'[1]Capex CJI3'!$F$313,0)</f>
        <v>0</v>
      </c>
      <c r="H33" s="21" cm="1">
        <f t="array" ref="H33">SUMPRODUCT(('[1]Capex CJI3'!$A$2:$A$433=$A33)*(IFERROR(VALUE('[1]Capex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CJI3'!$D$2:$D$433&lt;&gt;"6405000000")*((($A33&lt;&gt;"O7941/2513")+('[1]Capex CJI3'!$D$2:$D$433&lt;&gt;"7405000000")+(IFERROR(VALUE('[1]Capex CJI3'!$L$2:$L$433),0)&gt;=3))&gt;0)*IFERROR(VALUE('[1]Capex CJI3'!$F$2:$F$433),0))-IF($A33="O7941/2517",'[1]Capex CJI3'!$F$132,0)-IF($A33="O9100/2601",'[1]Capex CJI3'!$F$429,0)</f>
        <v>0</v>
      </c>
      <c r="I33" s="21">
        <f t="shared" si="3"/>
        <v>135855</v>
      </c>
      <c r="J33" s="21">
        <f t="shared" si="2"/>
        <v>135855</v>
      </c>
      <c r="K33" s="22">
        <v>46265</v>
      </c>
      <c r="L33" s="23" cm="1">
        <f t="array" ref="L33">SUMPRODUCT(('[1]Capex CJI3'!$A$2:$A$433=$A33)*(IFERROR(VALUE('[1]Capex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CJI3'!$D$2:$D$433&lt;&gt;"6405000000"))&gt;0))-IF($A33="O7941/2517",2,0)-IF($A33="O7941/2613",1,0)-IF($A33="O9100/2601",1,0)-IF($A33="O7941/2513",4,0)</f>
        <v>6</v>
      </c>
      <c r="M33" s="23" cm="1">
        <f t="array" ref="M33">SUMPRODUCT(('[1]Capex CJI3'!$A$2:$A$433=$A33)*(IFERROR(VALUE('[1]Capex CJI3'!$K$2:$K$433),0)&gt;0)*(LEN('[1]Capex CJI3'!$E$2:$E$433)&gt;0)*ISERROR(SEARCH("Reclass internal hours",'[1]Capex CJI3'!$J$2:$J$433)))-IF($A33="O7941/2517",1,0)-IF($A33="O7941/2613",1,0)</f>
        <v>0</v>
      </c>
      <c r="N33" s="15" t="s">
        <v>3</v>
      </c>
      <c r="O33" s="21">
        <v>144716</v>
      </c>
    </row>
    <row r="34" spans="1:15" x14ac:dyDescent="0.25">
      <c r="A34" s="15" t="s">
        <v>158</v>
      </c>
      <c r="B34" s="21">
        <f>SUMIFS('[1]Capex CJI3'!$F$2:$F$433,'[1]Capex CJI3'!$A$2:$A$433,$A34,'[1]Capex CJI3'!$K$2:$K$433,2025,'[1]Capex CJI3'!$J$2:$J$433,"*Reclass internal hours*")</f>
        <v>0</v>
      </c>
      <c r="C34" s="21" cm="1">
        <f t="array" ref="C34">SUMPRODUCT(('[1]Capex CJI3'!$A$2:$A$433=$A34)*(IFERROR(VALUE('[1]Capex CJI3'!$K$2:$K$433),0)=2025)*(LEN('[1]Capex CJI3'!$E$2:$E$433)&gt;0)*ISERROR(SEARCH("Reclass internal hours",'[1]Capex CJI3'!$J$2:$J$433))*IFERROR(VALUE('[1]Capex CJI3'!$F$2:$F$433),0))</f>
        <v>0</v>
      </c>
      <c r="D34" s="21" cm="1">
        <f t="array" ref="D34">SUMPRODUCT(('[1]Capex CJI3'!$A$2:$A$433=$A34)*(IFERROR(VALUE('[1]Capex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4" s="21">
        <f t="shared" si="0"/>
        <v>0</v>
      </c>
      <c r="F34" s="21">
        <f>SUMIFS('[1]Capex CJI3'!$F$2:$F$433,'[1]Capex CJI3'!$A$2:$A$433,$A34,'[1]Capex CJI3'!$K$2:$K$433,2026,'[1]Capex CJI3'!$J$2:$J$433,"*Reclass internal hours*")</f>
        <v>42705</v>
      </c>
      <c r="G34" s="21" cm="1">
        <f t="array" ref="G34">SUMPRODUCT(('[1]Capex CJI3'!$A$2:$A$433=$A34)*(IFERROR(VALUE('[1]Capex CJI3'!$K$2:$K$433),0)=2026)*(LEN('[1]Capex CJI3'!$E$2:$E$433)&gt;0)*ISERROR(SEARCH("Reclass internal hours",'[1]Capex CJI3'!$J$2:$J$433))*IFERROR(VALUE('[1]Capex CJI3'!$F$2:$F$433),0))-IF($A34="O7941/2517",'[1]Capex CJI3'!$F$124,0)-IF($A34="O7941/2613",'[1]Capex CJI3'!$F$313,0)</f>
        <v>0</v>
      </c>
      <c r="H34" s="21" cm="1">
        <f t="array" ref="H34">SUMPRODUCT(('[1]Capex CJI3'!$A$2:$A$433=$A34)*(IFERROR(VALUE('[1]Capex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CJI3'!$D$2:$D$433&lt;&gt;"6405000000")*((($A34&lt;&gt;"O7941/2513")+('[1]Capex CJI3'!$D$2:$D$433&lt;&gt;"7405000000")+(IFERROR(VALUE('[1]Capex CJI3'!$L$2:$L$433),0)&gt;=3))&gt;0)*IFERROR(VALUE('[1]Capex CJI3'!$F$2:$F$433),0))-IF($A34="O7941/2517",'[1]Capex CJI3'!$F$132,0)-IF($A34="O9100/2601",'[1]Capex CJI3'!$F$429,0)</f>
        <v>0</v>
      </c>
      <c r="I34" s="21">
        <f t="shared" si="3"/>
        <v>42705</v>
      </c>
      <c r="J34" s="21">
        <f t="shared" si="2"/>
        <v>42705</v>
      </c>
      <c r="K34" s="22">
        <v>46265</v>
      </c>
      <c r="L34" s="23" cm="1">
        <f t="array" ref="L34">SUMPRODUCT(('[1]Capex CJI3'!$A$2:$A$433=$A34)*(IFERROR(VALUE('[1]Capex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CJI3'!$D$2:$D$433&lt;&gt;"6405000000"))&gt;0))-IF($A34="O7941/2517",2,0)-IF($A34="O7941/2613",1,0)-IF($A34="O9100/2601",1,0)-IF($A34="O7941/2513",4,0)</f>
        <v>4</v>
      </c>
      <c r="M34" s="23" cm="1">
        <f t="array" ref="M34">SUMPRODUCT(('[1]Capex CJI3'!$A$2:$A$433=$A34)*(IFERROR(VALUE('[1]Capex CJI3'!$K$2:$K$433),0)&gt;0)*(LEN('[1]Capex CJI3'!$E$2:$E$433)&gt;0)*ISERROR(SEARCH("Reclass internal hours",'[1]Capex CJI3'!$J$2:$J$433)))-IF($A34="O7941/2517",1,0)-IF($A34="O7941/2613",1,0)</f>
        <v>0</v>
      </c>
      <c r="N34" s="15" t="s">
        <v>3</v>
      </c>
      <c r="O34" s="21">
        <v>79224</v>
      </c>
    </row>
    <row r="35" spans="1:15" x14ac:dyDescent="0.25">
      <c r="A35" s="15" t="s">
        <v>159</v>
      </c>
      <c r="B35" s="21">
        <f>SUMIFS('[1]Capex CJI3'!$F$2:$F$433,'[1]Capex CJI3'!$A$2:$A$433,$A35,'[1]Capex CJI3'!$K$2:$K$433,2025,'[1]Capex CJI3'!$J$2:$J$433,"*Reclass internal hours*")</f>
        <v>0</v>
      </c>
      <c r="C35" s="21" cm="1">
        <f t="array" ref="C35">SUMPRODUCT(('[1]Capex CJI3'!$A$2:$A$433=$A35)*(IFERROR(VALUE('[1]Capex CJI3'!$K$2:$K$433),0)=2025)*(LEN('[1]Capex CJI3'!$E$2:$E$433)&gt;0)*ISERROR(SEARCH("Reclass internal hours",'[1]Capex CJI3'!$J$2:$J$433))*IFERROR(VALUE('[1]Capex CJI3'!$F$2:$F$433),0))</f>
        <v>0</v>
      </c>
      <c r="D35" s="21" cm="1">
        <f t="array" ref="D35">SUMPRODUCT(('[1]Capex CJI3'!$A$2:$A$433=$A35)*(IFERROR(VALUE('[1]Capex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5" s="21">
        <f t="shared" si="0"/>
        <v>0</v>
      </c>
      <c r="F35" s="21">
        <f>SUMIFS('[1]Capex CJI3'!$F$2:$F$433,'[1]Capex CJI3'!$A$2:$A$433,$A35,'[1]Capex CJI3'!$K$2:$K$433,2026,'[1]Capex CJI3'!$J$2:$J$433,"*Reclass internal hours*")</f>
        <v>0</v>
      </c>
      <c r="G35" s="21" cm="1">
        <f t="array" ref="G35">SUMPRODUCT(('[1]Capex CJI3'!$A$2:$A$433=$A35)*(IFERROR(VALUE('[1]Capex CJI3'!$K$2:$K$433),0)=2026)*(LEN('[1]Capex CJI3'!$E$2:$E$433)&gt;0)*ISERROR(SEARCH("Reclass internal hours",'[1]Capex CJI3'!$J$2:$J$433))*IFERROR(VALUE('[1]Capex CJI3'!$F$2:$F$433),0))-IF($A35="O7941/2517",'[1]Capex CJI3'!$F$124,0)-IF($A35="O7941/2613",'[1]Capex CJI3'!$F$313,0)</f>
        <v>37803</v>
      </c>
      <c r="H35" s="21" cm="1">
        <f t="array" ref="H35">SUMPRODUCT(('[1]Capex CJI3'!$A$2:$A$433=$A35)*(IFERROR(VALUE('[1]Capex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CJI3'!$D$2:$D$433&lt;&gt;"6405000000")*((($A35&lt;&gt;"O7941/2513")+('[1]Capex CJI3'!$D$2:$D$433&lt;&gt;"7405000000")+(IFERROR(VALUE('[1]Capex CJI3'!$L$2:$L$433),0)&gt;=3))&gt;0)*IFERROR(VALUE('[1]Capex CJI3'!$F$2:$F$433),0))-IF($A35="O7941/2517",'[1]Capex CJI3'!$F$132,0)-IF($A35="O9100/2601",'[1]Capex CJI3'!$F$429,0)</f>
        <v>0</v>
      </c>
      <c r="I35" s="21">
        <f t="shared" si="3"/>
        <v>37803</v>
      </c>
      <c r="J35" s="21">
        <f t="shared" si="2"/>
        <v>37803</v>
      </c>
      <c r="K35" s="22">
        <v>46275</v>
      </c>
      <c r="L35" s="23" cm="1">
        <f t="array" ref="L35">SUMPRODUCT(('[1]Capex CJI3'!$A$2:$A$433=$A35)*(IFERROR(VALUE('[1]Capex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CJI3'!$D$2:$D$433&lt;&gt;"6405000000"))&gt;0))-IF($A35="O7941/2517",2,0)-IF($A35="O7941/2613",1,0)-IF($A35="O9100/2601",1,0)-IF($A35="O7941/2513",4,0)</f>
        <v>3</v>
      </c>
      <c r="M35" s="23" cm="1">
        <f t="array" ref="M35">SUMPRODUCT(('[1]Capex CJI3'!$A$2:$A$433=$A35)*(IFERROR(VALUE('[1]Capex CJI3'!$K$2:$K$433),0)&gt;0)*(LEN('[1]Capex CJI3'!$E$2:$E$433)&gt;0)*ISERROR(SEARCH("Reclass internal hours",'[1]Capex CJI3'!$J$2:$J$433)))-IF($A35="O7941/2517",1,0)-IF($A35="O7941/2613",1,0)</f>
        <v>3</v>
      </c>
      <c r="N35" s="15" t="s">
        <v>3</v>
      </c>
      <c r="O35" s="21">
        <v>41584</v>
      </c>
    </row>
    <row r="36" spans="1:15" x14ac:dyDescent="0.25">
      <c r="A36" s="15" t="s">
        <v>162</v>
      </c>
      <c r="B36" s="21">
        <f>SUMIFS('[1]Capex CJI3'!$F$2:$F$433,'[1]Capex CJI3'!$A$2:$A$433,$A36,'[1]Capex CJI3'!$K$2:$K$433,2025,'[1]Capex CJI3'!$J$2:$J$433,"*Reclass internal hours*")</f>
        <v>0</v>
      </c>
      <c r="C36" s="21" cm="1">
        <f t="array" ref="C36">SUMPRODUCT(('[1]Capex CJI3'!$A$2:$A$433=$A36)*(IFERROR(VALUE('[1]Capex CJI3'!$K$2:$K$433),0)=2025)*(LEN('[1]Capex CJI3'!$E$2:$E$433)&gt;0)*ISERROR(SEARCH("Reclass internal hours",'[1]Capex CJI3'!$J$2:$J$433))*IFERROR(VALUE('[1]Capex CJI3'!$F$2:$F$433),0))</f>
        <v>0</v>
      </c>
      <c r="D36" s="21" cm="1">
        <f t="array" ref="D36">SUMPRODUCT(('[1]Capex CJI3'!$A$2:$A$433=$A36)*(IFERROR(VALUE('[1]Capex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6" s="21">
        <f t="shared" si="0"/>
        <v>0</v>
      </c>
      <c r="F36" s="21">
        <f>SUMIFS('[1]Capex CJI3'!$F$2:$F$433,'[1]Capex CJI3'!$A$2:$A$433,$A36,'[1]Capex CJI3'!$K$2:$K$433,2026,'[1]Capex CJI3'!$J$2:$J$433,"*Reclass internal hours*")</f>
        <v>0</v>
      </c>
      <c r="G36" s="21" cm="1">
        <f t="array" ref="G36">SUMPRODUCT(('[1]Capex CJI3'!$A$2:$A$433=$A36)*(IFERROR(VALUE('[1]Capex CJI3'!$K$2:$K$433),0)=2026)*(LEN('[1]Capex CJI3'!$E$2:$E$433)&gt;0)*ISERROR(SEARCH("Reclass internal hours",'[1]Capex CJI3'!$J$2:$J$433))*IFERROR(VALUE('[1]Capex CJI3'!$F$2:$F$433),0))-IF($A36="O7941/2517",'[1]Capex CJI3'!$F$124,0)-IF($A36="O7941/2613",'[1]Capex CJI3'!$F$313,0)</f>
        <v>18752.66</v>
      </c>
      <c r="H36" s="21" cm="1">
        <f t="array" ref="H36">SUMPRODUCT(('[1]Capex CJI3'!$A$2:$A$433=$A36)*(IFERROR(VALUE('[1]Capex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CJI3'!$D$2:$D$433&lt;&gt;"6405000000")*((($A36&lt;&gt;"O7941/2513")+('[1]Capex CJI3'!$D$2:$D$433&lt;&gt;"7405000000")+(IFERROR(VALUE('[1]Capex CJI3'!$L$2:$L$433),0)&gt;=3))&gt;0)*IFERROR(VALUE('[1]Capex CJI3'!$F$2:$F$433),0))-IF($A36="O7941/2517",'[1]Capex CJI3'!$F$132,0)-IF($A36="O9100/2601",'[1]Capex CJI3'!$F$429,0)</f>
        <v>0</v>
      </c>
      <c r="I36" s="21">
        <f t="shared" si="3"/>
        <v>18752.66</v>
      </c>
      <c r="J36" s="21">
        <f t="shared" si="2"/>
        <v>18752.66</v>
      </c>
      <c r="K36" s="22">
        <v>46206</v>
      </c>
      <c r="L36" s="23" cm="1">
        <f t="array" ref="L36">SUMPRODUCT(('[1]Capex CJI3'!$A$2:$A$433=$A36)*(IFERROR(VALUE('[1]Capex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CJI3'!$D$2:$D$433&lt;&gt;"6405000000"))&gt;0))-IF($A36="O7941/2517",2,0)-IF($A36="O7941/2613",1,0)-IF($A36="O9100/2601",1,0)-IF($A36="O7941/2513",4,0)</f>
        <v>2</v>
      </c>
      <c r="M36" s="23" cm="1">
        <f t="array" ref="M36">SUMPRODUCT(('[1]Capex CJI3'!$A$2:$A$433=$A36)*(IFERROR(VALUE('[1]Capex CJI3'!$K$2:$K$433),0)&gt;0)*(LEN('[1]Capex CJI3'!$E$2:$E$433)&gt;0)*ISERROR(SEARCH("Reclass internal hours",'[1]Capex CJI3'!$J$2:$J$433)))-IF($A36="O7941/2517",1,0)-IF($A36="O7941/2613",1,0)</f>
        <v>2</v>
      </c>
      <c r="N36" s="15" t="s">
        <v>3</v>
      </c>
      <c r="O36" s="21">
        <v>30941</v>
      </c>
    </row>
    <row r="37" spans="1:15" x14ac:dyDescent="0.25">
      <c r="A37" s="15" t="s">
        <v>165</v>
      </c>
      <c r="B37" s="21">
        <f>SUMIFS('[1]Capex CJI3'!$F$2:$F$433,'[1]Capex CJI3'!$A$2:$A$433,$A37,'[1]Capex CJI3'!$K$2:$K$433,2025,'[1]Capex CJI3'!$J$2:$J$433,"*Reclass internal hours*")</f>
        <v>0</v>
      </c>
      <c r="C37" s="21" cm="1">
        <f t="array" ref="C37">SUMPRODUCT(('[1]Capex CJI3'!$A$2:$A$433=$A37)*(IFERROR(VALUE('[1]Capex CJI3'!$K$2:$K$433),0)=2025)*(LEN('[1]Capex CJI3'!$E$2:$E$433)&gt;0)*ISERROR(SEARCH("Reclass internal hours",'[1]Capex CJI3'!$J$2:$J$433))*IFERROR(VALUE('[1]Capex CJI3'!$F$2:$F$433),0))</f>
        <v>0</v>
      </c>
      <c r="D37" s="21" cm="1">
        <f t="array" ref="D37">SUMPRODUCT(('[1]Capex CJI3'!$A$2:$A$433=$A37)*(IFERROR(VALUE('[1]Capex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7" s="21">
        <f t="shared" si="0"/>
        <v>0</v>
      </c>
      <c r="F37" s="21">
        <f>SUMIFS('[1]Capex CJI3'!$F$2:$F$433,'[1]Capex CJI3'!$A$2:$A$433,$A37,'[1]Capex CJI3'!$K$2:$K$433,2026,'[1]Capex CJI3'!$J$2:$J$433,"*Reclass internal hours*")</f>
        <v>416686</v>
      </c>
      <c r="G37" s="21" cm="1">
        <f t="array" ref="G37">SUMPRODUCT(('[1]Capex CJI3'!$A$2:$A$433=$A37)*(IFERROR(VALUE('[1]Capex CJI3'!$K$2:$K$433),0)=2026)*(LEN('[1]Capex CJI3'!$E$2:$E$433)&gt;0)*ISERROR(SEARCH("Reclass internal hours",'[1]Capex CJI3'!$J$2:$J$433))*IFERROR(VALUE('[1]Capex CJI3'!$F$2:$F$433),0))-IF($A37="O7941/2517",'[1]Capex CJI3'!$F$124,0)-IF($A37="O7941/2613",'[1]Capex CJI3'!$F$313,0)</f>
        <v>98100</v>
      </c>
      <c r="H37" s="21" cm="1">
        <f t="array" ref="H37">SUMPRODUCT(('[1]Capex CJI3'!$A$2:$A$433=$A37)*(IFERROR(VALUE('[1]Capex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CJI3'!$D$2:$D$433&lt;&gt;"6405000000")*((($A37&lt;&gt;"O7941/2513")+('[1]Capex CJI3'!$D$2:$D$433&lt;&gt;"7405000000")+(IFERROR(VALUE('[1]Capex CJI3'!$L$2:$L$433),0)&gt;=3))&gt;0)*IFERROR(VALUE('[1]Capex CJI3'!$F$2:$F$433),0))-IF($A37="O7941/2517",'[1]Capex CJI3'!$F$132,0)-IF($A37="O9100/2601",'[1]Capex CJI3'!$F$429,0)</f>
        <v>35625</v>
      </c>
      <c r="I37" s="21">
        <f t="shared" si="3"/>
        <v>550411</v>
      </c>
      <c r="J37" s="21">
        <f t="shared" si="2"/>
        <v>550411</v>
      </c>
      <c r="K37" s="22">
        <v>46265</v>
      </c>
      <c r="L37" s="23" cm="1">
        <f t="array" ref="L37">SUMPRODUCT(('[1]Capex CJI3'!$A$2:$A$433=$A37)*(IFERROR(VALUE('[1]Capex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CJI3'!$D$2:$D$433&lt;&gt;"6405000000"))&gt;0))-IF($A37="O7941/2517",2,0)-IF($A37="O7941/2613",1,0)-IF($A37="O9100/2601",1,0)-IF($A37="O7941/2513",4,0)</f>
        <v>11</v>
      </c>
      <c r="M37" s="23" cm="1">
        <f t="array" ref="M37">SUMPRODUCT(('[1]Capex CJI3'!$A$2:$A$433=$A37)*(IFERROR(VALUE('[1]Capex CJI3'!$K$2:$K$433),0)&gt;0)*(LEN('[1]Capex CJI3'!$E$2:$E$433)&gt;0)*ISERROR(SEARCH("Reclass internal hours",'[1]Capex CJI3'!$J$2:$J$433)))-IF($A37="O7941/2517",1,0)-IF($A37="O7941/2613",1,0)</f>
        <v>5</v>
      </c>
      <c r="N37" s="15" t="s">
        <v>3</v>
      </c>
      <c r="O37" s="21">
        <v>571200</v>
      </c>
    </row>
    <row r="38" spans="1:15" x14ac:dyDescent="0.25">
      <c r="A38" s="15" t="s">
        <v>168</v>
      </c>
      <c r="B38" s="21">
        <f>SUMIFS('[1]Capex CJI3'!$F$2:$F$433,'[1]Capex CJI3'!$A$2:$A$433,$A38,'[1]Capex CJI3'!$K$2:$K$433,2025,'[1]Capex CJI3'!$J$2:$J$433,"*Reclass internal hours*")</f>
        <v>0</v>
      </c>
      <c r="C38" s="21" cm="1">
        <f t="array" ref="C38">SUMPRODUCT(('[1]Capex CJI3'!$A$2:$A$433=$A38)*(IFERROR(VALUE('[1]Capex CJI3'!$K$2:$K$433),0)=2025)*(LEN('[1]Capex CJI3'!$E$2:$E$433)&gt;0)*ISERROR(SEARCH("Reclass internal hours",'[1]Capex CJI3'!$J$2:$J$433))*IFERROR(VALUE('[1]Capex CJI3'!$F$2:$F$433),0))</f>
        <v>0</v>
      </c>
      <c r="D38" s="21" cm="1">
        <f t="array" ref="D38">SUMPRODUCT(('[1]Capex CJI3'!$A$2:$A$433=$A38)*(IFERROR(VALUE('[1]Capex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8" s="21">
        <f t="shared" si="0"/>
        <v>0</v>
      </c>
      <c r="F38" s="21">
        <f>SUMIFS('[1]Capex CJI3'!$F$2:$F$433,'[1]Capex CJI3'!$A$2:$A$433,$A38,'[1]Capex CJI3'!$K$2:$K$433,2026,'[1]Capex CJI3'!$J$2:$J$433,"*Reclass internal hours*")</f>
        <v>0</v>
      </c>
      <c r="G38" s="21" cm="1">
        <f t="array" ref="G38">SUMPRODUCT(('[1]Capex CJI3'!$A$2:$A$433=$A38)*(IFERROR(VALUE('[1]Capex CJI3'!$K$2:$K$433),0)=2026)*(LEN('[1]Capex CJI3'!$E$2:$E$433)&gt;0)*ISERROR(SEARCH("Reclass internal hours",'[1]Capex CJI3'!$J$2:$J$433))*IFERROR(VALUE('[1]Capex CJI3'!$F$2:$F$433),0))-IF($A38="O7941/2517",'[1]Capex CJI3'!$F$124,0)-IF($A38="O7941/2613",'[1]Capex CJI3'!$F$313,0)</f>
        <v>0</v>
      </c>
      <c r="H38" s="21" cm="1">
        <f t="array" ref="H38">SUMPRODUCT(('[1]Capex CJI3'!$A$2:$A$433=$A38)*(IFERROR(VALUE('[1]Capex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CJI3'!$D$2:$D$433&lt;&gt;"6405000000")*((($A38&lt;&gt;"O7941/2513")+('[1]Capex CJI3'!$D$2:$D$433&lt;&gt;"7405000000")+(IFERROR(VALUE('[1]Capex CJI3'!$L$2:$L$433),0)&gt;=3))&gt;0)*IFERROR(VALUE('[1]Capex CJI3'!$F$2:$F$433),0))-IF($A38="O7941/2517",'[1]Capex CJI3'!$F$132,0)-IF($A38="O9100/2601",'[1]Capex CJI3'!$F$429,0)</f>
        <v>162500</v>
      </c>
      <c r="I38" s="21">
        <f t="shared" si="3"/>
        <v>162500</v>
      </c>
      <c r="J38" s="21">
        <f t="shared" si="2"/>
        <v>162500</v>
      </c>
      <c r="K38" s="22">
        <v>46265</v>
      </c>
      <c r="L38" s="23" cm="1">
        <f t="array" ref="L38">SUMPRODUCT(('[1]Capex CJI3'!$A$2:$A$433=$A38)*(IFERROR(VALUE('[1]Capex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CJI3'!$D$2:$D$433&lt;&gt;"6405000000"))&gt;0))-IF($A38="O7941/2517",2,0)-IF($A38="O7941/2613",1,0)-IF($A38="O9100/2601",1,0)-IF($A38="O7941/2513",4,0)</f>
        <v>4</v>
      </c>
      <c r="M38" s="23" cm="1">
        <f t="array" ref="M38">SUMPRODUCT(('[1]Capex CJI3'!$A$2:$A$433=$A38)*(IFERROR(VALUE('[1]Capex CJI3'!$K$2:$K$433),0)&gt;0)*(LEN('[1]Capex CJI3'!$E$2:$E$433)&gt;0)*ISERROR(SEARCH("Reclass internal hours",'[1]Capex CJI3'!$J$2:$J$433)))-IF($A38="O7941/2517",1,0)-IF($A38="O7941/2613",1,0)</f>
        <v>0</v>
      </c>
      <c r="N38" s="15" t="s">
        <v>3</v>
      </c>
      <c r="O38" s="21">
        <v>285000</v>
      </c>
    </row>
    <row r="39" spans="1:15" x14ac:dyDescent="0.25">
      <c r="A39" s="15" t="s">
        <v>172</v>
      </c>
      <c r="B39" s="21">
        <f>SUMIFS('[1]Capex CJI3'!$F$2:$F$433,'[1]Capex CJI3'!$A$2:$A$433,$A39,'[1]Capex CJI3'!$K$2:$K$433,2025,'[1]Capex CJI3'!$J$2:$J$433,"*Reclass internal hours*")</f>
        <v>0</v>
      </c>
      <c r="C39" s="21" cm="1">
        <f t="array" ref="C39">SUMPRODUCT(('[1]Capex CJI3'!$A$2:$A$433=$A39)*(IFERROR(VALUE('[1]Capex CJI3'!$K$2:$K$433),0)=2025)*(LEN('[1]Capex CJI3'!$E$2:$E$433)&gt;0)*ISERROR(SEARCH("Reclass internal hours",'[1]Capex CJI3'!$J$2:$J$433))*IFERROR(VALUE('[1]Capex CJI3'!$F$2:$F$433),0))</f>
        <v>0</v>
      </c>
      <c r="D39" s="21" cm="1">
        <f t="array" ref="D39">SUMPRODUCT(('[1]Capex CJI3'!$A$2:$A$433=$A39)*(IFERROR(VALUE('[1]Capex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39" s="21">
        <f t="shared" si="0"/>
        <v>0</v>
      </c>
      <c r="F39" s="21">
        <f>SUMIFS('[1]Capex CJI3'!$F$2:$F$433,'[1]Capex CJI3'!$A$2:$A$433,$A39,'[1]Capex CJI3'!$K$2:$K$433,2026,'[1]Capex CJI3'!$J$2:$J$433,"*Reclass internal hours*")</f>
        <v>47350</v>
      </c>
      <c r="G39" s="21" cm="1">
        <f t="array" ref="G39">SUMPRODUCT(('[1]Capex CJI3'!$A$2:$A$433=$A39)*(IFERROR(VALUE('[1]Capex CJI3'!$K$2:$K$433),0)=2026)*(LEN('[1]Capex CJI3'!$E$2:$E$433)&gt;0)*ISERROR(SEARCH("Reclass internal hours",'[1]Capex CJI3'!$J$2:$J$433))*IFERROR(VALUE('[1]Capex CJI3'!$F$2:$F$433),0))-IF($A39="O7941/2517",'[1]Capex CJI3'!$F$124,0)-IF($A39="O7941/2613",'[1]Capex CJI3'!$F$313,0)</f>
        <v>976.1</v>
      </c>
      <c r="H39" s="21" cm="1">
        <f t="array" ref="H39">SUMPRODUCT(('[1]Capex CJI3'!$A$2:$A$433=$A39)*(IFERROR(VALUE('[1]Capex CJI3'!$K$2:$K$433),0)=2026)*(LEN('[1]Capex CJI3'!$E$2:$E$433)=0)*ISERROR(SEARCH("Reclass internal hours",'[1]Capex CJI3'!$J$2:$J$433))*ISERROR(SEARCH("WBS Correction",'[1]Capex CJI3'!$J$2:$J$433))*('[1]Capex CJI3'!$D$2:$D$433&lt;&gt;"6405000000")*((($A39&lt;&gt;"O7941/2513")+('[1]Capex CJI3'!$D$2:$D$433&lt;&gt;"7405000000")+(IFERROR(VALUE('[1]Capex CJI3'!$L$2:$L$433),0)&gt;=3))&gt;0)*IFERROR(VALUE('[1]Capex CJI3'!$F$2:$F$433),0))-IF($A39="O7941/2517",'[1]Capex CJI3'!$F$132,0)-IF($A39="O9100/2601",'[1]Capex CJI3'!$F$429,0)</f>
        <v>0</v>
      </c>
      <c r="I39" s="21">
        <f t="shared" si="3"/>
        <v>48326.1</v>
      </c>
      <c r="J39" s="21">
        <f t="shared" si="2"/>
        <v>48326.1</v>
      </c>
      <c r="K39" s="22">
        <v>46273</v>
      </c>
      <c r="L39" s="23" cm="1">
        <f t="array" ref="L39">SUMPRODUCT(('[1]Capex CJI3'!$A$2:$A$433=$A39)*(IFERROR(VALUE('[1]Capex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CJI3'!$D$2:$D$433&lt;&gt;"6405000000"))&gt;0))-IF($A39="O7941/2517",2,0)-IF($A39="O7941/2613",1,0)-IF($A39="O9100/2601",1,0)-IF($A39="O7941/2513",4,0)</f>
        <v>4</v>
      </c>
      <c r="M39" s="23" cm="1">
        <f t="array" ref="M39">SUMPRODUCT(('[1]Capex CJI3'!$A$2:$A$433=$A39)*(IFERROR(VALUE('[1]Capex CJI3'!$K$2:$K$433),0)&gt;0)*(LEN('[1]Capex CJI3'!$E$2:$E$433)&gt;0)*ISERROR(SEARCH("Reclass internal hours",'[1]Capex CJI3'!$J$2:$J$433)))-IF($A39="O7941/2517",1,0)-IF($A39="O7941/2613",1,0)</f>
        <v>1</v>
      </c>
      <c r="N39" s="15" t="s">
        <v>3</v>
      </c>
      <c r="O39" s="21">
        <v>305670</v>
      </c>
    </row>
    <row r="40" spans="1:15" x14ac:dyDescent="0.25">
      <c r="A40" s="15" t="s">
        <v>176</v>
      </c>
      <c r="B40" s="21">
        <f>SUMIFS('[1]Capex CJI3'!$F$2:$F$433,'[1]Capex CJI3'!$A$2:$A$433,$A40,'[1]Capex CJI3'!$K$2:$K$433,2025,'[1]Capex CJI3'!$J$2:$J$433,"*Reclass internal hours*")</f>
        <v>0</v>
      </c>
      <c r="C40" s="21" cm="1">
        <f t="array" ref="C40">SUMPRODUCT(('[1]Capex CJI3'!$A$2:$A$433=$A40)*(IFERROR(VALUE('[1]Capex CJI3'!$K$2:$K$433),0)=2025)*(LEN('[1]Capex CJI3'!$E$2:$E$433)&gt;0)*ISERROR(SEARCH("Reclass internal hours",'[1]Capex CJI3'!$J$2:$J$433))*IFERROR(VALUE('[1]Capex CJI3'!$F$2:$F$433),0))</f>
        <v>0</v>
      </c>
      <c r="D40" s="21" cm="1">
        <f t="array" ref="D40">SUMPRODUCT(('[1]Capex CJI3'!$A$2:$A$433=$A40)*(IFERROR(VALUE('[1]Capex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0" s="21">
        <f t="shared" si="0"/>
        <v>0</v>
      </c>
      <c r="F40" s="21">
        <f>SUMIFS('[1]Capex CJI3'!$F$2:$F$433,'[1]Capex CJI3'!$A$2:$A$433,$A40,'[1]Capex CJI3'!$K$2:$K$433,2026,'[1]Capex CJI3'!$J$2:$J$433,"*Reclass internal hours*")</f>
        <v>0</v>
      </c>
      <c r="G40" s="21" cm="1">
        <f t="array" ref="G40">SUMPRODUCT(('[1]Capex CJI3'!$A$2:$A$433=$A40)*(IFERROR(VALUE('[1]Capex CJI3'!$K$2:$K$433),0)=2026)*(LEN('[1]Capex CJI3'!$E$2:$E$433)&gt;0)*ISERROR(SEARCH("Reclass internal hours",'[1]Capex CJI3'!$J$2:$J$433))*IFERROR(VALUE('[1]Capex CJI3'!$F$2:$F$433),0))-IF($A40="O7941/2517",'[1]Capex CJI3'!$F$124,0)-IF($A40="O7941/2613",'[1]Capex CJI3'!$F$313,0)</f>
        <v>0</v>
      </c>
      <c r="H40" s="21" cm="1">
        <f t="array" ref="H40">SUMPRODUCT(('[1]Capex CJI3'!$A$2:$A$433=$A40)*(IFERROR(VALUE('[1]Capex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CJI3'!$D$2:$D$433&lt;&gt;"6405000000")*((($A40&lt;&gt;"O7941/2513")+('[1]Capex CJI3'!$D$2:$D$433&lt;&gt;"7405000000")+(IFERROR(VALUE('[1]Capex CJI3'!$L$2:$L$433),0)&gt;=3))&gt;0)*IFERROR(VALUE('[1]Capex CJI3'!$F$2:$F$433),0))-IF($A40="O7941/2517",'[1]Capex CJI3'!$F$132,0)-IF($A40="O9100/2601",'[1]Capex CJI3'!$F$429,0)</f>
        <v>360000</v>
      </c>
      <c r="I40" s="21">
        <f t="shared" si="3"/>
        <v>360000</v>
      </c>
      <c r="J40" s="21">
        <f t="shared" si="2"/>
        <v>360000</v>
      </c>
      <c r="K40" s="22">
        <v>46203</v>
      </c>
      <c r="L40" s="23" cm="1">
        <f t="array" ref="L40">SUMPRODUCT(('[1]Capex CJI3'!$A$2:$A$433=$A40)*(IFERROR(VALUE('[1]Capex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CJI3'!$D$2:$D$433&lt;&gt;"6405000000"))&gt;0))-IF($A40="O7941/2517",2,0)-IF($A40="O7941/2613",1,0)-IF($A40="O9100/2601",1,0)-IF($A40="O7941/2513",4,0)</f>
        <v>2</v>
      </c>
      <c r="M40" s="23" cm="1">
        <f t="array" ref="M40">SUMPRODUCT(('[1]Capex CJI3'!$A$2:$A$433=$A40)*(IFERROR(VALUE('[1]Capex CJI3'!$K$2:$K$433),0)&gt;0)*(LEN('[1]Capex CJI3'!$E$2:$E$433)&gt;0)*ISERROR(SEARCH("Reclass internal hours",'[1]Capex CJI3'!$J$2:$J$433)))-IF($A40="O7941/2517",1,0)-IF($A40="O7941/2613",1,0)</f>
        <v>0</v>
      </c>
      <c r="N40" s="15" t="s">
        <v>3</v>
      </c>
      <c r="O40" s="21">
        <v>360000</v>
      </c>
    </row>
    <row r="41" spans="1:15" x14ac:dyDescent="0.25">
      <c r="A41" s="15" t="s">
        <v>177</v>
      </c>
      <c r="B41" s="21">
        <f>SUMIFS('[1]Capex CJI3'!$F$2:$F$433,'[1]Capex CJI3'!$A$2:$A$433,$A41,'[1]Capex CJI3'!$K$2:$K$433,2025,'[1]Capex CJI3'!$J$2:$J$433,"*Reclass internal hours*")</f>
        <v>0</v>
      </c>
      <c r="C41" s="21" cm="1">
        <f t="array" ref="C41">SUMPRODUCT(('[1]Capex CJI3'!$A$2:$A$433=$A41)*(IFERROR(VALUE('[1]Capex CJI3'!$K$2:$K$433),0)=2025)*(LEN('[1]Capex CJI3'!$E$2:$E$433)&gt;0)*ISERROR(SEARCH("Reclass internal hours",'[1]Capex CJI3'!$J$2:$J$433))*IFERROR(VALUE('[1]Capex CJI3'!$F$2:$F$433),0))</f>
        <v>0</v>
      </c>
      <c r="D41" s="21" cm="1">
        <f t="array" ref="D41">SUMPRODUCT(('[1]Capex CJI3'!$A$2:$A$433=$A41)*(IFERROR(VALUE('[1]Capex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1" s="21">
        <f t="shared" si="0"/>
        <v>0</v>
      </c>
      <c r="F41" s="21">
        <f>SUMIFS('[1]Capex CJI3'!$F$2:$F$433,'[1]Capex CJI3'!$A$2:$A$433,$A41,'[1]Capex CJI3'!$K$2:$K$433,2026,'[1]Capex CJI3'!$J$2:$J$433,"*Reclass internal hours*")</f>
        <v>0</v>
      </c>
      <c r="G41" s="21" cm="1">
        <f t="array" ref="G41">SUMPRODUCT(('[1]Capex CJI3'!$A$2:$A$433=$A41)*(IFERROR(VALUE('[1]Capex CJI3'!$K$2:$K$433),0)=2026)*(LEN('[1]Capex CJI3'!$E$2:$E$433)&gt;0)*ISERROR(SEARCH("Reclass internal hours",'[1]Capex CJI3'!$J$2:$J$433))*IFERROR(VALUE('[1]Capex CJI3'!$F$2:$F$433),0))-IF($A41="O7941/2517",'[1]Capex CJI3'!$F$124,0)-IF($A41="O7941/2613",'[1]Capex CJI3'!$F$313,0)</f>
        <v>0</v>
      </c>
      <c r="H41" s="21" cm="1">
        <f t="array" ref="H41">SUMPRODUCT(('[1]Capex CJI3'!$A$2:$A$433=$A41)*(IFERROR(VALUE('[1]Capex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CJI3'!$D$2:$D$433&lt;&gt;"6405000000")*((($A41&lt;&gt;"O7941/2513")+('[1]Capex CJI3'!$D$2:$D$433&lt;&gt;"7405000000")+(IFERROR(VALUE('[1]Capex CJI3'!$L$2:$L$433),0)&gt;=3))&gt;0)*IFERROR(VALUE('[1]Capex CJI3'!$F$2:$F$433),0))-IF($A41="O7941/2517",'[1]Capex CJI3'!$F$132,0)-IF($A41="O9100/2601",'[1]Capex CJI3'!$F$429,0)</f>
        <v>115143</v>
      </c>
      <c r="I41" s="21">
        <f t="shared" si="3"/>
        <v>115143</v>
      </c>
      <c r="J41" s="21">
        <f t="shared" si="2"/>
        <v>115143</v>
      </c>
      <c r="K41" s="22">
        <v>46265</v>
      </c>
      <c r="L41" s="23" cm="1">
        <f t="array" ref="L41">SUMPRODUCT(('[1]Capex CJI3'!$A$2:$A$433=$A41)*(IFERROR(VALUE('[1]Capex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CJI3'!$D$2:$D$433&lt;&gt;"6405000000"))&gt;0))-IF($A41="O7941/2517",2,0)-IF($A41="O7941/2613",1,0)-IF($A41="O9100/2601",1,0)-IF($A41="O7941/2513",4,0)</f>
        <v>4</v>
      </c>
      <c r="M41" s="23" cm="1">
        <f t="array" ref="M41">SUMPRODUCT(('[1]Capex CJI3'!$A$2:$A$433=$A41)*(IFERROR(VALUE('[1]Capex CJI3'!$K$2:$K$433),0)&gt;0)*(LEN('[1]Capex CJI3'!$E$2:$E$433)&gt;0)*ISERROR(SEARCH("Reclass internal hours",'[1]Capex CJI3'!$J$2:$J$433)))-IF($A41="O7941/2517",1,0)-IF($A41="O7941/2613",1,0)</f>
        <v>0</v>
      </c>
      <c r="N41" s="15" t="s">
        <v>3</v>
      </c>
      <c r="O41" s="21">
        <v>125000</v>
      </c>
    </row>
    <row r="42" spans="1:15" x14ac:dyDescent="0.25">
      <c r="A42" s="15" t="s">
        <v>179</v>
      </c>
      <c r="B42" s="21">
        <f>SUMIFS('[1]Capex CJI3'!$F$2:$F$433,'[1]Capex CJI3'!$A$2:$A$433,$A42,'[1]Capex CJI3'!$K$2:$K$433,2025,'[1]Capex CJI3'!$J$2:$J$433,"*Reclass internal hours*")</f>
        <v>0</v>
      </c>
      <c r="C42" s="21" cm="1">
        <f t="array" ref="C42">SUMPRODUCT(('[1]Capex CJI3'!$A$2:$A$433=$A42)*(IFERROR(VALUE('[1]Capex CJI3'!$K$2:$K$433),0)=2025)*(LEN('[1]Capex CJI3'!$E$2:$E$433)&gt;0)*ISERROR(SEARCH("Reclass internal hours",'[1]Capex CJI3'!$J$2:$J$433))*IFERROR(VALUE('[1]Capex CJI3'!$F$2:$F$433),0))</f>
        <v>0</v>
      </c>
      <c r="D42" s="21" cm="1">
        <f t="array" ref="D42">SUMPRODUCT(('[1]Capex CJI3'!$A$2:$A$433=$A42)*(IFERROR(VALUE('[1]Capex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2" s="21">
        <f t="shared" si="0"/>
        <v>0</v>
      </c>
      <c r="F42" s="21">
        <f>SUMIFS('[1]Capex CJI3'!$F$2:$F$433,'[1]Capex CJI3'!$A$2:$A$433,$A42,'[1]Capex CJI3'!$K$2:$K$433,2026,'[1]Capex CJI3'!$J$2:$J$433,"*Reclass internal hours*")</f>
        <v>100000</v>
      </c>
      <c r="G42" s="21" cm="1">
        <f t="array" ref="G42">SUMPRODUCT(('[1]Capex CJI3'!$A$2:$A$433=$A42)*(IFERROR(VALUE('[1]Capex CJI3'!$K$2:$K$433),0)=2026)*(LEN('[1]Capex CJI3'!$E$2:$E$433)&gt;0)*ISERROR(SEARCH("Reclass internal hours",'[1]Capex CJI3'!$J$2:$J$433))*IFERROR(VALUE('[1]Capex CJI3'!$F$2:$F$433),0))-IF($A42="O7941/2517",'[1]Capex CJI3'!$F$124,0)-IF($A42="O7941/2613",'[1]Capex CJI3'!$F$313,0)</f>
        <v>0</v>
      </c>
      <c r="H42" s="21" cm="1">
        <f t="array" ref="H42">SUMPRODUCT(('[1]Capex CJI3'!$A$2:$A$433=$A42)*(IFERROR(VALUE('[1]Capex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CJI3'!$D$2:$D$433&lt;&gt;"6405000000")*((($A42&lt;&gt;"O7941/2513")+('[1]Capex CJI3'!$D$2:$D$433&lt;&gt;"7405000000")+(IFERROR(VALUE('[1]Capex CJI3'!$L$2:$L$433),0)&gt;=3))&gt;0)*IFERROR(VALUE('[1]Capex CJI3'!$F$2:$F$433),0))-IF($A42="O7941/2517",'[1]Capex CJI3'!$F$132,0)-IF($A42="O9100/2601",'[1]Capex CJI3'!$F$429,0)</f>
        <v>0</v>
      </c>
      <c r="I42" s="21">
        <f t="shared" si="3"/>
        <v>100000</v>
      </c>
      <c r="J42" s="21">
        <f t="shared" si="2"/>
        <v>100000</v>
      </c>
      <c r="K42" s="22">
        <v>46203</v>
      </c>
      <c r="L42" s="23" cm="1">
        <f t="array" ref="L42">SUMPRODUCT(('[1]Capex CJI3'!$A$2:$A$433=$A42)*(IFERROR(VALUE('[1]Capex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CJI3'!$D$2:$D$433&lt;&gt;"6405000000"))&gt;0))-IF($A42="O7941/2517",2,0)-IF($A42="O7941/2613",1,0)-IF($A42="O9100/2601",1,0)-IF($A42="O7941/2513",4,0)</f>
        <v>1</v>
      </c>
      <c r="M42" s="23" cm="1">
        <f t="array" ref="M42">SUMPRODUCT(('[1]Capex CJI3'!$A$2:$A$433=$A42)*(IFERROR(VALUE('[1]Capex CJI3'!$K$2:$K$433),0)&gt;0)*(LEN('[1]Capex CJI3'!$E$2:$E$433)&gt;0)*ISERROR(SEARCH("Reclass internal hours",'[1]Capex CJI3'!$J$2:$J$433)))-IF($A42="O7941/2517",1,0)-IF($A42="O7941/2613",1,0)</f>
        <v>0</v>
      </c>
      <c r="N42" s="15" t="s">
        <v>3</v>
      </c>
      <c r="O42" s="21">
        <v>150000</v>
      </c>
    </row>
    <row r="43" spans="1:15" x14ac:dyDescent="0.25">
      <c r="A43" s="15" t="s">
        <v>180</v>
      </c>
      <c r="B43" s="21">
        <f>SUMIFS('[1]Capex CJI3'!$F$2:$F$433,'[1]Capex CJI3'!$A$2:$A$433,$A43,'[1]Capex CJI3'!$K$2:$K$433,2025,'[1]Capex CJI3'!$J$2:$J$433,"*Reclass internal hours*")</f>
        <v>0</v>
      </c>
      <c r="C43" s="21" cm="1">
        <f t="array" ref="C43">SUMPRODUCT(('[1]Capex CJI3'!$A$2:$A$433=$A43)*(IFERROR(VALUE('[1]Capex CJI3'!$K$2:$K$433),0)=2025)*(LEN('[1]Capex CJI3'!$E$2:$E$433)&gt;0)*ISERROR(SEARCH("Reclass internal hours",'[1]Capex CJI3'!$J$2:$J$433))*IFERROR(VALUE('[1]Capex CJI3'!$F$2:$F$433),0))</f>
        <v>0</v>
      </c>
      <c r="D43" s="21" cm="1">
        <f t="array" ref="D43">SUMPRODUCT(('[1]Capex CJI3'!$A$2:$A$433=$A43)*(IFERROR(VALUE('[1]Capex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3" s="21">
        <f t="shared" si="0"/>
        <v>0</v>
      </c>
      <c r="F43" s="21">
        <f>SUMIFS('[1]Capex CJI3'!$F$2:$F$433,'[1]Capex CJI3'!$A$2:$A$433,$A43,'[1]Capex CJI3'!$K$2:$K$433,2026,'[1]Capex CJI3'!$J$2:$J$433,"*Reclass internal hours*")</f>
        <v>12500</v>
      </c>
      <c r="G43" s="21" cm="1">
        <f t="array" ref="G43">SUMPRODUCT(('[1]Capex CJI3'!$A$2:$A$433=$A43)*(IFERROR(VALUE('[1]Capex CJI3'!$K$2:$K$433),0)=2026)*(LEN('[1]Capex CJI3'!$E$2:$E$433)&gt;0)*ISERROR(SEARCH("Reclass internal hours",'[1]Capex CJI3'!$J$2:$J$433))*IFERROR(VALUE('[1]Capex CJI3'!$F$2:$F$433),0))-IF($A43="O7941/2517",'[1]Capex CJI3'!$F$124,0)-IF($A43="O7941/2613",'[1]Capex CJI3'!$F$313,0)</f>
        <v>84000</v>
      </c>
      <c r="H43" s="21" cm="1">
        <f t="array" ref="H43">SUMPRODUCT(('[1]Capex CJI3'!$A$2:$A$433=$A43)*(IFERROR(VALUE('[1]Capex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CJI3'!$D$2:$D$433&lt;&gt;"6405000000")*((($A43&lt;&gt;"O7941/2513")+('[1]Capex CJI3'!$D$2:$D$433&lt;&gt;"7405000000")+(IFERROR(VALUE('[1]Capex CJI3'!$L$2:$L$433),0)&gt;=3))&gt;0)*IFERROR(VALUE('[1]Capex CJI3'!$F$2:$F$433),0))-IF($A43="O7941/2517",'[1]Capex CJI3'!$F$132,0)-IF($A43="O9100/2601",'[1]Capex CJI3'!$F$429,0)</f>
        <v>0</v>
      </c>
      <c r="I43" s="21">
        <f t="shared" si="3"/>
        <v>96500</v>
      </c>
      <c r="J43" s="21">
        <f t="shared" si="2"/>
        <v>96500</v>
      </c>
      <c r="K43" s="22">
        <v>46265</v>
      </c>
      <c r="L43" s="23" cm="1">
        <f t="array" ref="L43">SUMPRODUCT(('[1]Capex CJI3'!$A$2:$A$433=$A43)*(IFERROR(VALUE('[1]Capex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CJI3'!$D$2:$D$433&lt;&gt;"6405000000"))&gt;0))-IF($A43="O7941/2517",2,0)-IF($A43="O7941/2613",1,0)-IF($A43="O9100/2601",1,0)-IF($A43="O7941/2513",4,0)</f>
        <v>4</v>
      </c>
      <c r="M43" s="23" cm="1">
        <f t="array" ref="M43">SUMPRODUCT(('[1]Capex CJI3'!$A$2:$A$433=$A43)*(IFERROR(VALUE('[1]Capex CJI3'!$K$2:$K$433),0)&gt;0)*(LEN('[1]Capex CJI3'!$E$2:$E$433)&gt;0)*ISERROR(SEARCH("Reclass internal hours",'[1]Capex CJI3'!$J$2:$J$433)))-IF($A43="O7941/2517",1,0)-IF($A43="O7941/2613",1,0)</f>
        <v>1</v>
      </c>
      <c r="N43" s="15" t="s">
        <v>3</v>
      </c>
      <c r="O43" s="21">
        <v>162000</v>
      </c>
    </row>
    <row r="44" spans="1:15" x14ac:dyDescent="0.25">
      <c r="A44" s="15" t="s">
        <v>183</v>
      </c>
      <c r="B44" s="21">
        <f>SUMIFS('[1]Capex CJI3'!$F$2:$F$433,'[1]Capex CJI3'!$A$2:$A$433,$A44,'[1]Capex CJI3'!$K$2:$K$433,2025,'[1]Capex CJI3'!$J$2:$J$433,"*Reclass internal hours*")</f>
        <v>0</v>
      </c>
      <c r="C44" s="21" cm="1">
        <f t="array" ref="C44">SUMPRODUCT(('[1]Capex CJI3'!$A$2:$A$433=$A44)*(IFERROR(VALUE('[1]Capex CJI3'!$K$2:$K$433),0)=2025)*(LEN('[1]Capex CJI3'!$E$2:$E$433)&gt;0)*ISERROR(SEARCH("Reclass internal hours",'[1]Capex CJI3'!$J$2:$J$433))*IFERROR(VALUE('[1]Capex CJI3'!$F$2:$F$433),0))</f>
        <v>0</v>
      </c>
      <c r="D44" s="21" cm="1">
        <f t="array" ref="D44">SUMPRODUCT(('[1]Capex CJI3'!$A$2:$A$433=$A44)*(IFERROR(VALUE('[1]Capex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4" s="21">
        <f t="shared" si="0"/>
        <v>0</v>
      </c>
      <c r="F44" s="21">
        <f>SUMIFS('[1]Capex CJI3'!$F$2:$F$433,'[1]Capex CJI3'!$A$2:$A$433,$A44,'[1]Capex CJI3'!$K$2:$K$433,2026,'[1]Capex CJI3'!$J$2:$J$433,"*Reclass internal hours*")</f>
        <v>1700.6399999999999</v>
      </c>
      <c r="G44" s="21" cm="1">
        <f t="array" ref="G44">SUMPRODUCT(('[1]Capex CJI3'!$A$2:$A$433=$A44)*(IFERROR(VALUE('[1]Capex CJI3'!$K$2:$K$433),0)=2026)*(LEN('[1]Capex CJI3'!$E$2:$E$433)&gt;0)*ISERROR(SEARCH("Reclass internal hours",'[1]Capex CJI3'!$J$2:$J$433))*IFERROR(VALUE('[1]Capex CJI3'!$F$2:$F$433),0))-IF($A44="O7941/2517",'[1]Capex CJI3'!$F$124,0)-IF($A44="O7941/2613",'[1]Capex CJI3'!$F$313,0)</f>
        <v>0</v>
      </c>
      <c r="H44" s="21" cm="1">
        <f t="array" ref="H44">SUMPRODUCT(('[1]Capex CJI3'!$A$2:$A$433=$A44)*(IFERROR(VALUE('[1]Capex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CJI3'!$D$2:$D$433&lt;&gt;"6405000000")*((($A44&lt;&gt;"O7941/2513")+('[1]Capex CJI3'!$D$2:$D$433&lt;&gt;"7405000000")+(IFERROR(VALUE('[1]Capex CJI3'!$L$2:$L$433),0)&gt;=3))&gt;0)*IFERROR(VALUE('[1]Capex CJI3'!$F$2:$F$433),0))-IF($A44="O7941/2517",'[1]Capex CJI3'!$F$132,0)-IF($A44="O9100/2601",'[1]Capex CJI3'!$F$429,0)</f>
        <v>607764</v>
      </c>
      <c r="I44" s="21">
        <f t="shared" si="3"/>
        <v>609464.64</v>
      </c>
      <c r="J44" s="21">
        <f t="shared" si="2"/>
        <v>609464.64</v>
      </c>
      <c r="K44" s="22">
        <v>46265</v>
      </c>
      <c r="L44" s="23" cm="1">
        <f t="array" ref="L44">SUMPRODUCT(('[1]Capex CJI3'!$A$2:$A$433=$A44)*(IFERROR(VALUE('[1]Capex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CJI3'!$D$2:$D$433&lt;&gt;"6405000000"))&gt;0))-IF($A44="O7941/2517",2,0)-IF($A44="O7941/2613",1,0)-IF($A44="O9100/2601",1,0)-IF($A44="O7941/2513",4,0)</f>
        <v>10</v>
      </c>
      <c r="M44" s="23" cm="1">
        <f t="array" ref="M44">SUMPRODUCT(('[1]Capex CJI3'!$A$2:$A$433=$A44)*(IFERROR(VALUE('[1]Capex CJI3'!$K$2:$K$433),0)&gt;0)*(LEN('[1]Capex CJI3'!$E$2:$E$433)&gt;0)*ISERROR(SEARCH("Reclass internal hours",'[1]Capex CJI3'!$J$2:$J$433)))-IF($A44="O7941/2517",1,0)-IF($A44="O7941/2613",1,0)</f>
        <v>0</v>
      </c>
      <c r="N44" s="15" t="s">
        <v>3</v>
      </c>
      <c r="O44" s="21">
        <v>875000</v>
      </c>
    </row>
    <row r="45" spans="1:15" x14ac:dyDescent="0.25">
      <c r="A45" s="15" t="s">
        <v>187</v>
      </c>
      <c r="B45" s="21">
        <f>SUMIFS('[1]Capex CJI3'!$F$2:$F$433,'[1]Capex CJI3'!$A$2:$A$433,$A45,'[1]Capex CJI3'!$K$2:$K$433,2025,'[1]Capex CJI3'!$J$2:$J$433,"*Reclass internal hours*")</f>
        <v>0</v>
      </c>
      <c r="C45" s="21" cm="1">
        <f t="array" ref="C45">SUMPRODUCT(('[1]Capex CJI3'!$A$2:$A$433=$A45)*(IFERROR(VALUE('[1]Capex CJI3'!$K$2:$K$433),0)=2025)*(LEN('[1]Capex CJI3'!$E$2:$E$433)&gt;0)*ISERROR(SEARCH("Reclass internal hours",'[1]Capex CJI3'!$J$2:$J$433))*IFERROR(VALUE('[1]Capex CJI3'!$F$2:$F$433),0))</f>
        <v>0</v>
      </c>
      <c r="D45" s="21" cm="1">
        <f t="array" ref="D45">SUMPRODUCT(('[1]Capex CJI3'!$A$2:$A$433=$A45)*(IFERROR(VALUE('[1]Capex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5" s="21">
        <f t="shared" si="0"/>
        <v>0</v>
      </c>
      <c r="F45" s="21">
        <f>SUMIFS('[1]Capex CJI3'!$F$2:$F$433,'[1]Capex CJI3'!$A$2:$A$433,$A45,'[1]Capex CJI3'!$K$2:$K$433,2026,'[1]Capex CJI3'!$J$2:$J$433,"*Reclass internal hours*")</f>
        <v>18165</v>
      </c>
      <c r="G45" s="21" cm="1">
        <f t="array" ref="G45">SUMPRODUCT(('[1]Capex CJI3'!$A$2:$A$433=$A45)*(IFERROR(VALUE('[1]Capex CJI3'!$K$2:$K$433),0)=2026)*(LEN('[1]Capex CJI3'!$E$2:$E$433)&gt;0)*ISERROR(SEARCH("Reclass internal hours",'[1]Capex CJI3'!$J$2:$J$433))*IFERROR(VALUE('[1]Capex CJI3'!$F$2:$F$433),0))-IF($A45="O7941/2517",'[1]Capex CJI3'!$F$124,0)-IF($A45="O7941/2613",'[1]Capex CJI3'!$F$313,0)</f>
        <v>0</v>
      </c>
      <c r="H45" s="21" cm="1">
        <f t="array" ref="H45">SUMPRODUCT(('[1]Capex CJI3'!$A$2:$A$433=$A45)*(IFERROR(VALUE('[1]Capex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CJI3'!$D$2:$D$433&lt;&gt;"6405000000")*((($A45&lt;&gt;"O7941/2513")+('[1]Capex CJI3'!$D$2:$D$433&lt;&gt;"7405000000")+(IFERROR(VALUE('[1]Capex CJI3'!$L$2:$L$433),0)&gt;=3))&gt;0)*IFERROR(VALUE('[1]Capex CJI3'!$F$2:$F$433),0))-IF($A45="O7941/2517",'[1]Capex CJI3'!$F$132,0)-IF($A45="O9100/2601",'[1]Capex CJI3'!$F$429,0)</f>
        <v>0</v>
      </c>
      <c r="I45" s="21">
        <f t="shared" si="3"/>
        <v>18165</v>
      </c>
      <c r="J45" s="21">
        <f t="shared" si="2"/>
        <v>18165</v>
      </c>
      <c r="K45" s="22">
        <v>46265</v>
      </c>
      <c r="L45" s="23" cm="1">
        <f t="array" ref="L45">SUMPRODUCT(('[1]Capex CJI3'!$A$2:$A$433=$A45)*(IFERROR(VALUE('[1]Capex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CJI3'!$D$2:$D$433&lt;&gt;"6405000000"))&gt;0))-IF($A45="O7941/2517",2,0)-IF($A45="O7941/2613",1,0)-IF($A45="O9100/2601",1,0)-IF($A45="O7941/2513",4,0)</f>
        <v>2</v>
      </c>
      <c r="M45" s="23" cm="1">
        <f t="array" ref="M45">SUMPRODUCT(('[1]Capex CJI3'!$A$2:$A$433=$A45)*(IFERROR(VALUE('[1]Capex CJI3'!$K$2:$K$433),0)&gt;0)*(LEN('[1]Capex CJI3'!$E$2:$E$433)&gt;0)*ISERROR(SEARCH("Reclass internal hours",'[1]Capex CJI3'!$J$2:$J$433)))-IF($A45="O7941/2517",1,0)-IF($A45="O7941/2613",1,0)</f>
        <v>0</v>
      </c>
      <c r="N45" s="15" t="s">
        <v>3</v>
      </c>
      <c r="O45" s="21">
        <v>125000</v>
      </c>
    </row>
    <row r="46" spans="1:15" x14ac:dyDescent="0.25">
      <c r="A46" s="15" t="s">
        <v>188</v>
      </c>
      <c r="B46" s="21">
        <f>SUMIFS('[1]Capex CJI3'!$F$2:$F$433,'[1]Capex CJI3'!$A$2:$A$433,$A46,'[1]Capex CJI3'!$K$2:$K$433,2025,'[1]Capex CJI3'!$J$2:$J$433,"*Reclass internal hours*")</f>
        <v>0</v>
      </c>
      <c r="C46" s="21" cm="1">
        <f t="array" ref="C46">SUMPRODUCT(('[1]Capex CJI3'!$A$2:$A$433=$A46)*(IFERROR(VALUE('[1]Capex CJI3'!$K$2:$K$433),0)=2025)*(LEN('[1]Capex CJI3'!$E$2:$E$433)&gt;0)*ISERROR(SEARCH("Reclass internal hours",'[1]Capex CJI3'!$J$2:$J$433))*IFERROR(VALUE('[1]Capex CJI3'!$F$2:$F$433),0))</f>
        <v>0</v>
      </c>
      <c r="D46" s="21" cm="1">
        <f t="array" ref="D46">SUMPRODUCT(('[1]Capex CJI3'!$A$2:$A$433=$A46)*(IFERROR(VALUE('[1]Capex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6" s="21">
        <f t="shared" si="0"/>
        <v>0</v>
      </c>
      <c r="F46" s="21">
        <f>SUMIFS('[1]Capex CJI3'!$F$2:$F$433,'[1]Capex CJI3'!$A$2:$A$433,$A46,'[1]Capex CJI3'!$K$2:$K$433,2026,'[1]Capex CJI3'!$J$2:$J$433,"*Reclass internal hours*")</f>
        <v>36400</v>
      </c>
      <c r="G46" s="21" cm="1">
        <f t="array" ref="G46">SUMPRODUCT(('[1]Capex CJI3'!$A$2:$A$433=$A46)*(IFERROR(VALUE('[1]Capex CJI3'!$K$2:$K$433),0)=2026)*(LEN('[1]Capex CJI3'!$E$2:$E$433)&gt;0)*ISERROR(SEARCH("Reclass internal hours",'[1]Capex CJI3'!$J$2:$J$433))*IFERROR(VALUE('[1]Capex CJI3'!$F$2:$F$433),0))-IF($A46="O7941/2517",'[1]Capex CJI3'!$F$124,0)-IF($A46="O7941/2613",'[1]Capex CJI3'!$F$313,0)</f>
        <v>0</v>
      </c>
      <c r="H46" s="21" cm="1">
        <f t="array" ref="H46">SUMPRODUCT(('[1]Capex CJI3'!$A$2:$A$433=$A46)*(IFERROR(VALUE('[1]Capex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CJI3'!$D$2:$D$433&lt;&gt;"6405000000")*((($A46&lt;&gt;"O7941/2513")+('[1]Capex CJI3'!$D$2:$D$433&lt;&gt;"7405000000")+(IFERROR(VALUE('[1]Capex CJI3'!$L$2:$L$433),0)&gt;=3))&gt;0)*IFERROR(VALUE('[1]Capex CJI3'!$F$2:$F$433),0))-IF($A46="O7941/2517",'[1]Capex CJI3'!$F$132,0)-IF($A46="O9100/2601",'[1]Capex CJI3'!$F$429,0)</f>
        <v>0</v>
      </c>
      <c r="I46" s="21">
        <f t="shared" si="3"/>
        <v>36400</v>
      </c>
      <c r="J46" s="21">
        <f t="shared" si="2"/>
        <v>36400</v>
      </c>
      <c r="K46" s="22">
        <v>46265</v>
      </c>
      <c r="L46" s="23" cm="1">
        <f t="array" ref="L46">SUMPRODUCT(('[1]Capex CJI3'!$A$2:$A$433=$A46)*(IFERROR(VALUE('[1]Capex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CJI3'!$D$2:$D$433&lt;&gt;"6405000000"))&gt;0))-IF($A46="O7941/2517",2,0)-IF($A46="O7941/2613",1,0)-IF($A46="O9100/2601",1,0)-IF($A46="O7941/2513",4,0)</f>
        <v>3</v>
      </c>
      <c r="M46" s="23" cm="1">
        <f t="array" ref="M46">SUMPRODUCT(('[1]Capex CJI3'!$A$2:$A$433=$A46)*(IFERROR(VALUE('[1]Capex CJI3'!$K$2:$K$433),0)&gt;0)*(LEN('[1]Capex CJI3'!$E$2:$E$433)&gt;0)*ISERROR(SEARCH("Reclass internal hours",'[1]Capex CJI3'!$J$2:$J$433)))-IF($A46="O7941/2517",1,0)-IF($A46="O7941/2613",1,0)</f>
        <v>0</v>
      </c>
      <c r="N46" s="15" t="s">
        <v>3</v>
      </c>
      <c r="O46" s="21">
        <v>108200</v>
      </c>
    </row>
    <row r="47" spans="1:15" x14ac:dyDescent="0.25">
      <c r="A47" s="15" t="s">
        <v>189</v>
      </c>
      <c r="B47" s="21">
        <f>SUMIFS('[1]Capex CJI3'!$F$2:$F$433,'[1]Capex CJI3'!$A$2:$A$433,$A47,'[1]Capex CJI3'!$K$2:$K$433,2025,'[1]Capex CJI3'!$J$2:$J$433,"*Reclass internal hours*")</f>
        <v>0</v>
      </c>
      <c r="C47" s="21" cm="1">
        <f t="array" ref="C47">SUMPRODUCT(('[1]Capex CJI3'!$A$2:$A$433=$A47)*(IFERROR(VALUE('[1]Capex CJI3'!$K$2:$K$433),0)=2025)*(LEN('[1]Capex CJI3'!$E$2:$E$433)&gt;0)*ISERROR(SEARCH("Reclass internal hours",'[1]Capex CJI3'!$J$2:$J$433))*IFERROR(VALUE('[1]Capex CJI3'!$F$2:$F$433),0))</f>
        <v>0</v>
      </c>
      <c r="D47" s="21" cm="1">
        <f t="array" ref="D47">SUMPRODUCT(('[1]Capex CJI3'!$A$2:$A$433=$A47)*(IFERROR(VALUE('[1]Capex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7" s="21">
        <f t="shared" si="0"/>
        <v>0</v>
      </c>
      <c r="F47" s="21">
        <f>SUMIFS('[1]Capex CJI3'!$F$2:$F$433,'[1]Capex CJI3'!$A$2:$A$433,$A47,'[1]Capex CJI3'!$K$2:$K$433,2026,'[1]Capex CJI3'!$J$2:$J$433,"*Reclass internal hours*")</f>
        <v>2300</v>
      </c>
      <c r="G47" s="21" cm="1">
        <f t="array" ref="G47">SUMPRODUCT(('[1]Capex CJI3'!$A$2:$A$433=$A47)*(IFERROR(VALUE('[1]Capex CJI3'!$K$2:$K$433),0)=2026)*(LEN('[1]Capex CJI3'!$E$2:$E$433)&gt;0)*ISERROR(SEARCH("Reclass internal hours",'[1]Capex CJI3'!$J$2:$J$433))*IFERROR(VALUE('[1]Capex CJI3'!$F$2:$F$433),0))-IF($A47="O7941/2517",'[1]Capex CJI3'!$F$124,0)-IF($A47="O7941/2613",'[1]Capex CJI3'!$F$313,0)</f>
        <v>0</v>
      </c>
      <c r="H47" s="21" cm="1">
        <f t="array" ref="H47">SUMPRODUCT(('[1]Capex CJI3'!$A$2:$A$433=$A47)*(IFERROR(VALUE('[1]Capex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CJI3'!$D$2:$D$433&lt;&gt;"6405000000")*((($A47&lt;&gt;"O7941/2513")+('[1]Capex CJI3'!$D$2:$D$433&lt;&gt;"7405000000")+(IFERROR(VALUE('[1]Capex CJI3'!$L$2:$L$433),0)&gt;=3))&gt;0)*IFERROR(VALUE('[1]Capex CJI3'!$F$2:$F$433),0))-IF($A47="O7941/2517",'[1]Capex CJI3'!$F$132,0)-IF($A47="O9100/2601",'[1]Capex CJI3'!$F$429,0)</f>
        <v>0</v>
      </c>
      <c r="I47" s="21">
        <f t="shared" si="3"/>
        <v>2300</v>
      </c>
      <c r="J47" s="21">
        <f t="shared" si="2"/>
        <v>2300</v>
      </c>
      <c r="K47" s="22">
        <v>46234</v>
      </c>
      <c r="L47" s="23" cm="1">
        <f t="array" ref="L47">SUMPRODUCT(('[1]Capex CJI3'!$A$2:$A$433=$A47)*(IFERROR(VALUE('[1]Capex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CJI3'!$D$2:$D$433&lt;&gt;"6405000000"))&gt;0))-IF($A47="O7941/2517",2,0)-IF($A47="O7941/2613",1,0)-IF($A47="O9100/2601",1,0)-IF($A47="O7941/2513",4,0)</f>
        <v>1</v>
      </c>
      <c r="M47" s="23" cm="1">
        <f t="array" ref="M47">SUMPRODUCT(('[1]Capex CJI3'!$A$2:$A$433=$A47)*(IFERROR(VALUE('[1]Capex CJI3'!$K$2:$K$433),0)&gt;0)*(LEN('[1]Capex CJI3'!$E$2:$E$433)&gt;0)*ISERROR(SEARCH("Reclass internal hours",'[1]Capex CJI3'!$J$2:$J$433)))-IF($A47="O7941/2517",1,0)-IF($A47="O7941/2613",1,0)</f>
        <v>0</v>
      </c>
      <c r="N47" s="15" t="s">
        <v>3</v>
      </c>
      <c r="O47" s="21">
        <v>134000</v>
      </c>
    </row>
    <row r="48" spans="1:15" x14ac:dyDescent="0.25">
      <c r="A48" s="15" t="s">
        <v>190</v>
      </c>
      <c r="B48" s="21">
        <f>SUMIFS('[1]Capex CJI3'!$F$2:$F$433,'[1]Capex CJI3'!$A$2:$A$433,$A48,'[1]Capex CJI3'!$K$2:$K$433,2025,'[1]Capex CJI3'!$J$2:$J$433,"*Reclass internal hours*")</f>
        <v>0</v>
      </c>
      <c r="C48" s="21" cm="1">
        <f t="array" ref="C48">SUMPRODUCT(('[1]Capex CJI3'!$A$2:$A$433=$A48)*(IFERROR(VALUE('[1]Capex CJI3'!$K$2:$K$433),0)=2025)*(LEN('[1]Capex CJI3'!$E$2:$E$433)&gt;0)*ISERROR(SEARCH("Reclass internal hours",'[1]Capex CJI3'!$J$2:$J$433))*IFERROR(VALUE('[1]Capex CJI3'!$F$2:$F$433),0))</f>
        <v>0</v>
      </c>
      <c r="D48" s="21" cm="1">
        <f t="array" ref="D48">SUMPRODUCT(('[1]Capex CJI3'!$A$2:$A$433=$A48)*(IFERROR(VALUE('[1]Capex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8" s="21">
        <f t="shared" si="0"/>
        <v>0</v>
      </c>
      <c r="F48" s="21">
        <f>SUMIFS('[1]Capex CJI3'!$F$2:$F$433,'[1]Capex CJI3'!$A$2:$A$433,$A48,'[1]Capex CJI3'!$K$2:$K$433,2026,'[1]Capex CJI3'!$J$2:$J$433,"*Reclass internal hours*")</f>
        <v>0</v>
      </c>
      <c r="G48" s="21" cm="1">
        <f t="array" ref="G48">SUMPRODUCT(('[1]Capex CJI3'!$A$2:$A$433=$A48)*(IFERROR(VALUE('[1]Capex CJI3'!$K$2:$K$433),0)=2026)*(LEN('[1]Capex CJI3'!$E$2:$E$433)&gt;0)*ISERROR(SEARCH("Reclass internal hours",'[1]Capex CJI3'!$J$2:$J$433))*IFERROR(VALUE('[1]Capex CJI3'!$F$2:$F$433),0))-IF($A48="O7941/2517",'[1]Capex CJI3'!$F$124,0)-IF($A48="O7941/2613",'[1]Capex CJI3'!$F$313,0)</f>
        <v>13469</v>
      </c>
      <c r="H48" s="21" cm="1">
        <f t="array" ref="H48">SUMPRODUCT(('[1]Capex CJI3'!$A$2:$A$433=$A48)*(IFERROR(VALUE('[1]Capex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CJI3'!$D$2:$D$433&lt;&gt;"6405000000")*((($A48&lt;&gt;"O7941/2513")+('[1]Capex CJI3'!$D$2:$D$433&lt;&gt;"7405000000")+(IFERROR(VALUE('[1]Capex CJI3'!$L$2:$L$433),0)&gt;=3))&gt;0)*IFERROR(VALUE('[1]Capex CJI3'!$F$2:$F$433),0))-IF($A48="O7941/2517",'[1]Capex CJI3'!$F$132,0)-IF($A48="O9100/2601",'[1]Capex CJI3'!$F$429,0)</f>
        <v>0</v>
      </c>
      <c r="I48" s="21">
        <f t="shared" si="3"/>
        <v>13469</v>
      </c>
      <c r="J48" s="21">
        <f t="shared" si="2"/>
        <v>13469</v>
      </c>
      <c r="K48" s="22">
        <v>46267</v>
      </c>
      <c r="L48" s="23" cm="1">
        <f t="array" ref="L48">SUMPRODUCT(('[1]Capex CJI3'!$A$2:$A$433=$A48)*(IFERROR(VALUE('[1]Capex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CJI3'!$D$2:$D$433&lt;&gt;"6405000000"))&gt;0))-IF($A48="O7941/2517",2,0)-IF($A48="O7941/2613",1,0)-IF($A48="O9100/2601",1,0)-IF($A48="O7941/2513",4,0)</f>
        <v>4</v>
      </c>
      <c r="M48" s="23" cm="1">
        <f t="array" ref="M48">SUMPRODUCT(('[1]Capex CJI3'!$A$2:$A$433=$A48)*(IFERROR(VALUE('[1]Capex CJI3'!$K$2:$K$433),0)&gt;0)*(LEN('[1]Capex CJI3'!$E$2:$E$433)&gt;0)*ISERROR(SEARCH("Reclass internal hours",'[1]Capex CJI3'!$J$2:$J$433)))-IF($A48="O7941/2517",1,0)-IF($A48="O7941/2613",1,0)</f>
        <v>4</v>
      </c>
      <c r="N48" s="15" t="s">
        <v>3</v>
      </c>
      <c r="O48" s="21">
        <v>155500</v>
      </c>
    </row>
    <row r="49" spans="1:15" x14ac:dyDescent="0.25">
      <c r="A49" s="15" t="s">
        <v>194</v>
      </c>
      <c r="B49" s="21">
        <f>SUMIFS('[1]Capex CJI3'!$F$2:$F$433,'[1]Capex CJI3'!$A$2:$A$433,$A49,'[1]Capex CJI3'!$K$2:$K$433,2025,'[1]Capex CJI3'!$J$2:$J$433,"*Reclass internal hours*")</f>
        <v>0</v>
      </c>
      <c r="C49" s="21" cm="1">
        <f t="array" ref="C49">SUMPRODUCT(('[1]Capex CJI3'!$A$2:$A$433=$A49)*(IFERROR(VALUE('[1]Capex CJI3'!$K$2:$K$433),0)=2025)*(LEN('[1]Capex CJI3'!$E$2:$E$433)&gt;0)*ISERROR(SEARCH("Reclass internal hours",'[1]Capex CJI3'!$J$2:$J$433))*IFERROR(VALUE('[1]Capex CJI3'!$F$2:$F$433),0))</f>
        <v>0</v>
      </c>
      <c r="D49" s="21" cm="1">
        <f t="array" ref="D49">SUMPRODUCT(('[1]Capex CJI3'!$A$2:$A$433=$A49)*(IFERROR(VALUE('[1]Capex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49" s="21">
        <f t="shared" si="0"/>
        <v>0</v>
      </c>
      <c r="F49" s="21">
        <f>SUMIFS('[1]Capex CJI3'!$F$2:$F$433,'[1]Capex CJI3'!$A$2:$A$433,$A49,'[1]Capex CJI3'!$K$2:$K$433,2026,'[1]Capex CJI3'!$J$2:$J$433,"*Reclass internal hours*")</f>
        <v>44950</v>
      </c>
      <c r="G49" s="21" cm="1">
        <f t="array" ref="G49">SUMPRODUCT(('[1]Capex CJI3'!$A$2:$A$433=$A49)*(IFERROR(VALUE('[1]Capex CJI3'!$K$2:$K$433),0)=2026)*(LEN('[1]Capex CJI3'!$E$2:$E$433)&gt;0)*ISERROR(SEARCH("Reclass internal hours",'[1]Capex CJI3'!$J$2:$J$433))*IFERROR(VALUE('[1]Capex CJI3'!$F$2:$F$433),0))-IF($A49="O7941/2517",'[1]Capex CJI3'!$F$124,0)-IF($A49="O7941/2613",'[1]Capex CJI3'!$F$313,0)</f>
        <v>0</v>
      </c>
      <c r="H49" s="21" cm="1">
        <f t="array" ref="H49">SUMPRODUCT(('[1]Capex CJI3'!$A$2:$A$433=$A49)*(IFERROR(VALUE('[1]Capex CJI3'!$K$2:$K$433),0)=2026)*(LEN('[1]Capex CJI3'!$E$2:$E$433)=0)*ISERROR(SEARCH("Reclass internal hours",'[1]Capex CJI3'!$J$2:$J$433))*ISERROR(SEARCH("WBS Correction",'[1]Capex CJI3'!$J$2:$J$433))*('[1]Capex CJI3'!$D$2:$D$433&lt;&gt;"6405000000")*((($A49&lt;&gt;"O7941/2513")+('[1]Capex CJI3'!$D$2:$D$433&lt;&gt;"7405000000")+(IFERROR(VALUE('[1]Capex CJI3'!$L$2:$L$433),0)&gt;=3))&gt;0)*IFERROR(VALUE('[1]Capex CJI3'!$F$2:$F$433),0))-IF($A49="O7941/2517",'[1]Capex CJI3'!$F$132,0)-IF($A49="O9100/2601",'[1]Capex CJI3'!$F$429,0)</f>
        <v>0</v>
      </c>
      <c r="I49" s="21">
        <f t="shared" si="3"/>
        <v>44950</v>
      </c>
      <c r="J49" s="21">
        <f t="shared" si="2"/>
        <v>44950</v>
      </c>
      <c r="K49" s="22">
        <v>46265</v>
      </c>
      <c r="L49" s="23" cm="1">
        <f t="array" ref="L49">SUMPRODUCT(('[1]Capex CJI3'!$A$2:$A$433=$A49)*(IFERROR(VALUE('[1]Capex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CJI3'!$D$2:$D$433&lt;&gt;"6405000000"))&gt;0))-IF($A49="O7941/2517",2,0)-IF($A49="O7941/2613",1,0)-IF($A49="O9100/2601",1,0)-IF($A49="O7941/2513",4,0)</f>
        <v>2</v>
      </c>
      <c r="M49" s="23" cm="1">
        <f t="array" ref="M49">SUMPRODUCT(('[1]Capex CJI3'!$A$2:$A$433=$A49)*(IFERROR(VALUE('[1]Capex CJI3'!$K$2:$K$433),0)&gt;0)*(LEN('[1]Capex CJI3'!$E$2:$E$433)&gt;0)*ISERROR(SEARCH("Reclass internal hours",'[1]Capex CJI3'!$J$2:$J$433)))-IF($A49="O7941/2517",1,0)-IF($A49="O7941/2613",1,0)</f>
        <v>0</v>
      </c>
      <c r="N49" s="15" t="s">
        <v>3</v>
      </c>
      <c r="O49" s="21">
        <v>100960</v>
      </c>
    </row>
    <row r="50" spans="1:15" x14ac:dyDescent="0.25">
      <c r="A50" s="15" t="s">
        <v>195</v>
      </c>
      <c r="B50" s="21">
        <f>SUMIFS('[1]Capex CJI3'!$F$2:$F$433,'[1]Capex CJI3'!$A$2:$A$433,$A50,'[1]Capex CJI3'!$K$2:$K$433,2025,'[1]Capex CJI3'!$J$2:$J$433,"*Reclass internal hours*")</f>
        <v>0</v>
      </c>
      <c r="C50" s="21" cm="1">
        <f t="array" ref="C50">SUMPRODUCT(('[1]Capex CJI3'!$A$2:$A$433=$A50)*(IFERROR(VALUE('[1]Capex CJI3'!$K$2:$K$433),0)=2025)*(LEN('[1]Capex CJI3'!$E$2:$E$433)&gt;0)*ISERROR(SEARCH("Reclass internal hours",'[1]Capex CJI3'!$J$2:$J$433))*IFERROR(VALUE('[1]Capex CJI3'!$F$2:$F$433),0))</f>
        <v>0</v>
      </c>
      <c r="D50" s="21" cm="1">
        <f t="array" ref="D50">SUMPRODUCT(('[1]Capex CJI3'!$A$2:$A$433=$A50)*(IFERROR(VALUE('[1]Capex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50" s="21">
        <f t="shared" si="0"/>
        <v>0</v>
      </c>
      <c r="F50" s="21">
        <f>SUMIFS('[1]Capex CJI3'!$F$2:$F$433,'[1]Capex CJI3'!$A$2:$A$433,$A50,'[1]Capex CJI3'!$K$2:$K$433,2026,'[1]Capex CJI3'!$J$2:$J$433,"*Reclass internal hours*")</f>
        <v>0</v>
      </c>
      <c r="G50" s="21" cm="1">
        <f t="array" ref="G50">SUMPRODUCT(('[1]Capex CJI3'!$A$2:$A$433=$A50)*(IFERROR(VALUE('[1]Capex CJI3'!$K$2:$K$433),0)=2026)*(LEN('[1]Capex CJI3'!$E$2:$E$433)&gt;0)*ISERROR(SEARCH("Reclass internal hours",'[1]Capex CJI3'!$J$2:$J$433))*IFERROR(VALUE('[1]Capex CJI3'!$F$2:$F$433),0))-IF($A50="O7941/2517",'[1]Capex CJI3'!$F$124,0)-IF($A50="O7941/2613",'[1]Capex CJI3'!$F$313,0)</f>
        <v>0</v>
      </c>
      <c r="H50" s="21" cm="1">
        <f t="array" ref="H50">SUMPRODUCT(('[1]Capex CJI3'!$A$2:$A$433=$A50)*(IFERROR(VALUE('[1]Capex CJI3'!$K$2:$K$433),0)=2026)*(LEN('[1]Capex CJI3'!$E$2:$E$433)=0)*ISERROR(SEARCH("Reclass internal hours",'[1]Capex CJI3'!$J$2:$J$433))*ISERROR(SEARCH("WBS Correction",'[1]Capex CJI3'!$J$2:$J$433))*('[1]Capex CJI3'!$D$2:$D$433&lt;&gt;"6405000000")*((($A50&lt;&gt;"O7941/2513")+('[1]Capex CJI3'!$D$2:$D$433&lt;&gt;"7405000000")+(IFERROR(VALUE('[1]Capex CJI3'!$L$2:$L$433),0)&gt;=3))&gt;0)*IFERROR(VALUE('[1]Capex CJI3'!$F$2:$F$433),0))-IF($A50="O7941/2517",'[1]Capex CJI3'!$F$132,0)-IF($A50="O9100/2601",'[1]Capex CJI3'!$F$429,0)</f>
        <v>122119</v>
      </c>
      <c r="I50" s="21">
        <f t="shared" si="3"/>
        <v>122119</v>
      </c>
      <c r="J50" s="21">
        <f t="shared" si="2"/>
        <v>122119</v>
      </c>
      <c r="K50" s="22">
        <v>46265</v>
      </c>
      <c r="L50" s="23" cm="1">
        <f t="array" ref="L50">SUMPRODUCT(('[1]Capex CJI3'!$A$2:$A$433=$A50)*(IFERROR(VALUE('[1]Capex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CJI3'!$D$2:$D$433&lt;&gt;"6405000000"))&gt;0))-IF($A50="O7941/2517",2,0)-IF($A50="O7941/2613",1,0)-IF($A50="O9100/2601",1,0)-IF($A50="O7941/2513",4,0)</f>
        <v>2</v>
      </c>
      <c r="M50" s="23" cm="1">
        <f t="array" ref="M50">SUMPRODUCT(('[1]Capex CJI3'!$A$2:$A$433=$A50)*(IFERROR(VALUE('[1]Capex CJI3'!$K$2:$K$433),0)&gt;0)*(LEN('[1]Capex CJI3'!$E$2:$E$433)&gt;0)*ISERROR(SEARCH("Reclass internal hours",'[1]Capex CJI3'!$J$2:$J$433)))-IF($A50="O7941/2517",1,0)-IF($A50="O7941/2613",1,0)</f>
        <v>0</v>
      </c>
      <c r="N50" s="15" t="s">
        <v>3</v>
      </c>
      <c r="O50" s="21">
        <v>180000</v>
      </c>
    </row>
    <row r="51" spans="1:15" x14ac:dyDescent="0.25">
      <c r="A51" s="15" t="s">
        <v>197</v>
      </c>
      <c r="B51" s="21">
        <f>SUMIFS('[1]Capex CJI3'!$F$2:$F$433,'[1]Capex CJI3'!$A$2:$A$433,$A51,'[1]Capex CJI3'!$K$2:$K$433,2025,'[1]Capex CJI3'!$J$2:$J$433,"*Reclass internal hours*")</f>
        <v>0</v>
      </c>
      <c r="C51" s="21" cm="1">
        <f t="array" ref="C51">SUMPRODUCT(('[1]Capex CJI3'!$A$2:$A$433=$A51)*(IFERROR(VALUE('[1]Capex CJI3'!$K$2:$K$433),0)=2025)*(LEN('[1]Capex CJI3'!$E$2:$E$433)&gt;0)*ISERROR(SEARCH("Reclass internal hours",'[1]Capex CJI3'!$J$2:$J$433))*IFERROR(VALUE('[1]Capex CJI3'!$F$2:$F$433),0))</f>
        <v>0</v>
      </c>
      <c r="D51" s="21" cm="1">
        <f t="array" ref="D51">SUMPRODUCT(('[1]Capex CJI3'!$A$2:$A$433=$A51)*(IFERROR(VALUE('[1]Capex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51" s="21">
        <f t="shared" si="0"/>
        <v>0</v>
      </c>
      <c r="F51" s="21">
        <f>SUMIFS('[1]Capex CJI3'!$F$2:$F$433,'[1]Capex CJI3'!$A$2:$A$433,$A51,'[1]Capex CJI3'!$K$2:$K$433,2026,'[1]Capex CJI3'!$J$2:$J$433,"*Reclass internal hours*")</f>
        <v>0</v>
      </c>
      <c r="G51" s="21" cm="1">
        <f t="array" ref="G51">SUMPRODUCT(('[1]Capex CJI3'!$A$2:$A$433=$A51)*(IFERROR(VALUE('[1]Capex CJI3'!$K$2:$K$433),0)=2026)*(LEN('[1]Capex CJI3'!$E$2:$E$433)&gt;0)*ISERROR(SEARCH("Reclass internal hours",'[1]Capex CJI3'!$J$2:$J$433))*IFERROR(VALUE('[1]Capex CJI3'!$F$2:$F$433),0))-IF($A51="O7941/2517",'[1]Capex CJI3'!$F$124,0)-IF($A51="O7941/2613",'[1]Capex CJI3'!$F$313,0)</f>
        <v>0</v>
      </c>
      <c r="H51" s="21" cm="1">
        <f t="array" ref="H51">SUMPRODUCT(('[1]Capex CJI3'!$A$2:$A$433=$A51)*(IFERROR(VALUE('[1]Capex CJI3'!$K$2:$K$433),0)=2026)*(LEN('[1]Capex CJI3'!$E$2:$E$433)=0)*ISERROR(SEARCH("Reclass internal hours",'[1]Capex CJI3'!$J$2:$J$433))*ISERROR(SEARCH("WBS Correction",'[1]Capex CJI3'!$J$2:$J$433))*('[1]Capex CJI3'!$D$2:$D$433&lt;&gt;"6405000000")*((($A51&lt;&gt;"O7941/2513")+('[1]Capex CJI3'!$D$2:$D$433&lt;&gt;"7405000000")+(IFERROR(VALUE('[1]Capex CJI3'!$L$2:$L$433),0)&gt;=3))&gt;0)*IFERROR(VALUE('[1]Capex CJI3'!$F$2:$F$433),0))-IF($A51="O7941/2517",'[1]Capex CJI3'!$F$132,0)-IF($A51="O9100/2601",'[1]Capex CJI3'!$F$429,0)</f>
        <v>58992</v>
      </c>
      <c r="I51" s="21">
        <f t="shared" si="3"/>
        <v>58992</v>
      </c>
      <c r="J51" s="21">
        <f t="shared" si="2"/>
        <v>58992</v>
      </c>
      <c r="K51" s="22">
        <v>46265</v>
      </c>
      <c r="L51" s="23" cm="1">
        <f t="array" ref="L51">SUMPRODUCT(('[1]Capex CJI3'!$A$2:$A$433=$A51)*(IFERROR(VALUE('[1]Capex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CJI3'!$D$2:$D$433&lt;&gt;"6405000000"))&gt;0))-IF($A51="O7941/2517",2,0)-IF($A51="O7941/2613",1,0)-IF($A51="O9100/2601",1,0)-IF($A51="O7941/2513",4,0)</f>
        <v>2</v>
      </c>
      <c r="M51" s="23" cm="1">
        <f t="array" ref="M51">SUMPRODUCT(('[1]Capex CJI3'!$A$2:$A$433=$A51)*(IFERROR(VALUE('[1]Capex CJI3'!$K$2:$K$433),0)&gt;0)*(LEN('[1]Capex CJI3'!$E$2:$E$433)&gt;0)*ISERROR(SEARCH("Reclass internal hours",'[1]Capex CJI3'!$J$2:$J$433)))-IF($A51="O7941/2517",1,0)-IF($A51="O7941/2613",1,0)</f>
        <v>0</v>
      </c>
      <c r="N51" s="15" t="s">
        <v>3</v>
      </c>
      <c r="O51" s="21">
        <v>182000</v>
      </c>
    </row>
    <row r="52" spans="1:15" x14ac:dyDescent="0.25">
      <c r="A52" s="15" t="s">
        <v>199</v>
      </c>
      <c r="B52" s="21">
        <f>SUMIFS('[1]Capex CJI3'!$F$2:$F$433,'[1]Capex CJI3'!$A$2:$A$433,$A52,'[1]Capex CJI3'!$K$2:$K$433,2025,'[1]Capex CJI3'!$J$2:$J$433,"*Reclass internal hours*")</f>
        <v>0</v>
      </c>
      <c r="C52" s="21" cm="1">
        <f t="array" ref="C52">SUMPRODUCT(('[1]Capex CJI3'!$A$2:$A$433=$A52)*(IFERROR(VALUE('[1]Capex CJI3'!$K$2:$K$433),0)=2025)*(LEN('[1]Capex CJI3'!$E$2:$E$433)&gt;0)*ISERROR(SEARCH("Reclass internal hours",'[1]Capex CJI3'!$J$2:$J$433))*IFERROR(VALUE('[1]Capex CJI3'!$F$2:$F$433),0))</f>
        <v>0</v>
      </c>
      <c r="D52" s="21" cm="1">
        <f t="array" ref="D52">SUMPRODUCT(('[1]Capex CJI3'!$A$2:$A$433=$A52)*(IFERROR(VALUE('[1]Capex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52" s="21">
        <f t="shared" si="0"/>
        <v>0</v>
      </c>
      <c r="F52" s="21">
        <f>SUMIFS('[1]Capex CJI3'!$F$2:$F$433,'[1]Capex CJI3'!$A$2:$A$433,$A52,'[1]Capex CJI3'!$K$2:$K$433,2026,'[1]Capex CJI3'!$J$2:$J$433,"*Reclass internal hours*")</f>
        <v>2700</v>
      </c>
      <c r="G52" s="21" cm="1">
        <f t="array" ref="G52">SUMPRODUCT(('[1]Capex CJI3'!$A$2:$A$433=$A52)*(IFERROR(VALUE('[1]Capex CJI3'!$K$2:$K$433),0)=2026)*(LEN('[1]Capex CJI3'!$E$2:$E$433)&gt;0)*ISERROR(SEARCH("Reclass internal hours",'[1]Capex CJI3'!$J$2:$J$433))*IFERROR(VALUE('[1]Capex CJI3'!$F$2:$F$433),0))-IF($A52="O7941/2517",'[1]Capex CJI3'!$F$124,0)-IF($A52="O7941/2613",'[1]Capex CJI3'!$F$313,0)</f>
        <v>0</v>
      </c>
      <c r="H52" s="21" cm="1">
        <f t="array" ref="H52">SUMPRODUCT(('[1]Capex CJI3'!$A$2:$A$433=$A52)*(IFERROR(VALUE('[1]Capex CJI3'!$K$2:$K$433),0)=2026)*(LEN('[1]Capex CJI3'!$E$2:$E$433)=0)*ISERROR(SEARCH("Reclass internal hours",'[1]Capex CJI3'!$J$2:$J$433))*ISERROR(SEARCH("WBS Correction",'[1]Capex CJI3'!$J$2:$J$433))*('[1]Capex CJI3'!$D$2:$D$433&lt;&gt;"6405000000")*((($A52&lt;&gt;"O7941/2513")+('[1]Capex CJI3'!$D$2:$D$433&lt;&gt;"7405000000")+(IFERROR(VALUE('[1]Capex CJI3'!$L$2:$L$433),0)&gt;=3))&gt;0)*IFERROR(VALUE('[1]Capex CJI3'!$F$2:$F$433),0))-IF($A52="O7941/2517",'[1]Capex CJI3'!$F$132,0)-IF($A52="O9100/2601",'[1]Capex CJI3'!$F$429,0)</f>
        <v>0</v>
      </c>
      <c r="I52" s="21">
        <f t="shared" si="3"/>
        <v>2700</v>
      </c>
      <c r="J52" s="21">
        <f t="shared" si="2"/>
        <v>2700</v>
      </c>
      <c r="K52" s="22">
        <v>46265</v>
      </c>
      <c r="L52" s="23" cm="1">
        <f t="array" ref="L52">SUMPRODUCT(('[1]Capex CJI3'!$A$2:$A$433=$A52)*(IFERROR(VALUE('[1]Capex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CJI3'!$D$2:$D$433&lt;&gt;"6405000000"))&gt;0))-IF($A52="O7941/2517",2,0)-IF($A52="O7941/2613",1,0)-IF($A52="O9100/2601",1,0)-IF($A52="O7941/2513",4,0)</f>
        <v>1</v>
      </c>
      <c r="M52" s="23" cm="1">
        <f t="array" ref="M52">SUMPRODUCT(('[1]Capex CJI3'!$A$2:$A$433=$A52)*(IFERROR(VALUE('[1]Capex CJI3'!$K$2:$K$433),0)&gt;0)*(LEN('[1]Capex CJI3'!$E$2:$E$433)&gt;0)*ISERROR(SEARCH("Reclass internal hours",'[1]Capex CJI3'!$J$2:$J$433)))-IF($A52="O7941/2517",1,0)-IF($A52="O7941/2613",1,0)</f>
        <v>0</v>
      </c>
      <c r="N52" s="15" t="s">
        <v>3</v>
      </c>
      <c r="O52" s="21">
        <v>189200</v>
      </c>
    </row>
    <row r="53" spans="1:15" x14ac:dyDescent="0.25">
      <c r="A53" s="15" t="s">
        <v>200</v>
      </c>
      <c r="B53" s="21">
        <f>SUMIFS('[1]Capex CJI3'!$F$2:$F$433,'[1]Capex CJI3'!$A$2:$A$433,$A53,'[1]Capex CJI3'!$K$2:$K$433,2025,'[1]Capex CJI3'!$J$2:$J$433,"*Reclass internal hours*")</f>
        <v>0</v>
      </c>
      <c r="C53" s="21" cm="1">
        <f t="array" ref="C53">SUMPRODUCT(('[1]Capex CJI3'!$A$2:$A$433=$A53)*(IFERROR(VALUE('[1]Capex CJI3'!$K$2:$K$433),0)=2025)*(LEN('[1]Capex CJI3'!$E$2:$E$433)&gt;0)*ISERROR(SEARCH("Reclass internal hours",'[1]Capex CJI3'!$J$2:$J$433))*IFERROR(VALUE('[1]Capex CJI3'!$F$2:$F$433),0))</f>
        <v>0</v>
      </c>
      <c r="D53" s="21" cm="1">
        <f t="array" ref="D53">SUMPRODUCT(('[1]Capex CJI3'!$A$2:$A$433=$A53)*(IFERROR(VALUE('[1]Capex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53" s="21">
        <f t="shared" si="0"/>
        <v>0</v>
      </c>
      <c r="F53" s="21">
        <f>SUMIFS('[1]Capex CJI3'!$F$2:$F$433,'[1]Capex CJI3'!$A$2:$A$433,$A53,'[1]Capex CJI3'!$K$2:$K$433,2026,'[1]Capex CJI3'!$J$2:$J$433,"*Reclass internal hours*")</f>
        <v>59972.5</v>
      </c>
      <c r="G53" s="21" cm="1">
        <f t="array" ref="G53">SUMPRODUCT(('[1]Capex CJI3'!$A$2:$A$433=$A53)*(IFERROR(VALUE('[1]Capex CJI3'!$K$2:$K$433),0)=2026)*(LEN('[1]Capex CJI3'!$E$2:$E$433)&gt;0)*ISERROR(SEARCH("Reclass internal hours",'[1]Capex CJI3'!$J$2:$J$433))*IFERROR(VALUE('[1]Capex CJI3'!$F$2:$F$433),0))-IF($A53="O7941/2517",'[1]Capex CJI3'!$F$124,0)-IF($A53="O7941/2613",'[1]Capex CJI3'!$F$313,0)</f>
        <v>0</v>
      </c>
      <c r="H53" s="21" cm="1">
        <f t="array" ref="H53">SUMPRODUCT(('[1]Capex CJI3'!$A$2:$A$433=$A53)*(IFERROR(VALUE('[1]Capex CJI3'!$K$2:$K$433),0)=2026)*(LEN('[1]Capex CJI3'!$E$2:$E$433)=0)*ISERROR(SEARCH("Reclass internal hours",'[1]Capex CJI3'!$J$2:$J$433))*ISERROR(SEARCH("WBS Correction",'[1]Capex CJI3'!$J$2:$J$433))*('[1]Capex CJI3'!$D$2:$D$433&lt;&gt;"6405000000")*((($A53&lt;&gt;"O7941/2513")+('[1]Capex CJI3'!$D$2:$D$433&lt;&gt;"7405000000")+(IFERROR(VALUE('[1]Capex CJI3'!$L$2:$L$433),0)&gt;=3))&gt;0)*IFERROR(VALUE('[1]Capex CJI3'!$F$2:$F$433),0))-IF($A53="O7941/2517",'[1]Capex CJI3'!$F$132,0)-IF($A53="O9100/2601",'[1]Capex CJI3'!$F$429,0)</f>
        <v>0</v>
      </c>
      <c r="I53" s="21">
        <f t="shared" si="3"/>
        <v>59972.5</v>
      </c>
      <c r="J53" s="21">
        <f t="shared" si="2"/>
        <v>59972.5</v>
      </c>
      <c r="K53" s="22">
        <v>46234</v>
      </c>
      <c r="L53" s="23" cm="1">
        <f t="array" ref="L53">SUMPRODUCT(('[1]Capex CJI3'!$A$2:$A$433=$A53)*(IFERROR(VALUE('[1]Capex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CJI3'!$D$2:$D$433&lt;&gt;"6405000000"))&gt;0))-IF($A53="O7941/2517",2,0)-IF($A53="O7941/2613",1,0)-IF($A53="O9100/2601",1,0)-IF($A53="O7941/2513",4,0)</f>
        <v>4</v>
      </c>
      <c r="M53" s="23" cm="1">
        <f t="array" ref="M53">SUMPRODUCT(('[1]Capex CJI3'!$A$2:$A$433=$A53)*(IFERROR(VALUE('[1]Capex CJI3'!$K$2:$K$433),0)&gt;0)*(LEN('[1]Capex CJI3'!$E$2:$E$433)&gt;0)*ISERROR(SEARCH("Reclass internal hours",'[1]Capex CJI3'!$J$2:$J$433)))-IF($A53="O7941/2517",1,0)-IF($A53="O7941/2613",1,0)</f>
        <v>0</v>
      </c>
      <c r="N53" s="15" t="s">
        <v>3</v>
      </c>
      <c r="O53" s="21">
        <v>122100</v>
      </c>
    </row>
    <row r="54" spans="1:15" x14ac:dyDescent="0.25">
      <c r="A54" s="15" t="s">
        <v>201</v>
      </c>
      <c r="B54" s="21">
        <f>SUMIFS('[1]Capex CJI3'!$F$2:$F$433,'[1]Capex CJI3'!$A$2:$A$433,$A54,'[1]Capex CJI3'!$K$2:$K$433,2025,'[1]Capex CJI3'!$J$2:$J$433,"*Reclass internal hours*")</f>
        <v>0</v>
      </c>
      <c r="C54" s="21" cm="1">
        <f t="array" ref="C54">SUMPRODUCT(('[1]Capex CJI3'!$A$2:$A$433=$A54)*(IFERROR(VALUE('[1]Capex CJI3'!$K$2:$K$433),0)=2025)*(LEN('[1]Capex CJI3'!$E$2:$E$433)&gt;0)*ISERROR(SEARCH("Reclass internal hours",'[1]Capex CJI3'!$J$2:$J$433))*IFERROR(VALUE('[1]Capex CJI3'!$F$2:$F$433),0))</f>
        <v>0</v>
      </c>
      <c r="D54" s="21" cm="1">
        <f t="array" ref="D54">SUMPRODUCT(('[1]Capex CJI3'!$A$2:$A$433=$A54)*(IFERROR(VALUE('[1]Capex CJI3'!$K$2:$K$433),0)=2025)*(LEN('[1]Capex CJI3'!$E$2:$E$433)=0)*ISERROR(SEARCH("Reclass internal hours",'[1]Capex CJI3'!$J$2:$J$433))*ISERROR(SEARCH("WBS Correction",'[1]Capex CJI3'!$J$2:$J$433))*('[1]Capex CJI3'!$D$2:$D$433&lt;&gt;"6405000000")*IFERROR(VALUE('[1]Capex CJI3'!$F$2:$F$433),0))</f>
        <v>0</v>
      </c>
      <c r="E54" s="21">
        <f t="shared" si="0"/>
        <v>0</v>
      </c>
      <c r="F54" s="21">
        <f>SUMIFS('[1]Capex CJI3'!$F$2:$F$433,'[1]Capex CJI3'!$A$2:$A$433,$A54,'[1]Capex CJI3'!$K$2:$K$433,2026,'[1]Capex CJI3'!$J$2:$J$433,"*Reclass internal hours*")</f>
        <v>0</v>
      </c>
      <c r="G54" s="21" cm="1">
        <f t="array" ref="G54">SUMPRODUCT(('[1]Capex CJI3'!$A$2:$A$433=$A54)*(IFERROR(VALUE('[1]Capex CJI3'!$K$2:$K$433),0)=2026)*(LEN('[1]Capex CJI3'!$E$2:$E$433)&gt;0)*ISERROR(SEARCH("Reclass internal hours",'[1]Capex CJI3'!$J$2:$J$433))*IFERROR(VALUE('[1]Capex CJI3'!$F$2:$F$433),0))-IF($A54="O7941/2517",'[1]Capex CJI3'!$F$124,0)-IF($A54="O7941/2613",'[1]Capex CJI3'!$F$313,0)</f>
        <v>1565.28</v>
      </c>
      <c r="H54" s="21" cm="1">
        <f t="array" ref="H54">SUMPRODUCT(('[1]Capex CJI3'!$A$2:$A$433=$A54)*(IFERROR(VALUE('[1]Capex CJI3'!$K$2:$K$433),0)=2026)*(LEN('[1]Capex CJI3'!$E$2:$E$433)=0)*ISERROR(SEARCH("Reclass internal hours",'[1]Capex CJI3'!$J$2:$J$433))*ISERROR(SEARCH("WBS Correction",'[1]Capex CJI3'!$J$2:$J$433))*('[1]Capex CJI3'!$D$2:$D$433&lt;&gt;"6405000000")*((($A54&lt;&gt;"O7941/2513")+('[1]Capex CJI3'!$D$2:$D$433&lt;&gt;"7405000000")+(IFERROR(VALUE('[1]Capex CJI3'!$L$2:$L$433),0)&gt;=3))&gt;0)*IFERROR(VALUE('[1]Capex CJI3'!$F$2:$F$433),0))-IF($A54="O7941/2517",'[1]Capex CJI3'!$F$132,0)-IF($A54="O9100/2601",'[1]Capex CJI3'!$F$429,0)</f>
        <v>0</v>
      </c>
      <c r="I54" s="21">
        <f t="shared" si="3"/>
        <v>1565.28</v>
      </c>
      <c r="J54" s="21">
        <f t="shared" si="2"/>
        <v>1565.28</v>
      </c>
      <c r="K54" s="22">
        <v>46139</v>
      </c>
      <c r="L54" s="23" cm="1">
        <f t="array" ref="L54">SUMPRODUCT(('[1]Capex CJI3'!$A$2:$A$433=$A54)*(IFERROR(VALUE('[1]Capex CJI3'!$K$2:$K$433),0)&gt;0)*((ISNUMBER(SEARCH("Reclass internal hours",'[1]Capex CJI3'!$J$2:$J$433)))+((LEN('[1]Capex CJI3'!$E$2:$E$433)&gt;0)*ISERROR(SEARCH("Reclass internal hours",'[1]Capex CJI3'!$J$2:$J$433)))+((LEN('[1]Capex CJI3'!$E$2:$E$433)=0)*ISERROR(SEARCH("Reclass internal hours",'[1]Capex CJI3'!$J$2:$J$433))*ISERROR(SEARCH("WBS Correction",'[1]Capex CJI3'!$J$2:$J$433))*('[1]Capex CJI3'!$D$2:$D$433&lt;&gt;"6405000000"))&gt;0))-IF($A54="O7941/2517",2,0)-IF($A54="O7941/2613",1,0)-IF($A54="O9100/2601",1,0)-IF($A54="O7941/2513",4,0)</f>
        <v>1</v>
      </c>
      <c r="M54" s="23" cm="1">
        <f t="array" ref="M54">SUMPRODUCT(('[1]Capex CJI3'!$A$2:$A$433=$A54)*(IFERROR(VALUE('[1]Capex CJI3'!$K$2:$K$433),0)&gt;0)*(LEN('[1]Capex CJI3'!$E$2:$E$433)&gt;0)*ISERROR(SEARCH("Reclass internal hours",'[1]Capex CJI3'!$J$2:$J$433)))-IF($A54="O7941/2517",1,0)-IF($A54="O7941/2613",1,0)</f>
        <v>1</v>
      </c>
      <c r="N54" s="15" t="s">
        <v>3</v>
      </c>
      <c r="O54" s="21">
        <v>22000</v>
      </c>
    </row>
    <row r="57" spans="1:15" ht="14.5" x14ac:dyDescent="0.35">
      <c r="A57" s="20" t="s">
        <v>823</v>
      </c>
      <c r="B57" s="20"/>
      <c r="C57" s="20"/>
      <c r="D57" s="20"/>
      <c r="E57" s="20"/>
      <c r="F57" s="20"/>
    </row>
    <row r="58" spans="1:15" x14ac:dyDescent="0.25">
      <c r="A58" s="15" t="s">
        <v>808</v>
      </c>
      <c r="B58" s="15" t="s">
        <v>824</v>
      </c>
      <c r="C58" s="15" t="s">
        <v>810</v>
      </c>
      <c r="D58" s="15" t="s">
        <v>814</v>
      </c>
      <c r="E58" s="15" t="s">
        <v>825</v>
      </c>
      <c r="F58" s="15" t="s">
        <v>820</v>
      </c>
    </row>
    <row r="59" spans="1:15" x14ac:dyDescent="0.25">
      <c r="A59" s="15" t="s">
        <v>0</v>
      </c>
      <c r="B59" s="15" t="s">
        <v>826</v>
      </c>
      <c r="C59" s="21" cm="1">
        <f t="array" ref="C59">SUMPRODUCT(('[1]Capex CJI3'!$A$2:$A$433=$A59)*(IFERROR(VALUE('[1]Capex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NV",_xlpm.n))=$B59)*IFERROR(VALUE('[1]Capex CJI3'!$F$2:$F$433),0))</f>
        <v>8015</v>
      </c>
      <c r="D59" s="21" cm="1">
        <f t="array" ref="D59">SUMPRODUCT(('[1]Capex CJI3'!$A$2:$A$433=$A59)*(IFERROR(VALUE('[1]Capex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NV",_xlpm.n))=$B59)*IFERROR(VALUE('[1]Capex CJI3'!$F$2:$F$433),0))-IF(AND($A59="O7941/2517",$B59="ERNST &amp; YOUNG CONSULTING"),'[1]Capex CJI3'!$F$124,0)-IF(AND($A59="O7941/2613",$B59="ERNST &amp; YOUNG CONSULTING"),'[1]Capex CJI3'!$F$313,0)</f>
        <v>2290</v>
      </c>
      <c r="E59" s="21">
        <f>C59+D59</f>
        <v>10305</v>
      </c>
      <c r="F59" s="23" cm="1">
        <f t="array" ref="F59">SUMPRODUCT(('[1]Capex CJI3'!$A$2:$A$433=$A59)*(LEN('[1]Capex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NV",_xlpm.n))=$B59))-IF(AND($A59="O7941/2517",$B59="ERNST &amp; YOUNG CONSULTING"),1,0)-IF(AND($A59="O7941/2613",$B59="ERNST &amp; YOUNG CONSULTING"),1,0)</f>
        <v>5</v>
      </c>
    </row>
    <row r="60" spans="1:15" x14ac:dyDescent="0.25">
      <c r="A60" s="15" t="s">
        <v>23</v>
      </c>
      <c r="B60" s="15" t="s">
        <v>827</v>
      </c>
      <c r="C60" s="21" cm="1">
        <f t="array" ref="C60">SUMPRODUCT(('[1]Capex CJI3'!$A$2:$A$433=$A60)*(IFERROR(VALUE('[1]Capex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NV",_xlpm.n))=$B60)*IFERROR(VALUE('[1]Capex CJI3'!$F$2:$F$433),0))</f>
        <v>0</v>
      </c>
      <c r="D60" s="21" cm="1">
        <f t="array" ref="D60">SUMPRODUCT(('[1]Capex CJI3'!$A$2:$A$433=$A60)*(IFERROR(VALUE('[1]Capex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NV",_xlpm.n))=$B60)*IFERROR(VALUE('[1]Capex CJI3'!$F$2:$F$433),0))-IF(AND($A60="O7941/2517",$B60="ERNST &amp; YOUNG CONSULTING"),'[1]Capex CJI3'!$F$124,0)-IF(AND($A60="O7941/2613",$B60="ERNST &amp; YOUNG CONSULTING"),'[1]Capex CJI3'!$F$313,0)</f>
        <v>571.85</v>
      </c>
      <c r="E60" s="21">
        <f t="shared" ref="E60:E89" si="4">C60+D60</f>
        <v>571.85</v>
      </c>
      <c r="F60" s="23" cm="1">
        <f t="array" ref="F60">SUMPRODUCT(('[1]Capex CJI3'!$A$2:$A$433=$A60)*(LEN('[1]Capex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NV",_xlpm.n))=$B60))-IF(AND($A60="O7941/2517",$B60="ERNST &amp; YOUNG CONSULTING"),1,0)-IF(AND($A60="O7941/2613",$B60="ERNST &amp; YOUNG CONSULTING"),1,0)</f>
        <v>1</v>
      </c>
    </row>
    <row r="61" spans="1:15" x14ac:dyDescent="0.25">
      <c r="A61" s="15" t="s">
        <v>26</v>
      </c>
      <c r="B61" s="15" t="s">
        <v>828</v>
      </c>
      <c r="C61" s="21" cm="1">
        <f t="array" ref="C61">SUMPRODUCT(('[1]Capex CJI3'!$A$2:$A$433=$A61)*(IFERROR(VALUE('[1]Capex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NV",_xlpm.n))=$B61)*IFERROR(VALUE('[1]Capex CJI3'!$F$2:$F$433),0))</f>
        <v>116687.8</v>
      </c>
      <c r="D61" s="21" cm="1">
        <f t="array" ref="D61">SUMPRODUCT(('[1]Capex CJI3'!$A$2:$A$433=$A61)*(IFERROR(VALUE('[1]Capex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NV",_xlpm.n))=$B61)*IFERROR(VALUE('[1]Capex CJI3'!$F$2:$F$433),0))-IF(AND($A61="O7941/2517",$B61="ERNST &amp; YOUNG CONSULTING"),'[1]Capex CJI3'!$F$124,0)-IF(AND($A61="O7941/2613",$B61="ERNST &amp; YOUNG CONSULTING"),'[1]Capex CJI3'!$F$313,0)</f>
        <v>159850.65000000002</v>
      </c>
      <c r="E61" s="21">
        <f t="shared" si="4"/>
        <v>276538.45</v>
      </c>
      <c r="F61" s="23" cm="1">
        <f t="array" ref="F61">SUMPRODUCT(('[1]Capex CJI3'!$A$2:$A$433=$A61)*(LEN('[1]Capex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NV",_xlpm.n))=$B61))-IF(AND($A61="O7941/2517",$B61="ERNST &amp; YOUNG CONSULTING"),1,0)-IF(AND($A61="O7941/2613",$B61="ERNST &amp; YOUNG CONSULTING"),1,0)</f>
        <v>14</v>
      </c>
    </row>
    <row r="62" spans="1:15" x14ac:dyDescent="0.25">
      <c r="A62" s="15" t="s">
        <v>26</v>
      </c>
      <c r="B62" s="15" t="s">
        <v>829</v>
      </c>
      <c r="C62" s="21" cm="1">
        <f t="array" ref="C62">SUMPRODUCT(('[1]Capex CJI3'!$A$2:$A$433=$A62)*(IFERROR(VALUE('[1]Capex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NV",_xlpm.n))=$B62)*IFERROR(VALUE('[1]Capex CJI3'!$F$2:$F$433),0))</f>
        <v>11760</v>
      </c>
      <c r="D62" s="21" cm="1">
        <f t="array" ref="D62">SUMPRODUCT(('[1]Capex CJI3'!$A$2:$A$433=$A62)*(IFERROR(VALUE('[1]Capex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NV",_xlpm.n))=$B62)*IFERROR(VALUE('[1]Capex CJI3'!$F$2:$F$433),0))-IF(AND($A62="O7941/2517",$B62="ERNST &amp; YOUNG CONSULTING"),'[1]Capex CJI3'!$F$124,0)-IF(AND($A62="O7941/2613",$B62="ERNST &amp; YOUNG CONSULTING"),'[1]Capex CJI3'!$F$313,0)</f>
        <v>28229.4</v>
      </c>
      <c r="E62" s="21">
        <f t="shared" si="4"/>
        <v>39989.4</v>
      </c>
      <c r="F62" s="23" cm="1">
        <f t="array" ref="F62">SUMPRODUCT(('[1]Capex CJI3'!$A$2:$A$433=$A62)*(LEN('[1]Capex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NV",_xlpm.n))=$B62))-IF(AND($A62="O7941/2517",$B62="ERNST &amp; YOUNG CONSULTING"),1,0)-IF(AND($A62="O7941/2613",$B62="ERNST &amp; YOUNG CONSULTING"),1,0)</f>
        <v>9</v>
      </c>
    </row>
    <row r="63" spans="1:15" x14ac:dyDescent="0.25">
      <c r="A63" s="15" t="s">
        <v>50</v>
      </c>
      <c r="B63" s="15" t="s">
        <v>830</v>
      </c>
      <c r="C63" s="21" cm="1">
        <f t="array" ref="C63">SUMPRODUCT(('[1]Capex CJI3'!$A$2:$A$433=$A63)*(IFERROR(VALUE('[1]Capex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NV",_xlpm.n))=$B63)*IFERROR(VALUE('[1]Capex CJI3'!$F$2:$F$433),0))</f>
        <v>121088</v>
      </c>
      <c r="D63" s="21" cm="1">
        <f t="array" ref="D63">SUMPRODUCT(('[1]Capex CJI3'!$A$2:$A$433=$A63)*(IFERROR(VALUE('[1]Capex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NV",_xlpm.n))=$B63)*IFERROR(VALUE('[1]Capex CJI3'!$F$2:$F$433),0))-IF(AND($A63="O7941/2517",$B63="ERNST &amp; YOUNG CONSULTING"),'[1]Capex CJI3'!$F$124,0)-IF(AND($A63="O7941/2613",$B63="ERNST &amp; YOUNG CONSULTING"),'[1]Capex CJI3'!$F$313,0)</f>
        <v>164692.23000000001</v>
      </c>
      <c r="E63" s="21">
        <f t="shared" si="4"/>
        <v>285780.23</v>
      </c>
      <c r="F63" s="23" cm="1">
        <f t="array" ref="F63">SUMPRODUCT(('[1]Capex CJI3'!$A$2:$A$433=$A63)*(LEN('[1]Capex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NV",_xlpm.n))=$B63))-IF(AND($A63="O7941/2517",$B63="ERNST &amp; YOUNG CONSULTING"),1,0)-IF(AND($A63="O7941/2613",$B63="ERNST &amp; YOUNG CONSULTING"),1,0)</f>
        <v>11</v>
      </c>
    </row>
    <row r="64" spans="1:15" x14ac:dyDescent="0.25">
      <c r="A64" s="15" t="s">
        <v>67</v>
      </c>
      <c r="B64" s="15" t="s">
        <v>831</v>
      </c>
      <c r="C64" s="21" cm="1">
        <f t="array" ref="C64">SUMPRODUCT(('[1]Capex CJI3'!$A$2:$A$433=$A64)*(IFERROR(VALUE('[1]Capex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NV",_xlpm.n))=$B64)*IFERROR(VALUE('[1]Capex CJI3'!$F$2:$F$433),0))</f>
        <v>10000</v>
      </c>
      <c r="D64" s="21" cm="1">
        <f t="array" ref="D64">SUMPRODUCT(('[1]Capex CJI3'!$A$2:$A$433=$A64)*(IFERROR(VALUE('[1]Capex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NV",_xlpm.n))=$B64)*IFERROR(VALUE('[1]Capex CJI3'!$F$2:$F$433),0))-IF(AND($A64="O7941/2517",$B64="ERNST &amp; YOUNG CONSULTING"),'[1]Capex CJI3'!$F$124,0)-IF(AND($A64="O7941/2613",$B64="ERNST &amp; YOUNG CONSULTING"),'[1]Capex CJI3'!$F$313,0)</f>
        <v>30002</v>
      </c>
      <c r="E64" s="21">
        <f t="shared" si="4"/>
        <v>40002</v>
      </c>
      <c r="F64" s="23" cm="1">
        <f t="array" ref="F64">SUMPRODUCT(('[1]Capex CJI3'!$A$2:$A$433=$A64)*(LEN('[1]Capex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NV",_xlpm.n))=$B64))-IF(AND($A64="O7941/2517",$B64="ERNST &amp; YOUNG CONSULTING"),1,0)-IF(AND($A64="O7941/2613",$B64="ERNST &amp; YOUNG CONSULTING"),1,0)</f>
        <v>3</v>
      </c>
    </row>
    <row r="65" spans="1:6" x14ac:dyDescent="0.25">
      <c r="A65" s="15" t="s">
        <v>67</v>
      </c>
      <c r="B65" s="15" t="s">
        <v>832</v>
      </c>
      <c r="C65" s="21" cm="1">
        <f t="array" ref="C65">SUMPRODUCT(('[1]Capex CJI3'!$A$2:$A$433=$A65)*(IFERROR(VALUE('[1]Capex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NV",_xlpm.n))=$B65)*IFERROR(VALUE('[1]Capex CJI3'!$F$2:$F$433),0))</f>
        <v>0</v>
      </c>
      <c r="D65" s="21" cm="1">
        <f t="array" ref="D65">SUMPRODUCT(('[1]Capex CJI3'!$A$2:$A$433=$A65)*(IFERROR(VALUE('[1]Capex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NV",_xlpm.n))=$B65)*IFERROR(VALUE('[1]Capex CJI3'!$F$2:$F$433),0))-IF(AND($A65="O7941/2517",$B65="ERNST &amp; YOUNG CONSULTING"),'[1]Capex CJI3'!$F$124,0)-IF(AND($A65="O7941/2613",$B65="ERNST &amp; YOUNG CONSULTING"),'[1]Capex CJI3'!$F$313,0)</f>
        <v>28733.15</v>
      </c>
      <c r="E65" s="21">
        <f t="shared" si="4"/>
        <v>28733.15</v>
      </c>
      <c r="F65" s="23" cm="1">
        <f t="array" ref="F65">SUMPRODUCT(('[1]Capex CJI3'!$A$2:$A$433=$A65)*(LEN('[1]Capex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NV",_xlpm.n))=$B65))-IF(AND($A65="O7941/2517",$B65="ERNST &amp; YOUNG CONSULTING"),1,0)-IF(AND($A65="O7941/2613",$B65="ERNST &amp; YOUNG CONSULTING"),1,0)</f>
        <v>1</v>
      </c>
    </row>
    <row r="66" spans="1:6" x14ac:dyDescent="0.25">
      <c r="A66" s="15" t="s">
        <v>67</v>
      </c>
      <c r="B66" s="15" t="s">
        <v>833</v>
      </c>
      <c r="C66" s="21" cm="1">
        <f t="array" ref="C66">SUMPRODUCT(('[1]Capex CJI3'!$A$2:$A$433=$A66)*(IFERROR(VALUE('[1]Capex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NV",_xlpm.n))=$B66)*IFERROR(VALUE('[1]Capex CJI3'!$F$2:$F$433),0))</f>
        <v>90000</v>
      </c>
      <c r="D66" s="21" cm="1">
        <f t="array" ref="D66">SUMPRODUCT(('[1]Capex CJI3'!$A$2:$A$433=$A66)*(IFERROR(VALUE('[1]Capex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NV",_xlpm.n))=$B66)*IFERROR(VALUE('[1]Capex CJI3'!$F$2:$F$433),0))-IF(AND($A66="O7941/2517",$B66="ERNST &amp; YOUNG CONSULTING"),'[1]Capex CJI3'!$F$124,0)-IF(AND($A66="O7941/2613",$B66="ERNST &amp; YOUNG CONSULTING"),'[1]Capex CJI3'!$F$313,0)</f>
        <v>217817.94999999998</v>
      </c>
      <c r="E66" s="21">
        <f t="shared" si="4"/>
        <v>307817.94999999995</v>
      </c>
      <c r="F66" s="23" cm="1">
        <f t="array" ref="F66">SUMPRODUCT(('[1]Capex CJI3'!$A$2:$A$433=$A66)*(LEN('[1]Capex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NV",_xlpm.n))=$B66))-IF(AND($A66="O7941/2517",$B66="ERNST &amp; YOUNG CONSULTING"),1,0)-IF(AND($A66="O7941/2613",$B66="ERNST &amp; YOUNG CONSULTING"),1,0)</f>
        <v>5</v>
      </c>
    </row>
    <row r="67" spans="1:6" x14ac:dyDescent="0.25">
      <c r="A67" s="15" t="s">
        <v>67</v>
      </c>
      <c r="B67" s="15" t="s">
        <v>834</v>
      </c>
      <c r="C67" s="21" cm="1">
        <f t="array" ref="C67">SUMPRODUCT(('[1]Capex CJI3'!$A$2:$A$433=$A67)*(IFERROR(VALUE('[1]Capex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NV",_xlpm.n))=$B67)*IFERROR(VALUE('[1]Capex CJI3'!$F$2:$F$433),0))</f>
        <v>0</v>
      </c>
      <c r="D67" s="21" cm="1">
        <f t="array" ref="D67">SUMPRODUCT(('[1]Capex CJI3'!$A$2:$A$433=$A67)*(IFERROR(VALUE('[1]Capex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NV",_xlpm.n))=$B67)*IFERROR(VALUE('[1]Capex CJI3'!$F$2:$F$433),0))-IF(AND($A67="O7941/2517",$B67="ERNST &amp; YOUNG CONSULTING"),'[1]Capex CJI3'!$F$124,0)-IF(AND($A67="O7941/2613",$B67="ERNST &amp; YOUNG CONSULTING"),'[1]Capex CJI3'!$F$313,0)</f>
        <v>952</v>
      </c>
      <c r="E67" s="21">
        <f t="shared" si="4"/>
        <v>952</v>
      </c>
      <c r="F67" s="23" cm="1">
        <f t="array" ref="F67">SUMPRODUCT(('[1]Capex CJI3'!$A$2:$A$433=$A67)*(LEN('[1]Capex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NV",_xlpm.n))=$B67))-IF(AND($A67="O7941/2517",$B67="ERNST &amp; YOUNG CONSULTING"),1,0)-IF(AND($A67="O7941/2613",$B67="ERNST &amp; YOUNG CONSULTING"),1,0)</f>
        <v>1</v>
      </c>
    </row>
    <row r="68" spans="1:6" x14ac:dyDescent="0.25">
      <c r="A68" s="15" t="s">
        <v>86</v>
      </c>
      <c r="B68" s="15" t="s">
        <v>835</v>
      </c>
      <c r="C68" s="21" cm="1">
        <f t="array" ref="C68">SUMPRODUCT(('[1]Capex CJI3'!$A$2:$A$433=$A68)*(IFERROR(VALUE('[1]Capex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NV",_xlpm.n))=$B68)*IFERROR(VALUE('[1]Capex CJI3'!$F$2:$F$433),0))</f>
        <v>31990.6</v>
      </c>
      <c r="D68" s="21" cm="1">
        <f t="array" ref="D68">SUMPRODUCT(('[1]Capex CJI3'!$A$2:$A$433=$A68)*(IFERROR(VALUE('[1]Capex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NV",_xlpm.n))=$B68)*IFERROR(VALUE('[1]Capex CJI3'!$F$2:$F$433),0))-IF(AND($A68="O7941/2517",$B68="ERNST &amp; YOUNG CONSULTING"),'[1]Capex CJI3'!$F$124,0)-IF(AND($A68="O7941/2613",$B68="ERNST &amp; YOUNG CONSULTING"),'[1]Capex CJI3'!$F$313,0)</f>
        <v>39646</v>
      </c>
      <c r="E68" s="21">
        <f t="shared" si="4"/>
        <v>71636.600000000006</v>
      </c>
      <c r="F68" s="23" cm="1">
        <f t="array" ref="F68">SUMPRODUCT(('[1]Capex CJI3'!$A$2:$A$433=$A68)*(LEN('[1]Capex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NV",_xlpm.n))=$B68))-IF(AND($A68="O7941/2517",$B68="ERNST &amp; YOUNG CONSULTING"),1,0)-IF(AND($A68="O7941/2613",$B68="ERNST &amp; YOUNG CONSULTING"),1,0)</f>
        <v>3</v>
      </c>
    </row>
    <row r="69" spans="1:6" x14ac:dyDescent="0.25">
      <c r="A69" s="15" t="s">
        <v>91</v>
      </c>
      <c r="B69" s="15" t="s">
        <v>836</v>
      </c>
      <c r="C69" s="21" cm="1">
        <f t="array" ref="C69">SUMPRODUCT(('[1]Capex CJI3'!$A$2:$A$433=$A69)*(IFERROR(VALUE('[1]Capex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NV",_xlpm.n))=$B69)*IFERROR(VALUE('[1]Capex CJI3'!$F$2:$F$433),0))</f>
        <v>0</v>
      </c>
      <c r="D69" s="21" cm="1">
        <f t="array" ref="D69">SUMPRODUCT(('[1]Capex CJI3'!$A$2:$A$433=$A69)*(IFERROR(VALUE('[1]Capex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NV",_xlpm.n))=$B69)*IFERROR(VALUE('[1]Capex CJI3'!$F$2:$F$433),0))-IF(AND($A69="O7941/2517",$B69="ERNST &amp; YOUNG CONSULTING"),'[1]Capex CJI3'!$F$124,0)-IF(AND($A69="O7941/2613",$B69="ERNST &amp; YOUNG CONSULTING"),'[1]Capex CJI3'!$F$313,0)</f>
        <v>169189</v>
      </c>
      <c r="E69" s="21">
        <f t="shared" si="4"/>
        <v>169189</v>
      </c>
      <c r="F69" s="23" cm="1">
        <f t="array" ref="F69">SUMPRODUCT(('[1]Capex CJI3'!$A$2:$A$433=$A69)*(LEN('[1]Capex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NV",_xlpm.n))=$B69))-IF(AND($A69="O7941/2517",$B69="ERNST &amp; YOUNG CONSULTING"),1,0)-IF(AND($A69="O7941/2613",$B69="ERNST &amp; YOUNG CONSULTING"),1,0)</f>
        <v>5</v>
      </c>
    </row>
    <row r="70" spans="1:6" x14ac:dyDescent="0.25">
      <c r="A70" s="15" t="s">
        <v>96</v>
      </c>
      <c r="B70" s="15" t="s">
        <v>836</v>
      </c>
      <c r="C70" s="21" cm="1">
        <f t="array" ref="C70">SUMPRODUCT(('[1]Capex CJI3'!$A$2:$A$433=$A70)*(IFERROR(VALUE('[1]Capex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NV",_xlpm.n))=$B70)*IFERROR(VALUE('[1]Capex CJI3'!$F$2:$F$433),0))</f>
        <v>0</v>
      </c>
      <c r="D70" s="21" cm="1">
        <f t="array" ref="D70">SUMPRODUCT(('[1]Capex CJI3'!$A$2:$A$433=$A70)*(IFERROR(VALUE('[1]Capex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NV",_xlpm.n))=$B70)*IFERROR(VALUE('[1]Capex CJI3'!$F$2:$F$433),0))-IF(AND($A70="O7941/2517",$B70="ERNST &amp; YOUNG CONSULTING"),'[1]Capex CJI3'!$F$124,0)-IF(AND($A70="O7941/2613",$B70="ERNST &amp; YOUNG CONSULTING"),'[1]Capex CJI3'!$F$313,0)</f>
        <v>632000</v>
      </c>
      <c r="E70" s="21">
        <f t="shared" si="4"/>
        <v>632000</v>
      </c>
      <c r="F70" s="23" cm="1">
        <f t="array" ref="F70">SUMPRODUCT(('[1]Capex CJI3'!$A$2:$A$433=$A70)*(LEN('[1]Capex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NV",_xlpm.n))=$B70))-IF(AND($A70="O7941/2517",$B70="ERNST &amp; YOUNG CONSULTING"),1,0)-IF(AND($A70="O7941/2613",$B70="ERNST &amp; YOUNG CONSULTING"),1,0)</f>
        <v>6</v>
      </c>
    </row>
    <row r="71" spans="1:6" x14ac:dyDescent="0.25">
      <c r="A71" s="15" t="s">
        <v>98</v>
      </c>
      <c r="B71" s="15" t="s">
        <v>837</v>
      </c>
      <c r="C71" s="21" cm="1">
        <f t="array" ref="C71">SUMPRODUCT(('[1]Capex CJI3'!$A$2:$A$433=$A71)*(IFERROR(VALUE('[1]Capex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NV",_xlpm.n))=$B71)*IFERROR(VALUE('[1]Capex CJI3'!$F$2:$F$433),0))</f>
        <v>0</v>
      </c>
      <c r="D71" s="21" cm="1">
        <f t="array" ref="D71">SUMPRODUCT(('[1]Capex CJI3'!$A$2:$A$433=$A71)*(IFERROR(VALUE('[1]Capex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NV",_xlpm.n))=$B71)*IFERROR(VALUE('[1]Capex CJI3'!$F$2:$F$433),0))-IF(AND($A71="O7941/2517",$B71="ERNST &amp; YOUNG CONSULTING"),'[1]Capex CJI3'!$F$124,0)-IF(AND($A71="O7941/2613",$B71="ERNST &amp; YOUNG CONSULTING"),'[1]Capex CJI3'!$F$313,0)</f>
        <v>74760</v>
      </c>
      <c r="E71" s="21">
        <f t="shared" si="4"/>
        <v>74760</v>
      </c>
      <c r="F71" s="23" cm="1">
        <f t="array" ref="F71">SUMPRODUCT(('[1]Capex CJI3'!$A$2:$A$433=$A71)*(LEN('[1]Capex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NV",_xlpm.n))=$B71))-IF(AND($A71="O7941/2517",$B71="ERNST &amp; YOUNG CONSULTING"),1,0)-IF(AND($A71="O7941/2613",$B71="ERNST &amp; YOUNG CONSULTING"),1,0)</f>
        <v>6</v>
      </c>
    </row>
    <row r="72" spans="1:6" x14ac:dyDescent="0.25">
      <c r="A72" s="15" t="s">
        <v>109</v>
      </c>
      <c r="B72" s="15" t="s">
        <v>838</v>
      </c>
      <c r="C72" s="21" cm="1">
        <f t="array" ref="C72">SUMPRODUCT(('[1]Capex CJI3'!$A$2:$A$433=$A72)*(IFERROR(VALUE('[1]Capex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NV",_xlpm.n))=$B72)*IFERROR(VALUE('[1]Capex CJI3'!$F$2:$F$433),0))</f>
        <v>0</v>
      </c>
      <c r="D72" s="21" cm="1">
        <f t="array" ref="D72">SUMPRODUCT(('[1]Capex CJI3'!$A$2:$A$433=$A72)*(IFERROR(VALUE('[1]Capex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NV",_xlpm.n))=$B72)*IFERROR(VALUE('[1]Capex CJI3'!$F$2:$F$433),0))-IF(AND($A72="O7941/2517",$B72="ERNST &amp; YOUNG CONSULTING"),'[1]Capex CJI3'!$F$124,0)-IF(AND($A72="O7941/2613",$B72="ERNST &amp; YOUNG CONSULTING"),'[1]Capex CJI3'!$F$313,0)</f>
        <v>14062.5</v>
      </c>
      <c r="E72" s="21">
        <f t="shared" si="4"/>
        <v>14062.5</v>
      </c>
      <c r="F72" s="23" cm="1">
        <f t="array" ref="F72">SUMPRODUCT(('[1]Capex CJI3'!$A$2:$A$433=$A72)*(LEN('[1]Capex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NV",_xlpm.n))=$B72))-IF(AND($A72="O7941/2517",$B72="ERNST &amp; YOUNG CONSULTING"),1,0)-IF(AND($A72="O7941/2613",$B72="ERNST &amp; YOUNG CONSULTING"),1,0)</f>
        <v>2</v>
      </c>
    </row>
    <row r="73" spans="1:6" x14ac:dyDescent="0.25">
      <c r="A73" s="15" t="s">
        <v>115</v>
      </c>
      <c r="B73" s="15" t="s">
        <v>837</v>
      </c>
      <c r="C73" s="21" cm="1">
        <f t="array" ref="C73">SUMPRODUCT(('[1]Capex CJI3'!$A$2:$A$433=$A73)*(IFERROR(VALUE('[1]Capex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NV",_xlpm.n))=$B73)*IFERROR(VALUE('[1]Capex CJI3'!$F$2:$F$433),0))</f>
        <v>0</v>
      </c>
      <c r="D73" s="21" cm="1">
        <f t="array" ref="D73">SUMPRODUCT(('[1]Capex CJI3'!$A$2:$A$433=$A73)*(IFERROR(VALUE('[1]Capex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NV",_xlpm.n))=$B73)*IFERROR(VALUE('[1]Capex CJI3'!$F$2:$F$433),0))-IF(AND($A73="O7941/2517",$B73="ERNST &amp; YOUNG CONSULTING"),'[1]Capex CJI3'!$F$124,0)-IF(AND($A73="O7941/2613",$B73="ERNST &amp; YOUNG CONSULTING"),'[1]Capex CJI3'!$F$313,0)</f>
        <v>2058.59</v>
      </c>
      <c r="E73" s="21">
        <f t="shared" si="4"/>
        <v>2058.59</v>
      </c>
      <c r="F73" s="23" cm="1">
        <f t="array" ref="F73">SUMPRODUCT(('[1]Capex CJI3'!$A$2:$A$433=$A73)*(LEN('[1]Capex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NV",_xlpm.n))=$B73))-IF(AND($A73="O7941/2517",$B73="ERNST &amp; YOUNG CONSULTING"),1,0)-IF(AND($A73="O7941/2613",$B73="ERNST &amp; YOUNG CONSULTING"),1,0)</f>
        <v>2</v>
      </c>
    </row>
    <row r="74" spans="1:6" x14ac:dyDescent="0.25">
      <c r="A74" s="15" t="s">
        <v>118</v>
      </c>
      <c r="B74" s="15" t="s">
        <v>839</v>
      </c>
      <c r="C74" s="21" cm="1">
        <f t="array" ref="C74">SUMPRODUCT(('[1]Capex CJI3'!$A$2:$A$433=$A74)*(IFERROR(VALUE('[1]Capex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NV",_xlpm.n))=$B74)*IFERROR(VALUE('[1]Capex CJI3'!$F$2:$F$433),0))</f>
        <v>0</v>
      </c>
      <c r="D74" s="21" cm="1">
        <f t="array" ref="D74">SUMPRODUCT(('[1]Capex CJI3'!$A$2:$A$433=$A74)*(IFERROR(VALUE('[1]Capex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NV",_xlpm.n))=$B74)*IFERROR(VALUE('[1]Capex CJI3'!$F$2:$F$433),0))-IF(AND($A74="O7941/2517",$B74="ERNST &amp; YOUNG CONSULTING"),'[1]Capex CJI3'!$F$124,0)-IF(AND($A74="O7941/2613",$B74="ERNST &amp; YOUNG CONSULTING"),'[1]Capex CJI3'!$F$313,0)</f>
        <v>5378.23</v>
      </c>
      <c r="E74" s="21">
        <f t="shared" si="4"/>
        <v>5378.23</v>
      </c>
      <c r="F74" s="23" cm="1">
        <f t="array" ref="F74">SUMPRODUCT(('[1]Capex CJI3'!$A$2:$A$433=$A74)*(LEN('[1]Capex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NV",_xlpm.n))=$B74))-IF(AND($A74="O7941/2517",$B74="ERNST &amp; YOUNG CONSULTING"),1,0)-IF(AND($A74="O7941/2613",$B74="ERNST &amp; YOUNG CONSULTING"),1,0)</f>
        <v>1</v>
      </c>
    </row>
    <row r="75" spans="1:6" x14ac:dyDescent="0.25">
      <c r="A75" s="15" t="s">
        <v>124</v>
      </c>
      <c r="B75" s="15" t="s">
        <v>840</v>
      </c>
      <c r="C75" s="21" cm="1">
        <f t="array" ref="C75">SUMPRODUCT(('[1]Capex CJI3'!$A$2:$A$433=$A75)*(IFERROR(VALUE('[1]Capex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NV",_xlpm.n))=$B75)*IFERROR(VALUE('[1]Capex CJI3'!$F$2:$F$433),0))</f>
        <v>0</v>
      </c>
      <c r="D75" s="21" cm="1">
        <f t="array" ref="D75">SUMPRODUCT(('[1]Capex CJI3'!$A$2:$A$433=$A75)*(IFERROR(VALUE('[1]Capex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NV",_xlpm.n))=$B75)*IFERROR(VALUE('[1]Capex CJI3'!$F$2:$F$433),0))-IF(AND($A75="O7941/2517",$B75="ERNST &amp; YOUNG CONSULTING"),'[1]Capex CJI3'!$F$124,0)-IF(AND($A75="O7941/2613",$B75="ERNST &amp; YOUNG CONSULTING"),'[1]Capex CJI3'!$F$313,0)</f>
        <v>84480.530000000013</v>
      </c>
      <c r="E75" s="21">
        <f t="shared" si="4"/>
        <v>84480.530000000013</v>
      </c>
      <c r="F75" s="23" cm="1">
        <f t="array" ref="F75">SUMPRODUCT(('[1]Capex CJI3'!$A$2:$A$433=$A75)*(LEN('[1]Capex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NV",_xlpm.n))=$B75))-IF(AND($A75="O7941/2517",$B75="ERNST &amp; YOUNG CONSULTING"),1,0)-IF(AND($A75="O7941/2613",$B75="ERNST &amp; YOUNG CONSULTING"),1,0)</f>
        <v>13</v>
      </c>
    </row>
    <row r="76" spans="1:6" x14ac:dyDescent="0.25">
      <c r="A76" s="15" t="s">
        <v>128</v>
      </c>
      <c r="B76" s="15" t="s">
        <v>841</v>
      </c>
      <c r="C76" s="21" cm="1">
        <f t="array" ref="C76">SUMPRODUCT(('[1]Capex CJI3'!$A$2:$A$433=$A76)*(IFERROR(VALUE('[1]Capex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NV",_xlpm.n))=$B76)*IFERROR(VALUE('[1]Capex CJI3'!$F$2:$F$433),0))</f>
        <v>0</v>
      </c>
      <c r="D76" s="21" cm="1">
        <f t="array" ref="D76">SUMPRODUCT(('[1]Capex CJI3'!$A$2:$A$433=$A76)*(IFERROR(VALUE('[1]Capex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NV",_xlpm.n))=$B76)*IFERROR(VALUE('[1]Capex CJI3'!$F$2:$F$433),0))-IF(AND($A76="O7941/2517",$B76="ERNST &amp; YOUNG CONSULTING"),'[1]Capex CJI3'!$F$124,0)-IF(AND($A76="O7941/2613",$B76="ERNST &amp; YOUNG CONSULTING"),'[1]Capex CJI3'!$F$313,0)</f>
        <v>3583.96</v>
      </c>
      <c r="E76" s="21">
        <f t="shared" si="4"/>
        <v>3583.96</v>
      </c>
      <c r="F76" s="23" cm="1">
        <f t="array" ref="F76">SUMPRODUCT(('[1]Capex CJI3'!$A$2:$A$433=$A76)*(LEN('[1]Capex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NV",_xlpm.n))=$B76))-IF(AND($A76="O7941/2517",$B76="ERNST &amp; YOUNG CONSULTING"),1,0)-IF(AND($A76="O7941/2613",$B76="ERNST &amp; YOUNG CONSULTING"),1,0)</f>
        <v>3</v>
      </c>
    </row>
    <row r="77" spans="1:6" x14ac:dyDescent="0.25">
      <c r="A77" s="15" t="s">
        <v>131</v>
      </c>
      <c r="B77" s="15" t="s">
        <v>842</v>
      </c>
      <c r="C77" s="21" cm="1">
        <f t="array" ref="C77">SUMPRODUCT(('[1]Capex CJI3'!$A$2:$A$433=$A77)*(IFERROR(VALUE('[1]Capex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NV",_xlpm.n))=$B77)*IFERROR(VALUE('[1]Capex CJI3'!$F$2:$F$433),0))</f>
        <v>0</v>
      </c>
      <c r="D77" s="21" cm="1">
        <f t="array" ref="D77">SUMPRODUCT(('[1]Capex CJI3'!$A$2:$A$433=$A77)*(IFERROR(VALUE('[1]Capex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NV",_xlpm.n))=$B77)*IFERROR(VALUE('[1]Capex CJI3'!$F$2:$F$433),0))-IF(AND($A77="O7941/2517",$B77="ERNST &amp; YOUNG CONSULTING"),'[1]Capex CJI3'!$F$124,0)-IF(AND($A77="O7941/2613",$B77="ERNST &amp; YOUNG CONSULTING"),'[1]Capex CJI3'!$F$313,0)</f>
        <v>50000</v>
      </c>
      <c r="E77" s="21">
        <f t="shared" si="4"/>
        <v>50000</v>
      </c>
      <c r="F77" s="23" cm="1">
        <f t="array" ref="F77">SUMPRODUCT(('[1]Capex CJI3'!$A$2:$A$433=$A77)*(LEN('[1]Capex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NV",_xlpm.n))=$B77))-IF(AND($A77="O7941/2517",$B77="ERNST &amp; YOUNG CONSULTING"),1,0)-IF(AND($A77="O7941/2613",$B77="ERNST &amp; YOUNG CONSULTING"),1,0)</f>
        <v>5</v>
      </c>
    </row>
    <row r="78" spans="1:6" x14ac:dyDescent="0.25">
      <c r="A78" s="15" t="s">
        <v>134</v>
      </c>
      <c r="B78" s="15" t="s">
        <v>843</v>
      </c>
      <c r="C78" s="21" cm="1">
        <f t="array" ref="C78">SUMPRODUCT(('[1]Capex CJI3'!$A$2:$A$433=$A78)*(IFERROR(VALUE('[1]Capex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NV",_xlpm.n))=$B78)*IFERROR(VALUE('[1]Capex CJI3'!$F$2:$F$433),0))</f>
        <v>0</v>
      </c>
      <c r="D78" s="21" cm="1">
        <f t="array" ref="D78">SUMPRODUCT(('[1]Capex CJI3'!$A$2:$A$433=$A78)*(IFERROR(VALUE('[1]Capex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NV",_xlpm.n))=$B78)*IFERROR(VALUE('[1]Capex CJI3'!$F$2:$F$433),0))-IF(AND($A78="O7941/2517",$B78="ERNST &amp; YOUNG CONSULTING"),'[1]Capex CJI3'!$F$124,0)-IF(AND($A78="O7941/2613",$B78="ERNST &amp; YOUNG CONSULTING"),'[1]Capex CJI3'!$F$313,0)</f>
        <v>32500</v>
      </c>
      <c r="E78" s="21">
        <f t="shared" si="4"/>
        <v>32500</v>
      </c>
      <c r="F78" s="23" cm="1">
        <f t="array" ref="F78">SUMPRODUCT(('[1]Capex CJI3'!$A$2:$A$433=$A78)*(LEN('[1]Capex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NV",_xlpm.n))=$B78))-IF(AND($A78="O7941/2517",$B78="ERNST &amp; YOUNG CONSULTING"),1,0)-IF(AND($A78="O7941/2613",$B78="ERNST &amp; YOUNG CONSULTING"),1,0)</f>
        <v>2</v>
      </c>
    </row>
    <row r="79" spans="1:6" x14ac:dyDescent="0.25">
      <c r="A79" s="15" t="s">
        <v>139</v>
      </c>
      <c r="B79" s="15" t="s">
        <v>842</v>
      </c>
      <c r="C79" s="21" cm="1">
        <f t="array" ref="C79">SUMPRODUCT(('[1]Capex CJI3'!$A$2:$A$433=$A79)*(IFERROR(VALUE('[1]Capex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NV",_xlpm.n))=$B79)*IFERROR(VALUE('[1]Capex CJI3'!$F$2:$F$433),0))</f>
        <v>0</v>
      </c>
      <c r="D79" s="21" cm="1">
        <f t="array" ref="D79">SUMPRODUCT(('[1]Capex CJI3'!$A$2:$A$433=$A79)*(IFERROR(VALUE('[1]Capex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NV",_xlpm.n))=$B79)*IFERROR(VALUE('[1]Capex CJI3'!$F$2:$F$433),0))-IF(AND($A79="O7941/2517",$B79="ERNST &amp; YOUNG CONSULTING"),'[1]Capex CJI3'!$F$124,0)-IF(AND($A79="O7941/2613",$B79="ERNST &amp; YOUNG CONSULTING"),'[1]Capex CJI3'!$F$313,0)</f>
        <v>8100</v>
      </c>
      <c r="E79" s="21">
        <f t="shared" si="4"/>
        <v>8100</v>
      </c>
      <c r="F79" s="23" cm="1">
        <f t="array" ref="F79">SUMPRODUCT(('[1]Capex CJI3'!$A$2:$A$433=$A79)*(LEN('[1]Capex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NV",_xlpm.n))=$B79))-IF(AND($A79="O7941/2517",$B79="ERNST &amp; YOUNG CONSULTING"),1,0)-IF(AND($A79="O7941/2613",$B79="ERNST &amp; YOUNG CONSULTING"),1,0)</f>
        <v>3</v>
      </c>
    </row>
    <row r="80" spans="1:6" x14ac:dyDescent="0.25">
      <c r="A80" s="15" t="s">
        <v>146</v>
      </c>
      <c r="B80" s="15" t="s">
        <v>830</v>
      </c>
      <c r="C80" s="21" cm="1">
        <f t="array" ref="C80">SUMPRODUCT(('[1]Capex CJI3'!$A$2:$A$433=$A80)*(IFERROR(VALUE('[1]Capex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NV",_xlpm.n))=$B80)*IFERROR(VALUE('[1]Capex CJI3'!$F$2:$F$433),0))</f>
        <v>0</v>
      </c>
      <c r="D80" s="21" cm="1">
        <f t="array" ref="D80">SUMPRODUCT(('[1]Capex CJI3'!$A$2:$A$433=$A80)*(IFERROR(VALUE('[1]Capex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NV",_xlpm.n))=$B80)*IFERROR(VALUE('[1]Capex CJI3'!$F$2:$F$433),0))-IF(AND($A80="O7941/2517",$B80="ERNST &amp; YOUNG CONSULTING"),'[1]Capex CJI3'!$F$124,0)-IF(AND($A80="O7941/2613",$B80="ERNST &amp; YOUNG CONSULTING"),'[1]Capex CJI3'!$F$313,0)</f>
        <v>68750</v>
      </c>
      <c r="E80" s="21">
        <f t="shared" si="4"/>
        <v>68750</v>
      </c>
      <c r="F80" s="23" cm="1">
        <f t="array" ref="F80">SUMPRODUCT(('[1]Capex CJI3'!$A$2:$A$433=$A80)*(LEN('[1]Capex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NV",_xlpm.n))=$B80))-IF(AND($A80="O7941/2517",$B80="ERNST &amp; YOUNG CONSULTING"),1,0)-IF(AND($A80="O7941/2613",$B80="ERNST &amp; YOUNG CONSULTING"),1,0)</f>
        <v>7</v>
      </c>
    </row>
    <row r="81" spans="1:6" x14ac:dyDescent="0.25">
      <c r="A81" s="15" t="s">
        <v>149</v>
      </c>
      <c r="B81" s="15" t="s">
        <v>844</v>
      </c>
      <c r="C81" s="21" cm="1">
        <f t="array" ref="C81">SUMPRODUCT(('[1]Capex CJI3'!$A$2:$A$433=$A81)*(IFERROR(VALUE('[1]Capex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NV",_xlpm.n))=$B81)*IFERROR(VALUE('[1]Capex CJI3'!$F$2:$F$433),0))</f>
        <v>0</v>
      </c>
      <c r="D81" s="21" cm="1">
        <f t="array" ref="D81">SUMPRODUCT(('[1]Capex CJI3'!$A$2:$A$433=$A81)*(IFERROR(VALUE('[1]Capex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NV",_xlpm.n))=$B81)*IFERROR(VALUE('[1]Capex CJI3'!$F$2:$F$433),0))-IF(AND($A81="O7941/2517",$B81="ERNST &amp; YOUNG CONSULTING"),'[1]Capex CJI3'!$F$124,0)-IF(AND($A81="O7941/2613",$B81="ERNST &amp; YOUNG CONSULTING"),'[1]Capex CJI3'!$F$313,0)</f>
        <v>8525</v>
      </c>
      <c r="E81" s="21">
        <f t="shared" si="4"/>
        <v>8525</v>
      </c>
      <c r="F81" s="23" cm="1">
        <f t="array" ref="F81">SUMPRODUCT(('[1]Capex CJI3'!$A$2:$A$433=$A81)*(LEN('[1]Capex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NV",_xlpm.n))=$B81))-IF(AND($A81="O7941/2517",$B81="ERNST &amp; YOUNG CONSULTING"),1,0)-IF(AND($A81="O7941/2613",$B81="ERNST &amp; YOUNG CONSULTING"),1,0)</f>
        <v>2</v>
      </c>
    </row>
    <row r="82" spans="1:6" x14ac:dyDescent="0.25">
      <c r="A82" s="15" t="s">
        <v>149</v>
      </c>
      <c r="B82" s="15" t="s">
        <v>842</v>
      </c>
      <c r="C82" s="21" cm="1">
        <f t="array" ref="C82">SUMPRODUCT(('[1]Capex CJI3'!$A$2:$A$433=$A82)*(IFERROR(VALUE('[1]Capex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NV",_xlpm.n))=$B82)*IFERROR(VALUE('[1]Capex CJI3'!$F$2:$F$433),0))</f>
        <v>0</v>
      </c>
      <c r="D82" s="21" cm="1">
        <f t="array" ref="D82">SUMPRODUCT(('[1]Capex CJI3'!$A$2:$A$433=$A82)*(IFERROR(VALUE('[1]Capex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NV",_xlpm.n))=$B82)*IFERROR(VALUE('[1]Capex CJI3'!$F$2:$F$433),0))-IF(AND($A82="O7941/2517",$B82="ERNST &amp; YOUNG CONSULTING"),'[1]Capex CJI3'!$F$124,0)-IF(AND($A82="O7941/2613",$B82="ERNST &amp; YOUNG CONSULTING"),'[1]Capex CJI3'!$F$313,0)</f>
        <v>22225</v>
      </c>
      <c r="E82" s="21">
        <f t="shared" si="4"/>
        <v>22225</v>
      </c>
      <c r="F82" s="23" cm="1">
        <f t="array" ref="F82">SUMPRODUCT(('[1]Capex CJI3'!$A$2:$A$433=$A82)*(LEN('[1]Capex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NV",_xlpm.n))=$B82))-IF(AND($A82="O7941/2517",$B82="ERNST &amp; YOUNG CONSULTING"),1,0)-IF(AND($A82="O7941/2613",$B82="ERNST &amp; YOUNG CONSULTING"),1,0)</f>
        <v>3</v>
      </c>
    </row>
    <row r="83" spans="1:6" x14ac:dyDescent="0.25">
      <c r="A83" s="15" t="s">
        <v>159</v>
      </c>
      <c r="B83" s="15" t="s">
        <v>845</v>
      </c>
      <c r="C83" s="21" cm="1">
        <f t="array" ref="C83">SUMPRODUCT(('[1]Capex CJI3'!$A$2:$A$433=$A83)*(IFERROR(VALUE('[1]Capex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NV",_xlpm.n))=$B83)*IFERROR(VALUE('[1]Capex CJI3'!$F$2:$F$433),0))</f>
        <v>0</v>
      </c>
      <c r="D83" s="21" cm="1">
        <f t="array" ref="D83">SUMPRODUCT(('[1]Capex CJI3'!$A$2:$A$433=$A83)*(IFERROR(VALUE('[1]Capex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NV",_xlpm.n))=$B83)*IFERROR(VALUE('[1]Capex CJI3'!$F$2:$F$433),0))-IF(AND($A83="O7941/2517",$B83="ERNST &amp; YOUNG CONSULTING"),'[1]Capex CJI3'!$F$124,0)-IF(AND($A83="O7941/2613",$B83="ERNST &amp; YOUNG CONSULTING"),'[1]Capex CJI3'!$F$313,0)</f>
        <v>37803</v>
      </c>
      <c r="E83" s="21">
        <f t="shared" si="4"/>
        <v>37803</v>
      </c>
      <c r="F83" s="23" cm="1">
        <f t="array" ref="F83">SUMPRODUCT(('[1]Capex CJI3'!$A$2:$A$433=$A83)*(LEN('[1]Capex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NV",_xlpm.n))=$B83))-IF(AND($A83="O7941/2517",$B83="ERNST &amp; YOUNG CONSULTING"),1,0)-IF(AND($A83="O7941/2613",$B83="ERNST &amp; YOUNG CONSULTING"),1,0)</f>
        <v>3</v>
      </c>
    </row>
    <row r="84" spans="1:6" x14ac:dyDescent="0.25">
      <c r="A84" s="15" t="s">
        <v>162</v>
      </c>
      <c r="B84" s="15" t="s">
        <v>846</v>
      </c>
      <c r="C84" s="21" cm="1">
        <f t="array" ref="C84">SUMPRODUCT(('[1]Capex CJI3'!$A$2:$A$433=$A84)*(IFERROR(VALUE('[1]Capex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NV",_xlpm.n))=$B84)*IFERROR(VALUE('[1]Capex CJI3'!$F$2:$F$433),0))</f>
        <v>0</v>
      </c>
      <c r="D84" s="21" cm="1">
        <f t="array" ref="D84">SUMPRODUCT(('[1]Capex CJI3'!$A$2:$A$433=$A84)*(IFERROR(VALUE('[1]Capex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NV",_xlpm.n))=$B84)*IFERROR(VALUE('[1]Capex CJI3'!$F$2:$F$433),0))-IF(AND($A84="O7941/2517",$B84="ERNST &amp; YOUNG CONSULTING"),'[1]Capex CJI3'!$F$124,0)-IF(AND($A84="O7941/2613",$B84="ERNST &amp; YOUNG CONSULTING"),'[1]Capex CJI3'!$F$313,0)</f>
        <v>18752.66</v>
      </c>
      <c r="E84" s="21">
        <f t="shared" si="4"/>
        <v>18752.66</v>
      </c>
      <c r="F84" s="23" cm="1">
        <f t="array" ref="F84">SUMPRODUCT(('[1]Capex CJI3'!$A$2:$A$433=$A84)*(LEN('[1]Capex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NV",_xlpm.n))=$B84))-IF(AND($A84="O7941/2517",$B84="ERNST &amp; YOUNG CONSULTING"),1,0)-IF(AND($A84="O7941/2613",$B84="ERNST &amp; YOUNG CONSULTING"),1,0)</f>
        <v>2</v>
      </c>
    </row>
    <row r="85" spans="1:6" x14ac:dyDescent="0.25">
      <c r="A85" s="15" t="s">
        <v>165</v>
      </c>
      <c r="B85" s="15" t="s">
        <v>847</v>
      </c>
      <c r="C85" s="21" cm="1">
        <f t="array" ref="C85">SUMPRODUCT(('[1]Capex CJI3'!$A$2:$A$433=$A85)*(IFERROR(VALUE('[1]Capex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NV",_xlpm.n))=$B85)*IFERROR(VALUE('[1]Capex CJI3'!$F$2:$F$433),0))</f>
        <v>0</v>
      </c>
      <c r="D85" s="21" cm="1">
        <f t="array" ref="D85">SUMPRODUCT(('[1]Capex CJI3'!$A$2:$A$433=$A85)*(IFERROR(VALUE('[1]Capex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NV",_xlpm.n))=$B85)*IFERROR(VALUE('[1]Capex CJI3'!$F$2:$F$433),0))-IF(AND($A85="O7941/2517",$B85="ERNST &amp; YOUNG CONSULTING"),'[1]Capex CJI3'!$F$124,0)-IF(AND($A85="O7941/2613",$B85="ERNST &amp; YOUNG CONSULTING"),'[1]Capex CJI3'!$F$313,0)</f>
        <v>98100</v>
      </c>
      <c r="E85" s="21">
        <f t="shared" si="4"/>
        <v>98100</v>
      </c>
      <c r="F85" s="23" cm="1">
        <f t="array" ref="F85">SUMPRODUCT(('[1]Capex CJI3'!$A$2:$A$433=$A85)*(LEN('[1]Capex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NV",_xlpm.n))=$B85))-IF(AND($A85="O7941/2517",$B85="ERNST &amp; YOUNG CONSULTING"),1,0)-IF(AND($A85="O7941/2613",$B85="ERNST &amp; YOUNG CONSULTING"),1,0)</f>
        <v>5</v>
      </c>
    </row>
    <row r="86" spans="1:6" x14ac:dyDescent="0.25">
      <c r="A86" s="15" t="s">
        <v>172</v>
      </c>
      <c r="B86" s="15" t="s">
        <v>848</v>
      </c>
      <c r="C86" s="21" cm="1">
        <f t="array" ref="C86">SUMPRODUCT(('[1]Capex CJI3'!$A$2:$A$433=$A86)*(IFERROR(VALUE('[1]Capex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NV",_xlpm.n))=$B86)*IFERROR(VALUE('[1]Capex CJI3'!$F$2:$F$433),0))</f>
        <v>0</v>
      </c>
      <c r="D86" s="21" cm="1">
        <f t="array" ref="D86">SUMPRODUCT(('[1]Capex CJI3'!$A$2:$A$433=$A86)*(IFERROR(VALUE('[1]Capex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NV",_xlpm.n))=$B86)*IFERROR(VALUE('[1]Capex CJI3'!$F$2:$F$433),0))-IF(AND($A86="O7941/2517",$B86="ERNST &amp; YOUNG CONSULTING"),'[1]Capex CJI3'!$F$124,0)-IF(AND($A86="O7941/2613",$B86="ERNST &amp; YOUNG CONSULTING"),'[1]Capex CJI3'!$F$313,0)</f>
        <v>976.1</v>
      </c>
      <c r="E86" s="21">
        <f t="shared" si="4"/>
        <v>976.1</v>
      </c>
      <c r="F86" s="23" cm="1">
        <f t="array" ref="F86">SUMPRODUCT(('[1]Capex CJI3'!$A$2:$A$433=$A86)*(LEN('[1]Capex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NV",_xlpm.n))=$B86))-IF(AND($A86="O7941/2517",$B86="ERNST &amp; YOUNG CONSULTING"),1,0)-IF(AND($A86="O7941/2613",$B86="ERNST &amp; YOUNG CONSULTING"),1,0)</f>
        <v>1</v>
      </c>
    </row>
    <row r="87" spans="1:6" x14ac:dyDescent="0.25">
      <c r="A87" s="15" t="s">
        <v>180</v>
      </c>
      <c r="B87" s="15" t="s">
        <v>849</v>
      </c>
      <c r="C87" s="21" cm="1">
        <f t="array" ref="C87">SUMPRODUCT(('[1]Capex CJI3'!$A$2:$A$433=$A87)*(IFERROR(VALUE('[1]Capex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NV",_xlpm.n))=$B87)*IFERROR(VALUE('[1]Capex CJI3'!$F$2:$F$433),0))</f>
        <v>0</v>
      </c>
      <c r="D87" s="21" cm="1">
        <f t="array" ref="D87">SUMPRODUCT(('[1]Capex CJI3'!$A$2:$A$433=$A87)*(IFERROR(VALUE('[1]Capex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NV",_xlpm.n))=$B87)*IFERROR(VALUE('[1]Capex CJI3'!$F$2:$F$433),0))-IF(AND($A87="O7941/2517",$B87="ERNST &amp; YOUNG CONSULTING"),'[1]Capex CJI3'!$F$124,0)-IF(AND($A87="O7941/2613",$B87="ERNST &amp; YOUNG CONSULTING"),'[1]Capex CJI3'!$F$313,0)</f>
        <v>84000</v>
      </c>
      <c r="E87" s="21">
        <f t="shared" si="4"/>
        <v>84000</v>
      </c>
      <c r="F87" s="23" cm="1">
        <f t="array" ref="F87">SUMPRODUCT(('[1]Capex CJI3'!$A$2:$A$433=$A87)*(LEN('[1]Capex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NV",_xlpm.n))=$B87))-IF(AND($A87="O7941/2517",$B87="ERNST &amp; YOUNG CONSULTING"),1,0)-IF(AND($A87="O7941/2613",$B87="ERNST &amp; YOUNG CONSULTING"),1,0)</f>
        <v>1</v>
      </c>
    </row>
    <row r="88" spans="1:6" x14ac:dyDescent="0.25">
      <c r="A88" s="15" t="s">
        <v>190</v>
      </c>
      <c r="B88" s="15" t="s">
        <v>850</v>
      </c>
      <c r="C88" s="21" cm="1">
        <f t="array" ref="C88">SUMPRODUCT(('[1]Capex CJI3'!$A$2:$A$433=$A88)*(IFERROR(VALUE('[1]Capex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NV",_xlpm.n))=$B88)*IFERROR(VALUE('[1]Capex CJI3'!$F$2:$F$433),0))</f>
        <v>0</v>
      </c>
      <c r="D88" s="21" cm="1">
        <f t="array" ref="D88">SUMPRODUCT(('[1]Capex CJI3'!$A$2:$A$433=$A88)*(IFERROR(VALUE('[1]Capex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NV",_xlpm.n))=$B88)*IFERROR(VALUE('[1]Capex CJI3'!$F$2:$F$433),0))-IF(AND($A88="O7941/2517",$B88="ERNST &amp; YOUNG CONSULTING"),'[1]Capex CJI3'!$F$124,0)-IF(AND($A88="O7941/2613",$B88="ERNST &amp; YOUNG CONSULTING"),'[1]Capex CJI3'!$F$313,0)</f>
        <v>13469</v>
      </c>
      <c r="E88" s="21">
        <f t="shared" si="4"/>
        <v>13469</v>
      </c>
      <c r="F88" s="23" cm="1">
        <f t="array" ref="F88">SUMPRODUCT(('[1]Capex CJI3'!$A$2:$A$433=$A88)*(LEN('[1]Capex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NV",_xlpm.n))=$B88))-IF(AND($A88="O7941/2517",$B88="ERNST &amp; YOUNG CONSULTING"),1,0)-IF(AND($A88="O7941/2613",$B88="ERNST &amp; YOUNG CONSULTING"),1,0)</f>
        <v>4</v>
      </c>
    </row>
    <row r="89" spans="1:6" x14ac:dyDescent="0.25">
      <c r="A89" s="15" t="s">
        <v>201</v>
      </c>
      <c r="B89" s="15" t="s">
        <v>851</v>
      </c>
      <c r="C89" s="21" cm="1">
        <f t="array" ref="C89">SUMPRODUCT(('[1]Capex CJI3'!$A$2:$A$433=$A89)*(IFERROR(VALUE('[1]Capex CJI3'!$K$2:$K$433),0)=2025)*(LEN('[1]Capex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NV",_xlpm.n))=$B89)*IFERROR(VALUE('[1]Capex CJI3'!$F$2:$F$433),0))</f>
        <v>0</v>
      </c>
      <c r="D89" s="21" cm="1">
        <f t="array" ref="D89">SUMPRODUCT(('[1]Capex CJI3'!$A$2:$A$433=$A89)*(IFERROR(VALUE('[1]Capex CJI3'!$K$2:$K$433),0)=2026)*(LEN('[1]Capex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NV",_xlpm.n))=$B89)*IFERROR(VALUE('[1]Capex CJI3'!$F$2:$F$433),0))-IF(AND($A89="O7941/2517",$B89="ERNST &amp; YOUNG CONSULTING"),'[1]Capex CJI3'!$F$124,0)-IF(AND($A89="O7941/2613",$B89="ERNST &amp; YOUNG CONSULTING"),'[1]Capex CJI3'!$F$313,0)</f>
        <v>1565.28</v>
      </c>
      <c r="E89" s="21">
        <f t="shared" si="4"/>
        <v>1565.28</v>
      </c>
      <c r="F89" s="23" cm="1">
        <f t="array" ref="F89">SUMPRODUCT(('[1]Capex CJI3'!$A$2:$A$433=$A89)*(LEN('[1]Capex CJI3'!$E$2:$E$433)&gt;0)*ISERROR(SEARCH("Reclass internal hours",'[1]Capex CJI3'!$J$2:$J$433))*(_xlfn.LET(_xlpm.n,IF('[1]Capex CJI3'!$J$2:$J$433="","Unknown vendor",IFERROR(LEFT('[1]Capex CJI3'!$J$2:$J$433,FIND("/",'[1]Capex CJI3'!$J$2:$J$433)-1),'[1]Capex CJI3'!$J$2:$J$433)),_xlfn.SWITCH(_xlpm.n,"SAP BELGIUM N","SAP BELGIUM NV","PLANISWARE BELGIUM SR","PLANISWARE BELGIUM SRL","ERNST &amp; YOUNG CONSUL","ERNST &amp; YOUNG CONSULTING","ERNST &amp; YOUNG CONSULTI","ERNST &amp; YOUNG CONSULTING","ERNST &amp; YOUNG CONSULTIN","ERNST &amp; YOUNG CONSULTING","FLEXSO SUPPLY CHAI","FLEXSO SUPPLY CHAIN NV",_xlpm.n))=$B89))-IF(AND($A89="O7941/2517",$B89="ERNST &amp; YOUNG CONSULTING"),1,0)-IF(AND($A89="O7941/2613",$B89="ERNST &amp; YOUNG CONSULTING"),1,0)</f>
        <v>1</v>
      </c>
    </row>
  </sheetData>
  <mergeCells count="5">
    <mergeCell ref="A1:N1"/>
    <mergeCell ref="A2:N2"/>
    <mergeCell ref="A3:N4"/>
    <mergeCell ref="A6:N6"/>
    <mergeCell ref="A57:F57"/>
  </mergeCells>
  <pageMargins left="0.7" right="0.7" top="0.75" bottom="0.75" header="0.3" footer="0.3"/>
  <headerFooter>
    <oddFooter xml:space="preserve">&amp;C_x000D_&amp;1#&amp;"Aptos"&amp;11&amp;K000000 Classification: Internal </oddFooter>
  </headerFooter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3F6F-C462-4531-B60D-6982EDDB21A4}">
  <dimension ref="A1:AZ133"/>
  <sheetViews>
    <sheetView topLeftCell="R10" workbookViewId="0">
      <selection activeCell="AI31" sqref="AI31"/>
    </sheetView>
  </sheetViews>
  <sheetFormatPr defaultRowHeight="12.5" x14ac:dyDescent="0.25"/>
  <cols>
    <col min="1" max="1" width="10.7265625" bestFit="1" customWidth="1"/>
    <col min="2" max="2" width="7.453125" hidden="1" customWidth="1"/>
    <col min="3" max="5" width="8.90625" hidden="1" customWidth="1"/>
    <col min="6" max="6" width="9.90625" hidden="1" customWidth="1"/>
    <col min="7" max="7" width="7" bestFit="1" customWidth="1"/>
    <col min="8" max="10" width="9.90625" bestFit="1" customWidth="1"/>
    <col min="11" max="11" width="12.453125" bestFit="1" customWidth="1"/>
    <col min="12" max="12" width="11.453125" bestFit="1" customWidth="1"/>
    <col min="13" max="13" width="7.7265625" hidden="1" customWidth="1"/>
    <col min="14" max="14" width="8.90625" hidden="1" customWidth="1"/>
    <col min="15" max="16" width="9.90625" hidden="1" customWidth="1"/>
    <col min="17" max="17" width="11.453125" hidden="1" customWidth="1"/>
    <col min="18" max="21" width="11.453125" bestFit="1" customWidth="1"/>
    <col min="22" max="22" width="8.1796875" hidden="1" customWidth="1"/>
    <col min="23" max="23" width="9.54296875" hidden="1" customWidth="1"/>
    <col min="24" max="25" width="10.54296875" hidden="1" customWidth="1"/>
    <col min="26" max="28" width="12.08984375" hidden="1" customWidth="1"/>
    <col min="29" max="29" width="11.453125" bestFit="1" customWidth="1"/>
    <col min="30" max="30" width="9.90625" bestFit="1" customWidth="1"/>
    <col min="31" max="31" width="11.453125" bestFit="1" customWidth="1"/>
    <col min="42" max="42" width="10.6328125" bestFit="1" customWidth="1"/>
    <col min="43" max="43" width="40.36328125" bestFit="1" customWidth="1"/>
    <col min="44" max="44" width="7.7265625" bestFit="1" customWidth="1"/>
    <col min="45" max="47" width="8.90625" bestFit="1" customWidth="1"/>
    <col min="48" max="51" width="11.453125" bestFit="1" customWidth="1"/>
    <col min="52" max="52" width="8.26953125" bestFit="1" customWidth="1"/>
  </cols>
  <sheetData>
    <row r="1" spans="1:52" ht="58" x14ac:dyDescent="0.25">
      <c r="A1" s="32" t="s">
        <v>852</v>
      </c>
      <c r="B1" s="32" t="s">
        <v>853</v>
      </c>
      <c r="C1" s="32" t="s">
        <v>854</v>
      </c>
      <c r="D1" s="32" t="s">
        <v>855</v>
      </c>
      <c r="E1" s="32" t="s">
        <v>856</v>
      </c>
      <c r="F1" s="32" t="s">
        <v>857</v>
      </c>
      <c r="G1" s="32" t="s">
        <v>858</v>
      </c>
      <c r="H1" s="32" t="s">
        <v>859</v>
      </c>
      <c r="I1" s="32" t="s">
        <v>860</v>
      </c>
      <c r="J1" s="32" t="s">
        <v>861</v>
      </c>
      <c r="K1" s="32" t="s">
        <v>862</v>
      </c>
      <c r="L1" s="32" t="s">
        <v>863</v>
      </c>
      <c r="M1" s="32" t="s">
        <v>864</v>
      </c>
      <c r="N1" s="32" t="s">
        <v>865</v>
      </c>
      <c r="O1" s="32" t="s">
        <v>866</v>
      </c>
      <c r="P1" s="32" t="s">
        <v>867</v>
      </c>
      <c r="Q1" s="32" t="s">
        <v>810</v>
      </c>
      <c r="R1" s="32" t="s">
        <v>868</v>
      </c>
      <c r="S1" s="32" t="s">
        <v>814</v>
      </c>
      <c r="T1" s="32" t="s">
        <v>869</v>
      </c>
      <c r="U1" s="32" t="s">
        <v>870</v>
      </c>
      <c r="V1" s="32" t="s">
        <v>871</v>
      </c>
      <c r="W1" s="32" t="s">
        <v>872</v>
      </c>
      <c r="X1" s="32" t="s">
        <v>873</v>
      </c>
      <c r="Y1" s="32" t="s">
        <v>874</v>
      </c>
      <c r="Z1" s="32" t="s">
        <v>875</v>
      </c>
      <c r="AA1" s="32" t="s">
        <v>876</v>
      </c>
      <c r="AB1" s="32" t="s">
        <v>877</v>
      </c>
      <c r="AC1" s="32" t="s">
        <v>878</v>
      </c>
      <c r="AD1" s="32" t="s">
        <v>879</v>
      </c>
      <c r="AE1" s="33" t="s">
        <v>880</v>
      </c>
      <c r="AP1" s="40" t="s">
        <v>852</v>
      </c>
      <c r="AQ1" s="40" t="s">
        <v>824</v>
      </c>
      <c r="AR1" s="40" t="s">
        <v>864</v>
      </c>
      <c r="AS1" s="40" t="s">
        <v>865</v>
      </c>
      <c r="AT1" s="40" t="s">
        <v>866</v>
      </c>
      <c r="AU1" s="40" t="s">
        <v>867</v>
      </c>
      <c r="AV1" s="40" t="s">
        <v>810</v>
      </c>
      <c r="AW1" s="40" t="s">
        <v>1014</v>
      </c>
      <c r="AX1" s="40" t="s">
        <v>814</v>
      </c>
      <c r="AY1" s="40" t="s">
        <v>1015</v>
      </c>
      <c r="AZ1" s="41" t="s">
        <v>858</v>
      </c>
    </row>
    <row r="2" spans="1:52" x14ac:dyDescent="0.25">
      <c r="A2" s="34" t="s">
        <v>881</v>
      </c>
      <c r="B2" s="35">
        <v>400</v>
      </c>
      <c r="C2" s="35">
        <v>99584.77</v>
      </c>
      <c r="D2" s="35">
        <v>12600</v>
      </c>
      <c r="E2" s="35">
        <v>46200</v>
      </c>
      <c r="F2" s="35">
        <v>0</v>
      </c>
      <c r="G2" s="15" t="s">
        <v>882</v>
      </c>
      <c r="H2" s="35">
        <f t="shared" ref="H2:H65" si="0">SUM(B2:F2)</f>
        <v>158784.77000000002</v>
      </c>
      <c r="I2" s="35">
        <v>0</v>
      </c>
      <c r="J2" s="35">
        <v>0</v>
      </c>
      <c r="K2" s="35">
        <f>_xlfn.LET(_xlpm.x,_xlfn.XLOOKUP(A2&amp;"/2/1",'[1]S_ALR Export'!$O$1:$O$777,'[1]S_ALR Export'!$I$1:$I$777,"",0),IF(_xlpm.x="",0,IF(ISNUMBER(_xlpm.x),_xlpm.x,_xlfn.NUMBERVALUE(_xlpm.x,",","."))))</f>
        <v>158785</v>
      </c>
      <c r="L2" s="35">
        <f t="shared" ref="L2:L65" si="1">H2+I2+J2</f>
        <v>158784.77000000002</v>
      </c>
      <c r="M2" s="35">
        <v>0</v>
      </c>
      <c r="N2" s="35">
        <v>40000</v>
      </c>
      <c r="O2" s="35">
        <v>12245</v>
      </c>
      <c r="P2" s="35">
        <v>66391.759999999995</v>
      </c>
      <c r="Q2" s="35">
        <v>1027.8</v>
      </c>
      <c r="R2" s="35">
        <f>SUM(M2:Q2)</f>
        <v>119664.56</v>
      </c>
      <c r="S2" s="35">
        <v>0</v>
      </c>
      <c r="T2" s="35">
        <f>_xlfn.LET(_xlpm.x,_xlfn.XLOOKUP(A2&amp;"/2/2",'[1]S_ALR Export'!$O$1:$O$777,'[1]S_ALR Export'!$I$1:$I$777,"",0),IF(_xlpm.x="",0,IF(ISNUMBER(_xlpm.x),_xlpm.x,_xlfn.NUMBERVALUE(_xlpm.x,",","."))))</f>
        <v>119665</v>
      </c>
      <c r="U2" s="35">
        <v>119664.56</v>
      </c>
      <c r="V2" s="35">
        <v>0</v>
      </c>
      <c r="W2" s="35">
        <v>-68000</v>
      </c>
      <c r="X2" s="35">
        <v>-51000</v>
      </c>
      <c r="Y2" s="35">
        <v>-60000</v>
      </c>
      <c r="Z2" s="35">
        <v>0</v>
      </c>
      <c r="AA2" s="35">
        <v>0</v>
      </c>
      <c r="AB2" s="35">
        <f>SUM(V2:AA2)</f>
        <v>-179000</v>
      </c>
      <c r="AC2" s="35">
        <f t="shared" ref="AC2:AC34" si="2">SUM(L2,U2)</f>
        <v>278449.33</v>
      </c>
      <c r="AD2" s="35">
        <f t="shared" ref="AD2:AD15" si="3">AC2+AB2</f>
        <v>99449.330000000016</v>
      </c>
      <c r="AE2" s="36" t="str">
        <f>_xlfn.XLOOKUP(A2,'[1]S_ALR Export'!$O$1:$O$777,'[1]S_ALR Export'!$I$1:$I$777,"",0)</f>
        <v>278.450,00</v>
      </c>
      <c r="AP2" s="42" t="s">
        <v>881</v>
      </c>
      <c r="AQ2" s="43" t="s">
        <v>1016</v>
      </c>
      <c r="AR2" s="35">
        <v>0</v>
      </c>
      <c r="AS2" s="35">
        <v>40000</v>
      </c>
      <c r="AT2" s="35">
        <v>12245</v>
      </c>
      <c r="AU2" s="35">
        <v>66391.759999999995</v>
      </c>
      <c r="AV2" s="35">
        <v>1027.8</v>
      </c>
      <c r="AW2" s="35">
        <f>SUM(AR2:AV2)</f>
        <v>119664.56</v>
      </c>
      <c r="AX2" s="35">
        <v>0</v>
      </c>
      <c r="AY2" s="35">
        <v>119664.56</v>
      </c>
      <c r="AZ2" s="15" t="s">
        <v>882</v>
      </c>
    </row>
    <row r="3" spans="1:52" ht="14.5" x14ac:dyDescent="0.25">
      <c r="A3" s="37" t="s">
        <v>883</v>
      </c>
      <c r="B3" s="38">
        <v>0</v>
      </c>
      <c r="C3" s="38">
        <v>400</v>
      </c>
      <c r="D3" s="38">
        <v>700</v>
      </c>
      <c r="E3" s="38">
        <v>8150</v>
      </c>
      <c r="F3" s="38">
        <v>0</v>
      </c>
      <c r="G3" s="15" t="s">
        <v>884</v>
      </c>
      <c r="H3" s="35">
        <f t="shared" si="0"/>
        <v>9250</v>
      </c>
      <c r="I3" s="38">
        <v>0</v>
      </c>
      <c r="J3" s="38">
        <v>0</v>
      </c>
      <c r="K3" s="35">
        <f>_xlfn.LET(_xlpm.x,_xlfn.XLOOKUP(A3&amp;"/2/1",'[1]S_ALR Export'!$O$1:$O$777,'[1]S_ALR Export'!$I$1:$I$777,"",0),IF(_xlpm.x="",0,IF(ISNUMBER(_xlpm.x),_xlpm.x,_xlfn.NUMBERVALUE(_xlpm.x,",","."))))</f>
        <v>70000</v>
      </c>
      <c r="L3" s="38">
        <f t="shared" si="1"/>
        <v>9250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5">
        <f t="shared" ref="R3:R66" si="4">SUM(M3:Q3)</f>
        <v>0</v>
      </c>
      <c r="S3" s="38">
        <v>0</v>
      </c>
      <c r="T3" s="35">
        <f>_xlfn.LET(_xlpm.x,_xlfn.XLOOKUP(A3&amp;"/2/2",'[1]S_ALR Export'!$O$1:$O$777,'[1]S_ALR Export'!$I$1:$I$777,"",0),IF(_xlpm.x="",0,IF(ISNUMBER(_xlpm.x),_xlpm.x,_xlfn.NUMBERVALUE(_xlpm.x,",","."))))</f>
        <v>2500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5">
        <f t="shared" ref="AB3:AB66" si="5">SUM(V3:AA3)</f>
        <v>0</v>
      </c>
      <c r="AC3" s="35">
        <f t="shared" si="2"/>
        <v>9250</v>
      </c>
      <c r="AD3" s="35">
        <f t="shared" si="3"/>
        <v>9250</v>
      </c>
      <c r="AE3" s="36" t="str">
        <f>_xlfn.XLOOKUP(A3,'[1]S_ALR Export'!$O$1:$O$777,'[1]S_ALR Export'!$I$1:$I$777,"",0)</f>
        <v>72.500,00</v>
      </c>
      <c r="AP3" s="44" t="s">
        <v>885</v>
      </c>
      <c r="AQ3" s="45" t="s">
        <v>363</v>
      </c>
      <c r="AR3" s="38">
        <v>0</v>
      </c>
      <c r="AS3" s="38">
        <v>0</v>
      </c>
      <c r="AT3" s="38">
        <v>0</v>
      </c>
      <c r="AU3" s="38">
        <v>0</v>
      </c>
      <c r="AV3" s="38">
        <v>87841</v>
      </c>
      <c r="AW3" s="35">
        <f t="shared" ref="AW3:AW57" si="6">SUM(AR3:AV3)</f>
        <v>87841</v>
      </c>
      <c r="AX3" s="38">
        <v>0</v>
      </c>
      <c r="AY3" s="38">
        <v>87841</v>
      </c>
      <c r="AZ3" s="15" t="s">
        <v>882</v>
      </c>
    </row>
    <row r="4" spans="1:52" x14ac:dyDescent="0.25">
      <c r="A4" s="34" t="s">
        <v>885</v>
      </c>
      <c r="B4" s="35">
        <v>0</v>
      </c>
      <c r="C4" s="35">
        <v>0</v>
      </c>
      <c r="D4" s="35">
        <v>25300</v>
      </c>
      <c r="E4" s="35">
        <v>15350</v>
      </c>
      <c r="F4" s="35">
        <v>17450</v>
      </c>
      <c r="G4" s="15" t="s">
        <v>882</v>
      </c>
      <c r="H4" s="35">
        <f t="shared" si="0"/>
        <v>58100</v>
      </c>
      <c r="I4" s="35">
        <v>250</v>
      </c>
      <c r="J4" s="35">
        <v>0</v>
      </c>
      <c r="K4" s="35">
        <f>_xlfn.LET(_xlpm.x,_xlfn.XLOOKUP(A4&amp;"/2/1",'[1]S_ALR Export'!$O$1:$O$777,'[1]S_ALR Export'!$I$1:$I$777,"",0),IF(_xlpm.x="",0,IF(ISNUMBER(_xlpm.x),_xlpm.x,_xlfn.NUMBERVALUE(_xlpm.x,",","."))))</f>
        <v>58350</v>
      </c>
      <c r="L4" s="35">
        <f t="shared" si="1"/>
        <v>58350</v>
      </c>
      <c r="M4" s="35">
        <v>0</v>
      </c>
      <c r="N4" s="35">
        <v>0</v>
      </c>
      <c r="O4" s="35">
        <v>127330.01</v>
      </c>
      <c r="P4" s="35">
        <v>121964.62</v>
      </c>
      <c r="Q4" s="35">
        <v>106748.42</v>
      </c>
      <c r="R4" s="35">
        <f t="shared" si="4"/>
        <v>356043.05</v>
      </c>
      <c r="S4" s="35">
        <v>0</v>
      </c>
      <c r="T4" s="35">
        <f>_xlfn.LET(_xlpm.x,_xlfn.XLOOKUP(A4&amp;"/2/2",'[1]S_ALR Export'!$O$1:$O$777,'[1]S_ALR Export'!$I$1:$I$777,"",0),IF(_xlpm.x="",0,IF(ISNUMBER(_xlpm.x),_xlpm.x,_xlfn.NUMBERVALUE(_xlpm.x,",","."))))</f>
        <v>356044</v>
      </c>
      <c r="U4" s="35">
        <v>356043.05</v>
      </c>
      <c r="V4" s="35">
        <v>0</v>
      </c>
      <c r="W4" s="35">
        <v>0</v>
      </c>
      <c r="X4" s="35">
        <v>-133757</v>
      </c>
      <c r="Y4" s="35">
        <v>-123547</v>
      </c>
      <c r="Z4" s="35">
        <v>-126420.34</v>
      </c>
      <c r="AA4" s="35">
        <v>0</v>
      </c>
      <c r="AB4" s="35">
        <f t="shared" si="5"/>
        <v>-383724.33999999997</v>
      </c>
      <c r="AC4" s="35">
        <f t="shared" si="2"/>
        <v>414393.05</v>
      </c>
      <c r="AD4" s="35">
        <f t="shared" si="3"/>
        <v>30668.710000000021</v>
      </c>
      <c r="AE4" s="36" t="str">
        <f>_xlfn.XLOOKUP(A4,'[1]S_ALR Export'!$O$1:$O$777,'[1]S_ALR Export'!$I$1:$I$777,"",0)</f>
        <v>414.394,00</v>
      </c>
      <c r="AP4" s="42" t="s">
        <v>885</v>
      </c>
      <c r="AQ4" s="43" t="s">
        <v>1017</v>
      </c>
      <c r="AR4" s="35">
        <v>0</v>
      </c>
      <c r="AS4" s="35">
        <v>0</v>
      </c>
      <c r="AT4" s="35">
        <v>0</v>
      </c>
      <c r="AU4" s="35">
        <v>0</v>
      </c>
      <c r="AV4" s="35">
        <v>15333</v>
      </c>
      <c r="AW4" s="35">
        <f t="shared" si="6"/>
        <v>15333</v>
      </c>
      <c r="AX4" s="35">
        <v>0</v>
      </c>
      <c r="AY4" s="35">
        <v>15333</v>
      </c>
      <c r="AZ4" s="15" t="s">
        <v>882</v>
      </c>
    </row>
    <row r="5" spans="1:52" x14ac:dyDescent="0.25">
      <c r="A5" s="34" t="s">
        <v>886</v>
      </c>
      <c r="B5" s="38">
        <v>0</v>
      </c>
      <c r="C5" s="38">
        <v>0</v>
      </c>
      <c r="D5" s="38">
        <v>0</v>
      </c>
      <c r="E5" s="38">
        <v>0</v>
      </c>
      <c r="F5" s="38">
        <v>14100</v>
      </c>
      <c r="G5" s="15" t="s">
        <v>882</v>
      </c>
      <c r="H5" s="35">
        <f t="shared" si="0"/>
        <v>14100</v>
      </c>
      <c r="I5" s="38">
        <v>2700</v>
      </c>
      <c r="J5" s="38">
        <v>0</v>
      </c>
      <c r="K5" s="35">
        <f>_xlfn.LET(_xlpm.x,_xlfn.XLOOKUP(A5&amp;"/2/1",'[1]S_ALR Export'!$O$1:$O$777,'[1]S_ALR Export'!$I$1:$I$777,"",0),IF(_xlpm.x="",0,IF(ISNUMBER(_xlpm.x),_xlpm.x,_xlfn.NUMBERVALUE(_xlpm.x,",","."))))</f>
        <v>40700</v>
      </c>
      <c r="L5" s="38">
        <f t="shared" si="1"/>
        <v>16800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5">
        <f t="shared" si="4"/>
        <v>0</v>
      </c>
      <c r="S5" s="38">
        <v>0</v>
      </c>
      <c r="T5" s="35">
        <f>_xlfn.LET(_xlpm.x,_xlfn.XLOOKUP(A5&amp;"/2/2",'[1]S_ALR Export'!$O$1:$O$777,'[1]S_ALR Export'!$I$1:$I$777,"",0),IF(_xlpm.x="",0,IF(ISNUMBER(_xlpm.x),_xlpm.x,_xlfn.NUMBERVALUE(_xlpm.x,",","."))))</f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5">
        <f t="shared" si="5"/>
        <v>0</v>
      </c>
      <c r="AC5" s="35">
        <f t="shared" si="2"/>
        <v>16800</v>
      </c>
      <c r="AD5" s="35">
        <f t="shared" si="3"/>
        <v>16800</v>
      </c>
      <c r="AE5" s="36" t="str">
        <f>_xlfn.XLOOKUP(A5,'[1]S_ALR Export'!$O$1:$O$777,'[1]S_ALR Export'!$I$1:$I$777,"",0)</f>
        <v>40.700,00</v>
      </c>
      <c r="AP5" s="44" t="s">
        <v>885</v>
      </c>
      <c r="AQ5" s="45" t="s">
        <v>1018</v>
      </c>
      <c r="AR5" s="38">
        <v>0</v>
      </c>
      <c r="AS5" s="38">
        <v>0</v>
      </c>
      <c r="AT5" s="38">
        <v>17514.990000000002</v>
      </c>
      <c r="AU5" s="38">
        <v>38964.620000000003</v>
      </c>
      <c r="AV5" s="38">
        <v>3574.42</v>
      </c>
      <c r="AW5" s="35">
        <f t="shared" si="6"/>
        <v>60054.03</v>
      </c>
      <c r="AX5" s="38">
        <v>0</v>
      </c>
      <c r="AY5" s="38">
        <v>60054.03</v>
      </c>
      <c r="AZ5" s="15" t="s">
        <v>882</v>
      </c>
    </row>
    <row r="6" spans="1:52" ht="14.5" x14ac:dyDescent="0.25">
      <c r="A6" s="37" t="s">
        <v>887</v>
      </c>
      <c r="B6" s="35">
        <v>0</v>
      </c>
      <c r="C6" s="35">
        <v>0</v>
      </c>
      <c r="D6" s="35">
        <v>0</v>
      </c>
      <c r="E6" s="35">
        <v>6800</v>
      </c>
      <c r="F6" s="35">
        <v>44000</v>
      </c>
      <c r="G6" s="15" t="s">
        <v>882</v>
      </c>
      <c r="H6" s="35">
        <f t="shared" si="0"/>
        <v>50800</v>
      </c>
      <c r="I6" s="35">
        <v>0</v>
      </c>
      <c r="J6" s="35">
        <v>10799.440000000002</v>
      </c>
      <c r="K6" s="35">
        <f>_xlfn.LET(_xlpm.x,_xlfn.XLOOKUP(A6&amp;"/2/1",'[1]S_ALR Export'!$O$1:$O$777,'[1]S_ALR Export'!$I$1:$I$777,"",0),IF(_xlpm.x="",0,IF(ISNUMBER(_xlpm.x),_xlpm.x,_xlfn.NUMBERVALUE(_xlpm.x,",","."))))</f>
        <v>140900</v>
      </c>
      <c r="L6" s="35">
        <f t="shared" si="1"/>
        <v>61599.44</v>
      </c>
      <c r="M6" s="35">
        <v>0</v>
      </c>
      <c r="N6" s="35">
        <v>0</v>
      </c>
      <c r="O6" s="35">
        <v>0</v>
      </c>
      <c r="P6" s="35">
        <v>0</v>
      </c>
      <c r="Q6" s="35">
        <v>12500</v>
      </c>
      <c r="R6" s="35">
        <f t="shared" si="4"/>
        <v>12500</v>
      </c>
      <c r="S6" s="35">
        <v>10791.67</v>
      </c>
      <c r="T6" s="35">
        <f>_xlfn.LET(_xlpm.x,_xlfn.XLOOKUP(A6&amp;"/2/2",'[1]S_ALR Export'!$O$1:$O$777,'[1]S_ALR Export'!$I$1:$I$777,"",0),IF(_xlpm.x="",0,IF(ISNUMBER(_xlpm.x),_xlpm.x,_xlfn.NUMBERVALUE(_xlpm.x,",","."))))</f>
        <v>23300</v>
      </c>
      <c r="U6" s="35">
        <v>23291.67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f t="shared" si="5"/>
        <v>0</v>
      </c>
      <c r="AC6" s="35">
        <f t="shared" si="2"/>
        <v>84891.11</v>
      </c>
      <c r="AD6" s="35">
        <f t="shared" si="3"/>
        <v>84891.11</v>
      </c>
      <c r="AE6" s="36" t="str">
        <f>_xlfn.XLOOKUP(A6,'[1]S_ALR Export'!$O$1:$O$777,'[1]S_ALR Export'!$I$1:$I$777,"",0)</f>
        <v>164.200,00</v>
      </c>
      <c r="AP6" s="42" t="s">
        <v>885</v>
      </c>
      <c r="AQ6" s="43" t="s">
        <v>1019</v>
      </c>
      <c r="AR6" s="35">
        <v>0</v>
      </c>
      <c r="AS6" s="35">
        <v>0</v>
      </c>
      <c r="AT6" s="35">
        <v>24271.599999999999</v>
      </c>
      <c r="AU6" s="35">
        <v>0</v>
      </c>
      <c r="AV6" s="35">
        <v>0</v>
      </c>
      <c r="AW6" s="35">
        <f t="shared" si="6"/>
        <v>24271.599999999999</v>
      </c>
      <c r="AX6" s="35">
        <v>0</v>
      </c>
      <c r="AY6" s="35">
        <v>24271.599999999999</v>
      </c>
      <c r="AZ6" s="15" t="s">
        <v>882</v>
      </c>
    </row>
    <row r="7" spans="1:52" ht="14.5" x14ac:dyDescent="0.25">
      <c r="A7" s="37" t="s">
        <v>888</v>
      </c>
      <c r="B7" s="38">
        <v>0</v>
      </c>
      <c r="C7" s="38">
        <v>0</v>
      </c>
      <c r="D7" s="38">
        <v>0</v>
      </c>
      <c r="E7" s="38">
        <v>15880</v>
      </c>
      <c r="F7" s="38">
        <v>9051</v>
      </c>
      <c r="G7" s="15" t="s">
        <v>882</v>
      </c>
      <c r="H7" s="35">
        <f t="shared" si="0"/>
        <v>24931</v>
      </c>
      <c r="I7" s="38">
        <v>1350</v>
      </c>
      <c r="J7" s="38">
        <v>50</v>
      </c>
      <c r="K7" s="35">
        <f>_xlfn.LET(_xlpm.x,_xlfn.XLOOKUP(A7&amp;"/2/1",'[1]S_ALR Export'!$O$1:$O$777,'[1]S_ALR Export'!$I$1:$I$777,"",0),IF(_xlpm.x="",0,IF(ISNUMBER(_xlpm.x),_xlpm.x,_xlfn.NUMBERVALUE(_xlpm.x,",","."))))</f>
        <v>26600</v>
      </c>
      <c r="L7" s="38">
        <f t="shared" si="1"/>
        <v>26331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5">
        <f t="shared" si="4"/>
        <v>0</v>
      </c>
      <c r="S7" s="38">
        <v>0</v>
      </c>
      <c r="T7" s="35">
        <f>_xlfn.LET(_xlpm.x,_xlfn.XLOOKUP(A7&amp;"/2/2",'[1]S_ALR Export'!$O$1:$O$777,'[1]S_ALR Export'!$I$1:$I$777,"",0),IF(_xlpm.x="",0,IF(ISNUMBER(_xlpm.x),_xlpm.x,_xlfn.NUMBERVALUE(_xlpm.x,",","."))))</f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5">
        <f t="shared" si="5"/>
        <v>0</v>
      </c>
      <c r="AC7" s="35">
        <f t="shared" si="2"/>
        <v>26331</v>
      </c>
      <c r="AD7" s="35">
        <f t="shared" si="3"/>
        <v>26331</v>
      </c>
      <c r="AE7" s="36" t="str">
        <f>_xlfn.XLOOKUP(A7,'[1]S_ALR Export'!$O$1:$O$777,'[1]S_ALR Export'!$I$1:$I$777,"",0)</f>
        <v>26.600,00</v>
      </c>
      <c r="AP7" s="44" t="s">
        <v>885</v>
      </c>
      <c r="AQ7" s="45" t="s">
        <v>1020</v>
      </c>
      <c r="AR7" s="38">
        <v>0</v>
      </c>
      <c r="AS7" s="38">
        <v>0</v>
      </c>
      <c r="AT7" s="38">
        <v>85543.42</v>
      </c>
      <c r="AU7" s="38">
        <v>83000</v>
      </c>
      <c r="AV7" s="38">
        <v>0</v>
      </c>
      <c r="AW7" s="35">
        <f t="shared" si="6"/>
        <v>168543.41999999998</v>
      </c>
      <c r="AX7" s="38">
        <v>0</v>
      </c>
      <c r="AY7" s="38">
        <v>168543.42</v>
      </c>
      <c r="AZ7" s="15" t="s">
        <v>882</v>
      </c>
    </row>
    <row r="8" spans="1:52" ht="14.5" x14ac:dyDescent="0.25">
      <c r="A8" s="37" t="s">
        <v>889</v>
      </c>
      <c r="B8" s="35">
        <v>0</v>
      </c>
      <c r="C8" s="35">
        <v>0</v>
      </c>
      <c r="D8" s="35">
        <v>0</v>
      </c>
      <c r="E8" s="35">
        <v>1950</v>
      </c>
      <c r="F8" s="35">
        <v>17160</v>
      </c>
      <c r="G8" s="15" t="s">
        <v>882</v>
      </c>
      <c r="H8" s="35">
        <f t="shared" si="0"/>
        <v>19110</v>
      </c>
      <c r="I8" s="35">
        <v>1250</v>
      </c>
      <c r="J8" s="35">
        <v>0</v>
      </c>
      <c r="K8" s="35">
        <f>_xlfn.LET(_xlpm.x,_xlfn.XLOOKUP(A8&amp;"/2/1",'[1]S_ALR Export'!$O$1:$O$777,'[1]S_ALR Export'!$I$1:$I$777,"",0),IF(_xlpm.x="",0,IF(ISNUMBER(_xlpm.x),_xlpm.x,_xlfn.NUMBERVALUE(_xlpm.x,",","."))))</f>
        <v>20360</v>
      </c>
      <c r="L8" s="35">
        <f t="shared" si="1"/>
        <v>20360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f t="shared" si="4"/>
        <v>0</v>
      </c>
      <c r="S8" s="35">
        <v>0</v>
      </c>
      <c r="T8" s="35">
        <f>_xlfn.LET(_xlpm.x,_xlfn.XLOOKUP(A8&amp;"/2/2",'[1]S_ALR Export'!$O$1:$O$777,'[1]S_ALR Export'!$I$1:$I$777,"",0),IF(_xlpm.x="",0,IF(ISNUMBER(_xlpm.x),_xlpm.x,_xlfn.NUMBERVALUE(_xlpm.x,",","."))))</f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f t="shared" si="5"/>
        <v>0</v>
      </c>
      <c r="AC8" s="35">
        <f t="shared" si="2"/>
        <v>20360</v>
      </c>
      <c r="AD8" s="35">
        <f t="shared" si="3"/>
        <v>20360</v>
      </c>
      <c r="AE8" s="36" t="str">
        <f>_xlfn.XLOOKUP(A8,'[1]S_ALR Export'!$O$1:$O$777,'[1]S_ALR Export'!$I$1:$I$777,"",0)</f>
        <v>20.360,00</v>
      </c>
      <c r="AP8" s="42" t="s">
        <v>887</v>
      </c>
      <c r="AQ8" s="43" t="s">
        <v>1021</v>
      </c>
      <c r="AR8" s="35">
        <v>0</v>
      </c>
      <c r="AS8" s="35">
        <v>0</v>
      </c>
      <c r="AT8" s="35">
        <v>0</v>
      </c>
      <c r="AU8" s="35">
        <v>0</v>
      </c>
      <c r="AV8" s="35">
        <v>12500</v>
      </c>
      <c r="AW8" s="35">
        <f t="shared" si="6"/>
        <v>12500</v>
      </c>
      <c r="AX8" s="35">
        <v>10791.67</v>
      </c>
      <c r="AY8" s="35">
        <v>23291.67</v>
      </c>
      <c r="AZ8" s="15" t="s">
        <v>882</v>
      </c>
    </row>
    <row r="9" spans="1:52" ht="14.5" x14ac:dyDescent="0.25">
      <c r="A9" s="37" t="s">
        <v>890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15" t="s">
        <v>882</v>
      </c>
      <c r="H9" s="35">
        <f t="shared" si="0"/>
        <v>0</v>
      </c>
      <c r="I9" s="38">
        <v>0</v>
      </c>
      <c r="J9" s="38">
        <v>532.5</v>
      </c>
      <c r="K9" s="35">
        <f>_xlfn.LET(_xlpm.x,_xlfn.XLOOKUP(A9&amp;"/2/1",'[1]S_ALR Export'!$O$1:$O$777,'[1]S_ALR Export'!$I$1:$I$777,"",0),IF(_xlpm.x="",0,IF(ISNUMBER(_xlpm.x),_xlpm.x,_xlfn.NUMBERVALUE(_xlpm.x,",","."))))</f>
        <v>7900</v>
      </c>
      <c r="L9" s="38">
        <f t="shared" si="1"/>
        <v>532.5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5">
        <f t="shared" si="4"/>
        <v>0</v>
      </c>
      <c r="S9" s="38">
        <v>0</v>
      </c>
      <c r="T9" s="35">
        <f>_xlfn.LET(_xlpm.x,_xlfn.XLOOKUP(A9&amp;"/2/2",'[1]S_ALR Export'!$O$1:$O$777,'[1]S_ALR Export'!$I$1:$I$777,"",0),IF(_xlpm.x="",0,IF(ISNUMBER(_xlpm.x),_xlpm.x,_xlfn.NUMBERVALUE(_xlpm.x,",","."))))</f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5">
        <f t="shared" si="5"/>
        <v>0</v>
      </c>
      <c r="AC9" s="35">
        <f t="shared" si="2"/>
        <v>532.5</v>
      </c>
      <c r="AD9" s="35">
        <f t="shared" si="3"/>
        <v>532.5</v>
      </c>
      <c r="AE9" s="36" t="str">
        <f>_xlfn.XLOOKUP(A9,'[1]S_ALR Export'!$O$1:$O$777,'[1]S_ALR Export'!$I$1:$I$777,"",0)</f>
        <v>7.900,00</v>
      </c>
      <c r="AP9" s="44" t="s">
        <v>893</v>
      </c>
      <c r="AQ9" s="45" t="s">
        <v>1022</v>
      </c>
      <c r="AR9" s="38">
        <v>0</v>
      </c>
      <c r="AS9" s="38">
        <v>0</v>
      </c>
      <c r="AT9" s="38">
        <v>0</v>
      </c>
      <c r="AU9" s="38">
        <v>0</v>
      </c>
      <c r="AV9" s="38">
        <v>0</v>
      </c>
      <c r="AW9" s="35">
        <f t="shared" si="6"/>
        <v>0</v>
      </c>
      <c r="AX9" s="38">
        <v>23800</v>
      </c>
      <c r="AY9" s="38">
        <v>23800</v>
      </c>
      <c r="AZ9" s="15" t="s">
        <v>882</v>
      </c>
    </row>
    <row r="10" spans="1:52" ht="14.5" x14ac:dyDescent="0.25">
      <c r="A10" s="37" t="s">
        <v>891</v>
      </c>
      <c r="B10" s="35">
        <v>0</v>
      </c>
      <c r="C10" s="35">
        <v>0</v>
      </c>
      <c r="D10" s="35">
        <v>0</v>
      </c>
      <c r="E10" s="35">
        <v>0</v>
      </c>
      <c r="F10" s="35">
        <v>0</v>
      </c>
      <c r="G10" s="15" t="s">
        <v>882</v>
      </c>
      <c r="H10" s="35">
        <f t="shared" si="0"/>
        <v>0</v>
      </c>
      <c r="I10" s="35">
        <v>0</v>
      </c>
      <c r="J10" s="35">
        <v>22300</v>
      </c>
      <c r="K10" s="35">
        <f>_xlfn.LET(_xlpm.x,_xlfn.XLOOKUP(A10&amp;"/2/1",'[1]S_ALR Export'!$O$1:$O$777,'[1]S_ALR Export'!$I$1:$I$777,"",0),IF(_xlpm.x="",0,IF(ISNUMBER(_xlpm.x),_xlpm.x,_xlfn.NUMBERVALUE(_xlpm.x,",","."))))</f>
        <v>42600</v>
      </c>
      <c r="L10" s="35">
        <f t="shared" si="1"/>
        <v>22300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f t="shared" si="4"/>
        <v>0</v>
      </c>
      <c r="S10" s="35">
        <v>0</v>
      </c>
      <c r="T10" s="35">
        <f>_xlfn.LET(_xlpm.x,_xlfn.XLOOKUP(A10&amp;"/2/2",'[1]S_ALR Export'!$O$1:$O$777,'[1]S_ALR Export'!$I$1:$I$777,"",0),IF(_xlpm.x="",0,IF(ISNUMBER(_xlpm.x),_xlpm.x,_xlfn.NUMBERVALUE(_xlpm.x,",","."))))</f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f t="shared" si="5"/>
        <v>0</v>
      </c>
      <c r="AC10" s="35">
        <f t="shared" si="2"/>
        <v>22300</v>
      </c>
      <c r="AD10" s="35">
        <f t="shared" si="3"/>
        <v>22300</v>
      </c>
      <c r="AE10" s="36" t="str">
        <f>_xlfn.XLOOKUP(A10,'[1]S_ALR Export'!$O$1:$O$777,'[1]S_ALR Export'!$I$1:$I$777,"",0)</f>
        <v>42.600,00</v>
      </c>
      <c r="AP10" s="42" t="s">
        <v>894</v>
      </c>
      <c r="AQ10" s="43" t="s">
        <v>1023</v>
      </c>
      <c r="AR10" s="35">
        <v>0</v>
      </c>
      <c r="AS10" s="35">
        <v>0</v>
      </c>
      <c r="AT10" s="35">
        <v>0</v>
      </c>
      <c r="AU10" s="35">
        <v>63512</v>
      </c>
      <c r="AV10" s="35">
        <v>0</v>
      </c>
      <c r="AW10" s="35">
        <f t="shared" si="6"/>
        <v>63512</v>
      </c>
      <c r="AX10" s="35">
        <v>0</v>
      </c>
      <c r="AY10" s="35">
        <v>63512</v>
      </c>
      <c r="AZ10" s="15" t="s">
        <v>1024</v>
      </c>
    </row>
    <row r="11" spans="1:52" ht="14.5" x14ac:dyDescent="0.25">
      <c r="A11" s="37" t="s">
        <v>892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15" t="s">
        <v>882</v>
      </c>
      <c r="H11" s="35">
        <f t="shared" si="0"/>
        <v>0</v>
      </c>
      <c r="I11" s="38">
        <v>0</v>
      </c>
      <c r="J11" s="38">
        <v>1400</v>
      </c>
      <c r="K11" s="35">
        <f>_xlfn.LET(_xlpm.x,_xlfn.XLOOKUP(A11&amp;"/2/1",'[1]S_ALR Export'!$O$1:$O$777,'[1]S_ALR Export'!$I$1:$I$777,"",0),IF(_xlpm.x="",0,IF(ISNUMBER(_xlpm.x),_xlpm.x,_xlfn.NUMBERVALUE(_xlpm.x,",","."))))</f>
        <v>2500</v>
      </c>
      <c r="L11" s="38">
        <f t="shared" si="1"/>
        <v>1400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5">
        <f t="shared" si="4"/>
        <v>0</v>
      </c>
      <c r="S11" s="38">
        <v>0</v>
      </c>
      <c r="T11" s="35">
        <f>_xlfn.LET(_xlpm.x,_xlfn.XLOOKUP(A11&amp;"/2/2",'[1]S_ALR Export'!$O$1:$O$777,'[1]S_ALR Export'!$I$1:$I$777,"",0),IF(_xlpm.x="",0,IF(ISNUMBER(_xlpm.x),_xlpm.x,_xlfn.NUMBERVALUE(_xlpm.x,",","."))))</f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5">
        <f t="shared" si="5"/>
        <v>0</v>
      </c>
      <c r="AC11" s="35">
        <f t="shared" si="2"/>
        <v>1400</v>
      </c>
      <c r="AD11" s="35">
        <f t="shared" si="3"/>
        <v>1400</v>
      </c>
      <c r="AE11" s="36" t="str">
        <f>_xlfn.XLOOKUP(A11,'[1]S_ALR Export'!$O$1:$O$777,'[1]S_ALR Export'!$I$1:$I$777,"",0)</f>
        <v>2.500,00</v>
      </c>
      <c r="AP11" s="44" t="s">
        <v>895</v>
      </c>
      <c r="AQ11" s="45" t="s">
        <v>1025</v>
      </c>
      <c r="AR11" s="38">
        <v>0</v>
      </c>
      <c r="AS11" s="38">
        <v>0</v>
      </c>
      <c r="AT11" s="38">
        <v>0</v>
      </c>
      <c r="AU11" s="38">
        <v>2700</v>
      </c>
      <c r="AV11" s="38">
        <v>0</v>
      </c>
      <c r="AW11" s="35">
        <f t="shared" si="6"/>
        <v>2700</v>
      </c>
      <c r="AX11" s="38">
        <v>0</v>
      </c>
      <c r="AY11" s="38">
        <v>2700</v>
      </c>
      <c r="AZ11" s="15" t="s">
        <v>882</v>
      </c>
    </row>
    <row r="12" spans="1:52" ht="14.5" x14ac:dyDescent="0.25">
      <c r="A12" s="37" t="s">
        <v>893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15" t="s">
        <v>882</v>
      </c>
      <c r="H12" s="35">
        <f t="shared" si="0"/>
        <v>0</v>
      </c>
      <c r="I12" s="35">
        <v>0</v>
      </c>
      <c r="J12" s="35">
        <v>10800</v>
      </c>
      <c r="K12" s="35">
        <f>_xlfn.LET(_xlpm.x,_xlfn.XLOOKUP(A12&amp;"/2/1",'[1]S_ALR Export'!$O$1:$O$777,'[1]S_ALR Export'!$I$1:$I$777,"",0),IF(_xlpm.x="",0,IF(ISNUMBER(_xlpm.x),_xlpm.x,_xlfn.NUMBERVALUE(_xlpm.x,",","."))))</f>
        <v>15532</v>
      </c>
      <c r="L12" s="35">
        <f t="shared" si="1"/>
        <v>10800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f t="shared" si="4"/>
        <v>0</v>
      </c>
      <c r="S12" s="35">
        <v>23800</v>
      </c>
      <c r="T12" s="35">
        <f>_xlfn.LET(_xlpm.x,_xlfn.XLOOKUP(A12&amp;"/2/2",'[1]S_ALR Export'!$O$1:$O$777,'[1]S_ALR Export'!$I$1:$I$777,"",0),IF(_xlpm.x="",0,IF(ISNUMBER(_xlpm.x),_xlpm.x,_xlfn.NUMBERVALUE(_xlpm.x,",","."))))</f>
        <v>33920</v>
      </c>
      <c r="U12" s="35">
        <v>23800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-34251</v>
      </c>
      <c r="AB12" s="35">
        <f t="shared" si="5"/>
        <v>-34251</v>
      </c>
      <c r="AC12" s="35">
        <f t="shared" si="2"/>
        <v>34600</v>
      </c>
      <c r="AD12" s="35">
        <f t="shared" si="3"/>
        <v>349</v>
      </c>
      <c r="AE12" s="36" t="str">
        <f>_xlfn.XLOOKUP(A12,'[1]S_ALR Export'!$O$1:$O$777,'[1]S_ALR Export'!$I$1:$I$777,"",0)</f>
        <v>49.452,00</v>
      </c>
      <c r="AP12" s="42" t="s">
        <v>895</v>
      </c>
      <c r="AQ12" s="43" t="s">
        <v>1026</v>
      </c>
      <c r="AR12" s="35">
        <v>0</v>
      </c>
      <c r="AS12" s="35">
        <v>0</v>
      </c>
      <c r="AT12" s="35">
        <v>0</v>
      </c>
      <c r="AU12" s="35">
        <v>19318.75</v>
      </c>
      <c r="AV12" s="35">
        <v>13921.88</v>
      </c>
      <c r="AW12" s="35">
        <f t="shared" si="6"/>
        <v>33240.629999999997</v>
      </c>
      <c r="AX12" s="35">
        <v>0</v>
      </c>
      <c r="AY12" s="35">
        <v>33240.629999999997</v>
      </c>
      <c r="AZ12" s="15" t="s">
        <v>882</v>
      </c>
    </row>
    <row r="13" spans="1:52" ht="14.5" x14ac:dyDescent="0.25">
      <c r="A13" s="37" t="s">
        <v>894</v>
      </c>
      <c r="B13" s="38">
        <v>0</v>
      </c>
      <c r="C13" s="38">
        <v>0</v>
      </c>
      <c r="D13" s="38">
        <v>0</v>
      </c>
      <c r="E13" s="38">
        <v>27050</v>
      </c>
      <c r="F13" s="38">
        <v>135168.75</v>
      </c>
      <c r="G13" s="15" t="s">
        <v>884</v>
      </c>
      <c r="H13" s="35">
        <f t="shared" si="0"/>
        <v>162218.75</v>
      </c>
      <c r="I13" s="38">
        <v>27676</v>
      </c>
      <c r="J13" s="38">
        <v>21236</v>
      </c>
      <c r="K13" s="35">
        <f>_xlfn.LET(_xlpm.x,_xlfn.XLOOKUP(A13&amp;"/2/1",'[1]S_ALR Export'!$O$1:$O$777,'[1]S_ALR Export'!$I$1:$I$777,"",0),IF(_xlpm.x="",0,IF(ISNUMBER(_xlpm.x),_xlpm.x,_xlfn.NUMBERVALUE(_xlpm.x,",","."))))</f>
        <v>283200</v>
      </c>
      <c r="L13" s="38">
        <f t="shared" si="1"/>
        <v>211130.75</v>
      </c>
      <c r="M13" s="38">
        <v>0</v>
      </c>
      <c r="N13" s="38">
        <v>0</v>
      </c>
      <c r="O13" s="38">
        <v>0</v>
      </c>
      <c r="P13" s="38">
        <v>63512</v>
      </c>
      <c r="Q13" s="38">
        <v>0</v>
      </c>
      <c r="R13" s="35">
        <f t="shared" si="4"/>
        <v>63512</v>
      </c>
      <c r="S13" s="38">
        <v>0</v>
      </c>
      <c r="T13" s="35">
        <f>_xlfn.LET(_xlpm.x,_xlfn.XLOOKUP(A13&amp;"/2/2",'[1]S_ALR Export'!$O$1:$O$777,'[1]S_ALR Export'!$I$1:$I$777,"",0),IF(_xlpm.x="",0,IF(ISNUMBER(_xlpm.x),_xlpm.x,_xlfn.NUMBERVALUE(_xlpm.x,",","."))))</f>
        <v>131700</v>
      </c>
      <c r="U13" s="38">
        <v>63512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5">
        <f t="shared" si="5"/>
        <v>0</v>
      </c>
      <c r="AC13" s="35">
        <f t="shared" si="2"/>
        <v>274642.75</v>
      </c>
      <c r="AD13" s="35">
        <f t="shared" si="3"/>
        <v>274642.75</v>
      </c>
      <c r="AE13" s="36" t="str">
        <f>_xlfn.XLOOKUP(A13,'[1]S_ALR Export'!$O$1:$O$777,'[1]S_ALR Export'!$I$1:$I$777,"",0)</f>
        <v>414.900,00</v>
      </c>
      <c r="AP13" s="44" t="s">
        <v>897</v>
      </c>
      <c r="AQ13" s="45" t="s">
        <v>1027</v>
      </c>
      <c r="AR13" s="38">
        <v>0</v>
      </c>
      <c r="AS13" s="38">
        <v>0</v>
      </c>
      <c r="AT13" s="38">
        <v>0</v>
      </c>
      <c r="AU13" s="38">
        <v>0</v>
      </c>
      <c r="AV13" s="38">
        <v>12567.41</v>
      </c>
      <c r="AW13" s="35">
        <f t="shared" si="6"/>
        <v>12567.41</v>
      </c>
      <c r="AX13" s="38">
        <v>-202.7</v>
      </c>
      <c r="AY13" s="38">
        <v>12364.71</v>
      </c>
      <c r="AZ13" s="15" t="s">
        <v>882</v>
      </c>
    </row>
    <row r="14" spans="1:52" x14ac:dyDescent="0.25">
      <c r="A14" s="34" t="s">
        <v>895</v>
      </c>
      <c r="B14" s="35">
        <v>0</v>
      </c>
      <c r="C14" s="35">
        <v>0</v>
      </c>
      <c r="D14" s="35">
        <v>0</v>
      </c>
      <c r="E14" s="35">
        <v>7100</v>
      </c>
      <c r="F14" s="35">
        <v>12500</v>
      </c>
      <c r="G14" s="15" t="s">
        <v>882</v>
      </c>
      <c r="H14" s="35">
        <f t="shared" si="0"/>
        <v>19600</v>
      </c>
      <c r="I14" s="35">
        <v>0</v>
      </c>
      <c r="J14" s="35">
        <v>0</v>
      </c>
      <c r="K14" s="35">
        <f>_xlfn.LET(_xlpm.x,_xlfn.XLOOKUP(A14&amp;"/2/1",'[1]S_ALR Export'!$O$1:$O$777,'[1]S_ALR Export'!$I$1:$I$777,"",0),IF(_xlpm.x="",0,IF(ISNUMBER(_xlpm.x),_xlpm.x,_xlfn.NUMBERVALUE(_xlpm.x,",","."))))</f>
        <v>20000</v>
      </c>
      <c r="L14" s="35">
        <f t="shared" si="1"/>
        <v>19600</v>
      </c>
      <c r="M14" s="35">
        <v>0</v>
      </c>
      <c r="N14" s="35">
        <v>0</v>
      </c>
      <c r="O14" s="35">
        <v>0</v>
      </c>
      <c r="P14" s="35">
        <v>22018.75</v>
      </c>
      <c r="Q14" s="35">
        <v>13921.88</v>
      </c>
      <c r="R14" s="35">
        <f t="shared" si="4"/>
        <v>35940.629999999997</v>
      </c>
      <c r="S14" s="35">
        <v>0</v>
      </c>
      <c r="T14" s="35">
        <f>_xlfn.LET(_xlpm.x,_xlfn.XLOOKUP(A14&amp;"/2/2",'[1]S_ALR Export'!$O$1:$O$777,'[1]S_ALR Export'!$I$1:$I$777,"",0),IF(_xlpm.x="",0,IF(ISNUMBER(_xlpm.x),_xlpm.x,_xlfn.NUMBERVALUE(_xlpm.x,",","."))))</f>
        <v>35941</v>
      </c>
      <c r="U14" s="35">
        <v>35940.629999999997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f t="shared" si="5"/>
        <v>0</v>
      </c>
      <c r="AC14" s="35">
        <f t="shared" si="2"/>
        <v>55540.63</v>
      </c>
      <c r="AD14" s="35">
        <f t="shared" si="3"/>
        <v>55540.63</v>
      </c>
      <c r="AE14" s="36" t="str">
        <f>_xlfn.XLOOKUP(A14,'[1]S_ALR Export'!$O$1:$O$777,'[1]S_ALR Export'!$I$1:$I$777,"",0)</f>
        <v>55.941,00</v>
      </c>
      <c r="AP14" s="42" t="s">
        <v>897</v>
      </c>
      <c r="AQ14" s="43" t="s">
        <v>1028</v>
      </c>
      <c r="AR14" s="35">
        <v>0</v>
      </c>
      <c r="AS14" s="35">
        <v>0</v>
      </c>
      <c r="AT14" s="35">
        <v>0</v>
      </c>
      <c r="AU14" s="35">
        <v>0</v>
      </c>
      <c r="AV14" s="35">
        <v>22166.52</v>
      </c>
      <c r="AW14" s="35">
        <f t="shared" si="6"/>
        <v>22166.52</v>
      </c>
      <c r="AX14" s="35">
        <v>78004.820000000007</v>
      </c>
      <c r="AY14" s="35">
        <v>100171.34</v>
      </c>
      <c r="AZ14" s="15" t="s">
        <v>882</v>
      </c>
    </row>
    <row r="15" spans="1:52" x14ac:dyDescent="0.25">
      <c r="A15" s="34" t="s">
        <v>896</v>
      </c>
      <c r="B15" s="38">
        <v>0</v>
      </c>
      <c r="C15" s="38">
        <v>0</v>
      </c>
      <c r="D15" s="38">
        <v>0</v>
      </c>
      <c r="E15" s="38">
        <v>5000</v>
      </c>
      <c r="F15" s="38">
        <v>4650</v>
      </c>
      <c r="G15" s="15" t="s">
        <v>882</v>
      </c>
      <c r="H15" s="35">
        <f t="shared" si="0"/>
        <v>9650</v>
      </c>
      <c r="I15" s="38">
        <v>200</v>
      </c>
      <c r="J15" s="38">
        <v>0</v>
      </c>
      <c r="K15" s="35">
        <f>_xlfn.LET(_xlpm.x,_xlfn.XLOOKUP(A15&amp;"/2/1",'[1]S_ALR Export'!$O$1:$O$777,'[1]S_ALR Export'!$I$1:$I$777,"",0),IF(_xlpm.x="",0,IF(ISNUMBER(_xlpm.x),_xlpm.x,_xlfn.NUMBERVALUE(_xlpm.x,",","."))))</f>
        <v>9850</v>
      </c>
      <c r="L15" s="38">
        <f t="shared" si="1"/>
        <v>9850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5">
        <f t="shared" si="4"/>
        <v>0</v>
      </c>
      <c r="S15" s="38">
        <v>0</v>
      </c>
      <c r="T15" s="35">
        <f>_xlfn.LET(_xlpm.x,_xlfn.XLOOKUP(A15&amp;"/2/2",'[1]S_ALR Export'!$O$1:$O$777,'[1]S_ALR Export'!$I$1:$I$777,"",0),IF(_xlpm.x="",0,IF(ISNUMBER(_xlpm.x),_xlpm.x,_xlfn.NUMBERVALUE(_xlpm.x,",","."))))</f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5">
        <f t="shared" si="5"/>
        <v>0</v>
      </c>
      <c r="AC15" s="35">
        <f t="shared" si="2"/>
        <v>9850</v>
      </c>
      <c r="AD15" s="35">
        <f t="shared" si="3"/>
        <v>9850</v>
      </c>
      <c r="AE15" s="36" t="str">
        <f>_xlfn.XLOOKUP(A15,'[1]S_ALR Export'!$O$1:$O$777,'[1]S_ALR Export'!$I$1:$I$777,"",0)</f>
        <v>9.850,00</v>
      </c>
      <c r="AP15" s="44" t="s">
        <v>897</v>
      </c>
      <c r="AQ15" s="45" t="s">
        <v>1018</v>
      </c>
      <c r="AR15" s="38">
        <v>0</v>
      </c>
      <c r="AS15" s="38">
        <v>0</v>
      </c>
      <c r="AT15" s="38">
        <v>0</v>
      </c>
      <c r="AU15" s="38">
        <v>0</v>
      </c>
      <c r="AV15" s="38">
        <v>1018788.83</v>
      </c>
      <c r="AW15" s="35">
        <f t="shared" si="6"/>
        <v>1018788.83</v>
      </c>
      <c r="AX15" s="38">
        <v>444174.55</v>
      </c>
      <c r="AY15" s="38">
        <v>1462963.38</v>
      </c>
      <c r="AZ15" s="15" t="s">
        <v>882</v>
      </c>
    </row>
    <row r="16" spans="1:52" ht="14.5" x14ac:dyDescent="0.25">
      <c r="A16" s="37" t="s">
        <v>897</v>
      </c>
      <c r="B16" s="35">
        <v>0</v>
      </c>
      <c r="C16" s="35">
        <v>0</v>
      </c>
      <c r="D16" s="35">
        <v>0</v>
      </c>
      <c r="E16" s="35">
        <v>0</v>
      </c>
      <c r="F16" s="35">
        <v>554710.24</v>
      </c>
      <c r="G16" s="15" t="s">
        <v>882</v>
      </c>
      <c r="H16" s="35">
        <f t="shared" si="0"/>
        <v>554710.24</v>
      </c>
      <c r="I16" s="35">
        <v>513762</v>
      </c>
      <c r="J16" s="35">
        <v>-65050</v>
      </c>
      <c r="K16" s="35">
        <f>_xlfn.LET(_xlpm.x,_xlfn.XLOOKUP(A16&amp;"/2/1",'[1]S_ALR Export'!$O$1:$O$777,'[1]S_ALR Export'!$I$1:$I$777,"",0),IF(_xlpm.x="",0,IF(ISNUMBER(_xlpm.x),_xlpm.x,_xlfn.NUMBERVALUE(_xlpm.x,",","."))))</f>
        <v>1137800</v>
      </c>
      <c r="L16" s="35">
        <f t="shared" si="1"/>
        <v>1003422.24</v>
      </c>
      <c r="M16" s="35">
        <v>0</v>
      </c>
      <c r="N16" s="35">
        <v>0</v>
      </c>
      <c r="O16" s="35">
        <v>0</v>
      </c>
      <c r="P16" s="35">
        <v>0</v>
      </c>
      <c r="Q16" s="35">
        <v>1053522.76</v>
      </c>
      <c r="R16" s="35">
        <f t="shared" si="4"/>
        <v>1053522.76</v>
      </c>
      <c r="S16" s="35">
        <v>36702.67</v>
      </c>
      <c r="T16" s="35">
        <f>_xlfn.LET(_xlpm.x,_xlfn.XLOOKUP(A16&amp;"/2/2",'[1]S_ALR Export'!$O$1:$O$777,'[1]S_ALR Export'!$I$1:$I$777,"",0),IF(_xlpm.x="",0,IF(ISNUMBER(_xlpm.x),_xlpm.x,_xlfn.NUMBERVALUE(_xlpm.x,",","."))))</f>
        <v>1727052</v>
      </c>
      <c r="U16" s="35">
        <v>1090225.43</v>
      </c>
      <c r="V16" s="35">
        <v>0</v>
      </c>
      <c r="W16" s="35">
        <v>0</v>
      </c>
      <c r="X16" s="35">
        <v>0</v>
      </c>
      <c r="Y16" s="35">
        <v>0</v>
      </c>
      <c r="Z16" s="35">
        <v>-1672615</v>
      </c>
      <c r="AA16" s="35">
        <v>-502280</v>
      </c>
      <c r="AB16" s="35">
        <f t="shared" si="5"/>
        <v>-2174895</v>
      </c>
      <c r="AC16" s="35">
        <f t="shared" si="2"/>
        <v>2093647.67</v>
      </c>
      <c r="AD16" s="35">
        <f>AC16+AB16</f>
        <v>-81247.330000000075</v>
      </c>
      <c r="AE16" s="36" t="str">
        <f>_xlfn.XLOOKUP(A16,'[1]S_ALR Export'!$O$1:$O$777,'[1]S_ALR Export'!$I$1:$I$777,"",0)</f>
        <v>2.864.852,00</v>
      </c>
      <c r="AP16" s="42" t="s">
        <v>897</v>
      </c>
      <c r="AQ16" s="43" t="s">
        <v>184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f t="shared" si="6"/>
        <v>0</v>
      </c>
      <c r="AX16" s="35">
        <v>-485274</v>
      </c>
      <c r="AY16" s="35">
        <v>-485274</v>
      </c>
      <c r="AZ16" s="15" t="s">
        <v>1024</v>
      </c>
    </row>
    <row r="17" spans="1:52" ht="14.5" x14ac:dyDescent="0.25">
      <c r="A17" s="37" t="s">
        <v>898</v>
      </c>
      <c r="B17" s="38">
        <v>0</v>
      </c>
      <c r="C17" s="38">
        <v>0</v>
      </c>
      <c r="D17" s="38">
        <v>0</v>
      </c>
      <c r="E17" s="38">
        <v>0</v>
      </c>
      <c r="F17" s="38">
        <v>11100</v>
      </c>
      <c r="G17" s="15" t="s">
        <v>882</v>
      </c>
      <c r="H17" s="35">
        <f t="shared" si="0"/>
        <v>11100</v>
      </c>
      <c r="I17" s="38">
        <v>2600</v>
      </c>
      <c r="J17" s="38">
        <v>1181.2399999999998</v>
      </c>
      <c r="K17" s="35">
        <f>_xlfn.LET(_xlpm.x,_xlfn.XLOOKUP(A17&amp;"/2/1",'[1]S_ALR Export'!$O$1:$O$777,'[1]S_ALR Export'!$I$1:$I$777,"",0),IF(_xlpm.x="",0,IF(ISNUMBER(_xlpm.x),_xlpm.x,_xlfn.NUMBERVALUE(_xlpm.x,",","."))))</f>
        <v>91500</v>
      </c>
      <c r="L17" s="38">
        <f t="shared" si="1"/>
        <v>14881.24</v>
      </c>
      <c r="M17" s="38">
        <v>0</v>
      </c>
      <c r="N17" s="38">
        <v>0</v>
      </c>
      <c r="O17" s="38">
        <v>0</v>
      </c>
      <c r="P17" s="38">
        <v>22472.55</v>
      </c>
      <c r="Q17" s="38">
        <v>276.13</v>
      </c>
      <c r="R17" s="35">
        <f t="shared" si="4"/>
        <v>22748.68</v>
      </c>
      <c r="S17" s="38">
        <v>0</v>
      </c>
      <c r="T17" s="35">
        <f>_xlfn.LET(_xlpm.x,_xlfn.XLOOKUP(A17&amp;"/2/2",'[1]S_ALR Export'!$O$1:$O$777,'[1]S_ALR Export'!$I$1:$I$777,"",0),IF(_xlpm.x="",0,IF(ISNUMBER(_xlpm.x),_xlpm.x,_xlfn.NUMBERVALUE(_xlpm.x,",","."))))</f>
        <v>23000</v>
      </c>
      <c r="U17" s="38">
        <v>22748.68</v>
      </c>
      <c r="V17" s="38">
        <v>0</v>
      </c>
      <c r="W17" s="38">
        <v>0</v>
      </c>
      <c r="X17" s="38">
        <v>0</v>
      </c>
      <c r="Y17" s="38">
        <v>-23169.279999999999</v>
      </c>
      <c r="Z17" s="38">
        <v>0</v>
      </c>
      <c r="AA17" s="38">
        <v>0</v>
      </c>
      <c r="AB17" s="35">
        <f t="shared" si="5"/>
        <v>-23169.279999999999</v>
      </c>
      <c r="AC17" s="35">
        <f t="shared" si="2"/>
        <v>37629.919999999998</v>
      </c>
      <c r="AD17" s="35">
        <f t="shared" ref="AD17:AD80" si="7">AC17+AB17</f>
        <v>14460.64</v>
      </c>
      <c r="AE17" s="36" t="str">
        <f>_xlfn.XLOOKUP(A17,'[1]S_ALR Export'!$O$1:$O$777,'[1]S_ALR Export'!$I$1:$I$777,"",0)</f>
        <v>114.500,00</v>
      </c>
      <c r="AP17" s="44" t="s">
        <v>898</v>
      </c>
      <c r="AQ17" s="45" t="s">
        <v>848</v>
      </c>
      <c r="AR17" s="38">
        <v>0</v>
      </c>
      <c r="AS17" s="38">
        <v>0</v>
      </c>
      <c r="AT17" s="38">
        <v>0</v>
      </c>
      <c r="AU17" s="38">
        <v>22472.55</v>
      </c>
      <c r="AV17" s="38">
        <v>276.13</v>
      </c>
      <c r="AW17" s="35">
        <f t="shared" si="6"/>
        <v>22748.68</v>
      </c>
      <c r="AX17" s="38">
        <v>0</v>
      </c>
      <c r="AY17" s="38">
        <v>22748.68</v>
      </c>
      <c r="AZ17" s="15" t="s">
        <v>882</v>
      </c>
    </row>
    <row r="18" spans="1:52" ht="14.5" x14ac:dyDescent="0.25">
      <c r="A18" s="37" t="s">
        <v>899</v>
      </c>
      <c r="B18" s="35">
        <v>0</v>
      </c>
      <c r="C18" s="35">
        <v>0</v>
      </c>
      <c r="D18" s="35">
        <v>0</v>
      </c>
      <c r="E18" s="35">
        <v>0</v>
      </c>
      <c r="F18" s="35">
        <v>80500</v>
      </c>
      <c r="G18" s="15" t="s">
        <v>882</v>
      </c>
      <c r="H18" s="35">
        <f t="shared" si="0"/>
        <v>80500</v>
      </c>
      <c r="I18" s="35">
        <v>64050</v>
      </c>
      <c r="J18" s="35">
        <v>10900</v>
      </c>
      <c r="K18" s="35">
        <f>_xlfn.LET(_xlpm.x,_xlfn.XLOOKUP(A18&amp;"/2/1",'[1]S_ALR Export'!$O$1:$O$777,'[1]S_ALR Export'!$I$1:$I$777,"",0),IF(_xlpm.x="",0,IF(ISNUMBER(_xlpm.x),_xlpm.x,_xlfn.NUMBERVALUE(_xlpm.x,",","."))))</f>
        <v>155750</v>
      </c>
      <c r="L18" s="35">
        <f t="shared" si="1"/>
        <v>155450</v>
      </c>
      <c r="M18" s="35">
        <v>0</v>
      </c>
      <c r="N18" s="35">
        <v>0</v>
      </c>
      <c r="O18" s="35">
        <v>0</v>
      </c>
      <c r="P18" s="35">
        <v>0</v>
      </c>
      <c r="Q18" s="35">
        <v>20000</v>
      </c>
      <c r="R18" s="35">
        <f t="shared" si="4"/>
        <v>20000</v>
      </c>
      <c r="S18" s="35">
        <v>0</v>
      </c>
      <c r="T18" s="35">
        <f>_xlfn.LET(_xlpm.x,_xlfn.XLOOKUP(A18&amp;"/2/2",'[1]S_ALR Export'!$O$1:$O$777,'[1]S_ALR Export'!$I$1:$I$777,"",0),IF(_xlpm.x="",0,IF(ISNUMBER(_xlpm.x),_xlpm.x,_xlfn.NUMBERVALUE(_xlpm.x,",","."))))</f>
        <v>20000</v>
      </c>
      <c r="U18" s="35">
        <v>20000</v>
      </c>
      <c r="V18" s="35">
        <v>0</v>
      </c>
      <c r="W18" s="35">
        <v>0</v>
      </c>
      <c r="X18" s="35">
        <v>0</v>
      </c>
      <c r="Y18" s="35">
        <v>0</v>
      </c>
      <c r="Z18" s="35">
        <v>-104925</v>
      </c>
      <c r="AA18" s="35">
        <v>-77008</v>
      </c>
      <c r="AB18" s="35">
        <f t="shared" si="5"/>
        <v>-181933</v>
      </c>
      <c r="AC18" s="35">
        <f t="shared" si="2"/>
        <v>175450</v>
      </c>
      <c r="AD18" s="35">
        <f t="shared" si="7"/>
        <v>-6483</v>
      </c>
      <c r="AE18" s="36" t="str">
        <f>_xlfn.XLOOKUP(A18,'[1]S_ALR Export'!$O$1:$O$777,'[1]S_ALR Export'!$I$1:$I$777,"",0)</f>
        <v>175.750,00</v>
      </c>
      <c r="AP18" s="42" t="s">
        <v>899</v>
      </c>
      <c r="AQ18" s="43" t="s">
        <v>459</v>
      </c>
      <c r="AR18" s="35">
        <v>0</v>
      </c>
      <c r="AS18" s="35">
        <v>0</v>
      </c>
      <c r="AT18" s="35">
        <v>0</v>
      </c>
      <c r="AU18" s="35">
        <v>0</v>
      </c>
      <c r="AV18" s="35">
        <v>20000</v>
      </c>
      <c r="AW18" s="35">
        <f t="shared" si="6"/>
        <v>20000</v>
      </c>
      <c r="AX18" s="35">
        <v>0</v>
      </c>
      <c r="AY18" s="35">
        <v>20000</v>
      </c>
      <c r="AZ18" s="15" t="s">
        <v>882</v>
      </c>
    </row>
    <row r="19" spans="1:52" ht="14.5" x14ac:dyDescent="0.25">
      <c r="A19" s="37" t="s">
        <v>900</v>
      </c>
      <c r="B19" s="38">
        <v>0</v>
      </c>
      <c r="C19" s="38">
        <v>0</v>
      </c>
      <c r="D19" s="38">
        <v>0</v>
      </c>
      <c r="E19" s="38">
        <v>0</v>
      </c>
      <c r="F19" s="38">
        <v>48400</v>
      </c>
      <c r="G19" s="15" t="s">
        <v>882</v>
      </c>
      <c r="H19" s="35">
        <f t="shared" si="0"/>
        <v>48400</v>
      </c>
      <c r="I19" s="38">
        <v>13400</v>
      </c>
      <c r="J19" s="38">
        <v>1400</v>
      </c>
      <c r="K19" s="35">
        <f>_xlfn.LET(_xlpm.x,_xlfn.XLOOKUP(A19&amp;"/2/1",'[1]S_ALR Export'!$O$1:$O$777,'[1]S_ALR Export'!$I$1:$I$777,"",0),IF(_xlpm.x="",0,IF(ISNUMBER(_xlpm.x),_xlpm.x,_xlfn.NUMBERVALUE(_xlpm.x,",","."))))</f>
        <v>64000</v>
      </c>
      <c r="L19" s="38">
        <f t="shared" si="1"/>
        <v>63200</v>
      </c>
      <c r="M19" s="38">
        <v>0</v>
      </c>
      <c r="N19" s="38">
        <v>0</v>
      </c>
      <c r="O19" s="38">
        <v>0</v>
      </c>
      <c r="P19" s="38">
        <v>0</v>
      </c>
      <c r="Q19" s="38">
        <v>20000</v>
      </c>
      <c r="R19" s="35">
        <f t="shared" si="4"/>
        <v>20000</v>
      </c>
      <c r="S19" s="38">
        <v>0</v>
      </c>
      <c r="T19" s="35">
        <f>_xlfn.LET(_xlpm.x,_xlfn.XLOOKUP(A19&amp;"/2/2",'[1]S_ALR Export'!$O$1:$O$777,'[1]S_ALR Export'!$I$1:$I$777,"",0),IF(_xlpm.x="",0,IF(ISNUMBER(_xlpm.x),_xlpm.x,_xlfn.NUMBERVALUE(_xlpm.x,",","."))))</f>
        <v>20000</v>
      </c>
      <c r="U19" s="38">
        <v>20000</v>
      </c>
      <c r="V19" s="38">
        <v>0</v>
      </c>
      <c r="W19" s="38">
        <v>0</v>
      </c>
      <c r="X19" s="38">
        <v>0</v>
      </c>
      <c r="Y19" s="38">
        <v>0</v>
      </c>
      <c r="Z19" s="38">
        <v>-71220</v>
      </c>
      <c r="AA19" s="38">
        <v>-15540</v>
      </c>
      <c r="AB19" s="35">
        <f t="shared" si="5"/>
        <v>-86760</v>
      </c>
      <c r="AC19" s="35">
        <f t="shared" si="2"/>
        <v>83200</v>
      </c>
      <c r="AD19" s="35">
        <f t="shared" si="7"/>
        <v>-3560</v>
      </c>
      <c r="AE19" s="36" t="str">
        <f>_xlfn.XLOOKUP(A19,'[1]S_ALR Export'!$O$1:$O$777,'[1]S_ALR Export'!$I$1:$I$777,"",0)</f>
        <v>84.000,00</v>
      </c>
      <c r="AP19" s="44" t="s">
        <v>900</v>
      </c>
      <c r="AQ19" s="45" t="s">
        <v>459</v>
      </c>
      <c r="AR19" s="38">
        <v>0</v>
      </c>
      <c r="AS19" s="38">
        <v>0</v>
      </c>
      <c r="AT19" s="38">
        <v>0</v>
      </c>
      <c r="AU19" s="38">
        <v>0</v>
      </c>
      <c r="AV19" s="38">
        <v>20000</v>
      </c>
      <c r="AW19" s="35">
        <f t="shared" si="6"/>
        <v>20000</v>
      </c>
      <c r="AX19" s="38">
        <v>0</v>
      </c>
      <c r="AY19" s="38">
        <v>20000</v>
      </c>
      <c r="AZ19" s="15" t="s">
        <v>882</v>
      </c>
    </row>
    <row r="20" spans="1:52" x14ac:dyDescent="0.25">
      <c r="A20" s="34" t="s">
        <v>901</v>
      </c>
      <c r="B20" s="35">
        <v>0</v>
      </c>
      <c r="C20" s="35">
        <v>0</v>
      </c>
      <c r="D20" s="35">
        <v>0</v>
      </c>
      <c r="E20" s="35">
        <v>0</v>
      </c>
      <c r="F20" s="35">
        <v>51700</v>
      </c>
      <c r="G20" s="15" t="s">
        <v>882</v>
      </c>
      <c r="H20" s="35">
        <f t="shared" si="0"/>
        <v>51700</v>
      </c>
      <c r="I20" s="35">
        <v>300</v>
      </c>
      <c r="J20" s="35">
        <v>0</v>
      </c>
      <c r="K20" s="35">
        <f>_xlfn.LET(_xlpm.x,_xlfn.XLOOKUP(A20&amp;"/2/1",'[1]S_ALR Export'!$O$1:$O$777,'[1]S_ALR Export'!$I$1:$I$777,"",0),IF(_xlpm.x="",0,IF(ISNUMBER(_xlpm.x),_xlpm.x,_xlfn.NUMBERVALUE(_xlpm.x,",","."))))</f>
        <v>52000</v>
      </c>
      <c r="L20" s="35">
        <f t="shared" si="1"/>
        <v>52000</v>
      </c>
      <c r="M20" s="35">
        <v>0</v>
      </c>
      <c r="N20" s="35">
        <v>0</v>
      </c>
      <c r="O20" s="35">
        <v>0</v>
      </c>
      <c r="P20" s="35">
        <v>0</v>
      </c>
      <c r="Q20" s="35">
        <v>7567.2</v>
      </c>
      <c r="R20" s="35">
        <f t="shared" si="4"/>
        <v>7567.2</v>
      </c>
      <c r="S20" s="35">
        <v>0</v>
      </c>
      <c r="T20" s="35">
        <f>_xlfn.LET(_xlpm.x,_xlfn.XLOOKUP(A20&amp;"/2/2",'[1]S_ALR Export'!$O$1:$O$777,'[1]S_ALR Export'!$I$1:$I$777,"",0),IF(_xlpm.x="",0,IF(ISNUMBER(_xlpm.x),_xlpm.x,_xlfn.NUMBERVALUE(_xlpm.x,",","."))))</f>
        <v>7568</v>
      </c>
      <c r="U20" s="35">
        <v>7567.2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f t="shared" si="5"/>
        <v>0</v>
      </c>
      <c r="AC20" s="35">
        <f t="shared" si="2"/>
        <v>59567.199999999997</v>
      </c>
      <c r="AD20" s="35">
        <f t="shared" si="7"/>
        <v>59567.199999999997</v>
      </c>
      <c r="AE20" s="36" t="str">
        <f>_xlfn.XLOOKUP(A20,'[1]S_ALR Export'!$O$1:$O$777,'[1]S_ALR Export'!$I$1:$I$777,"",0)</f>
        <v>59.568,00</v>
      </c>
      <c r="AP20" s="42" t="s">
        <v>901</v>
      </c>
      <c r="AQ20" s="43" t="s">
        <v>1027</v>
      </c>
      <c r="AR20" s="35">
        <v>0</v>
      </c>
      <c r="AS20" s="35">
        <v>0</v>
      </c>
      <c r="AT20" s="35">
        <v>0</v>
      </c>
      <c r="AU20" s="35">
        <v>0</v>
      </c>
      <c r="AV20" s="35">
        <v>7567.2</v>
      </c>
      <c r="AW20" s="35">
        <f t="shared" si="6"/>
        <v>7567.2</v>
      </c>
      <c r="AX20" s="35">
        <v>0</v>
      </c>
      <c r="AY20" s="35">
        <v>7567.2</v>
      </c>
      <c r="AZ20" s="15" t="s">
        <v>882</v>
      </c>
    </row>
    <row r="21" spans="1:52" x14ac:dyDescent="0.25">
      <c r="A21" s="34" t="s">
        <v>902</v>
      </c>
      <c r="B21" s="38">
        <v>0</v>
      </c>
      <c r="C21" s="38">
        <v>0</v>
      </c>
      <c r="D21" s="38">
        <v>0</v>
      </c>
      <c r="E21" s="38">
        <v>0</v>
      </c>
      <c r="F21" s="38">
        <v>10600</v>
      </c>
      <c r="G21" s="15" t="s">
        <v>882</v>
      </c>
      <c r="H21" s="35">
        <f t="shared" si="0"/>
        <v>10600</v>
      </c>
      <c r="I21" s="38">
        <v>19032.379999999997</v>
      </c>
      <c r="J21" s="38">
        <v>1.8189894035458565E-12</v>
      </c>
      <c r="K21" s="35">
        <f>_xlfn.LET(_xlpm.x,_xlfn.XLOOKUP(A21&amp;"/2/1",'[1]S_ALR Export'!$O$1:$O$777,'[1]S_ALR Export'!$I$1:$I$777,"",0),IF(_xlpm.x="",0,IF(ISNUMBER(_xlpm.x),_xlpm.x,_xlfn.NUMBERVALUE(_xlpm.x,",","."))))</f>
        <v>40000</v>
      </c>
      <c r="L21" s="38">
        <f t="shared" si="1"/>
        <v>29632.379999999997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5">
        <f t="shared" si="4"/>
        <v>0</v>
      </c>
      <c r="S21" s="38">
        <v>0</v>
      </c>
      <c r="T21" s="35">
        <f>_xlfn.LET(_xlpm.x,_xlfn.XLOOKUP(A21&amp;"/2/2",'[1]S_ALR Export'!$O$1:$O$777,'[1]S_ALR Export'!$I$1:$I$777,"",0),IF(_xlpm.x="",0,IF(ISNUMBER(_xlpm.x),_xlpm.x,_xlfn.NUMBERVALUE(_xlpm.x,",","."))))</f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5">
        <f t="shared" si="5"/>
        <v>0</v>
      </c>
      <c r="AC21" s="35">
        <f t="shared" si="2"/>
        <v>29632.379999999997</v>
      </c>
      <c r="AD21" s="35">
        <f t="shared" si="7"/>
        <v>29632.379999999997</v>
      </c>
      <c r="AE21" s="36" t="str">
        <f>_xlfn.XLOOKUP(A21,'[1]S_ALR Export'!$O$1:$O$777,'[1]S_ALR Export'!$I$1:$I$777,"",0)</f>
        <v>40.000,00</v>
      </c>
      <c r="AP21" s="44" t="s">
        <v>903</v>
      </c>
      <c r="AQ21" s="45" t="s">
        <v>1028</v>
      </c>
      <c r="AR21" s="38">
        <v>0</v>
      </c>
      <c r="AS21" s="38">
        <v>0</v>
      </c>
      <c r="AT21" s="38">
        <v>0</v>
      </c>
      <c r="AU21" s="38">
        <v>0</v>
      </c>
      <c r="AV21" s="38">
        <v>21000</v>
      </c>
      <c r="AW21" s="35">
        <f t="shared" si="6"/>
        <v>21000</v>
      </c>
      <c r="AX21" s="38">
        <v>0</v>
      </c>
      <c r="AY21" s="38">
        <v>21000</v>
      </c>
      <c r="AZ21" s="15" t="s">
        <v>882</v>
      </c>
    </row>
    <row r="22" spans="1:52" x14ac:dyDescent="0.25">
      <c r="A22" s="34" t="s">
        <v>903</v>
      </c>
      <c r="B22" s="35">
        <v>0</v>
      </c>
      <c r="C22" s="35">
        <v>0</v>
      </c>
      <c r="D22" s="35">
        <v>0</v>
      </c>
      <c r="E22" s="35">
        <v>0</v>
      </c>
      <c r="F22" s="35">
        <v>23734.5</v>
      </c>
      <c r="G22" s="15" t="s">
        <v>882</v>
      </c>
      <c r="H22" s="35">
        <f t="shared" si="0"/>
        <v>23734.5</v>
      </c>
      <c r="I22" s="35">
        <v>4356</v>
      </c>
      <c r="J22" s="35">
        <v>0</v>
      </c>
      <c r="K22" s="35">
        <f>_xlfn.LET(_xlpm.x,_xlfn.XLOOKUP(A22&amp;"/2/1",'[1]S_ALR Export'!$O$1:$O$777,'[1]S_ALR Export'!$I$1:$I$777,"",0),IF(_xlpm.x="",0,IF(ISNUMBER(_xlpm.x),_xlpm.x,_xlfn.NUMBERVALUE(_xlpm.x,",","."))))</f>
        <v>34000</v>
      </c>
      <c r="L22" s="35">
        <f t="shared" si="1"/>
        <v>28090.5</v>
      </c>
      <c r="M22" s="35">
        <v>0</v>
      </c>
      <c r="N22" s="35">
        <v>0</v>
      </c>
      <c r="O22" s="35">
        <v>0</v>
      </c>
      <c r="P22" s="35">
        <v>0</v>
      </c>
      <c r="Q22" s="35">
        <v>21000</v>
      </c>
      <c r="R22" s="35">
        <f t="shared" si="4"/>
        <v>21000</v>
      </c>
      <c r="S22" s="35">
        <v>0</v>
      </c>
      <c r="T22" s="35">
        <f>_xlfn.LET(_xlpm.x,_xlfn.XLOOKUP(A22&amp;"/2/2",'[1]S_ALR Export'!$O$1:$O$777,'[1]S_ALR Export'!$I$1:$I$777,"",0),IF(_xlpm.x="",0,IF(ISNUMBER(_xlpm.x),_xlpm.x,_xlfn.NUMBERVALUE(_xlpm.x,",","."))))</f>
        <v>21463</v>
      </c>
      <c r="U22" s="35">
        <v>21000</v>
      </c>
      <c r="V22" s="35">
        <v>0</v>
      </c>
      <c r="W22" s="35">
        <v>0</v>
      </c>
      <c r="X22" s="35">
        <v>0</v>
      </c>
      <c r="Y22" s="35">
        <v>0</v>
      </c>
      <c r="Z22" s="35">
        <v>-41510</v>
      </c>
      <c r="AA22" s="35">
        <v>0</v>
      </c>
      <c r="AB22" s="35">
        <f t="shared" si="5"/>
        <v>-41510</v>
      </c>
      <c r="AC22" s="35">
        <f t="shared" si="2"/>
        <v>49090.5</v>
      </c>
      <c r="AD22" s="35">
        <f t="shared" si="7"/>
        <v>7580.5</v>
      </c>
      <c r="AE22" s="36" t="str">
        <f>_xlfn.XLOOKUP(A22,'[1]S_ALR Export'!$O$1:$O$777,'[1]S_ALR Export'!$I$1:$I$777,"",0)</f>
        <v>55.463,00</v>
      </c>
      <c r="AP22" s="42" t="s">
        <v>909</v>
      </c>
      <c r="AQ22" s="43" t="s">
        <v>1028</v>
      </c>
      <c r="AR22" s="35">
        <v>0</v>
      </c>
      <c r="AS22" s="35">
        <v>0</v>
      </c>
      <c r="AT22" s="35">
        <v>0</v>
      </c>
      <c r="AU22" s="35">
        <v>0</v>
      </c>
      <c r="AV22" s="35">
        <v>14648</v>
      </c>
      <c r="AW22" s="35">
        <f t="shared" si="6"/>
        <v>14648</v>
      </c>
      <c r="AX22" s="35">
        <v>0</v>
      </c>
      <c r="AY22" s="35">
        <v>14648</v>
      </c>
      <c r="AZ22" s="15" t="s">
        <v>882</v>
      </c>
    </row>
    <row r="23" spans="1:52" ht="14.5" x14ac:dyDescent="0.25">
      <c r="A23" s="37" t="s">
        <v>904</v>
      </c>
      <c r="B23" s="38">
        <v>0</v>
      </c>
      <c r="C23" s="38">
        <v>0</v>
      </c>
      <c r="D23" s="38">
        <v>0</v>
      </c>
      <c r="E23" s="38">
        <v>0</v>
      </c>
      <c r="F23" s="38">
        <v>33508.98000000001</v>
      </c>
      <c r="G23" s="15" t="s">
        <v>882</v>
      </c>
      <c r="H23" s="35">
        <f t="shared" si="0"/>
        <v>33508.98000000001</v>
      </c>
      <c r="I23" s="38">
        <v>0</v>
      </c>
      <c r="J23" s="38">
        <v>0</v>
      </c>
      <c r="K23" s="35">
        <f>_xlfn.LET(_xlpm.x,_xlfn.XLOOKUP(A23&amp;"/2/1",'[1]S_ALR Export'!$O$1:$O$777,'[1]S_ALR Export'!$I$1:$I$777,"",0),IF(_xlpm.x="",0,IF(ISNUMBER(_xlpm.x),_xlpm.x,_xlfn.NUMBERVALUE(_xlpm.x,",","."))))</f>
        <v>33509</v>
      </c>
      <c r="L23" s="38">
        <f t="shared" si="1"/>
        <v>33508.98000000001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5">
        <f t="shared" si="4"/>
        <v>0</v>
      </c>
      <c r="S23" s="38">
        <v>0</v>
      </c>
      <c r="T23" s="35">
        <f>_xlfn.LET(_xlpm.x,_xlfn.XLOOKUP(A23&amp;"/2/2",'[1]S_ALR Export'!$O$1:$O$777,'[1]S_ALR Export'!$I$1:$I$777,"",0),IF(_xlpm.x="",0,IF(ISNUMBER(_xlpm.x),_xlpm.x,_xlfn.NUMBERVALUE(_xlpm.x,",","."))))</f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5">
        <f t="shared" si="5"/>
        <v>0</v>
      </c>
      <c r="AC23" s="35">
        <f t="shared" si="2"/>
        <v>33508.98000000001</v>
      </c>
      <c r="AD23" s="35">
        <f t="shared" si="7"/>
        <v>33508.98000000001</v>
      </c>
      <c r="AE23" s="36" t="str">
        <f>_xlfn.XLOOKUP(A23,'[1]S_ALR Export'!$O$1:$O$777,'[1]S_ALR Export'!$I$1:$I$777,"",0)</f>
        <v>33.509,00</v>
      </c>
      <c r="AP23" s="44" t="s">
        <v>909</v>
      </c>
      <c r="AQ23" s="45" t="s">
        <v>1029</v>
      </c>
      <c r="AR23" s="38">
        <v>0</v>
      </c>
      <c r="AS23" s="38">
        <v>0</v>
      </c>
      <c r="AT23" s="38">
        <v>0</v>
      </c>
      <c r="AU23" s="38">
        <v>0</v>
      </c>
      <c r="AV23" s="38">
        <v>76229.149999999994</v>
      </c>
      <c r="AW23" s="35">
        <f t="shared" si="6"/>
        <v>76229.149999999994</v>
      </c>
      <c r="AX23" s="38">
        <v>0</v>
      </c>
      <c r="AY23" s="38">
        <v>76229.149999999994</v>
      </c>
      <c r="AZ23" s="15" t="s">
        <v>882</v>
      </c>
    </row>
    <row r="24" spans="1:52" x14ac:dyDescent="0.25">
      <c r="A24" s="34" t="s">
        <v>905</v>
      </c>
      <c r="B24" s="35">
        <v>0</v>
      </c>
      <c r="C24" s="35">
        <v>0</v>
      </c>
      <c r="D24" s="35">
        <v>0</v>
      </c>
      <c r="E24" s="35">
        <v>0</v>
      </c>
      <c r="F24" s="35">
        <v>106200</v>
      </c>
      <c r="G24" s="15" t="s">
        <v>882</v>
      </c>
      <c r="H24" s="35">
        <f t="shared" si="0"/>
        <v>106200</v>
      </c>
      <c r="I24" s="35">
        <v>0</v>
      </c>
      <c r="J24" s="35">
        <v>0</v>
      </c>
      <c r="K24" s="35">
        <f>_xlfn.LET(_xlpm.x,_xlfn.XLOOKUP(A24&amp;"/2/1",'[1]S_ALR Export'!$O$1:$O$777,'[1]S_ALR Export'!$I$1:$I$777,"",0),IF(_xlpm.x="",0,IF(ISNUMBER(_xlpm.x),_xlpm.x,_xlfn.NUMBERVALUE(_xlpm.x,",","."))))</f>
        <v>106200</v>
      </c>
      <c r="L24" s="35">
        <f t="shared" si="1"/>
        <v>106200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f t="shared" si="4"/>
        <v>0</v>
      </c>
      <c r="S24" s="35">
        <v>0</v>
      </c>
      <c r="T24" s="35">
        <f>_xlfn.LET(_xlpm.x,_xlfn.XLOOKUP(A24&amp;"/2/2",'[1]S_ALR Export'!$O$1:$O$777,'[1]S_ALR Export'!$I$1:$I$777,"",0),IF(_xlpm.x="",0,IF(ISNUMBER(_xlpm.x),_xlpm.x,_xlfn.NUMBERVALUE(_xlpm.x,",","."))))</f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f t="shared" si="5"/>
        <v>0</v>
      </c>
      <c r="AC24" s="35">
        <f t="shared" si="2"/>
        <v>106200</v>
      </c>
      <c r="AD24" s="35">
        <f t="shared" si="7"/>
        <v>106200</v>
      </c>
      <c r="AE24" s="36" t="str">
        <f>_xlfn.XLOOKUP(A24,'[1]S_ALR Export'!$O$1:$O$777,'[1]S_ALR Export'!$I$1:$I$777,"",0)</f>
        <v>106.200,00</v>
      </c>
      <c r="AP24" s="42" t="s">
        <v>910</v>
      </c>
      <c r="AQ24" s="43" t="s">
        <v>1027</v>
      </c>
      <c r="AR24" s="35">
        <v>0</v>
      </c>
      <c r="AS24" s="35">
        <v>0</v>
      </c>
      <c r="AT24" s="35">
        <v>0</v>
      </c>
      <c r="AU24" s="35">
        <v>0</v>
      </c>
      <c r="AV24" s="35">
        <v>29634.76</v>
      </c>
      <c r="AW24" s="35">
        <f t="shared" si="6"/>
        <v>29634.76</v>
      </c>
      <c r="AX24" s="35">
        <v>0</v>
      </c>
      <c r="AY24" s="35">
        <v>29634.76</v>
      </c>
      <c r="AZ24" s="15" t="s">
        <v>882</v>
      </c>
    </row>
    <row r="25" spans="1:52" x14ac:dyDescent="0.25">
      <c r="A25" s="34" t="s">
        <v>906</v>
      </c>
      <c r="B25" s="38">
        <v>0</v>
      </c>
      <c r="C25" s="38">
        <v>0</v>
      </c>
      <c r="D25" s="38">
        <v>0</v>
      </c>
      <c r="E25" s="38">
        <v>0</v>
      </c>
      <c r="F25" s="38">
        <v>3900</v>
      </c>
      <c r="G25" s="15" t="s">
        <v>882</v>
      </c>
      <c r="H25" s="35">
        <f t="shared" si="0"/>
        <v>3900</v>
      </c>
      <c r="I25" s="38">
        <v>9100</v>
      </c>
      <c r="J25" s="38">
        <v>0</v>
      </c>
      <c r="K25" s="35">
        <f>_xlfn.LET(_xlpm.x,_xlfn.XLOOKUP(A25&amp;"/2/1",'[1]S_ALR Export'!$O$1:$O$777,'[1]S_ALR Export'!$I$1:$I$777,"",0),IF(_xlpm.x="",0,IF(ISNUMBER(_xlpm.x),_xlpm.x,_xlfn.NUMBERVALUE(_xlpm.x,",","."))))</f>
        <v>48000</v>
      </c>
      <c r="L25" s="38">
        <f t="shared" si="1"/>
        <v>13000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5">
        <f t="shared" si="4"/>
        <v>0</v>
      </c>
      <c r="S25" s="38">
        <v>0</v>
      </c>
      <c r="T25" s="35">
        <f>_xlfn.LET(_xlpm.x,_xlfn.XLOOKUP(A25&amp;"/2/2",'[1]S_ALR Export'!$O$1:$O$777,'[1]S_ALR Export'!$I$1:$I$777,"",0),IF(_xlpm.x="",0,IF(ISNUMBER(_xlpm.x),_xlpm.x,_xlfn.NUMBERVALUE(_xlpm.x,",","."))))</f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5">
        <f t="shared" si="5"/>
        <v>0</v>
      </c>
      <c r="AC25" s="35">
        <f t="shared" si="2"/>
        <v>13000</v>
      </c>
      <c r="AD25" s="35">
        <f t="shared" si="7"/>
        <v>13000</v>
      </c>
      <c r="AE25" s="36" t="str">
        <f>_xlfn.XLOOKUP(A25,'[1]S_ALR Export'!$O$1:$O$777,'[1]S_ALR Export'!$I$1:$I$777,"",0)</f>
        <v>48.000,00</v>
      </c>
      <c r="AP25" s="44" t="s">
        <v>910</v>
      </c>
      <c r="AQ25" s="45" t="s">
        <v>1029</v>
      </c>
      <c r="AR25" s="38">
        <v>0</v>
      </c>
      <c r="AS25" s="38">
        <v>0</v>
      </c>
      <c r="AT25" s="38">
        <v>0</v>
      </c>
      <c r="AU25" s="38">
        <v>0</v>
      </c>
      <c r="AV25" s="38">
        <v>166099.64000000001</v>
      </c>
      <c r="AW25" s="35">
        <f t="shared" si="6"/>
        <v>166099.64000000001</v>
      </c>
      <c r="AX25" s="38">
        <v>0</v>
      </c>
      <c r="AY25" s="38">
        <v>166099.64000000001</v>
      </c>
      <c r="AZ25" s="15" t="s">
        <v>882</v>
      </c>
    </row>
    <row r="26" spans="1:52" x14ac:dyDescent="0.25">
      <c r="A26" s="34" t="s">
        <v>907</v>
      </c>
      <c r="B26" s="35">
        <v>0</v>
      </c>
      <c r="C26" s="35">
        <v>0</v>
      </c>
      <c r="D26" s="35">
        <v>0</v>
      </c>
      <c r="E26" s="35">
        <v>0</v>
      </c>
      <c r="F26" s="35">
        <v>315</v>
      </c>
      <c r="G26" s="15" t="s">
        <v>882</v>
      </c>
      <c r="H26" s="35">
        <f t="shared" si="0"/>
        <v>315</v>
      </c>
      <c r="I26" s="35">
        <v>0</v>
      </c>
      <c r="J26" s="35">
        <v>0</v>
      </c>
      <c r="K26" s="35">
        <f>_xlfn.LET(_xlpm.x,_xlfn.XLOOKUP(A26&amp;"/2/1",'[1]S_ALR Export'!$O$1:$O$777,'[1]S_ALR Export'!$I$1:$I$777,"",0),IF(_xlpm.x="",0,IF(ISNUMBER(_xlpm.x),_xlpm.x,_xlfn.NUMBERVALUE(_xlpm.x,",","."))))</f>
        <v>315</v>
      </c>
      <c r="L26" s="35">
        <f t="shared" si="1"/>
        <v>315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f t="shared" si="4"/>
        <v>0</v>
      </c>
      <c r="S26" s="35">
        <v>0</v>
      </c>
      <c r="T26" s="35">
        <f>_xlfn.LET(_xlpm.x,_xlfn.XLOOKUP(A26&amp;"/2/2",'[1]S_ALR Export'!$O$1:$O$777,'[1]S_ALR Export'!$I$1:$I$777,"",0),IF(_xlpm.x="",0,IF(ISNUMBER(_xlpm.x),_xlpm.x,_xlfn.NUMBERVALUE(_xlpm.x,",","."))))</f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f t="shared" si="5"/>
        <v>0</v>
      </c>
      <c r="AC26" s="35">
        <f t="shared" si="2"/>
        <v>315</v>
      </c>
      <c r="AD26" s="35">
        <f t="shared" si="7"/>
        <v>315</v>
      </c>
      <c r="AE26" s="36" t="str">
        <f>_xlfn.XLOOKUP(A26,'[1]S_ALR Export'!$O$1:$O$777,'[1]S_ALR Export'!$I$1:$I$777,"",0)</f>
        <v>315,00</v>
      </c>
      <c r="AP26" s="42" t="s">
        <v>917</v>
      </c>
      <c r="AQ26" s="43" t="s">
        <v>1030</v>
      </c>
      <c r="AR26" s="35">
        <v>0</v>
      </c>
      <c r="AS26" s="35">
        <v>0</v>
      </c>
      <c r="AT26" s="35">
        <v>0</v>
      </c>
      <c r="AU26" s="35">
        <v>0</v>
      </c>
      <c r="AV26" s="35">
        <v>3814.38</v>
      </c>
      <c r="AW26" s="35">
        <f t="shared" si="6"/>
        <v>3814.38</v>
      </c>
      <c r="AX26" s="35">
        <v>0</v>
      </c>
      <c r="AY26" s="35">
        <v>3814.38</v>
      </c>
      <c r="AZ26" s="15" t="s">
        <v>882</v>
      </c>
    </row>
    <row r="27" spans="1:52" x14ac:dyDescent="0.25">
      <c r="A27" s="34" t="s">
        <v>908</v>
      </c>
      <c r="B27" s="38">
        <v>0</v>
      </c>
      <c r="C27" s="38">
        <v>0</v>
      </c>
      <c r="D27" s="38">
        <v>0</v>
      </c>
      <c r="E27" s="38">
        <v>0</v>
      </c>
      <c r="F27" s="38">
        <v>1.1499999999650754</v>
      </c>
      <c r="G27" s="15" t="s">
        <v>882</v>
      </c>
      <c r="H27" s="35">
        <f t="shared" si="0"/>
        <v>1.1499999999650754</v>
      </c>
      <c r="I27" s="38">
        <v>840</v>
      </c>
      <c r="J27" s="38">
        <v>0</v>
      </c>
      <c r="K27" s="35">
        <f>_xlfn.LET(_xlpm.x,_xlfn.XLOOKUP(A27&amp;"/2/1",'[1]S_ALR Export'!$O$1:$O$777,'[1]S_ALR Export'!$I$1:$I$777,"",0),IF(_xlpm.x="",0,IF(ISNUMBER(_xlpm.x),_xlpm.x,_xlfn.NUMBERVALUE(_xlpm.x,",","."))))</f>
        <v>1000</v>
      </c>
      <c r="L27" s="38">
        <f t="shared" si="1"/>
        <v>841.14999999996508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5">
        <f t="shared" si="4"/>
        <v>0</v>
      </c>
      <c r="S27" s="38">
        <v>0</v>
      </c>
      <c r="T27" s="35">
        <f>_xlfn.LET(_xlpm.x,_xlfn.XLOOKUP(A27&amp;"/2/2",'[1]S_ALR Export'!$O$1:$O$777,'[1]S_ALR Export'!$I$1:$I$777,"",0),IF(_xlpm.x="",0,IF(ISNUMBER(_xlpm.x),_xlpm.x,_xlfn.NUMBERVALUE(_xlpm.x,",","."))))</f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5">
        <f t="shared" si="5"/>
        <v>0</v>
      </c>
      <c r="AC27" s="35">
        <f t="shared" si="2"/>
        <v>841.14999999996508</v>
      </c>
      <c r="AD27" s="35">
        <f t="shared" si="7"/>
        <v>841.14999999996508</v>
      </c>
      <c r="AE27" s="36" t="str">
        <f>_xlfn.XLOOKUP(A27,'[1]S_ALR Export'!$O$1:$O$777,'[1]S_ALR Export'!$I$1:$I$777,"",0)</f>
        <v>1.000,00</v>
      </c>
      <c r="AP27" s="44" t="s">
        <v>918</v>
      </c>
      <c r="AQ27" s="45" t="s">
        <v>1018</v>
      </c>
      <c r="AR27" s="38">
        <v>0</v>
      </c>
      <c r="AS27" s="38">
        <v>0</v>
      </c>
      <c r="AT27" s="38">
        <v>0</v>
      </c>
      <c r="AU27" s="38">
        <v>0</v>
      </c>
      <c r="AV27" s="38">
        <v>59390.26</v>
      </c>
      <c r="AW27" s="35">
        <f t="shared" si="6"/>
        <v>59390.26</v>
      </c>
      <c r="AX27" s="38">
        <v>3206.68</v>
      </c>
      <c r="AY27" s="38">
        <v>62596.94</v>
      </c>
      <c r="AZ27" s="15" t="s">
        <v>882</v>
      </c>
    </row>
    <row r="28" spans="1:52" ht="14.5" x14ac:dyDescent="0.25">
      <c r="A28" s="37" t="s">
        <v>909</v>
      </c>
      <c r="B28" s="35">
        <v>0</v>
      </c>
      <c r="C28" s="35">
        <v>0</v>
      </c>
      <c r="D28" s="35">
        <v>0</v>
      </c>
      <c r="E28" s="35">
        <v>0</v>
      </c>
      <c r="F28" s="35">
        <v>166734</v>
      </c>
      <c r="G28" s="15" t="s">
        <v>884</v>
      </c>
      <c r="H28" s="35">
        <f t="shared" si="0"/>
        <v>166734</v>
      </c>
      <c r="I28" s="35">
        <v>119071.5</v>
      </c>
      <c r="J28" s="35">
        <v>35153.5</v>
      </c>
      <c r="K28" s="35">
        <f>_xlfn.LET(_xlpm.x,_xlfn.XLOOKUP(A28&amp;"/2/1",'[1]S_ALR Export'!$O$1:$O$777,'[1]S_ALR Export'!$I$1:$I$777,"",0),IF(_xlpm.x="",0,IF(ISNUMBER(_xlpm.x),_xlpm.x,_xlfn.NUMBERVALUE(_xlpm.x,",","."))))</f>
        <v>355000</v>
      </c>
      <c r="L28" s="35">
        <f t="shared" si="1"/>
        <v>320959</v>
      </c>
      <c r="M28" s="35">
        <v>0</v>
      </c>
      <c r="N28" s="35">
        <v>0</v>
      </c>
      <c r="O28" s="35">
        <v>0</v>
      </c>
      <c r="P28" s="35">
        <v>0</v>
      </c>
      <c r="Q28" s="35">
        <v>90877.15</v>
      </c>
      <c r="R28" s="35">
        <f t="shared" si="4"/>
        <v>90877.15</v>
      </c>
      <c r="S28" s="35">
        <v>0</v>
      </c>
      <c r="T28" s="35">
        <f>_xlfn.LET(_xlpm.x,_xlfn.XLOOKUP(A28&amp;"/2/2",'[1]S_ALR Export'!$O$1:$O$777,'[1]S_ALR Export'!$I$1:$I$777,"",0),IF(_xlpm.x="",0,IF(ISNUMBER(_xlpm.x),_xlpm.x,_xlfn.NUMBERVALUE(_xlpm.x,",","."))))</f>
        <v>95310</v>
      </c>
      <c r="U28" s="35">
        <v>90877.15</v>
      </c>
      <c r="V28" s="35">
        <v>0</v>
      </c>
      <c r="W28" s="35">
        <v>0</v>
      </c>
      <c r="X28" s="35">
        <v>0</v>
      </c>
      <c r="Y28" s="35">
        <v>0</v>
      </c>
      <c r="Z28" s="35">
        <v>-271632.2</v>
      </c>
      <c r="AA28" s="35">
        <v>-106429</v>
      </c>
      <c r="AB28" s="35">
        <f t="shared" si="5"/>
        <v>-378061.2</v>
      </c>
      <c r="AC28" s="35">
        <f t="shared" si="2"/>
        <v>411836.15</v>
      </c>
      <c r="AD28" s="35">
        <f t="shared" si="7"/>
        <v>33774.950000000012</v>
      </c>
      <c r="AE28" s="36" t="str">
        <f>_xlfn.XLOOKUP(A28,'[1]S_ALR Export'!$O$1:$O$777,'[1]S_ALR Export'!$I$1:$I$777,"",0)</f>
        <v>450.310,00</v>
      </c>
      <c r="AP28" s="42" t="s">
        <v>919</v>
      </c>
      <c r="AQ28" s="43" t="s">
        <v>1028</v>
      </c>
      <c r="AR28" s="35">
        <v>0</v>
      </c>
      <c r="AS28" s="35">
        <v>0</v>
      </c>
      <c r="AT28" s="35">
        <v>0</v>
      </c>
      <c r="AU28" s="35">
        <v>0</v>
      </c>
      <c r="AV28" s="35">
        <v>42265</v>
      </c>
      <c r="AW28" s="35">
        <f t="shared" si="6"/>
        <v>42265</v>
      </c>
      <c r="AX28" s="35">
        <v>16585</v>
      </c>
      <c r="AY28" s="35">
        <v>58850</v>
      </c>
      <c r="AZ28" s="15" t="s">
        <v>882</v>
      </c>
    </row>
    <row r="29" spans="1:52" ht="14.5" x14ac:dyDescent="0.25">
      <c r="A29" s="37" t="s">
        <v>910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15" t="s">
        <v>882</v>
      </c>
      <c r="H29" s="35">
        <f t="shared" si="0"/>
        <v>0</v>
      </c>
      <c r="I29" s="38">
        <v>4000</v>
      </c>
      <c r="J29" s="38">
        <v>300</v>
      </c>
      <c r="K29" s="35">
        <f>_xlfn.LET(_xlpm.x,_xlfn.XLOOKUP(A29&amp;"/2/1",'[1]S_ALR Export'!$O$1:$O$777,'[1]S_ALR Export'!$I$1:$I$777,"",0),IF(_xlpm.x="",0,IF(ISNUMBER(_xlpm.x),_xlpm.x,_xlfn.NUMBERVALUE(_xlpm.x,",","."))))</f>
        <v>30000</v>
      </c>
      <c r="L29" s="38">
        <f t="shared" si="1"/>
        <v>4300</v>
      </c>
      <c r="M29" s="38">
        <v>0</v>
      </c>
      <c r="N29" s="38">
        <v>0</v>
      </c>
      <c r="O29" s="38">
        <v>0</v>
      </c>
      <c r="P29" s="38">
        <v>0</v>
      </c>
      <c r="Q29" s="38">
        <v>195734.39999999999</v>
      </c>
      <c r="R29" s="35">
        <f t="shared" si="4"/>
        <v>195734.39999999999</v>
      </c>
      <c r="S29" s="38">
        <v>0</v>
      </c>
      <c r="T29" s="35">
        <f>_xlfn.LET(_xlpm.x,_xlfn.XLOOKUP(A29&amp;"/2/2",'[1]S_ALR Export'!$O$1:$O$777,'[1]S_ALR Export'!$I$1:$I$777,"",0),IF(_xlpm.x="",0,IF(ISNUMBER(_xlpm.x),_xlpm.x,_xlfn.NUMBERVALUE(_xlpm.x,",","."))))</f>
        <v>220000</v>
      </c>
      <c r="U29" s="38">
        <v>195734.39999999999</v>
      </c>
      <c r="V29" s="38">
        <v>0</v>
      </c>
      <c r="W29" s="38">
        <v>0</v>
      </c>
      <c r="X29" s="38">
        <v>0</v>
      </c>
      <c r="Y29" s="38">
        <v>0</v>
      </c>
      <c r="Z29" s="38">
        <v>-187382</v>
      </c>
      <c r="AA29" s="38">
        <v>0</v>
      </c>
      <c r="AB29" s="35">
        <f t="shared" si="5"/>
        <v>-187382</v>
      </c>
      <c r="AC29" s="35">
        <f t="shared" si="2"/>
        <v>200034.4</v>
      </c>
      <c r="AD29" s="35">
        <f t="shared" si="7"/>
        <v>12652.399999999994</v>
      </c>
      <c r="AE29" s="36" t="str">
        <f>_xlfn.XLOOKUP(A29,'[1]S_ALR Export'!$O$1:$O$777,'[1]S_ALR Export'!$I$1:$I$777,"",0)</f>
        <v>250.000,00</v>
      </c>
      <c r="AP29" s="44" t="s">
        <v>921</v>
      </c>
      <c r="AQ29" s="45" t="s">
        <v>1031</v>
      </c>
      <c r="AR29" s="38">
        <v>0</v>
      </c>
      <c r="AS29" s="38">
        <v>0</v>
      </c>
      <c r="AT29" s="38">
        <v>0</v>
      </c>
      <c r="AU29" s="38">
        <v>0</v>
      </c>
      <c r="AV29" s="38">
        <v>27999</v>
      </c>
      <c r="AW29" s="35">
        <f t="shared" si="6"/>
        <v>27999</v>
      </c>
      <c r="AX29" s="38">
        <v>-127.8</v>
      </c>
      <c r="AY29" s="38">
        <v>27871.200000000001</v>
      </c>
      <c r="AZ29" s="15" t="s">
        <v>882</v>
      </c>
    </row>
    <row r="30" spans="1:52" ht="14.5" x14ac:dyDescent="0.25">
      <c r="A30" s="37" t="s">
        <v>911</v>
      </c>
      <c r="B30" s="35">
        <v>0</v>
      </c>
      <c r="C30" s="35">
        <v>0</v>
      </c>
      <c r="D30" s="35">
        <v>0</v>
      </c>
      <c r="E30" s="35">
        <v>0</v>
      </c>
      <c r="F30" s="35">
        <v>46325</v>
      </c>
      <c r="G30" s="15" t="s">
        <v>882</v>
      </c>
      <c r="H30" s="35">
        <f t="shared" si="0"/>
        <v>46325</v>
      </c>
      <c r="I30" s="35">
        <v>0</v>
      </c>
      <c r="J30" s="35">
        <v>0</v>
      </c>
      <c r="K30" s="35">
        <f>_xlfn.LET(_xlpm.x,_xlfn.XLOOKUP(A30&amp;"/2/1",'[1]S_ALR Export'!$O$1:$O$777,'[1]S_ALR Export'!$I$1:$I$777,"",0),IF(_xlpm.x="",0,IF(ISNUMBER(_xlpm.x),_xlpm.x,_xlfn.NUMBERVALUE(_xlpm.x,",","."))))</f>
        <v>46325</v>
      </c>
      <c r="L30" s="35">
        <f t="shared" si="1"/>
        <v>46325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f t="shared" si="4"/>
        <v>0</v>
      </c>
      <c r="S30" s="35">
        <v>0</v>
      </c>
      <c r="T30" s="35">
        <f>_xlfn.LET(_xlpm.x,_xlfn.XLOOKUP(A30&amp;"/2/2",'[1]S_ALR Export'!$O$1:$O$777,'[1]S_ALR Export'!$I$1:$I$777,"",0),IF(_xlpm.x="",0,IF(ISNUMBER(_xlpm.x),_xlpm.x,_xlfn.NUMBERVALUE(_xlpm.x,",","."))))</f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-48116</v>
      </c>
      <c r="AA30" s="35">
        <v>0</v>
      </c>
      <c r="AB30" s="35">
        <f t="shared" si="5"/>
        <v>-48116</v>
      </c>
      <c r="AC30" s="35">
        <f t="shared" si="2"/>
        <v>46325</v>
      </c>
      <c r="AD30" s="35">
        <f t="shared" si="7"/>
        <v>-1791</v>
      </c>
      <c r="AE30" s="36" t="str">
        <f>_xlfn.XLOOKUP(A30,'[1]S_ALR Export'!$O$1:$O$777,'[1]S_ALR Export'!$I$1:$I$777,"",0)</f>
        <v>46.325,00</v>
      </c>
      <c r="AP30" s="42" t="s">
        <v>921</v>
      </c>
      <c r="AQ30" s="43" t="s">
        <v>1032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f t="shared" si="6"/>
        <v>0</v>
      </c>
      <c r="AX30" s="35">
        <v>2685.6</v>
      </c>
      <c r="AY30" s="35">
        <v>2685.6</v>
      </c>
      <c r="AZ30" s="15" t="s">
        <v>882</v>
      </c>
    </row>
    <row r="31" spans="1:52" ht="14.5" x14ac:dyDescent="0.25">
      <c r="A31" s="37" t="s">
        <v>912</v>
      </c>
      <c r="B31" s="38">
        <v>0</v>
      </c>
      <c r="C31" s="38">
        <v>0</v>
      </c>
      <c r="D31" s="38">
        <v>0</v>
      </c>
      <c r="E31" s="38">
        <v>0</v>
      </c>
      <c r="F31" s="38">
        <v>26400</v>
      </c>
      <c r="G31" s="15" t="s">
        <v>882</v>
      </c>
      <c r="H31" s="35">
        <f t="shared" si="0"/>
        <v>26400</v>
      </c>
      <c r="I31" s="38">
        <v>0</v>
      </c>
      <c r="J31" s="38">
        <v>0</v>
      </c>
      <c r="K31" s="35">
        <f>_xlfn.LET(_xlpm.x,_xlfn.XLOOKUP(A31&amp;"/2/1",'[1]S_ALR Export'!$O$1:$O$777,'[1]S_ALR Export'!$I$1:$I$777,"",0),IF(_xlpm.x="",0,IF(ISNUMBER(_xlpm.x),_xlpm.x,_xlfn.NUMBERVALUE(_xlpm.x,",","."))))</f>
        <v>26400</v>
      </c>
      <c r="L31" s="38">
        <f t="shared" si="1"/>
        <v>26400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5">
        <f t="shared" si="4"/>
        <v>0</v>
      </c>
      <c r="S31" s="38">
        <v>0</v>
      </c>
      <c r="T31" s="35">
        <f>_xlfn.LET(_xlpm.x,_xlfn.XLOOKUP(A31&amp;"/2/2",'[1]S_ALR Export'!$O$1:$O$777,'[1]S_ALR Export'!$I$1:$I$777,"",0),IF(_xlpm.x="",0,IF(ISNUMBER(_xlpm.x),_xlpm.x,_xlfn.NUMBERVALUE(_xlpm.x,",","."))))</f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5">
        <f t="shared" si="5"/>
        <v>0</v>
      </c>
      <c r="AC31" s="35">
        <f t="shared" si="2"/>
        <v>26400</v>
      </c>
      <c r="AD31" s="35">
        <f t="shared" si="7"/>
        <v>26400</v>
      </c>
      <c r="AE31" s="36" t="str">
        <f>_xlfn.XLOOKUP(A31,'[1]S_ALR Export'!$O$1:$O$777,'[1]S_ALR Export'!$I$1:$I$777,"",0)</f>
        <v>26.400,00</v>
      </c>
      <c r="AP31" s="44" t="s">
        <v>921</v>
      </c>
      <c r="AQ31" s="45" t="s">
        <v>1033</v>
      </c>
      <c r="AR31" s="38">
        <v>0</v>
      </c>
      <c r="AS31" s="38">
        <v>0</v>
      </c>
      <c r="AT31" s="38">
        <v>0</v>
      </c>
      <c r="AU31" s="38">
        <v>0</v>
      </c>
      <c r="AV31" s="38">
        <v>0</v>
      </c>
      <c r="AW31" s="35">
        <f t="shared" si="6"/>
        <v>0</v>
      </c>
      <c r="AX31" s="38">
        <v>8056.8</v>
      </c>
      <c r="AY31" s="38">
        <v>8056.8</v>
      </c>
      <c r="AZ31" s="15" t="s">
        <v>882</v>
      </c>
    </row>
    <row r="32" spans="1:52" ht="14.5" x14ac:dyDescent="0.25">
      <c r="A32" s="37" t="s">
        <v>913</v>
      </c>
      <c r="B32" s="35">
        <v>0</v>
      </c>
      <c r="C32" s="35">
        <v>0</v>
      </c>
      <c r="D32" s="35">
        <v>0</v>
      </c>
      <c r="E32" s="35">
        <v>0</v>
      </c>
      <c r="F32" s="35">
        <v>-18000</v>
      </c>
      <c r="G32" s="15" t="s">
        <v>882</v>
      </c>
      <c r="H32" s="35">
        <f t="shared" si="0"/>
        <v>-18000</v>
      </c>
      <c r="I32" s="35">
        <v>0</v>
      </c>
      <c r="J32" s="35">
        <v>0</v>
      </c>
      <c r="K32" s="35">
        <f>_xlfn.LET(_xlpm.x,_xlfn.XLOOKUP(A32&amp;"/2/1",'[1]S_ALR Export'!$O$1:$O$777,'[1]S_ALR Export'!$I$1:$I$777,"",0),IF(_xlpm.x="",0,IF(ISNUMBER(_xlpm.x),_xlpm.x,_xlfn.NUMBERVALUE(_xlpm.x,",","."))))</f>
        <v>75000</v>
      </c>
      <c r="L32" s="35">
        <f t="shared" si="1"/>
        <v>-18000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f t="shared" si="4"/>
        <v>0</v>
      </c>
      <c r="S32" s="35">
        <v>0</v>
      </c>
      <c r="T32" s="35">
        <f>_xlfn.LET(_xlpm.x,_xlfn.XLOOKUP(A32&amp;"/2/2",'[1]S_ALR Export'!$O$1:$O$777,'[1]S_ALR Export'!$I$1:$I$777,"",0),IF(_xlpm.x="",0,IF(ISNUMBER(_xlpm.x),_xlpm.x,_xlfn.NUMBERVALUE(_xlpm.x,",","."))))</f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f t="shared" si="5"/>
        <v>0</v>
      </c>
      <c r="AC32" s="35">
        <f t="shared" si="2"/>
        <v>-18000</v>
      </c>
      <c r="AD32" s="35">
        <f t="shared" si="7"/>
        <v>-18000</v>
      </c>
      <c r="AE32" s="36" t="str">
        <f>_xlfn.XLOOKUP(A32,'[1]S_ALR Export'!$O$1:$O$777,'[1]S_ALR Export'!$I$1:$I$777,"",0)</f>
        <v>75.000,00</v>
      </c>
      <c r="AP32" s="42" t="s">
        <v>921</v>
      </c>
      <c r="AQ32" s="43" t="s">
        <v>1034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f t="shared" si="6"/>
        <v>0</v>
      </c>
      <c r="AX32" s="35">
        <v>3357</v>
      </c>
      <c r="AY32" s="35">
        <v>3357</v>
      </c>
      <c r="AZ32" s="15" t="s">
        <v>882</v>
      </c>
    </row>
    <row r="33" spans="1:52" ht="14.5" x14ac:dyDescent="0.25">
      <c r="A33" s="37" t="s">
        <v>914</v>
      </c>
      <c r="B33" s="38">
        <v>0</v>
      </c>
      <c r="C33" s="38">
        <v>0</v>
      </c>
      <c r="D33" s="38">
        <v>0</v>
      </c>
      <c r="E33" s="38">
        <v>0</v>
      </c>
      <c r="F33" s="38">
        <v>27652.5</v>
      </c>
      <c r="G33" s="15" t="s">
        <v>882</v>
      </c>
      <c r="H33" s="35">
        <f t="shared" si="0"/>
        <v>27652.5</v>
      </c>
      <c r="I33" s="38">
        <v>11510</v>
      </c>
      <c r="J33" s="38">
        <v>0</v>
      </c>
      <c r="K33" s="35">
        <f>_xlfn.LET(_xlpm.x,_xlfn.XLOOKUP(A33&amp;"/2/1",'[1]S_ALR Export'!$O$1:$O$777,'[1]S_ALR Export'!$I$1:$I$777,"",0),IF(_xlpm.x="",0,IF(ISNUMBER(_xlpm.x),_xlpm.x,_xlfn.NUMBERVALUE(_xlpm.x,",","."))))</f>
        <v>39163</v>
      </c>
      <c r="L33" s="38">
        <f t="shared" si="1"/>
        <v>39162.5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5">
        <f t="shared" si="4"/>
        <v>0</v>
      </c>
      <c r="S33" s="38">
        <v>0</v>
      </c>
      <c r="T33" s="35">
        <f>_xlfn.LET(_xlpm.x,_xlfn.XLOOKUP(A33&amp;"/2/2",'[1]S_ALR Export'!$O$1:$O$777,'[1]S_ALR Export'!$I$1:$I$777,"",0),IF(_xlpm.x="",0,IF(ISNUMBER(_xlpm.x),_xlpm.x,_xlfn.NUMBERVALUE(_xlpm.x,",","."))))</f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5">
        <f t="shared" si="5"/>
        <v>0</v>
      </c>
      <c r="AC33" s="35">
        <f t="shared" si="2"/>
        <v>39162.5</v>
      </c>
      <c r="AD33" s="35">
        <f t="shared" si="7"/>
        <v>39162.5</v>
      </c>
      <c r="AE33" s="36" t="str">
        <f>_xlfn.XLOOKUP(A33,'[1]S_ALR Export'!$O$1:$O$777,'[1]S_ALR Export'!$I$1:$I$777,"",0)</f>
        <v>39.163,00</v>
      </c>
      <c r="AP33" s="44" t="s">
        <v>922</v>
      </c>
      <c r="AQ33" s="45" t="s">
        <v>1035</v>
      </c>
      <c r="AR33" s="38">
        <v>0</v>
      </c>
      <c r="AS33" s="38">
        <v>0</v>
      </c>
      <c r="AT33" s="38">
        <v>0</v>
      </c>
      <c r="AU33" s="38">
        <v>0</v>
      </c>
      <c r="AV33" s="38">
        <v>8808</v>
      </c>
      <c r="AW33" s="35">
        <f t="shared" si="6"/>
        <v>8808</v>
      </c>
      <c r="AX33" s="38">
        <v>0</v>
      </c>
      <c r="AY33" s="38">
        <v>8808</v>
      </c>
      <c r="AZ33" s="15" t="s">
        <v>882</v>
      </c>
    </row>
    <row r="34" spans="1:52" ht="14.5" x14ac:dyDescent="0.25">
      <c r="A34" s="37" t="s">
        <v>915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15" t="s">
        <v>882</v>
      </c>
      <c r="H34" s="35">
        <f t="shared" si="0"/>
        <v>0</v>
      </c>
      <c r="I34" s="35">
        <v>0</v>
      </c>
      <c r="J34" s="35">
        <v>0</v>
      </c>
      <c r="K34" s="35">
        <f>_xlfn.LET(_xlpm.x,_xlfn.XLOOKUP(A34&amp;"/2/1",'[1]S_ALR Export'!$O$1:$O$777,'[1]S_ALR Export'!$I$1:$I$777,"",0),IF(_xlpm.x="",0,IF(ISNUMBER(_xlpm.x),_xlpm.x,_xlfn.NUMBERVALUE(_xlpm.x,",","."))))</f>
        <v>40000</v>
      </c>
      <c r="L34" s="35">
        <f t="shared" si="1"/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f t="shared" si="4"/>
        <v>0</v>
      </c>
      <c r="S34" s="35">
        <v>0</v>
      </c>
      <c r="T34" s="35">
        <f>_xlfn.LET(_xlpm.x,_xlfn.XLOOKUP(A34&amp;"/2/2",'[1]S_ALR Export'!$O$1:$O$777,'[1]S_ALR Export'!$I$1:$I$777,"",0),IF(_xlpm.x="",0,IF(ISNUMBER(_xlpm.x),_xlpm.x,_xlfn.NUMBERVALUE(_xlpm.x,",","."))))</f>
        <v>40000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f t="shared" si="5"/>
        <v>0</v>
      </c>
      <c r="AC34" s="35">
        <f t="shared" si="2"/>
        <v>0</v>
      </c>
      <c r="AD34" s="35">
        <f t="shared" si="7"/>
        <v>0</v>
      </c>
      <c r="AE34" s="36" t="str">
        <f>_xlfn.XLOOKUP(A34,'[1]S_ALR Export'!$O$1:$O$777,'[1]S_ALR Export'!$I$1:$I$777,"",0)</f>
        <v>80.000,00</v>
      </c>
      <c r="AP34" s="42" t="s">
        <v>923</v>
      </c>
      <c r="AQ34" s="43" t="s">
        <v>1028</v>
      </c>
      <c r="AR34" s="35">
        <v>0</v>
      </c>
      <c r="AS34" s="35">
        <v>0</v>
      </c>
      <c r="AT34" s="35">
        <v>0</v>
      </c>
      <c r="AU34" s="35">
        <v>0</v>
      </c>
      <c r="AV34" s="35">
        <v>8338</v>
      </c>
      <c r="AW34" s="35">
        <f t="shared" si="6"/>
        <v>8338</v>
      </c>
      <c r="AX34" s="35">
        <v>3450</v>
      </c>
      <c r="AY34" s="35">
        <v>11788</v>
      </c>
      <c r="AZ34" s="15" t="s">
        <v>882</v>
      </c>
    </row>
    <row r="35" spans="1:52" ht="14.5" x14ac:dyDescent="0.25">
      <c r="A35" s="37" t="s">
        <v>916</v>
      </c>
      <c r="B35" s="38">
        <v>0</v>
      </c>
      <c r="C35" s="38">
        <v>0</v>
      </c>
      <c r="D35" s="38">
        <v>0</v>
      </c>
      <c r="E35" s="38">
        <v>0</v>
      </c>
      <c r="F35" s="38">
        <v>39319</v>
      </c>
      <c r="G35" s="15" t="s">
        <v>884</v>
      </c>
      <c r="H35" s="35">
        <f t="shared" si="0"/>
        <v>39319</v>
      </c>
      <c r="I35" s="38">
        <v>3000</v>
      </c>
      <c r="J35" s="38">
        <v>33722.5</v>
      </c>
      <c r="K35" s="35">
        <f>_xlfn.LET(_xlpm.x,_xlfn.XLOOKUP(A35&amp;"/2/1",'[1]S_ALR Export'!$O$1:$O$777,'[1]S_ALR Export'!$I$1:$I$777,"",0),IF(_xlpm.x="",0,IF(ISNUMBER(_xlpm.x),_xlpm.x,_xlfn.NUMBERVALUE(_xlpm.x,",","."))))</f>
        <v>100000</v>
      </c>
      <c r="L35" s="38">
        <f t="shared" si="1"/>
        <v>76041.5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5">
        <f>SUM(M35:Q35)</f>
        <v>0</v>
      </c>
      <c r="S35" s="38">
        <v>0</v>
      </c>
      <c r="T35" s="35">
        <f>_xlfn.LET(_xlpm.x,_xlfn.XLOOKUP(A35&amp;"/2/2",'[1]S_ALR Export'!$O$1:$O$777,'[1]S_ALR Export'!$I$1:$I$777,"",0),IF(_xlpm.x="",0,IF(ISNUMBER(_xlpm.x),_xlpm.x,_xlfn.NUMBERVALUE(_xlpm.x,",","."))))</f>
        <v>0</v>
      </c>
      <c r="U35" s="38">
        <f>R35+S35</f>
        <v>0</v>
      </c>
      <c r="V35" s="38">
        <v>0</v>
      </c>
      <c r="W35" s="38">
        <v>0</v>
      </c>
      <c r="X35" s="38">
        <v>0</v>
      </c>
      <c r="Y35" s="38">
        <v>0</v>
      </c>
      <c r="Z35" s="38">
        <v>-41285</v>
      </c>
      <c r="AA35" s="38">
        <v>-4515</v>
      </c>
      <c r="AB35" s="38">
        <f>SUM(V35:AA35)</f>
        <v>-45800</v>
      </c>
      <c r="AC35" s="38">
        <f>L35+U35</f>
        <v>76041.5</v>
      </c>
      <c r="AD35" s="38">
        <f>AC35+AB35</f>
        <v>30241.5</v>
      </c>
      <c r="AE35" s="36" t="str">
        <f>_xlfn.XLOOKUP(A35,'[1]S_ALR Export'!$O$1:$O$777,'[1]S_ALR Export'!$I$1:$I$777,"",0)</f>
        <v>100.000,00</v>
      </c>
      <c r="AP35" s="44" t="s">
        <v>923</v>
      </c>
      <c r="AQ35" s="45" t="s">
        <v>1034</v>
      </c>
      <c r="AR35" s="38">
        <v>0</v>
      </c>
      <c r="AS35" s="38">
        <v>0</v>
      </c>
      <c r="AT35" s="38">
        <v>0</v>
      </c>
      <c r="AU35" s="38">
        <v>0</v>
      </c>
      <c r="AV35" s="38">
        <v>0</v>
      </c>
      <c r="AW35" s="35">
        <f t="shared" si="6"/>
        <v>0</v>
      </c>
      <c r="AX35" s="38">
        <v>31747.5</v>
      </c>
      <c r="AY35" s="38">
        <v>31747.5</v>
      </c>
      <c r="AZ35" s="15" t="s">
        <v>882</v>
      </c>
    </row>
    <row r="36" spans="1:52" ht="14.5" x14ac:dyDescent="0.25">
      <c r="A36" s="37" t="s">
        <v>917</v>
      </c>
      <c r="B36" s="35">
        <v>0</v>
      </c>
      <c r="C36" s="35">
        <v>0</v>
      </c>
      <c r="D36" s="35">
        <v>0</v>
      </c>
      <c r="E36" s="35">
        <v>0</v>
      </c>
      <c r="F36" s="35">
        <v>31900</v>
      </c>
      <c r="G36" s="15" t="s">
        <v>882</v>
      </c>
      <c r="H36" s="35">
        <f t="shared" si="0"/>
        <v>31900</v>
      </c>
      <c r="I36" s="35">
        <v>0</v>
      </c>
      <c r="J36" s="35">
        <v>0</v>
      </c>
      <c r="K36" s="35">
        <f>_xlfn.LET(_xlpm.x,_xlfn.XLOOKUP(A36&amp;"/2/1",'[1]S_ALR Export'!$O$1:$O$777,'[1]S_ALR Export'!$I$1:$I$777,"",0),IF(_xlpm.x="",0,IF(ISNUMBER(_xlpm.x),_xlpm.x,_xlfn.NUMBERVALUE(_xlpm.x,",","."))))</f>
        <v>31900</v>
      </c>
      <c r="L36" s="35">
        <f t="shared" si="1"/>
        <v>31900</v>
      </c>
      <c r="M36" s="35">
        <v>0</v>
      </c>
      <c r="N36" s="35">
        <v>0</v>
      </c>
      <c r="O36" s="35">
        <v>0</v>
      </c>
      <c r="P36" s="35">
        <v>0</v>
      </c>
      <c r="Q36" s="35">
        <v>3814.38</v>
      </c>
      <c r="R36" s="35">
        <f t="shared" si="4"/>
        <v>3814.38</v>
      </c>
      <c r="S36" s="35">
        <v>0</v>
      </c>
      <c r="T36" s="35">
        <f>_xlfn.LET(_xlpm.x,_xlfn.XLOOKUP(A36&amp;"/2/2",'[1]S_ALR Export'!$O$1:$O$777,'[1]S_ALR Export'!$I$1:$I$777,"",0),IF(_xlpm.x="",0,IF(ISNUMBER(_xlpm.x),_xlpm.x,_xlfn.NUMBERVALUE(_xlpm.x,",","."))))</f>
        <v>3815</v>
      </c>
      <c r="U36" s="35">
        <v>3814.38</v>
      </c>
      <c r="V36" s="35">
        <v>0</v>
      </c>
      <c r="W36" s="35">
        <v>0</v>
      </c>
      <c r="X36" s="35">
        <v>0</v>
      </c>
      <c r="Y36" s="35">
        <v>0</v>
      </c>
      <c r="Z36" s="35">
        <v>-37385</v>
      </c>
      <c r="AA36" s="35">
        <v>0</v>
      </c>
      <c r="AB36" s="35">
        <f t="shared" si="5"/>
        <v>-37385</v>
      </c>
      <c r="AC36" s="35">
        <f t="shared" ref="AC36:AC99" si="8">SUM(L36,U36)</f>
        <v>35714.379999999997</v>
      </c>
      <c r="AD36" s="35">
        <f t="shared" si="7"/>
        <v>-1670.6200000000026</v>
      </c>
      <c r="AE36" s="36" t="str">
        <f>_xlfn.XLOOKUP(A36,'[1]S_ALR Export'!$O$1:$O$777,'[1]S_ALR Export'!$I$1:$I$777,"",0)</f>
        <v>35.715,00</v>
      </c>
      <c r="AP36" s="42" t="s">
        <v>923</v>
      </c>
      <c r="AQ36" s="43" t="s">
        <v>1036</v>
      </c>
      <c r="AR36" s="35">
        <v>0</v>
      </c>
      <c r="AS36" s="35">
        <v>0</v>
      </c>
      <c r="AT36" s="35">
        <v>0</v>
      </c>
      <c r="AU36" s="35">
        <v>0</v>
      </c>
      <c r="AV36" s="35">
        <v>12480</v>
      </c>
      <c r="AW36" s="35">
        <f t="shared" si="6"/>
        <v>12480</v>
      </c>
      <c r="AX36" s="35">
        <v>9360</v>
      </c>
      <c r="AY36" s="35">
        <v>21840</v>
      </c>
      <c r="AZ36" s="15" t="s">
        <v>882</v>
      </c>
    </row>
    <row r="37" spans="1:52" ht="14.5" x14ac:dyDescent="0.25">
      <c r="A37" s="37" t="s">
        <v>918</v>
      </c>
      <c r="B37" s="38">
        <v>0</v>
      </c>
      <c r="C37" s="38">
        <v>0</v>
      </c>
      <c r="D37" s="38">
        <v>0</v>
      </c>
      <c r="E37" s="38">
        <v>0</v>
      </c>
      <c r="F37" s="38">
        <v>85741</v>
      </c>
      <c r="G37" s="15" t="s">
        <v>882</v>
      </c>
      <c r="H37" s="35">
        <f t="shared" si="0"/>
        <v>85741</v>
      </c>
      <c r="I37" s="38">
        <v>47085</v>
      </c>
      <c r="J37" s="38">
        <v>12700</v>
      </c>
      <c r="K37" s="35">
        <f>_xlfn.LET(_xlpm.x,_xlfn.XLOOKUP(A37&amp;"/2/1",'[1]S_ALR Export'!$O$1:$O$777,'[1]S_ALR Export'!$I$1:$I$777,"",0),IF(_xlpm.x="",0,IF(ISNUMBER(_xlpm.x),_xlpm.x,_xlfn.NUMBERVALUE(_xlpm.x,",","."))))</f>
        <v>154603</v>
      </c>
      <c r="L37" s="38">
        <f t="shared" si="1"/>
        <v>145526</v>
      </c>
      <c r="M37" s="38">
        <v>0</v>
      </c>
      <c r="N37" s="38">
        <v>0</v>
      </c>
      <c r="O37" s="38">
        <v>0</v>
      </c>
      <c r="P37" s="38">
        <v>0</v>
      </c>
      <c r="Q37" s="38">
        <v>59390.26</v>
      </c>
      <c r="R37" s="35">
        <f t="shared" si="4"/>
        <v>59390.26</v>
      </c>
      <c r="S37" s="38">
        <v>3206.68</v>
      </c>
      <c r="T37" s="35">
        <f>_xlfn.LET(_xlpm.x,_xlfn.XLOOKUP(A37&amp;"/2/2",'[1]S_ALR Export'!$O$1:$O$777,'[1]S_ALR Export'!$I$1:$I$777,"",0),IF(_xlpm.x="",0,IF(ISNUMBER(_xlpm.x),_xlpm.x,_xlfn.NUMBERVALUE(_xlpm.x,",","."))))</f>
        <v>132000</v>
      </c>
      <c r="U37" s="38">
        <v>62596.94</v>
      </c>
      <c r="V37" s="38">
        <v>0</v>
      </c>
      <c r="W37" s="38">
        <v>0</v>
      </c>
      <c r="X37" s="38">
        <v>0</v>
      </c>
      <c r="Y37" s="38">
        <v>0</v>
      </c>
      <c r="Z37" s="38">
        <v>-151026</v>
      </c>
      <c r="AA37" s="38">
        <v>-67665</v>
      </c>
      <c r="AB37" s="35">
        <f t="shared" si="5"/>
        <v>-218691</v>
      </c>
      <c r="AC37" s="35">
        <f t="shared" si="8"/>
        <v>208122.94</v>
      </c>
      <c r="AD37" s="35">
        <f t="shared" si="7"/>
        <v>-10568.059999999998</v>
      </c>
      <c r="AE37" s="36" t="str">
        <f>_xlfn.XLOOKUP(A37,'[1]S_ALR Export'!$O$1:$O$777,'[1]S_ALR Export'!$I$1:$I$777,"",0)</f>
        <v>286.603,00</v>
      </c>
      <c r="AP37" s="44" t="s">
        <v>923</v>
      </c>
      <c r="AQ37" s="45" t="s">
        <v>552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5">
        <f t="shared" si="6"/>
        <v>0</v>
      </c>
      <c r="AX37" s="38">
        <v>-4560</v>
      </c>
      <c r="AY37" s="38">
        <v>-4560</v>
      </c>
      <c r="AZ37" s="15" t="s">
        <v>882</v>
      </c>
    </row>
    <row r="38" spans="1:52" ht="14.5" x14ac:dyDescent="0.25">
      <c r="A38" s="37" t="s">
        <v>919</v>
      </c>
      <c r="B38" s="35">
        <v>0</v>
      </c>
      <c r="C38" s="35">
        <v>0</v>
      </c>
      <c r="D38" s="35">
        <v>0</v>
      </c>
      <c r="E38" s="35">
        <v>0</v>
      </c>
      <c r="F38" s="35">
        <v>57000</v>
      </c>
      <c r="G38" s="15" t="s">
        <v>882</v>
      </c>
      <c r="H38" s="35">
        <f t="shared" si="0"/>
        <v>57000</v>
      </c>
      <c r="I38" s="35">
        <v>31700</v>
      </c>
      <c r="J38" s="35">
        <v>7300</v>
      </c>
      <c r="K38" s="35">
        <f>_xlfn.LET(_xlpm.x,_xlfn.XLOOKUP(A38&amp;"/2/1",'[1]S_ALR Export'!$O$1:$O$777,'[1]S_ALR Export'!$I$1:$I$777,"",0),IF(_xlpm.x="",0,IF(ISNUMBER(_xlpm.x),_xlpm.x,_xlfn.NUMBERVALUE(_xlpm.x,",","."))))</f>
        <v>100385</v>
      </c>
      <c r="L38" s="35">
        <f t="shared" si="1"/>
        <v>96000</v>
      </c>
      <c r="M38" s="35">
        <v>0</v>
      </c>
      <c r="N38" s="35">
        <v>0</v>
      </c>
      <c r="O38" s="35">
        <v>0</v>
      </c>
      <c r="P38" s="35">
        <v>0</v>
      </c>
      <c r="Q38" s="35">
        <v>42265</v>
      </c>
      <c r="R38" s="35">
        <f t="shared" si="4"/>
        <v>42265</v>
      </c>
      <c r="S38" s="35">
        <v>16585</v>
      </c>
      <c r="T38" s="35">
        <f>_xlfn.LET(_xlpm.x,_xlfn.XLOOKUP(A38&amp;"/2/2",'[1]S_ALR Export'!$O$1:$O$777,'[1]S_ALR Export'!$I$1:$I$777,"",0),IF(_xlpm.x="",0,IF(ISNUMBER(_xlpm.x),_xlpm.x,_xlfn.NUMBERVALUE(_xlpm.x,",","."))))</f>
        <v>58850</v>
      </c>
      <c r="U38" s="35">
        <v>58850</v>
      </c>
      <c r="V38" s="35">
        <v>0</v>
      </c>
      <c r="W38" s="35">
        <v>0</v>
      </c>
      <c r="X38" s="35">
        <v>0</v>
      </c>
      <c r="Y38" s="35">
        <v>0</v>
      </c>
      <c r="Z38" s="35">
        <v>-102960</v>
      </c>
      <c r="AA38" s="35">
        <v>-56976</v>
      </c>
      <c r="AB38" s="35">
        <f t="shared" si="5"/>
        <v>-159936</v>
      </c>
      <c r="AC38" s="35">
        <f t="shared" si="8"/>
        <v>154850</v>
      </c>
      <c r="AD38" s="35">
        <f t="shared" si="7"/>
        <v>-5086</v>
      </c>
      <c r="AE38" s="36" t="str">
        <f>_xlfn.XLOOKUP(A38,'[1]S_ALR Export'!$O$1:$O$777,'[1]S_ALR Export'!$I$1:$I$777,"",0)</f>
        <v>159.235,00</v>
      </c>
      <c r="AP38" s="42" t="s">
        <v>925</v>
      </c>
      <c r="AQ38" s="43" t="s">
        <v>1037</v>
      </c>
      <c r="AR38" s="35">
        <v>0</v>
      </c>
      <c r="AS38" s="35">
        <v>0</v>
      </c>
      <c r="AT38" s="35">
        <v>0</v>
      </c>
      <c r="AU38" s="35">
        <v>0</v>
      </c>
      <c r="AV38" s="35">
        <v>15366.5</v>
      </c>
      <c r="AW38" s="35">
        <f t="shared" si="6"/>
        <v>15366.5</v>
      </c>
      <c r="AX38" s="35">
        <v>0</v>
      </c>
      <c r="AY38" s="35">
        <v>15366.5</v>
      </c>
      <c r="AZ38" s="15" t="s">
        <v>882</v>
      </c>
    </row>
    <row r="39" spans="1:52" ht="14.5" x14ac:dyDescent="0.25">
      <c r="A39" s="37" t="s">
        <v>920</v>
      </c>
      <c r="B39" s="38">
        <v>0</v>
      </c>
      <c r="C39" s="38">
        <v>0</v>
      </c>
      <c r="D39" s="38">
        <v>0</v>
      </c>
      <c r="E39" s="38">
        <v>0</v>
      </c>
      <c r="F39" s="38">
        <v>0</v>
      </c>
      <c r="G39" s="15" t="s">
        <v>882</v>
      </c>
      <c r="H39" s="35">
        <f t="shared" si="0"/>
        <v>0</v>
      </c>
      <c r="I39" s="38">
        <v>2400</v>
      </c>
      <c r="J39" s="38">
        <v>400</v>
      </c>
      <c r="K39" s="35">
        <f>_xlfn.LET(_xlpm.x,_xlfn.XLOOKUP(A39&amp;"/2/1",'[1]S_ALR Export'!$O$1:$O$777,'[1]S_ALR Export'!$I$1:$I$777,"",0),IF(_xlpm.x="",0,IF(ISNUMBER(_xlpm.x),_xlpm.x,_xlfn.NUMBERVALUE(_xlpm.x,",","."))))</f>
        <v>20000</v>
      </c>
      <c r="L39" s="38">
        <f t="shared" si="1"/>
        <v>2800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5">
        <f t="shared" si="4"/>
        <v>0</v>
      </c>
      <c r="S39" s="38">
        <v>0</v>
      </c>
      <c r="T39" s="35">
        <f>_xlfn.LET(_xlpm.x,_xlfn.XLOOKUP(A39&amp;"/2/2",'[1]S_ALR Export'!$O$1:$O$777,'[1]S_ALR Export'!$I$1:$I$777,"",0),IF(_xlpm.x="",0,IF(ISNUMBER(_xlpm.x),_xlpm.x,_xlfn.NUMBERVALUE(_xlpm.x,",","."))))</f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5">
        <f t="shared" si="5"/>
        <v>0</v>
      </c>
      <c r="AC39" s="35">
        <f t="shared" si="8"/>
        <v>2800</v>
      </c>
      <c r="AD39" s="35">
        <f t="shared" si="7"/>
        <v>2800</v>
      </c>
      <c r="AE39" s="36" t="str">
        <f>_xlfn.XLOOKUP(A39,'[1]S_ALR Export'!$O$1:$O$777,'[1]S_ALR Export'!$I$1:$I$777,"",0)</f>
        <v>20.000,00</v>
      </c>
      <c r="AP39" s="44" t="s">
        <v>927</v>
      </c>
      <c r="AQ39" s="45" t="s">
        <v>1027</v>
      </c>
      <c r="AR39" s="38">
        <v>0</v>
      </c>
      <c r="AS39" s="38">
        <v>0</v>
      </c>
      <c r="AT39" s="38">
        <v>0</v>
      </c>
      <c r="AU39" s="38">
        <v>0</v>
      </c>
      <c r="AV39" s="38">
        <v>0</v>
      </c>
      <c r="AW39" s="35">
        <f t="shared" si="6"/>
        <v>0</v>
      </c>
      <c r="AX39" s="38">
        <v>21641.16</v>
      </c>
      <c r="AY39" s="38">
        <v>21641.16</v>
      </c>
      <c r="AZ39" s="15" t="s">
        <v>882</v>
      </c>
    </row>
    <row r="40" spans="1:52" ht="14.5" x14ac:dyDescent="0.25">
      <c r="A40" s="37" t="s">
        <v>921</v>
      </c>
      <c r="B40" s="35">
        <v>0</v>
      </c>
      <c r="C40" s="35">
        <v>0</v>
      </c>
      <c r="D40" s="35">
        <v>0</v>
      </c>
      <c r="E40" s="35">
        <v>0</v>
      </c>
      <c r="F40" s="35">
        <v>35900</v>
      </c>
      <c r="G40" s="15" t="s">
        <v>882</v>
      </c>
      <c r="H40" s="35">
        <f t="shared" si="0"/>
        <v>35900</v>
      </c>
      <c r="I40" s="35">
        <v>12000</v>
      </c>
      <c r="J40" s="35">
        <v>0</v>
      </c>
      <c r="K40" s="35">
        <f>_xlfn.LET(_xlpm.x,_xlfn.XLOOKUP(A40&amp;"/2/1",'[1]S_ALR Export'!$O$1:$O$777,'[1]S_ALR Export'!$I$1:$I$777,"",0),IF(_xlpm.x="",0,IF(ISNUMBER(_xlpm.x),_xlpm.x,_xlfn.NUMBERVALUE(_xlpm.x,",","."))))</f>
        <v>47900</v>
      </c>
      <c r="L40" s="35">
        <f t="shared" si="1"/>
        <v>47900</v>
      </c>
      <c r="M40" s="35">
        <v>0</v>
      </c>
      <c r="N40" s="35">
        <v>0</v>
      </c>
      <c r="O40" s="35">
        <v>0</v>
      </c>
      <c r="P40" s="35">
        <v>0</v>
      </c>
      <c r="Q40" s="35">
        <v>27999</v>
      </c>
      <c r="R40" s="35">
        <f t="shared" si="4"/>
        <v>27999</v>
      </c>
      <c r="S40" s="35">
        <v>13971.6</v>
      </c>
      <c r="T40" s="35">
        <f>_xlfn.LET(_xlpm.x,_xlfn.XLOOKUP(A40&amp;"/2/2",'[1]S_ALR Export'!$O$1:$O$777,'[1]S_ALR Export'!$I$1:$I$777,"",0),IF(_xlpm.x="",0,IF(ISNUMBER(_xlpm.x),_xlpm.x,_xlfn.NUMBERVALUE(_xlpm.x,",","."))))</f>
        <v>42674</v>
      </c>
      <c r="U40" s="35">
        <v>41970.6</v>
      </c>
      <c r="V40" s="35">
        <v>0</v>
      </c>
      <c r="W40" s="35">
        <v>0</v>
      </c>
      <c r="X40" s="35">
        <v>0</v>
      </c>
      <c r="Y40" s="35">
        <v>0</v>
      </c>
      <c r="Z40" s="35">
        <v>-66254</v>
      </c>
      <c r="AA40" s="35">
        <v>-26851</v>
      </c>
      <c r="AB40" s="35">
        <f t="shared" si="5"/>
        <v>-93105</v>
      </c>
      <c r="AC40" s="35">
        <f t="shared" si="8"/>
        <v>89870.6</v>
      </c>
      <c r="AD40" s="35">
        <f t="shared" si="7"/>
        <v>-3234.3999999999942</v>
      </c>
      <c r="AE40" s="36" t="str">
        <f>_xlfn.XLOOKUP(A40,'[1]S_ALR Export'!$O$1:$O$777,'[1]S_ALR Export'!$I$1:$I$777,"",0)</f>
        <v>90.574,00</v>
      </c>
      <c r="AP40" s="42" t="s">
        <v>927</v>
      </c>
      <c r="AQ40" s="43" t="s">
        <v>1028</v>
      </c>
      <c r="AR40" s="35">
        <v>0</v>
      </c>
      <c r="AS40" s="35">
        <v>0</v>
      </c>
      <c r="AT40" s="35">
        <v>0</v>
      </c>
      <c r="AU40" s="35">
        <v>0</v>
      </c>
      <c r="AV40" s="35">
        <v>0</v>
      </c>
      <c r="AW40" s="35">
        <f t="shared" si="6"/>
        <v>0</v>
      </c>
      <c r="AX40" s="35">
        <v>252239.49</v>
      </c>
      <c r="AY40" s="35">
        <v>252239.49</v>
      </c>
      <c r="AZ40" s="15" t="s">
        <v>882</v>
      </c>
    </row>
    <row r="41" spans="1:52" ht="14.5" x14ac:dyDescent="0.25">
      <c r="A41" s="37" t="s">
        <v>922</v>
      </c>
      <c r="B41" s="38">
        <v>0</v>
      </c>
      <c r="C41" s="38">
        <v>0</v>
      </c>
      <c r="D41" s="38">
        <v>0</v>
      </c>
      <c r="E41" s="38">
        <v>0</v>
      </c>
      <c r="F41" s="38">
        <v>18000</v>
      </c>
      <c r="G41" s="15" t="s">
        <v>882</v>
      </c>
      <c r="H41" s="35">
        <f t="shared" si="0"/>
        <v>18000</v>
      </c>
      <c r="I41" s="38">
        <v>2300</v>
      </c>
      <c r="J41" s="38">
        <v>5650</v>
      </c>
      <c r="K41" s="35">
        <f>_xlfn.LET(_xlpm.x,_xlfn.XLOOKUP(A41&amp;"/2/1",'[1]S_ALR Export'!$O$1:$O$777,'[1]S_ALR Export'!$I$1:$I$777,"",0),IF(_xlpm.x="",0,IF(ISNUMBER(_xlpm.x),_xlpm.x,_xlfn.NUMBERVALUE(_xlpm.x,",","."))))</f>
        <v>40000</v>
      </c>
      <c r="L41" s="38">
        <f t="shared" si="1"/>
        <v>25950</v>
      </c>
      <c r="M41" s="38">
        <v>0</v>
      </c>
      <c r="N41" s="38">
        <v>0</v>
      </c>
      <c r="O41" s="38">
        <v>0</v>
      </c>
      <c r="P41" s="38">
        <v>0</v>
      </c>
      <c r="Q41" s="38">
        <v>8808</v>
      </c>
      <c r="R41" s="35">
        <f t="shared" si="4"/>
        <v>8808</v>
      </c>
      <c r="S41" s="38">
        <v>0</v>
      </c>
      <c r="T41" s="35">
        <f>_xlfn.LET(_xlpm.x,_xlfn.XLOOKUP(A41&amp;"/2/2",'[1]S_ALR Export'!$O$1:$O$777,'[1]S_ALR Export'!$I$1:$I$777,"",0),IF(_xlpm.x="",0,IF(ISNUMBER(_xlpm.x),_xlpm.x,_xlfn.NUMBERVALUE(_xlpm.x,",","."))))</f>
        <v>9000</v>
      </c>
      <c r="U41" s="38">
        <v>8808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  <c r="AA41" s="38">
        <v>0</v>
      </c>
      <c r="AB41" s="35">
        <f t="shared" si="5"/>
        <v>0</v>
      </c>
      <c r="AC41" s="35">
        <f t="shared" si="8"/>
        <v>34758</v>
      </c>
      <c r="AD41" s="35">
        <f t="shared" si="7"/>
        <v>34758</v>
      </c>
      <c r="AE41" s="36" t="str">
        <f>_xlfn.XLOOKUP(A41,'[1]S_ALR Export'!$O$1:$O$777,'[1]S_ALR Export'!$I$1:$I$777,"",0)</f>
        <v>49.000,00</v>
      </c>
      <c r="AP41" s="44" t="s">
        <v>927</v>
      </c>
      <c r="AQ41" s="45" t="s">
        <v>1018</v>
      </c>
      <c r="AR41" s="38">
        <v>0</v>
      </c>
      <c r="AS41" s="38">
        <v>0</v>
      </c>
      <c r="AT41" s="38">
        <v>0</v>
      </c>
      <c r="AU41" s="38">
        <v>0</v>
      </c>
      <c r="AV41" s="38">
        <v>596003.93000000005</v>
      </c>
      <c r="AW41" s="35">
        <f t="shared" si="6"/>
        <v>596003.93000000005</v>
      </c>
      <c r="AX41" s="38">
        <v>1794114.31</v>
      </c>
      <c r="AY41" s="38">
        <v>2390118.2400000002</v>
      </c>
      <c r="AZ41" s="15" t="s">
        <v>882</v>
      </c>
    </row>
    <row r="42" spans="1:52" ht="14.5" x14ac:dyDescent="0.25">
      <c r="A42" s="37" t="s">
        <v>923</v>
      </c>
      <c r="B42" s="35">
        <v>0</v>
      </c>
      <c r="C42" s="35">
        <v>0</v>
      </c>
      <c r="D42" s="35">
        <v>0</v>
      </c>
      <c r="E42" s="35">
        <v>0</v>
      </c>
      <c r="F42" s="35">
        <v>0</v>
      </c>
      <c r="G42" s="15" t="s">
        <v>882</v>
      </c>
      <c r="H42" s="35">
        <f t="shared" si="0"/>
        <v>0</v>
      </c>
      <c r="I42" s="35">
        <v>49000</v>
      </c>
      <c r="J42" s="35">
        <v>3226</v>
      </c>
      <c r="K42" s="35">
        <f>_xlfn.LET(_xlpm.x,_xlfn.XLOOKUP(A42&amp;"/2/1",'[1]S_ALR Export'!$O$1:$O$777,'[1]S_ALR Export'!$I$1:$I$777,"",0),IF(_xlpm.x="",0,IF(ISNUMBER(_xlpm.x),_xlpm.x,_xlfn.NUMBERVALUE(_xlpm.x,",","."))))</f>
        <v>68495</v>
      </c>
      <c r="L42" s="35">
        <f t="shared" si="1"/>
        <v>52226</v>
      </c>
      <c r="M42" s="35">
        <v>0</v>
      </c>
      <c r="N42" s="35">
        <v>0</v>
      </c>
      <c r="O42" s="35">
        <v>0</v>
      </c>
      <c r="P42" s="35">
        <v>0</v>
      </c>
      <c r="Q42" s="35">
        <v>20818</v>
      </c>
      <c r="R42" s="35">
        <f t="shared" si="4"/>
        <v>20818</v>
      </c>
      <c r="S42" s="35">
        <v>39997.5</v>
      </c>
      <c r="T42" s="35">
        <f>_xlfn.LET(_xlpm.x,_xlfn.XLOOKUP(A42&amp;"/2/2",'[1]S_ALR Export'!$O$1:$O$777,'[1]S_ALR Export'!$I$1:$I$777,"",0),IF(_xlpm.x="",0,IF(ISNUMBER(_xlpm.x),_xlpm.x,_xlfn.NUMBERVALUE(_xlpm.x,",","."))))</f>
        <v>68100</v>
      </c>
      <c r="U42" s="35">
        <v>60815.5</v>
      </c>
      <c r="V42" s="35">
        <v>0</v>
      </c>
      <c r="W42" s="35">
        <v>0</v>
      </c>
      <c r="X42" s="35">
        <v>0</v>
      </c>
      <c r="Y42" s="35">
        <v>0</v>
      </c>
      <c r="Z42" s="35">
        <v>-26654</v>
      </c>
      <c r="AA42" s="35">
        <v>-99530</v>
      </c>
      <c r="AB42" s="35">
        <f t="shared" si="5"/>
        <v>-126184</v>
      </c>
      <c r="AC42" s="35">
        <f t="shared" si="8"/>
        <v>113041.5</v>
      </c>
      <c r="AD42" s="35">
        <f t="shared" si="7"/>
        <v>-13142.5</v>
      </c>
      <c r="AE42" s="36" t="str">
        <f>_xlfn.XLOOKUP(A42,'[1]S_ALR Export'!$O$1:$O$777,'[1]S_ALR Export'!$I$1:$I$777,"",0)</f>
        <v>136.595,00</v>
      </c>
      <c r="AP42" s="42" t="s">
        <v>927</v>
      </c>
      <c r="AQ42" s="43" t="s">
        <v>1030</v>
      </c>
      <c r="AR42" s="35">
        <v>0</v>
      </c>
      <c r="AS42" s="35">
        <v>0</v>
      </c>
      <c r="AT42" s="35">
        <v>0</v>
      </c>
      <c r="AU42" s="35">
        <v>0</v>
      </c>
      <c r="AV42" s="35">
        <v>0</v>
      </c>
      <c r="AW42" s="35">
        <f t="shared" si="6"/>
        <v>0</v>
      </c>
      <c r="AX42" s="35">
        <v>10761.67</v>
      </c>
      <c r="AY42" s="35">
        <v>10761.67</v>
      </c>
      <c r="AZ42" s="15" t="s">
        <v>882</v>
      </c>
    </row>
    <row r="43" spans="1:52" ht="14.5" x14ac:dyDescent="0.25">
      <c r="A43" s="37" t="s">
        <v>924</v>
      </c>
      <c r="B43" s="38">
        <v>0</v>
      </c>
      <c r="C43" s="38">
        <v>0</v>
      </c>
      <c r="D43" s="38">
        <v>0</v>
      </c>
      <c r="E43" s="38">
        <v>0</v>
      </c>
      <c r="F43" s="38">
        <v>1100</v>
      </c>
      <c r="G43" s="15" t="s">
        <v>882</v>
      </c>
      <c r="H43" s="35">
        <f t="shared" si="0"/>
        <v>1100</v>
      </c>
      <c r="I43" s="38">
        <v>31300</v>
      </c>
      <c r="J43" s="38">
        <v>54942</v>
      </c>
      <c r="K43" s="35">
        <f>_xlfn.LET(_xlpm.x,_xlfn.XLOOKUP(A43&amp;"/2/1",'[1]S_ALR Export'!$O$1:$O$777,'[1]S_ALR Export'!$I$1:$I$777,"",0),IF(_xlpm.x="",0,IF(ISNUMBER(_xlpm.x),_xlpm.x,_xlfn.NUMBERVALUE(_xlpm.x,",","."))))</f>
        <v>103700</v>
      </c>
      <c r="L43" s="38">
        <f t="shared" si="1"/>
        <v>87342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5">
        <f t="shared" si="4"/>
        <v>0</v>
      </c>
      <c r="S43" s="38">
        <v>0</v>
      </c>
      <c r="T43" s="35">
        <f>_xlfn.LET(_xlpm.x,_xlfn.XLOOKUP(A43&amp;"/2/2",'[1]S_ALR Export'!$O$1:$O$777,'[1]S_ALR Export'!$I$1:$I$777,"",0),IF(_xlpm.x="",0,IF(ISNUMBER(_xlpm.x),_xlpm.x,_xlfn.NUMBERVALUE(_xlpm.x,",","."))))</f>
        <v>37750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-1155</v>
      </c>
      <c r="AA43" s="38">
        <v>-68995</v>
      </c>
      <c r="AB43" s="35">
        <f t="shared" si="5"/>
        <v>-70150</v>
      </c>
      <c r="AC43" s="35">
        <f t="shared" si="8"/>
        <v>87342</v>
      </c>
      <c r="AD43" s="35">
        <f t="shared" si="7"/>
        <v>17192</v>
      </c>
      <c r="AE43" s="36" t="str">
        <f>_xlfn.XLOOKUP(A43,'[1]S_ALR Export'!$O$1:$O$777,'[1]S_ALR Export'!$I$1:$I$777,"",0)</f>
        <v>141.450,00</v>
      </c>
      <c r="AP43" s="44" t="s">
        <v>927</v>
      </c>
      <c r="AQ43" s="45" t="s">
        <v>1038</v>
      </c>
      <c r="AR43" s="38">
        <v>0</v>
      </c>
      <c r="AS43" s="38">
        <v>0</v>
      </c>
      <c r="AT43" s="38">
        <v>0</v>
      </c>
      <c r="AU43" s="38">
        <v>0</v>
      </c>
      <c r="AV43" s="38">
        <v>0</v>
      </c>
      <c r="AW43" s="35">
        <f t="shared" si="6"/>
        <v>0</v>
      </c>
      <c r="AX43" s="38">
        <v>2169.12</v>
      </c>
      <c r="AY43" s="38">
        <v>2169.12</v>
      </c>
      <c r="AZ43" s="15" t="s">
        <v>882</v>
      </c>
    </row>
    <row r="44" spans="1:52" ht="14.5" x14ac:dyDescent="0.25">
      <c r="A44" s="37" t="s">
        <v>925</v>
      </c>
      <c r="B44" s="35">
        <v>0</v>
      </c>
      <c r="C44" s="35">
        <v>0</v>
      </c>
      <c r="D44" s="35">
        <v>0</v>
      </c>
      <c r="E44" s="35">
        <v>0</v>
      </c>
      <c r="F44" s="35">
        <v>4400</v>
      </c>
      <c r="G44" s="15" t="s">
        <v>882</v>
      </c>
      <c r="H44" s="35">
        <f t="shared" si="0"/>
        <v>4400</v>
      </c>
      <c r="I44" s="35">
        <v>6000</v>
      </c>
      <c r="J44" s="35">
        <v>697.5</v>
      </c>
      <c r="K44" s="35">
        <f>_xlfn.LET(_xlpm.x,_xlfn.XLOOKUP(A44&amp;"/2/1",'[1]S_ALR Export'!$O$1:$O$777,'[1]S_ALR Export'!$I$1:$I$777,"",0),IF(_xlpm.x="",0,IF(ISNUMBER(_xlpm.x),_xlpm.x,_xlfn.NUMBERVALUE(_xlpm.x,",","."))))</f>
        <v>45400</v>
      </c>
      <c r="L44" s="35">
        <f t="shared" si="1"/>
        <v>11097.5</v>
      </c>
      <c r="M44" s="35">
        <v>0</v>
      </c>
      <c r="N44" s="35">
        <v>0</v>
      </c>
      <c r="O44" s="35">
        <v>0</v>
      </c>
      <c r="P44" s="35">
        <v>0</v>
      </c>
      <c r="Q44" s="35">
        <v>15366.5</v>
      </c>
      <c r="R44" s="35">
        <f t="shared" si="4"/>
        <v>15366.5</v>
      </c>
      <c r="S44" s="35">
        <v>0</v>
      </c>
      <c r="T44" s="35">
        <f>_xlfn.LET(_xlpm.x,_xlfn.XLOOKUP(A44&amp;"/2/2",'[1]S_ALR Export'!$O$1:$O$777,'[1]S_ALR Export'!$I$1:$I$777,"",0),IF(_xlpm.x="",0,IF(ISNUMBER(_xlpm.x),_xlpm.x,_xlfn.NUMBERVALUE(_xlpm.x,",","."))))</f>
        <v>19000</v>
      </c>
      <c r="U44" s="35">
        <v>15366.5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f t="shared" si="5"/>
        <v>0</v>
      </c>
      <c r="AC44" s="35">
        <f t="shared" si="8"/>
        <v>26464</v>
      </c>
      <c r="AD44" s="35">
        <f t="shared" si="7"/>
        <v>26464</v>
      </c>
      <c r="AE44" s="36" t="str">
        <f>_xlfn.XLOOKUP(A44,'[1]S_ALR Export'!$O$1:$O$777,'[1]S_ALR Export'!$I$1:$I$777,"",0)</f>
        <v>64.400,00</v>
      </c>
      <c r="AP44" s="42" t="s">
        <v>927</v>
      </c>
      <c r="AQ44" s="43" t="s">
        <v>1039</v>
      </c>
      <c r="AR44" s="35">
        <v>0</v>
      </c>
      <c r="AS44" s="35">
        <v>0</v>
      </c>
      <c r="AT44" s="35">
        <v>0</v>
      </c>
      <c r="AU44" s="35">
        <v>0</v>
      </c>
      <c r="AV44" s="35">
        <v>0</v>
      </c>
      <c r="AW44" s="35">
        <f t="shared" si="6"/>
        <v>0</v>
      </c>
      <c r="AX44" s="35">
        <v>316.3</v>
      </c>
      <c r="AY44" s="35">
        <v>316.3</v>
      </c>
      <c r="AZ44" s="15" t="s">
        <v>882</v>
      </c>
    </row>
    <row r="45" spans="1:52" ht="14.5" x14ac:dyDescent="0.25">
      <c r="A45" s="37" t="s">
        <v>926</v>
      </c>
      <c r="B45" s="38">
        <v>0</v>
      </c>
      <c r="C45" s="38">
        <v>0</v>
      </c>
      <c r="D45" s="38">
        <v>0</v>
      </c>
      <c r="E45" s="38">
        <v>0</v>
      </c>
      <c r="F45" s="38">
        <v>43150</v>
      </c>
      <c r="G45" s="15" t="s">
        <v>882</v>
      </c>
      <c r="H45" s="35">
        <f t="shared" si="0"/>
        <v>43150</v>
      </c>
      <c r="I45" s="38">
        <v>0</v>
      </c>
      <c r="J45" s="38">
        <v>0</v>
      </c>
      <c r="K45" s="35">
        <f>_xlfn.LET(_xlpm.x,_xlfn.XLOOKUP(A45&amp;"/2/1",'[1]S_ALR Export'!$O$1:$O$777,'[1]S_ALR Export'!$I$1:$I$777,"",0),IF(_xlpm.x="",0,IF(ISNUMBER(_xlpm.x),_xlpm.x,_xlfn.NUMBERVALUE(_xlpm.x,",","."))))</f>
        <v>43150</v>
      </c>
      <c r="L45" s="38">
        <f t="shared" si="1"/>
        <v>43150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5">
        <f t="shared" si="4"/>
        <v>0</v>
      </c>
      <c r="S45" s="38">
        <v>0</v>
      </c>
      <c r="T45" s="35">
        <f>_xlfn.LET(_xlpm.x,_xlfn.XLOOKUP(A45&amp;"/2/2",'[1]S_ALR Export'!$O$1:$O$777,'[1]S_ALR Export'!$I$1:$I$777,"",0),IF(_xlpm.x="",0,IF(ISNUMBER(_xlpm.x),_xlpm.x,_xlfn.NUMBERVALUE(_xlpm.x,",","."))))</f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0</v>
      </c>
      <c r="AA45" s="38">
        <v>0</v>
      </c>
      <c r="AB45" s="35">
        <f t="shared" si="5"/>
        <v>0</v>
      </c>
      <c r="AC45" s="35">
        <f t="shared" si="8"/>
        <v>43150</v>
      </c>
      <c r="AD45" s="35">
        <f t="shared" si="7"/>
        <v>43150</v>
      </c>
      <c r="AE45" s="36" t="str">
        <f>_xlfn.XLOOKUP(A45,'[1]S_ALR Export'!$O$1:$O$777,'[1]S_ALR Export'!$I$1:$I$777,"",0)</f>
        <v>43.150,00</v>
      </c>
      <c r="AP45" s="44" t="s">
        <v>927</v>
      </c>
      <c r="AQ45" s="45" t="s">
        <v>1040</v>
      </c>
      <c r="AR45" s="38">
        <v>0</v>
      </c>
      <c r="AS45" s="38">
        <v>0</v>
      </c>
      <c r="AT45" s="38">
        <v>0</v>
      </c>
      <c r="AU45" s="38">
        <v>0</v>
      </c>
      <c r="AV45" s="38">
        <v>0</v>
      </c>
      <c r="AW45" s="35">
        <f t="shared" si="6"/>
        <v>0</v>
      </c>
      <c r="AX45" s="38">
        <v>3360</v>
      </c>
      <c r="AY45" s="38">
        <v>3360</v>
      </c>
      <c r="AZ45" s="15" t="s">
        <v>882</v>
      </c>
    </row>
    <row r="46" spans="1:52" ht="14.5" x14ac:dyDescent="0.25">
      <c r="A46" s="37" t="s">
        <v>927</v>
      </c>
      <c r="B46" s="35">
        <v>0</v>
      </c>
      <c r="C46" s="35">
        <v>0</v>
      </c>
      <c r="D46" s="35">
        <v>0</v>
      </c>
      <c r="E46" s="35">
        <v>0</v>
      </c>
      <c r="F46" s="35">
        <v>145243.66999999998</v>
      </c>
      <c r="G46" s="15" t="s">
        <v>882</v>
      </c>
      <c r="H46" s="35">
        <f t="shared" si="0"/>
        <v>145243.66999999998</v>
      </c>
      <c r="I46" s="35">
        <v>567718</v>
      </c>
      <c r="J46" s="35">
        <v>539864.75</v>
      </c>
      <c r="K46" s="35">
        <f>_xlfn.LET(_xlpm.x,_xlfn.XLOOKUP(A46&amp;"/2/1",'[1]S_ALR Export'!$O$1:$O$777,'[1]S_ALR Export'!$I$1:$I$777,"",0),IF(_xlpm.x="",0,IF(ISNUMBER(_xlpm.x),_xlpm.x,_xlfn.NUMBERVALUE(_xlpm.x,",","."))))</f>
        <v>1448400</v>
      </c>
      <c r="L46" s="35">
        <f t="shared" si="1"/>
        <v>1252826.42</v>
      </c>
      <c r="M46" s="35">
        <v>0</v>
      </c>
      <c r="N46" s="35">
        <v>0</v>
      </c>
      <c r="O46" s="35">
        <v>0</v>
      </c>
      <c r="P46" s="35">
        <v>0</v>
      </c>
      <c r="Q46" s="35">
        <v>596003.93000000005</v>
      </c>
      <c r="R46" s="35">
        <f t="shared" si="4"/>
        <v>596003.93000000005</v>
      </c>
      <c r="S46" s="35">
        <v>2119708.94</v>
      </c>
      <c r="T46" s="35">
        <f>_xlfn.LET(_xlpm.x,_xlfn.XLOOKUP(A46&amp;"/2/2",'[1]S_ALR Export'!$O$1:$O$777,'[1]S_ALR Export'!$I$1:$I$777,"",0),IF(_xlpm.x="",0,IF(ISNUMBER(_xlpm.x),_xlpm.x,_xlfn.NUMBERVALUE(_xlpm.x,",","."))))</f>
        <v>4546200</v>
      </c>
      <c r="U46" s="35">
        <v>2715712.87</v>
      </c>
      <c r="V46" s="35">
        <v>0</v>
      </c>
      <c r="W46" s="35">
        <v>0</v>
      </c>
      <c r="X46" s="35">
        <v>0</v>
      </c>
      <c r="Y46" s="35">
        <v>0</v>
      </c>
      <c r="Z46" s="35">
        <v>-758435</v>
      </c>
      <c r="AA46" s="35">
        <v>-2809597</v>
      </c>
      <c r="AB46" s="35">
        <f t="shared" si="5"/>
        <v>-3568032</v>
      </c>
      <c r="AC46" s="35">
        <f t="shared" si="8"/>
        <v>3968539.29</v>
      </c>
      <c r="AD46" s="35">
        <f t="shared" si="7"/>
        <v>400507.29000000004</v>
      </c>
      <c r="AE46" s="36" t="str">
        <f>_xlfn.XLOOKUP(A46,'[1]S_ALR Export'!$O$1:$O$777,'[1]S_ALR Export'!$I$1:$I$777,"",0)</f>
        <v>5.994.600,00</v>
      </c>
      <c r="AP46" s="42" t="s">
        <v>927</v>
      </c>
      <c r="AQ46" s="43" t="s">
        <v>1041</v>
      </c>
      <c r="AR46" s="35">
        <v>0</v>
      </c>
      <c r="AS46" s="35">
        <v>0</v>
      </c>
      <c r="AT46" s="35">
        <v>0</v>
      </c>
      <c r="AU46" s="35">
        <v>0</v>
      </c>
      <c r="AV46" s="35">
        <v>0</v>
      </c>
      <c r="AW46" s="35">
        <f t="shared" si="6"/>
        <v>0</v>
      </c>
      <c r="AX46" s="35">
        <v>4687.5</v>
      </c>
      <c r="AY46" s="35">
        <v>4687.5</v>
      </c>
      <c r="AZ46" s="15" t="s">
        <v>882</v>
      </c>
    </row>
    <row r="47" spans="1:52" ht="14.5" x14ac:dyDescent="0.25">
      <c r="A47" s="37" t="s">
        <v>928</v>
      </c>
      <c r="B47" s="38">
        <v>0</v>
      </c>
      <c r="C47" s="38">
        <v>0</v>
      </c>
      <c r="D47" s="38">
        <v>0</v>
      </c>
      <c r="E47" s="38">
        <v>0</v>
      </c>
      <c r="F47" s="38">
        <v>7800</v>
      </c>
      <c r="G47" s="15" t="s">
        <v>882</v>
      </c>
      <c r="H47" s="35">
        <f t="shared" si="0"/>
        <v>7800</v>
      </c>
      <c r="I47" s="38">
        <v>200</v>
      </c>
      <c r="J47" s="38">
        <v>0</v>
      </c>
      <c r="K47" s="35">
        <f>_xlfn.LET(_xlpm.x,_xlfn.XLOOKUP(A47&amp;"/2/1",'[1]S_ALR Export'!$O$1:$O$777,'[1]S_ALR Export'!$I$1:$I$777,"",0),IF(_xlpm.x="",0,IF(ISNUMBER(_xlpm.x),_xlpm.x,_xlfn.NUMBERVALUE(_xlpm.x,",","."))))</f>
        <v>8000</v>
      </c>
      <c r="L47" s="38">
        <f t="shared" si="1"/>
        <v>8000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5">
        <f t="shared" si="4"/>
        <v>0</v>
      </c>
      <c r="S47" s="38">
        <v>0</v>
      </c>
      <c r="T47" s="35">
        <f>_xlfn.LET(_xlpm.x,_xlfn.XLOOKUP(A47&amp;"/2/2",'[1]S_ALR Export'!$O$1:$O$777,'[1]S_ALR Export'!$I$1:$I$777,"",0),IF(_xlpm.x="",0,IF(ISNUMBER(_xlpm.x),_xlpm.x,_xlfn.NUMBERVALUE(_xlpm.x,",","."))))</f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-33000</v>
      </c>
      <c r="AA47" s="38">
        <v>0</v>
      </c>
      <c r="AB47" s="35">
        <f t="shared" si="5"/>
        <v>-33000</v>
      </c>
      <c r="AC47" s="35">
        <f t="shared" si="8"/>
        <v>8000</v>
      </c>
      <c r="AD47" s="35">
        <f t="shared" si="7"/>
        <v>-25000</v>
      </c>
      <c r="AE47" s="36" t="str">
        <f>_xlfn.XLOOKUP(A47,'[1]S_ALR Export'!$O$1:$O$777,'[1]S_ALR Export'!$I$1:$I$777,"",0)</f>
        <v>8.000,00</v>
      </c>
      <c r="AP47" s="44" t="s">
        <v>927</v>
      </c>
      <c r="AQ47" s="45" t="s">
        <v>1042</v>
      </c>
      <c r="AR47" s="38">
        <v>0</v>
      </c>
      <c r="AS47" s="38">
        <v>0</v>
      </c>
      <c r="AT47" s="38">
        <v>0</v>
      </c>
      <c r="AU47" s="38">
        <v>0</v>
      </c>
      <c r="AV47" s="38">
        <v>0</v>
      </c>
      <c r="AW47" s="35">
        <f t="shared" si="6"/>
        <v>0</v>
      </c>
      <c r="AX47" s="38">
        <v>2348.89</v>
      </c>
      <c r="AY47" s="38">
        <v>2348.89</v>
      </c>
      <c r="AZ47" s="15" t="s">
        <v>882</v>
      </c>
    </row>
    <row r="48" spans="1:52" ht="14.5" x14ac:dyDescent="0.25">
      <c r="A48" s="37" t="s">
        <v>929</v>
      </c>
      <c r="B48" s="35">
        <v>0</v>
      </c>
      <c r="C48" s="35">
        <v>0</v>
      </c>
      <c r="D48" s="35">
        <v>0</v>
      </c>
      <c r="E48" s="35">
        <v>0</v>
      </c>
      <c r="F48" s="35">
        <v>2500</v>
      </c>
      <c r="G48" s="15" t="s">
        <v>882</v>
      </c>
      <c r="H48" s="35">
        <f t="shared" si="0"/>
        <v>2500</v>
      </c>
      <c r="I48" s="35">
        <v>36264</v>
      </c>
      <c r="J48" s="35">
        <v>2040</v>
      </c>
      <c r="K48" s="35">
        <f>_xlfn.LET(_xlpm.x,_xlfn.XLOOKUP(A48&amp;"/2/1",'[1]S_ALR Export'!$O$1:$O$777,'[1]S_ALR Export'!$I$1:$I$777,"",0),IF(_xlpm.x="",0,IF(ISNUMBER(_xlpm.x),_xlpm.x,_xlfn.NUMBERVALUE(_xlpm.x,",","."))))</f>
        <v>50133</v>
      </c>
      <c r="L48" s="35">
        <f t="shared" si="1"/>
        <v>40804</v>
      </c>
      <c r="M48" s="35">
        <v>0</v>
      </c>
      <c r="N48" s="35">
        <v>0</v>
      </c>
      <c r="O48" s="35">
        <v>0</v>
      </c>
      <c r="P48" s="35">
        <v>0</v>
      </c>
      <c r="Q48" s="35">
        <v>4385</v>
      </c>
      <c r="R48" s="35">
        <f t="shared" si="4"/>
        <v>4385</v>
      </c>
      <c r="S48" s="35">
        <v>37074.699999999997</v>
      </c>
      <c r="T48" s="35">
        <f>_xlfn.LET(_xlpm.x,_xlfn.XLOOKUP(A48&amp;"/2/2",'[1]S_ALR Export'!$O$1:$O$777,'[1]S_ALR Export'!$I$1:$I$777,"",0),IF(_xlpm.x="",0,IF(ISNUMBER(_xlpm.x),_xlpm.x,_xlfn.NUMBERVALUE(_xlpm.x,",","."))))</f>
        <v>44817</v>
      </c>
      <c r="U48" s="35">
        <v>41459.699999999997</v>
      </c>
      <c r="V48" s="35">
        <v>0</v>
      </c>
      <c r="W48" s="35">
        <v>0</v>
      </c>
      <c r="X48" s="35">
        <v>0</v>
      </c>
      <c r="Y48" s="35">
        <v>0</v>
      </c>
      <c r="Z48" s="35">
        <v>-7096</v>
      </c>
      <c r="AA48" s="35">
        <v>-77517</v>
      </c>
      <c r="AB48" s="35">
        <f t="shared" si="5"/>
        <v>-84613</v>
      </c>
      <c r="AC48" s="35">
        <f t="shared" si="8"/>
        <v>82263.7</v>
      </c>
      <c r="AD48" s="35">
        <f t="shared" si="7"/>
        <v>-2349.3000000000029</v>
      </c>
      <c r="AE48" s="36" t="str">
        <f>_xlfn.XLOOKUP(A48,'[1]S_ALR Export'!$O$1:$O$777,'[1]S_ALR Export'!$I$1:$I$777,"",0)</f>
        <v>94.950,00</v>
      </c>
      <c r="AP48" s="42" t="s">
        <v>927</v>
      </c>
      <c r="AQ48" s="43" t="s">
        <v>1043</v>
      </c>
      <c r="AR48" s="35">
        <v>0</v>
      </c>
      <c r="AS48" s="35">
        <v>0</v>
      </c>
      <c r="AT48" s="35">
        <v>0</v>
      </c>
      <c r="AU48" s="35">
        <v>0</v>
      </c>
      <c r="AV48" s="35">
        <v>0</v>
      </c>
      <c r="AW48" s="35">
        <f t="shared" si="6"/>
        <v>0</v>
      </c>
      <c r="AX48" s="35">
        <v>28070.5</v>
      </c>
      <c r="AY48" s="35">
        <v>28070.5</v>
      </c>
      <c r="AZ48" s="15" t="s">
        <v>882</v>
      </c>
    </row>
    <row r="49" spans="1:52" ht="14.5" x14ac:dyDescent="0.25">
      <c r="A49" s="37" t="s">
        <v>930</v>
      </c>
      <c r="B49" s="38">
        <v>0</v>
      </c>
      <c r="C49" s="38">
        <v>0</v>
      </c>
      <c r="D49" s="38">
        <v>0</v>
      </c>
      <c r="E49" s="38">
        <v>0</v>
      </c>
      <c r="F49" s="38">
        <v>0</v>
      </c>
      <c r="G49" s="15" t="s">
        <v>882</v>
      </c>
      <c r="H49" s="35">
        <f t="shared" si="0"/>
        <v>0</v>
      </c>
      <c r="I49" s="38">
        <v>0</v>
      </c>
      <c r="J49" s="38">
        <v>0</v>
      </c>
      <c r="K49" s="35">
        <f>_xlfn.LET(_xlpm.x,_xlfn.XLOOKUP(A49&amp;"/2/1",'[1]S_ALR Export'!$O$1:$O$777,'[1]S_ALR Export'!$I$1:$I$777,"",0),IF(_xlpm.x="",0,IF(ISNUMBER(_xlpm.x),_xlpm.x,_xlfn.NUMBERVALUE(_xlpm.x,",","."))))</f>
        <v>50000</v>
      </c>
      <c r="L49" s="38">
        <f t="shared" si="1"/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5">
        <f t="shared" si="4"/>
        <v>0</v>
      </c>
      <c r="S49" s="38">
        <v>0</v>
      </c>
      <c r="T49" s="35">
        <f>_xlfn.LET(_xlpm.x,_xlfn.XLOOKUP(A49&amp;"/2/2",'[1]S_ALR Export'!$O$1:$O$777,'[1]S_ALR Export'!$I$1:$I$777,"",0),IF(_xlpm.x="",0,IF(ISNUMBER(_xlpm.x),_xlpm.x,_xlfn.NUMBERVALUE(_xlpm.x,",","."))))</f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  <c r="AA49" s="38">
        <v>0</v>
      </c>
      <c r="AB49" s="35">
        <f t="shared" si="5"/>
        <v>0</v>
      </c>
      <c r="AC49" s="35">
        <f t="shared" si="8"/>
        <v>0</v>
      </c>
      <c r="AD49" s="35">
        <f t="shared" si="7"/>
        <v>0</v>
      </c>
      <c r="AE49" s="36" t="str">
        <f>_xlfn.XLOOKUP(A49,'[1]S_ALR Export'!$O$1:$O$777,'[1]S_ALR Export'!$I$1:$I$777,"",0)</f>
        <v>50.000,00</v>
      </c>
      <c r="AP49" s="44" t="s">
        <v>929</v>
      </c>
      <c r="AQ49" s="45" t="s">
        <v>1028</v>
      </c>
      <c r="AR49" s="38">
        <v>0</v>
      </c>
      <c r="AS49" s="38">
        <v>0</v>
      </c>
      <c r="AT49" s="38">
        <v>0</v>
      </c>
      <c r="AU49" s="38">
        <v>0</v>
      </c>
      <c r="AV49" s="38">
        <v>4385</v>
      </c>
      <c r="AW49" s="35">
        <f t="shared" si="6"/>
        <v>4385</v>
      </c>
      <c r="AX49" s="38">
        <v>2875</v>
      </c>
      <c r="AY49" s="38">
        <v>7260</v>
      </c>
      <c r="AZ49" s="15" t="s">
        <v>882</v>
      </c>
    </row>
    <row r="50" spans="1:52" ht="14.5" x14ac:dyDescent="0.25">
      <c r="A50" s="37" t="s">
        <v>931</v>
      </c>
      <c r="B50" s="35">
        <v>0</v>
      </c>
      <c r="C50" s="35">
        <v>0</v>
      </c>
      <c r="D50" s="35">
        <v>0</v>
      </c>
      <c r="E50" s="35">
        <v>0</v>
      </c>
      <c r="F50" s="35">
        <v>0</v>
      </c>
      <c r="G50" s="15" t="s">
        <v>882</v>
      </c>
      <c r="H50" s="35">
        <f t="shared" si="0"/>
        <v>0</v>
      </c>
      <c r="I50" s="35">
        <v>0</v>
      </c>
      <c r="J50" s="35">
        <v>-0.39999999999417923</v>
      </c>
      <c r="K50" s="35">
        <f>_xlfn.LET(_xlpm.x,_xlfn.XLOOKUP(A50&amp;"/2/1",'[1]S_ALR Export'!$O$1:$O$777,'[1]S_ALR Export'!$I$1:$I$777,"",0),IF(_xlpm.x="",0,IF(ISNUMBER(_xlpm.x),_xlpm.x,_xlfn.NUMBERVALUE(_xlpm.x,",","."))))</f>
        <v>74000</v>
      </c>
      <c r="L50" s="35">
        <f t="shared" si="1"/>
        <v>-0.39999999999417923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f t="shared" si="4"/>
        <v>0</v>
      </c>
      <c r="S50" s="35">
        <v>0</v>
      </c>
      <c r="T50" s="35">
        <f>_xlfn.LET(_xlpm.x,_xlfn.XLOOKUP(A50&amp;"/2/2",'[1]S_ALR Export'!$O$1:$O$777,'[1]S_ALR Export'!$I$1:$I$777,"",0),IF(_xlpm.x="",0,IF(ISNUMBER(_xlpm.x),_xlpm.x,_xlfn.NUMBERVALUE(_xlpm.x,",","."))))</f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f t="shared" si="5"/>
        <v>0</v>
      </c>
      <c r="AC50" s="35">
        <f t="shared" si="8"/>
        <v>-0.39999999999417923</v>
      </c>
      <c r="AD50" s="35">
        <f t="shared" si="7"/>
        <v>-0.39999999999417923</v>
      </c>
      <c r="AE50" s="36" t="str">
        <f>_xlfn.XLOOKUP(A50,'[1]S_ALR Export'!$O$1:$O$777,'[1]S_ALR Export'!$I$1:$I$777,"",0)</f>
        <v>74.000,00</v>
      </c>
      <c r="AP50" s="42" t="s">
        <v>929</v>
      </c>
      <c r="AQ50" s="43" t="s">
        <v>1032</v>
      </c>
      <c r="AR50" s="35">
        <v>0</v>
      </c>
      <c r="AS50" s="35">
        <v>0</v>
      </c>
      <c r="AT50" s="35">
        <v>0</v>
      </c>
      <c r="AU50" s="35">
        <v>0</v>
      </c>
      <c r="AV50" s="35">
        <v>0</v>
      </c>
      <c r="AW50" s="35">
        <f t="shared" si="6"/>
        <v>0</v>
      </c>
      <c r="AX50" s="35">
        <v>29639.7</v>
      </c>
      <c r="AY50" s="35">
        <v>29639.7</v>
      </c>
      <c r="AZ50" s="15" t="s">
        <v>882</v>
      </c>
    </row>
    <row r="51" spans="1:52" ht="14.5" x14ac:dyDescent="0.25">
      <c r="A51" s="37" t="s">
        <v>932</v>
      </c>
      <c r="B51" s="38">
        <v>0</v>
      </c>
      <c r="C51" s="38">
        <v>0</v>
      </c>
      <c r="D51" s="38">
        <v>0</v>
      </c>
      <c r="E51" s="38">
        <v>0</v>
      </c>
      <c r="F51" s="38">
        <v>6063</v>
      </c>
      <c r="G51" s="15" t="s">
        <v>882</v>
      </c>
      <c r="H51" s="35">
        <f t="shared" si="0"/>
        <v>6063</v>
      </c>
      <c r="I51" s="38">
        <v>1115</v>
      </c>
      <c r="J51" s="38">
        <v>0</v>
      </c>
      <c r="K51" s="35">
        <f>_xlfn.LET(_xlpm.x,_xlfn.XLOOKUP(A51&amp;"/2/1",'[1]S_ALR Export'!$O$1:$O$777,'[1]S_ALR Export'!$I$1:$I$777,"",0),IF(_xlpm.x="",0,IF(ISNUMBER(_xlpm.x),_xlpm.x,_xlfn.NUMBERVALUE(_xlpm.x,",","."))))</f>
        <v>7178</v>
      </c>
      <c r="L51" s="38">
        <f t="shared" si="1"/>
        <v>7178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5">
        <f t="shared" si="4"/>
        <v>0</v>
      </c>
      <c r="S51" s="38">
        <v>0</v>
      </c>
      <c r="T51" s="35">
        <f>_xlfn.LET(_xlpm.x,_xlfn.XLOOKUP(A51&amp;"/2/2",'[1]S_ALR Export'!$O$1:$O$777,'[1]S_ALR Export'!$I$1:$I$777,"",0),IF(_xlpm.x="",0,IF(ISNUMBER(_xlpm.x),_xlpm.x,_xlfn.NUMBERVALUE(_xlpm.x,",","."))))</f>
        <v>0</v>
      </c>
      <c r="U51" s="38">
        <v>0</v>
      </c>
      <c r="V51" s="38">
        <v>0</v>
      </c>
      <c r="W51" s="38">
        <v>0</v>
      </c>
      <c r="X51" s="38">
        <v>0</v>
      </c>
      <c r="Y51" s="38">
        <v>0</v>
      </c>
      <c r="Z51" s="38">
        <v>-12000</v>
      </c>
      <c r="AA51" s="38">
        <v>0</v>
      </c>
      <c r="AB51" s="35">
        <f t="shared" si="5"/>
        <v>-12000</v>
      </c>
      <c r="AC51" s="35">
        <f t="shared" si="8"/>
        <v>7178</v>
      </c>
      <c r="AD51" s="35">
        <f t="shared" si="7"/>
        <v>-4822</v>
      </c>
      <c r="AE51" s="36" t="str">
        <f>_xlfn.XLOOKUP(A51,'[1]S_ALR Export'!$O$1:$O$777,'[1]S_ALR Export'!$I$1:$I$777,"",0)</f>
        <v>12.000,00</v>
      </c>
      <c r="AP51" s="44" t="s">
        <v>929</v>
      </c>
      <c r="AQ51" s="45" t="s">
        <v>552</v>
      </c>
      <c r="AR51" s="38">
        <v>0</v>
      </c>
      <c r="AS51" s="38">
        <v>0</v>
      </c>
      <c r="AT51" s="38">
        <v>0</v>
      </c>
      <c r="AU51" s="38">
        <v>0</v>
      </c>
      <c r="AV51" s="38">
        <v>0</v>
      </c>
      <c r="AW51" s="35">
        <f t="shared" si="6"/>
        <v>0</v>
      </c>
      <c r="AX51" s="38">
        <v>4560</v>
      </c>
      <c r="AY51" s="38">
        <v>4560</v>
      </c>
      <c r="AZ51" s="15" t="s">
        <v>882</v>
      </c>
    </row>
    <row r="52" spans="1:52" ht="14.5" x14ac:dyDescent="0.25">
      <c r="A52" s="37" t="s">
        <v>933</v>
      </c>
      <c r="B52" s="35">
        <v>0</v>
      </c>
      <c r="C52" s="35">
        <v>0</v>
      </c>
      <c r="D52" s="35">
        <v>0</v>
      </c>
      <c r="E52" s="35">
        <v>0</v>
      </c>
      <c r="F52" s="35">
        <v>7684</v>
      </c>
      <c r="G52" s="15" t="s">
        <v>882</v>
      </c>
      <c r="H52" s="35">
        <f t="shared" si="0"/>
        <v>7684</v>
      </c>
      <c r="I52" s="35">
        <v>8656.5</v>
      </c>
      <c r="J52" s="35">
        <v>0</v>
      </c>
      <c r="K52" s="35">
        <f>_xlfn.LET(_xlpm.x,_xlfn.XLOOKUP(A52&amp;"/2/1",'[1]S_ALR Export'!$O$1:$O$777,'[1]S_ALR Export'!$I$1:$I$777,"",0),IF(_xlpm.x="",0,IF(ISNUMBER(_xlpm.x),_xlpm.x,_xlfn.NUMBERVALUE(_xlpm.x,",","."))))</f>
        <v>25000</v>
      </c>
      <c r="L52" s="35">
        <f t="shared" si="1"/>
        <v>16340.5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f t="shared" si="4"/>
        <v>0</v>
      </c>
      <c r="S52" s="35">
        <v>0</v>
      </c>
      <c r="T52" s="35">
        <f>_xlfn.LET(_xlpm.x,_xlfn.XLOOKUP(A52&amp;"/2/2",'[1]S_ALR Export'!$O$1:$O$777,'[1]S_ALR Export'!$I$1:$I$777,"",0),IF(_xlpm.x="",0,IF(ISNUMBER(_xlpm.x),_xlpm.x,_xlfn.NUMBERVALUE(_xlpm.x,",","."))))</f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-8068</v>
      </c>
      <c r="AA52" s="35">
        <v>-8381</v>
      </c>
      <c r="AB52" s="35">
        <f t="shared" si="5"/>
        <v>-16449</v>
      </c>
      <c r="AC52" s="35">
        <f t="shared" si="8"/>
        <v>16340.5</v>
      </c>
      <c r="AD52" s="35">
        <f t="shared" si="7"/>
        <v>-108.5</v>
      </c>
      <c r="AE52" s="36" t="str">
        <f>_xlfn.XLOOKUP(A52,'[1]S_ALR Export'!$O$1:$O$777,'[1]S_ALR Export'!$I$1:$I$777,"",0)</f>
        <v>25.000,00</v>
      </c>
      <c r="AP52" s="42" t="s">
        <v>939</v>
      </c>
      <c r="AQ52" s="43" t="s">
        <v>1027</v>
      </c>
      <c r="AR52" s="35">
        <v>0</v>
      </c>
      <c r="AS52" s="35">
        <v>0</v>
      </c>
      <c r="AT52" s="35">
        <v>0</v>
      </c>
      <c r="AU52" s="35">
        <v>0</v>
      </c>
      <c r="AV52" s="35">
        <v>0</v>
      </c>
      <c r="AW52" s="35">
        <f t="shared" si="6"/>
        <v>0</v>
      </c>
      <c r="AX52" s="35">
        <v>29926.75</v>
      </c>
      <c r="AY52" s="35">
        <v>29926.75</v>
      </c>
      <c r="AZ52" s="15" t="s">
        <v>882</v>
      </c>
    </row>
    <row r="53" spans="1:52" ht="14.5" x14ac:dyDescent="0.25">
      <c r="A53" s="37" t="s">
        <v>934</v>
      </c>
      <c r="B53" s="38">
        <v>0</v>
      </c>
      <c r="C53" s="38">
        <v>0</v>
      </c>
      <c r="D53" s="38">
        <v>0</v>
      </c>
      <c r="E53" s="38">
        <v>0</v>
      </c>
      <c r="F53" s="38">
        <v>0</v>
      </c>
      <c r="G53" s="15" t="s">
        <v>882</v>
      </c>
      <c r="H53" s="35">
        <f t="shared" si="0"/>
        <v>0</v>
      </c>
      <c r="I53" s="38">
        <v>6200</v>
      </c>
      <c r="J53" s="38">
        <v>0</v>
      </c>
      <c r="K53" s="35">
        <f>_xlfn.LET(_xlpm.x,_xlfn.XLOOKUP(A53&amp;"/2/1",'[1]S_ALR Export'!$O$1:$O$777,'[1]S_ALR Export'!$I$1:$I$777,"",0),IF(_xlpm.x="",0,IF(ISNUMBER(_xlpm.x),_xlpm.x,_xlfn.NUMBERVALUE(_xlpm.x,",","."))))</f>
        <v>12000</v>
      </c>
      <c r="L53" s="38">
        <f t="shared" si="1"/>
        <v>6200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5">
        <f t="shared" si="4"/>
        <v>0</v>
      </c>
      <c r="S53" s="38">
        <v>0</v>
      </c>
      <c r="T53" s="35">
        <f>_xlfn.LET(_xlpm.x,_xlfn.XLOOKUP(A53&amp;"/2/2",'[1]S_ALR Export'!$O$1:$O$777,'[1]S_ALR Export'!$I$1:$I$777,"",0),IF(_xlpm.x="",0,IF(ISNUMBER(_xlpm.x),_xlpm.x,_xlfn.NUMBERVALUE(_xlpm.x,",","."))))</f>
        <v>0</v>
      </c>
      <c r="U53" s="38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  <c r="AA53" s="38">
        <v>0</v>
      </c>
      <c r="AB53" s="35">
        <f t="shared" si="5"/>
        <v>0</v>
      </c>
      <c r="AC53" s="35">
        <f t="shared" si="8"/>
        <v>6200</v>
      </c>
      <c r="AD53" s="35">
        <f t="shared" si="7"/>
        <v>6200</v>
      </c>
      <c r="AE53" s="36" t="str">
        <f>_xlfn.XLOOKUP(A53,'[1]S_ALR Export'!$O$1:$O$777,'[1]S_ALR Export'!$I$1:$I$777,"",0)</f>
        <v>12.000,00</v>
      </c>
      <c r="AP53" s="44" t="s">
        <v>942</v>
      </c>
      <c r="AQ53" s="45" t="s">
        <v>653</v>
      </c>
      <c r="AR53" s="38">
        <v>0</v>
      </c>
      <c r="AS53" s="38">
        <v>0</v>
      </c>
      <c r="AT53" s="38">
        <v>0</v>
      </c>
      <c r="AU53" s="38">
        <v>0</v>
      </c>
      <c r="AV53" s="38">
        <v>13020</v>
      </c>
      <c r="AW53" s="35">
        <f t="shared" si="6"/>
        <v>13020</v>
      </c>
      <c r="AX53" s="38">
        <v>0</v>
      </c>
      <c r="AY53" s="38">
        <v>13020</v>
      </c>
      <c r="AZ53" s="15" t="s">
        <v>882</v>
      </c>
    </row>
    <row r="54" spans="1:52" ht="14.5" x14ac:dyDescent="0.25">
      <c r="A54" s="37" t="s">
        <v>935</v>
      </c>
      <c r="B54" s="35">
        <v>0</v>
      </c>
      <c r="C54" s="35">
        <v>0</v>
      </c>
      <c r="D54" s="35">
        <v>0</v>
      </c>
      <c r="E54" s="35">
        <v>0</v>
      </c>
      <c r="F54" s="35">
        <v>3161</v>
      </c>
      <c r="G54" s="15" t="s">
        <v>882</v>
      </c>
      <c r="H54" s="35">
        <f t="shared" si="0"/>
        <v>3161</v>
      </c>
      <c r="I54" s="35">
        <v>4425</v>
      </c>
      <c r="J54" s="35">
        <v>0</v>
      </c>
      <c r="K54" s="35">
        <f>_xlfn.LET(_xlpm.x,_xlfn.XLOOKUP(A54&amp;"/2/1",'[1]S_ALR Export'!$O$1:$O$777,'[1]S_ALR Export'!$I$1:$I$777,"",0),IF(_xlpm.x="",0,IF(ISNUMBER(_xlpm.x),_xlpm.x,_xlfn.NUMBERVALUE(_xlpm.x,",","."))))</f>
        <v>7586</v>
      </c>
      <c r="L54" s="35">
        <f t="shared" si="1"/>
        <v>7586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f t="shared" si="4"/>
        <v>0</v>
      </c>
      <c r="S54" s="35">
        <v>0</v>
      </c>
      <c r="T54" s="35">
        <f>_xlfn.LET(_xlpm.x,_xlfn.XLOOKUP(A54&amp;"/2/2",'[1]S_ALR Export'!$O$1:$O$777,'[1]S_ALR Export'!$I$1:$I$777,"",0),IF(_xlpm.x="",0,IF(ISNUMBER(_xlpm.x),_xlpm.x,_xlfn.NUMBERVALUE(_xlpm.x,",","."))))</f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-12000</v>
      </c>
      <c r="AA54" s="35">
        <v>0</v>
      </c>
      <c r="AB54" s="35">
        <f t="shared" si="5"/>
        <v>-12000</v>
      </c>
      <c r="AC54" s="35">
        <f t="shared" si="8"/>
        <v>7586</v>
      </c>
      <c r="AD54" s="35">
        <f t="shared" si="7"/>
        <v>-4414</v>
      </c>
      <c r="AE54" s="36" t="str">
        <f>_xlfn.XLOOKUP(A54,'[1]S_ALR Export'!$O$1:$O$777,'[1]S_ALR Export'!$I$1:$I$777,"",0)</f>
        <v>7.586,00</v>
      </c>
      <c r="AP54" s="42" t="s">
        <v>950</v>
      </c>
      <c r="AQ54" s="43" t="s">
        <v>1044</v>
      </c>
      <c r="AR54" s="35">
        <v>0</v>
      </c>
      <c r="AS54" s="35">
        <v>0</v>
      </c>
      <c r="AT54" s="35">
        <v>0</v>
      </c>
      <c r="AU54" s="35">
        <v>0</v>
      </c>
      <c r="AV54" s="35">
        <v>0</v>
      </c>
      <c r="AW54" s="35">
        <f t="shared" si="6"/>
        <v>0</v>
      </c>
      <c r="AX54" s="35">
        <v>5250</v>
      </c>
      <c r="AY54" s="35">
        <v>5250</v>
      </c>
      <c r="AZ54" s="15" t="s">
        <v>882</v>
      </c>
    </row>
    <row r="55" spans="1:52" ht="14.5" x14ac:dyDescent="0.25">
      <c r="A55" s="37" t="s">
        <v>936</v>
      </c>
      <c r="B55" s="38">
        <v>0</v>
      </c>
      <c r="C55" s="38">
        <v>0</v>
      </c>
      <c r="D55" s="38">
        <v>0</v>
      </c>
      <c r="E55" s="38">
        <v>0</v>
      </c>
      <c r="F55" s="38">
        <v>7502</v>
      </c>
      <c r="G55" s="15" t="s">
        <v>882</v>
      </c>
      <c r="H55" s="35">
        <f t="shared" si="0"/>
        <v>7502</v>
      </c>
      <c r="I55" s="38">
        <v>5140</v>
      </c>
      <c r="J55" s="38">
        <v>3900</v>
      </c>
      <c r="K55" s="35">
        <f>_xlfn.LET(_xlpm.x,_xlfn.XLOOKUP(A55&amp;"/2/1",'[1]S_ALR Export'!$O$1:$O$777,'[1]S_ALR Export'!$I$1:$I$777,"",0),IF(_xlpm.x="",0,IF(ISNUMBER(_xlpm.x),_xlpm.x,_xlfn.NUMBERVALUE(_xlpm.x,",","."))))</f>
        <v>17100</v>
      </c>
      <c r="L55" s="38">
        <f t="shared" si="1"/>
        <v>16542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5">
        <f t="shared" si="4"/>
        <v>0</v>
      </c>
      <c r="S55" s="38">
        <v>0</v>
      </c>
      <c r="T55" s="35">
        <f>_xlfn.LET(_xlpm.x,_xlfn.XLOOKUP(A55&amp;"/2/2",'[1]S_ALR Export'!$O$1:$O$777,'[1]S_ALR Export'!$I$1:$I$777,"",0),IF(_xlpm.x="",0,IF(ISNUMBER(_xlpm.x),_xlpm.x,_xlfn.NUMBERVALUE(_xlpm.x,",","."))))</f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-12000</v>
      </c>
      <c r="AA55" s="38">
        <v>0</v>
      </c>
      <c r="AB55" s="35">
        <f t="shared" si="5"/>
        <v>-12000</v>
      </c>
      <c r="AC55" s="35">
        <f t="shared" si="8"/>
        <v>16542</v>
      </c>
      <c r="AD55" s="35">
        <f t="shared" si="7"/>
        <v>4542</v>
      </c>
      <c r="AE55" s="36" t="str">
        <f>_xlfn.XLOOKUP(A55,'[1]S_ALR Export'!$O$1:$O$777,'[1]S_ALR Export'!$I$1:$I$777,"",0)</f>
        <v>17.100,00</v>
      </c>
      <c r="AP55" s="44" t="s">
        <v>962</v>
      </c>
      <c r="AQ55" s="45" t="s">
        <v>1022</v>
      </c>
      <c r="AR55" s="38">
        <v>0</v>
      </c>
      <c r="AS55" s="38">
        <v>0</v>
      </c>
      <c r="AT55" s="38">
        <v>0</v>
      </c>
      <c r="AU55" s="38">
        <v>0</v>
      </c>
      <c r="AV55" s="38">
        <v>0</v>
      </c>
      <c r="AW55" s="35">
        <f t="shared" si="6"/>
        <v>0</v>
      </c>
      <c r="AX55" s="38">
        <v>10200</v>
      </c>
      <c r="AY55" s="38">
        <v>10200</v>
      </c>
      <c r="AZ55" s="15" t="s">
        <v>882</v>
      </c>
    </row>
    <row r="56" spans="1:52" ht="14.5" x14ac:dyDescent="0.25">
      <c r="A56" s="37" t="s">
        <v>937</v>
      </c>
      <c r="B56" s="35">
        <v>0</v>
      </c>
      <c r="C56" s="35">
        <v>0</v>
      </c>
      <c r="D56" s="35">
        <v>0</v>
      </c>
      <c r="E56" s="35">
        <v>0</v>
      </c>
      <c r="F56" s="35">
        <v>1300</v>
      </c>
      <c r="G56" s="15" t="s">
        <v>882</v>
      </c>
      <c r="H56" s="35">
        <f t="shared" si="0"/>
        <v>1300</v>
      </c>
      <c r="I56" s="35">
        <v>3900</v>
      </c>
      <c r="J56" s="35">
        <v>0</v>
      </c>
      <c r="K56" s="35">
        <f>_xlfn.LET(_xlpm.x,_xlfn.XLOOKUP(A56&amp;"/2/1",'[1]S_ALR Export'!$O$1:$O$777,'[1]S_ALR Export'!$I$1:$I$777,"",0),IF(_xlpm.x="",0,IF(ISNUMBER(_xlpm.x),_xlpm.x,_xlfn.NUMBERVALUE(_xlpm.x,",","."))))</f>
        <v>5200</v>
      </c>
      <c r="L56" s="35">
        <f t="shared" si="1"/>
        <v>5200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f t="shared" si="4"/>
        <v>0</v>
      </c>
      <c r="S56" s="35">
        <v>0</v>
      </c>
      <c r="T56" s="35">
        <f>_xlfn.LET(_xlpm.x,_xlfn.XLOOKUP(A56&amp;"/2/2",'[1]S_ALR Export'!$O$1:$O$777,'[1]S_ALR Export'!$I$1:$I$777,"",0),IF(_xlpm.x="",0,IF(ISNUMBER(_xlpm.x),_xlpm.x,_xlfn.NUMBERVALUE(_xlpm.x,",","."))))</f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-1365</v>
      </c>
      <c r="AA56" s="35">
        <v>-3990</v>
      </c>
      <c r="AB56" s="35">
        <f t="shared" si="5"/>
        <v>-5355</v>
      </c>
      <c r="AC56" s="35">
        <f t="shared" si="8"/>
        <v>5200</v>
      </c>
      <c r="AD56" s="35">
        <f t="shared" si="7"/>
        <v>-155</v>
      </c>
      <c r="AE56" s="36" t="str">
        <f>_xlfn.XLOOKUP(A56,'[1]S_ALR Export'!$O$1:$O$777,'[1]S_ALR Export'!$I$1:$I$777,"",0)</f>
        <v>5.200,00</v>
      </c>
      <c r="AP56" s="42" t="s">
        <v>970</v>
      </c>
      <c r="AQ56" s="43" t="s">
        <v>1045</v>
      </c>
      <c r="AR56" s="35">
        <v>0</v>
      </c>
      <c r="AS56" s="35">
        <v>0</v>
      </c>
      <c r="AT56" s="35">
        <v>0</v>
      </c>
      <c r="AU56" s="35">
        <v>0</v>
      </c>
      <c r="AV56" s="35">
        <v>0</v>
      </c>
      <c r="AW56" s="35">
        <f t="shared" si="6"/>
        <v>0</v>
      </c>
      <c r="AX56" s="35">
        <v>20000</v>
      </c>
      <c r="AY56" s="35">
        <v>20000</v>
      </c>
      <c r="AZ56" s="15" t="s">
        <v>882</v>
      </c>
    </row>
    <row r="57" spans="1:52" ht="14.5" x14ac:dyDescent="0.25">
      <c r="A57" s="37" t="s">
        <v>938</v>
      </c>
      <c r="B57" s="38">
        <v>0</v>
      </c>
      <c r="C57" s="38">
        <v>0</v>
      </c>
      <c r="D57" s="38">
        <v>0</v>
      </c>
      <c r="E57" s="38">
        <v>0</v>
      </c>
      <c r="F57" s="38">
        <v>3177</v>
      </c>
      <c r="G57" s="15" t="s">
        <v>882</v>
      </c>
      <c r="H57" s="35">
        <f t="shared" si="0"/>
        <v>3177</v>
      </c>
      <c r="I57" s="38">
        <v>4380</v>
      </c>
      <c r="J57" s="38">
        <v>0</v>
      </c>
      <c r="K57" s="35">
        <f>_xlfn.LET(_xlpm.x,_xlfn.XLOOKUP(A57&amp;"/2/1",'[1]S_ALR Export'!$O$1:$O$777,'[1]S_ALR Export'!$I$1:$I$777,"",0),IF(_xlpm.x="",0,IF(ISNUMBER(_xlpm.x),_xlpm.x,_xlfn.NUMBERVALUE(_xlpm.x,",","."))))</f>
        <v>7557</v>
      </c>
      <c r="L57" s="38">
        <f t="shared" si="1"/>
        <v>7557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5">
        <f t="shared" si="4"/>
        <v>0</v>
      </c>
      <c r="S57" s="38">
        <v>0</v>
      </c>
      <c r="T57" s="35">
        <f>_xlfn.LET(_xlpm.x,_xlfn.XLOOKUP(A57&amp;"/2/2",'[1]S_ALR Export'!$O$1:$O$777,'[1]S_ALR Export'!$I$1:$I$777,"",0),IF(_xlpm.x="",0,IF(ISNUMBER(_xlpm.x),_xlpm.x,_xlfn.NUMBERVALUE(_xlpm.x,",","."))))</f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-12000</v>
      </c>
      <c r="AA57" s="38">
        <v>0</v>
      </c>
      <c r="AB57" s="35">
        <f t="shared" si="5"/>
        <v>-12000</v>
      </c>
      <c r="AC57" s="35">
        <f t="shared" si="8"/>
        <v>7557</v>
      </c>
      <c r="AD57" s="35">
        <f t="shared" si="7"/>
        <v>-4443</v>
      </c>
      <c r="AE57" s="36" t="str">
        <f>_xlfn.XLOOKUP(A57,'[1]S_ALR Export'!$O$1:$O$777,'[1]S_ALR Export'!$I$1:$I$777,"",0)</f>
        <v>12.000,00</v>
      </c>
      <c r="AP57" s="44" t="s">
        <v>978</v>
      </c>
      <c r="AQ57" s="45" t="s">
        <v>1028</v>
      </c>
      <c r="AR57" s="38">
        <v>0</v>
      </c>
      <c r="AS57" s="38">
        <v>0</v>
      </c>
      <c r="AT57" s="38">
        <v>0</v>
      </c>
      <c r="AU57" s="38">
        <v>0</v>
      </c>
      <c r="AV57" s="38">
        <v>0</v>
      </c>
      <c r="AW57" s="35">
        <f t="shared" si="6"/>
        <v>0</v>
      </c>
      <c r="AX57" s="38">
        <v>8634.3799999999992</v>
      </c>
      <c r="AY57" s="38">
        <v>8634.3799999999992</v>
      </c>
      <c r="AZ57" s="15" t="s">
        <v>882</v>
      </c>
    </row>
    <row r="58" spans="1:52" ht="14.5" x14ac:dyDescent="0.25">
      <c r="A58" s="37" t="s">
        <v>939</v>
      </c>
      <c r="B58" s="35">
        <v>0</v>
      </c>
      <c r="C58" s="35">
        <v>0</v>
      </c>
      <c r="D58" s="35">
        <v>0</v>
      </c>
      <c r="E58" s="35">
        <v>0</v>
      </c>
      <c r="F58" s="35">
        <v>0</v>
      </c>
      <c r="G58" s="15" t="s">
        <v>882</v>
      </c>
      <c r="H58" s="35">
        <f t="shared" si="0"/>
        <v>0</v>
      </c>
      <c r="I58" s="35">
        <v>0</v>
      </c>
      <c r="J58" s="35">
        <v>108466</v>
      </c>
      <c r="K58" s="35">
        <f>_xlfn.LET(_xlpm.x,_xlfn.XLOOKUP(A58&amp;"/2/1",'[1]S_ALR Export'!$O$1:$O$777,'[1]S_ALR Export'!$I$1:$I$777,"",0),IF(_xlpm.x="",0,IF(ISNUMBER(_xlpm.x),_xlpm.x,_xlfn.NUMBERVALUE(_xlpm.x,",","."))))</f>
        <v>224220</v>
      </c>
      <c r="L58" s="35">
        <f t="shared" si="1"/>
        <v>108466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f t="shared" si="4"/>
        <v>0</v>
      </c>
      <c r="S58" s="35">
        <v>29926.75</v>
      </c>
      <c r="T58" s="35">
        <f>_xlfn.LET(_xlpm.x,_xlfn.XLOOKUP(A58&amp;"/2/2",'[1]S_ALR Export'!$O$1:$O$777,'[1]S_ALR Export'!$I$1:$I$777,"",0),IF(_xlpm.x="",0,IF(ISNUMBER(_xlpm.x),_xlpm.x,_xlfn.NUMBERVALUE(_xlpm.x,",","."))))</f>
        <v>179440</v>
      </c>
      <c r="U58" s="35">
        <v>29926.75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-86589</v>
      </c>
      <c r="AB58" s="35">
        <f t="shared" si="5"/>
        <v>-86589</v>
      </c>
      <c r="AC58" s="35">
        <f t="shared" si="8"/>
        <v>138392.75</v>
      </c>
      <c r="AD58" s="35">
        <f t="shared" si="7"/>
        <v>51803.75</v>
      </c>
      <c r="AE58" s="36" t="str">
        <f>_xlfn.XLOOKUP(A58,'[1]S_ALR Export'!$O$1:$O$777,'[1]S_ALR Export'!$I$1:$I$777,"",0)</f>
        <v>403.660,00</v>
      </c>
      <c r="AP58" s="15"/>
      <c r="AQ58" s="15"/>
      <c r="AR58" s="15"/>
      <c r="AS58" s="15"/>
      <c r="AT58" s="15"/>
      <c r="AU58" s="15"/>
      <c r="AV58" s="15"/>
      <c r="AW58" s="35"/>
      <c r="AX58" s="15"/>
      <c r="AY58" s="46">
        <f>SUM(AY2:AY57)</f>
        <v>5186830.3899999997</v>
      </c>
      <c r="AZ58" s="15"/>
    </row>
    <row r="59" spans="1:52" ht="14.5" x14ac:dyDescent="0.25">
      <c r="A59" s="37" t="s">
        <v>940</v>
      </c>
      <c r="B59" s="38">
        <v>0</v>
      </c>
      <c r="C59" s="38">
        <v>0</v>
      </c>
      <c r="D59" s="38">
        <v>0</v>
      </c>
      <c r="E59" s="38">
        <v>0</v>
      </c>
      <c r="F59" s="38">
        <v>0</v>
      </c>
      <c r="G59" s="15" t="s">
        <v>882</v>
      </c>
      <c r="H59" s="35">
        <f t="shared" si="0"/>
        <v>0</v>
      </c>
      <c r="I59" s="38">
        <v>0</v>
      </c>
      <c r="J59" s="38">
        <v>10992.5</v>
      </c>
      <c r="K59" s="35">
        <f>_xlfn.LET(_xlpm.x,_xlfn.XLOOKUP(A59&amp;"/2/1",'[1]S_ALR Export'!$O$1:$O$777,'[1]S_ALR Export'!$I$1:$I$777,"",0),IF(_xlpm.x="",0,IF(ISNUMBER(_xlpm.x),_xlpm.x,_xlfn.NUMBERVALUE(_xlpm.x,",","."))))</f>
        <v>12000</v>
      </c>
      <c r="L59" s="38">
        <f t="shared" si="1"/>
        <v>10992.5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5">
        <f t="shared" si="4"/>
        <v>0</v>
      </c>
      <c r="S59" s="38">
        <v>0</v>
      </c>
      <c r="T59" s="35">
        <f>_xlfn.LET(_xlpm.x,_xlfn.XLOOKUP(A59&amp;"/2/2",'[1]S_ALR Export'!$O$1:$O$777,'[1]S_ALR Export'!$I$1:$I$777,"",0),IF(_xlpm.x="",0,IF(ISNUMBER(_xlpm.x),_xlpm.x,_xlfn.NUMBERVALUE(_xlpm.x,",","."))))</f>
        <v>0</v>
      </c>
      <c r="U59" s="38">
        <v>0</v>
      </c>
      <c r="V59" s="38">
        <v>0</v>
      </c>
      <c r="W59" s="38">
        <v>0</v>
      </c>
      <c r="X59" s="38">
        <v>0</v>
      </c>
      <c r="Y59" s="38">
        <v>0</v>
      </c>
      <c r="Z59" s="38">
        <v>0</v>
      </c>
      <c r="AA59" s="38">
        <v>-8690</v>
      </c>
      <c r="AB59" s="35">
        <f t="shared" si="5"/>
        <v>-8690</v>
      </c>
      <c r="AC59" s="35">
        <f t="shared" si="8"/>
        <v>10992.5</v>
      </c>
      <c r="AD59" s="35">
        <f t="shared" si="7"/>
        <v>2302.5</v>
      </c>
      <c r="AE59" s="36" t="str">
        <f>_xlfn.XLOOKUP(A59,'[1]S_ALR Export'!$O$1:$O$777,'[1]S_ALR Export'!$I$1:$I$777,"",0)</f>
        <v>12.000,00</v>
      </c>
    </row>
    <row r="60" spans="1:52" ht="14.5" x14ac:dyDescent="0.25">
      <c r="A60" s="37" t="s">
        <v>941</v>
      </c>
      <c r="B60" s="35">
        <v>0</v>
      </c>
      <c r="C60" s="35">
        <v>0</v>
      </c>
      <c r="D60" s="35">
        <v>0</v>
      </c>
      <c r="E60" s="35">
        <v>0</v>
      </c>
      <c r="F60" s="35">
        <v>802</v>
      </c>
      <c r="G60" s="15" t="s">
        <v>882</v>
      </c>
      <c r="H60" s="35">
        <f t="shared" si="0"/>
        <v>802</v>
      </c>
      <c r="I60" s="35">
        <v>12660</v>
      </c>
      <c r="J60" s="35">
        <v>1300</v>
      </c>
      <c r="K60" s="35">
        <f>_xlfn.LET(_xlpm.x,_xlfn.XLOOKUP(A60&amp;"/2/1",'[1]S_ALR Export'!$O$1:$O$777,'[1]S_ALR Export'!$I$1:$I$777,"",0),IF(_xlpm.x="",0,IF(ISNUMBER(_xlpm.x),_xlpm.x,_xlfn.NUMBERVALUE(_xlpm.x,",","."))))</f>
        <v>15000</v>
      </c>
      <c r="L60" s="35">
        <f t="shared" si="1"/>
        <v>14762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f t="shared" si="4"/>
        <v>0</v>
      </c>
      <c r="S60" s="35">
        <v>0</v>
      </c>
      <c r="T60" s="35">
        <f>_xlfn.LET(_xlpm.x,_xlfn.XLOOKUP(A60&amp;"/2/2",'[1]S_ALR Export'!$O$1:$O$777,'[1]S_ALR Export'!$I$1:$I$777,"",0),IF(_xlpm.x="",0,IF(ISNUMBER(_xlpm.x),_xlpm.x,_xlfn.NUMBERVALUE(_xlpm.x,",","."))))</f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-12000</v>
      </c>
      <c r="AA60" s="35">
        <v>0</v>
      </c>
      <c r="AB60" s="35">
        <f t="shared" si="5"/>
        <v>-12000</v>
      </c>
      <c r="AC60" s="35">
        <f t="shared" si="8"/>
        <v>14762</v>
      </c>
      <c r="AD60" s="35">
        <f t="shared" si="7"/>
        <v>2762</v>
      </c>
      <c r="AE60" s="36" t="str">
        <f>_xlfn.XLOOKUP(A60,'[1]S_ALR Export'!$O$1:$O$777,'[1]S_ALR Export'!$I$1:$I$777,"",0)</f>
        <v>15.000,00</v>
      </c>
    </row>
    <row r="61" spans="1:52" ht="14.5" x14ac:dyDescent="0.25">
      <c r="A61" s="37" t="s">
        <v>942</v>
      </c>
      <c r="B61" s="38">
        <v>0</v>
      </c>
      <c r="C61" s="38">
        <v>0</v>
      </c>
      <c r="D61" s="38">
        <v>0</v>
      </c>
      <c r="E61" s="38">
        <v>0</v>
      </c>
      <c r="F61" s="38">
        <v>0</v>
      </c>
      <c r="G61" s="15" t="s">
        <v>884</v>
      </c>
      <c r="H61" s="35">
        <f t="shared" si="0"/>
        <v>0</v>
      </c>
      <c r="I61" s="38">
        <v>0</v>
      </c>
      <c r="J61" s="38">
        <v>0</v>
      </c>
      <c r="K61" s="35">
        <f>_xlfn.LET(_xlpm.x,_xlfn.XLOOKUP(A61&amp;"/2/1",'[1]S_ALR Export'!$O$1:$O$777,'[1]S_ALR Export'!$I$1:$I$777,"",0),IF(_xlpm.x="",0,IF(ISNUMBER(_xlpm.x),_xlpm.x,_xlfn.NUMBERVALUE(_xlpm.x,",","."))))</f>
        <v>0</v>
      </c>
      <c r="L61" s="38">
        <f t="shared" si="1"/>
        <v>0</v>
      </c>
      <c r="M61" s="38">
        <v>0</v>
      </c>
      <c r="N61" s="38">
        <v>0</v>
      </c>
      <c r="O61" s="38">
        <v>0</v>
      </c>
      <c r="P61" s="38">
        <v>0</v>
      </c>
      <c r="Q61" s="38">
        <v>13020</v>
      </c>
      <c r="R61" s="35">
        <f t="shared" si="4"/>
        <v>13020</v>
      </c>
      <c r="S61" s="38">
        <v>0</v>
      </c>
      <c r="T61" s="35">
        <f>_xlfn.LET(_xlpm.x,_xlfn.XLOOKUP(A61&amp;"/2/2",'[1]S_ALR Export'!$O$1:$O$777,'[1]S_ALR Export'!$I$1:$I$777,"",0),IF(_xlpm.x="",0,IF(ISNUMBER(_xlpm.x),_xlpm.x,_xlfn.NUMBERVALUE(_xlpm.x,",","."))))</f>
        <v>13020</v>
      </c>
      <c r="U61" s="38">
        <v>13020</v>
      </c>
      <c r="V61" s="38">
        <v>0</v>
      </c>
      <c r="W61" s="38">
        <v>0</v>
      </c>
      <c r="X61" s="38">
        <v>0</v>
      </c>
      <c r="Y61" s="38">
        <v>0</v>
      </c>
      <c r="Z61" s="38">
        <v>-13280</v>
      </c>
      <c r="AA61" s="38">
        <v>13280</v>
      </c>
      <c r="AB61" s="35">
        <f t="shared" si="5"/>
        <v>0</v>
      </c>
      <c r="AC61" s="35">
        <f t="shared" si="8"/>
        <v>13020</v>
      </c>
      <c r="AD61" s="35">
        <f t="shared" si="7"/>
        <v>13020</v>
      </c>
      <c r="AE61" s="36" t="str">
        <f>_xlfn.XLOOKUP(A61,'[1]S_ALR Export'!$O$1:$O$777,'[1]S_ALR Export'!$I$1:$I$777,"",0)</f>
        <v>13.020,00</v>
      </c>
    </row>
    <row r="62" spans="1:52" ht="14.5" x14ac:dyDescent="0.25">
      <c r="A62" s="37" t="s">
        <v>943</v>
      </c>
      <c r="B62" s="35">
        <v>0</v>
      </c>
      <c r="C62" s="35">
        <v>0</v>
      </c>
      <c r="D62" s="35">
        <v>0</v>
      </c>
      <c r="E62" s="35">
        <v>0</v>
      </c>
      <c r="F62" s="35">
        <v>3258</v>
      </c>
      <c r="G62" s="15" t="s">
        <v>882</v>
      </c>
      <c r="H62" s="35">
        <f t="shared" si="0"/>
        <v>3258</v>
      </c>
      <c r="I62" s="35">
        <v>200</v>
      </c>
      <c r="J62" s="35">
        <v>0</v>
      </c>
      <c r="K62" s="35">
        <f>_xlfn.LET(_xlpm.x,_xlfn.XLOOKUP(A62&amp;"/2/1",'[1]S_ALR Export'!$O$1:$O$777,'[1]S_ALR Export'!$I$1:$I$777,"",0),IF(_xlpm.x="",0,IF(ISNUMBER(_xlpm.x),_xlpm.x,_xlfn.NUMBERVALUE(_xlpm.x,",","."))))</f>
        <v>3458</v>
      </c>
      <c r="L62" s="35">
        <f t="shared" si="1"/>
        <v>3458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f t="shared" si="4"/>
        <v>0</v>
      </c>
      <c r="S62" s="35">
        <v>0</v>
      </c>
      <c r="T62" s="35">
        <f>_xlfn.LET(_xlpm.x,_xlfn.XLOOKUP(A62&amp;"/2/2",'[1]S_ALR Export'!$O$1:$O$777,'[1]S_ALR Export'!$I$1:$I$777,"",0),IF(_xlpm.x="",0,IF(ISNUMBER(_xlpm.x),_xlpm.x,_xlfn.NUMBERVALUE(_xlpm.x,",","."))))</f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-12000</v>
      </c>
      <c r="AA62" s="35">
        <v>0</v>
      </c>
      <c r="AB62" s="35">
        <f t="shared" si="5"/>
        <v>-12000</v>
      </c>
      <c r="AC62" s="35">
        <f t="shared" si="8"/>
        <v>3458</v>
      </c>
      <c r="AD62" s="35">
        <f t="shared" si="7"/>
        <v>-8542</v>
      </c>
      <c r="AE62" s="36" t="str">
        <f>_xlfn.XLOOKUP(A62,'[1]S_ALR Export'!$O$1:$O$777,'[1]S_ALR Export'!$I$1:$I$777,"",0)</f>
        <v>3.458,00</v>
      </c>
    </row>
    <row r="63" spans="1:52" ht="14.5" x14ac:dyDescent="0.25">
      <c r="A63" s="37" t="s">
        <v>944</v>
      </c>
      <c r="B63" s="38">
        <v>0</v>
      </c>
      <c r="C63" s="38">
        <v>0</v>
      </c>
      <c r="D63" s="38">
        <v>0</v>
      </c>
      <c r="E63" s="38">
        <v>0</v>
      </c>
      <c r="F63" s="38">
        <v>0</v>
      </c>
      <c r="G63" s="15" t="s">
        <v>882</v>
      </c>
      <c r="H63" s="35">
        <f t="shared" si="0"/>
        <v>0</v>
      </c>
      <c r="I63" s="38">
        <v>1700</v>
      </c>
      <c r="J63" s="38">
        <v>5800</v>
      </c>
      <c r="K63" s="35">
        <f>_xlfn.LET(_xlpm.x,_xlfn.XLOOKUP(A63&amp;"/2/1",'[1]S_ALR Export'!$O$1:$O$777,'[1]S_ALR Export'!$I$1:$I$777,"",0),IF(_xlpm.x="",0,IF(ISNUMBER(_xlpm.x),_xlpm.x,_xlfn.NUMBERVALUE(_xlpm.x,",","."))))</f>
        <v>12000</v>
      </c>
      <c r="L63" s="38">
        <f t="shared" si="1"/>
        <v>7500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5">
        <f t="shared" si="4"/>
        <v>0</v>
      </c>
      <c r="S63" s="38">
        <v>0</v>
      </c>
      <c r="T63" s="35">
        <f>_xlfn.LET(_xlpm.x,_xlfn.XLOOKUP(A63&amp;"/2/2",'[1]S_ALR Export'!$O$1:$O$777,'[1]S_ALR Export'!$I$1:$I$777,"",0),IF(_xlpm.x="",0,IF(ISNUMBER(_xlpm.x),_xlpm.x,_xlfn.NUMBERVALUE(_xlpm.x,",","."))))</f>
        <v>0</v>
      </c>
      <c r="U63" s="38">
        <v>0</v>
      </c>
      <c r="V63" s="38">
        <v>0</v>
      </c>
      <c r="W63" s="38">
        <v>0</v>
      </c>
      <c r="X63" s="38">
        <v>0</v>
      </c>
      <c r="Y63" s="38">
        <v>0</v>
      </c>
      <c r="Z63" s="38">
        <v>0</v>
      </c>
      <c r="AA63" s="38">
        <v>0</v>
      </c>
      <c r="AB63" s="35">
        <f t="shared" si="5"/>
        <v>0</v>
      </c>
      <c r="AC63" s="35">
        <f t="shared" si="8"/>
        <v>7500</v>
      </c>
      <c r="AD63" s="35">
        <f t="shared" si="7"/>
        <v>7500</v>
      </c>
      <c r="AE63" s="36" t="str">
        <f>_xlfn.XLOOKUP(A63,'[1]S_ALR Export'!$O$1:$O$777,'[1]S_ALR Export'!$I$1:$I$777,"",0)</f>
        <v>12.000,00</v>
      </c>
    </row>
    <row r="64" spans="1:52" ht="14.5" x14ac:dyDescent="0.25">
      <c r="A64" s="37" t="s">
        <v>945</v>
      </c>
      <c r="B64" s="35">
        <v>0</v>
      </c>
      <c r="C64" s="35">
        <v>0</v>
      </c>
      <c r="D64" s="35">
        <v>0</v>
      </c>
      <c r="E64" s="35">
        <v>0</v>
      </c>
      <c r="F64" s="35">
        <v>0</v>
      </c>
      <c r="G64" s="15" t="s">
        <v>884</v>
      </c>
      <c r="H64" s="35">
        <f t="shared" si="0"/>
        <v>0</v>
      </c>
      <c r="I64" s="35">
        <v>6691</v>
      </c>
      <c r="J64" s="35">
        <v>16875</v>
      </c>
      <c r="K64" s="35">
        <f>_xlfn.LET(_xlpm.x,_xlfn.XLOOKUP(A64&amp;"/2/1",'[1]S_ALR Export'!$O$1:$O$777,'[1]S_ALR Export'!$I$1:$I$777,"",0),IF(_xlpm.x="",0,IF(ISNUMBER(_xlpm.x),_xlpm.x,_xlfn.NUMBERVALUE(_xlpm.x,",","."))))</f>
        <v>47200</v>
      </c>
      <c r="L64" s="35">
        <f t="shared" si="1"/>
        <v>23566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f t="shared" si="4"/>
        <v>0</v>
      </c>
      <c r="S64" s="35">
        <v>0</v>
      </c>
      <c r="T64" s="35">
        <f>_xlfn.LET(_xlpm.x,_xlfn.XLOOKUP(A64&amp;"/2/2",'[1]S_ALR Export'!$O$1:$O$777,'[1]S_ALR Export'!$I$1:$I$777,"",0),IF(_xlpm.x="",0,IF(ISNUMBER(_xlpm.x),_xlpm.x,_xlfn.NUMBERVALUE(_xlpm.x,",","."))))</f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f t="shared" si="5"/>
        <v>0</v>
      </c>
      <c r="AC64" s="35">
        <f t="shared" si="8"/>
        <v>23566</v>
      </c>
      <c r="AD64" s="35">
        <f t="shared" si="7"/>
        <v>23566</v>
      </c>
      <c r="AE64" s="36" t="str">
        <f>_xlfn.XLOOKUP(A64,'[1]S_ALR Export'!$O$1:$O$777,'[1]S_ALR Export'!$I$1:$I$777,"",0)</f>
        <v>47.200,00</v>
      </c>
    </row>
    <row r="65" spans="1:31" ht="14.5" x14ac:dyDescent="0.25">
      <c r="A65" s="37" t="s">
        <v>946</v>
      </c>
      <c r="B65" s="38">
        <v>0</v>
      </c>
      <c r="C65" s="38">
        <v>0</v>
      </c>
      <c r="D65" s="38">
        <v>0</v>
      </c>
      <c r="E65" s="38">
        <v>0</v>
      </c>
      <c r="F65" s="38">
        <v>0</v>
      </c>
      <c r="G65" s="15" t="s">
        <v>882</v>
      </c>
      <c r="H65" s="35">
        <f t="shared" si="0"/>
        <v>0</v>
      </c>
      <c r="I65" s="38">
        <v>0</v>
      </c>
      <c r="J65" s="38">
        <v>0</v>
      </c>
      <c r="K65" s="35">
        <f>_xlfn.LET(_xlpm.x,_xlfn.XLOOKUP(A65&amp;"/2/1",'[1]S_ALR Export'!$O$1:$O$777,'[1]S_ALR Export'!$I$1:$I$777,"",0),IF(_xlpm.x="",0,IF(ISNUMBER(_xlpm.x),_xlpm.x,_xlfn.NUMBERVALUE(_xlpm.x,",","."))))</f>
        <v>0</v>
      </c>
      <c r="L65" s="38">
        <f t="shared" si="1"/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5">
        <f t="shared" si="4"/>
        <v>0</v>
      </c>
      <c r="S65" s="38">
        <v>0</v>
      </c>
      <c r="T65" s="35">
        <f>_xlfn.LET(_xlpm.x,_xlfn.XLOOKUP(A65&amp;"/2/2",'[1]S_ALR Export'!$O$1:$O$777,'[1]S_ALR Export'!$I$1:$I$777,"",0),IF(_xlpm.x="",0,IF(ISNUMBER(_xlpm.x),_xlpm.x,_xlfn.NUMBERVALUE(_xlpm.x,",","."))))</f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-6170</v>
      </c>
      <c r="AA65" s="38">
        <v>0</v>
      </c>
      <c r="AB65" s="35">
        <f t="shared" si="5"/>
        <v>-6170</v>
      </c>
      <c r="AC65" s="35">
        <f t="shared" si="8"/>
        <v>0</v>
      </c>
      <c r="AD65" s="35">
        <f t="shared" si="7"/>
        <v>-6170</v>
      </c>
      <c r="AE65" s="36" t="str">
        <f>_xlfn.XLOOKUP(A65,'[1]S_ALR Export'!$O$1:$O$777,'[1]S_ALR Export'!$I$1:$I$777,"",0)</f>
        <v>0,00</v>
      </c>
    </row>
    <row r="66" spans="1:31" ht="14.5" x14ac:dyDescent="0.25">
      <c r="A66" s="37" t="s">
        <v>947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15" t="s">
        <v>882</v>
      </c>
      <c r="H66" s="35">
        <f t="shared" ref="H66:H129" si="9">SUM(B66:F66)</f>
        <v>0</v>
      </c>
      <c r="I66" s="35">
        <v>3900</v>
      </c>
      <c r="J66" s="35">
        <v>3750</v>
      </c>
      <c r="K66" s="35">
        <f>_xlfn.LET(_xlpm.x,_xlfn.XLOOKUP(A66&amp;"/2/1",'[1]S_ALR Export'!$O$1:$O$777,'[1]S_ALR Export'!$I$1:$I$777,"",0),IF(_xlpm.x="",0,IF(ISNUMBER(_xlpm.x),_xlpm.x,_xlfn.NUMBERVALUE(_xlpm.x,",","."))))</f>
        <v>12000</v>
      </c>
      <c r="L66" s="35">
        <f t="shared" ref="L66:L129" si="10">H66+I66+J66</f>
        <v>7650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f t="shared" si="4"/>
        <v>0</v>
      </c>
      <c r="S66" s="35">
        <v>0</v>
      </c>
      <c r="T66" s="35">
        <f>_xlfn.LET(_xlpm.x,_xlfn.XLOOKUP(A66&amp;"/2/2",'[1]S_ALR Export'!$O$1:$O$777,'[1]S_ALR Export'!$I$1:$I$777,"",0),IF(_xlpm.x="",0,IF(ISNUMBER(_xlpm.x),_xlpm.x,_xlfn.NUMBERVALUE(_xlpm.x,",","."))))</f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f t="shared" si="5"/>
        <v>0</v>
      </c>
      <c r="AC66" s="35">
        <f t="shared" si="8"/>
        <v>7650</v>
      </c>
      <c r="AD66" s="35">
        <f t="shared" si="7"/>
        <v>7650</v>
      </c>
      <c r="AE66" s="36" t="str">
        <f>_xlfn.XLOOKUP(A66,'[1]S_ALR Export'!$O$1:$O$777,'[1]S_ALR Export'!$I$1:$I$777,"",0)</f>
        <v>12.000,00</v>
      </c>
    </row>
    <row r="67" spans="1:31" ht="14.5" x14ac:dyDescent="0.25">
      <c r="A67" s="37" t="s">
        <v>948</v>
      </c>
      <c r="B67" s="38">
        <v>0</v>
      </c>
      <c r="C67" s="38">
        <v>0</v>
      </c>
      <c r="D67" s="38">
        <v>0</v>
      </c>
      <c r="E67" s="38">
        <v>0</v>
      </c>
      <c r="F67" s="38">
        <v>0</v>
      </c>
      <c r="G67" s="15" t="s">
        <v>884</v>
      </c>
      <c r="H67" s="35">
        <f t="shared" si="9"/>
        <v>0</v>
      </c>
      <c r="I67" s="38">
        <v>0</v>
      </c>
      <c r="J67" s="38">
        <v>0</v>
      </c>
      <c r="K67" s="35">
        <f>_xlfn.LET(_xlpm.x,_xlfn.XLOOKUP(A67&amp;"/2/1",'[1]S_ALR Export'!$O$1:$O$777,'[1]S_ALR Export'!$I$1:$I$777,"",0),IF(_xlpm.x="",0,IF(ISNUMBER(_xlpm.x),_xlpm.x,_xlfn.NUMBERVALUE(_xlpm.x,",","."))))</f>
        <v>100000</v>
      </c>
      <c r="L67" s="38">
        <f t="shared" si="10"/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5">
        <f t="shared" ref="R67:R130" si="11">SUM(M67:Q67)</f>
        <v>0</v>
      </c>
      <c r="S67" s="38">
        <v>0</v>
      </c>
      <c r="T67" s="35">
        <f>_xlfn.LET(_xlpm.x,_xlfn.XLOOKUP(A67&amp;"/2/2",'[1]S_ALR Export'!$O$1:$O$777,'[1]S_ALR Export'!$I$1:$I$777,"",0),IF(_xlpm.x="",0,IF(ISNUMBER(_xlpm.x),_xlpm.x,_xlfn.NUMBERVALUE(_xlpm.x,",","."))))</f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38">
        <v>0</v>
      </c>
      <c r="AA67" s="38">
        <v>0</v>
      </c>
      <c r="AB67" s="35">
        <f t="shared" ref="AB67:AB130" si="12">SUM(V67:AA67)</f>
        <v>0</v>
      </c>
      <c r="AC67" s="35">
        <f t="shared" si="8"/>
        <v>0</v>
      </c>
      <c r="AD67" s="35">
        <f t="shared" si="7"/>
        <v>0</v>
      </c>
      <c r="AE67" s="36" t="str">
        <f>_xlfn.XLOOKUP(A67,'[1]S_ALR Export'!$O$1:$O$777,'[1]S_ALR Export'!$I$1:$I$777,"",0)</f>
        <v>100.000,00</v>
      </c>
    </row>
    <row r="68" spans="1:31" ht="14.5" x14ac:dyDescent="0.25">
      <c r="A68" s="37" t="s">
        <v>949</v>
      </c>
      <c r="B68" s="35">
        <v>0</v>
      </c>
      <c r="C68" s="35">
        <v>0</v>
      </c>
      <c r="D68" s="35">
        <v>0</v>
      </c>
      <c r="E68" s="35">
        <v>0</v>
      </c>
      <c r="F68" s="35">
        <v>0</v>
      </c>
      <c r="G68" s="15" t="s">
        <v>882</v>
      </c>
      <c r="H68" s="35">
        <f t="shared" si="9"/>
        <v>0</v>
      </c>
      <c r="I68" s="35">
        <v>4000</v>
      </c>
      <c r="J68" s="35">
        <v>7400</v>
      </c>
      <c r="K68" s="35">
        <f>_xlfn.LET(_xlpm.x,_xlfn.XLOOKUP(A68&amp;"/2/1",'[1]S_ALR Export'!$O$1:$O$777,'[1]S_ALR Export'!$I$1:$I$777,"",0),IF(_xlpm.x="",0,IF(ISNUMBER(_xlpm.x),_xlpm.x,_xlfn.NUMBERVALUE(_xlpm.x,",","."))))</f>
        <v>12000</v>
      </c>
      <c r="L68" s="35">
        <f t="shared" si="10"/>
        <v>11400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f t="shared" si="11"/>
        <v>0</v>
      </c>
      <c r="S68" s="35">
        <v>0</v>
      </c>
      <c r="T68" s="35">
        <f>_xlfn.LET(_xlpm.x,_xlfn.XLOOKUP(A68&amp;"/2/2",'[1]S_ALR Export'!$O$1:$O$777,'[1]S_ALR Export'!$I$1:$I$777,"",0),IF(_xlpm.x="",0,IF(ISNUMBER(_xlpm.x),_xlpm.x,_xlfn.NUMBERVALUE(_xlpm.x,",","."))))</f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f t="shared" si="12"/>
        <v>0</v>
      </c>
      <c r="AC68" s="35">
        <f t="shared" si="8"/>
        <v>11400</v>
      </c>
      <c r="AD68" s="35">
        <f t="shared" si="7"/>
        <v>11400</v>
      </c>
      <c r="AE68" s="36" t="str">
        <f>_xlfn.XLOOKUP(A68,'[1]S_ALR Export'!$O$1:$O$777,'[1]S_ALR Export'!$I$1:$I$777,"",0)</f>
        <v>12.000,00</v>
      </c>
    </row>
    <row r="69" spans="1:31" ht="14.5" x14ac:dyDescent="0.25">
      <c r="A69" s="37" t="s">
        <v>950</v>
      </c>
      <c r="B69" s="38">
        <v>0</v>
      </c>
      <c r="C69" s="38">
        <v>0</v>
      </c>
      <c r="D69" s="38">
        <v>0</v>
      </c>
      <c r="E69" s="38">
        <v>0</v>
      </c>
      <c r="F69" s="38">
        <v>0</v>
      </c>
      <c r="G69" s="15" t="s">
        <v>882</v>
      </c>
      <c r="H69" s="35">
        <f t="shared" si="9"/>
        <v>0</v>
      </c>
      <c r="I69" s="38">
        <v>0</v>
      </c>
      <c r="J69" s="38">
        <v>0</v>
      </c>
      <c r="K69" s="35">
        <f>_xlfn.LET(_xlpm.x,_xlfn.XLOOKUP(A69&amp;"/2/1",'[1]S_ALR Export'!$O$1:$O$777,'[1]S_ALR Export'!$I$1:$I$777,"",0),IF(_xlpm.x="",0,IF(ISNUMBER(_xlpm.x),_xlpm.x,_xlfn.NUMBERVALUE(_xlpm.x,",","."))))</f>
        <v>421200</v>
      </c>
      <c r="L69" s="38">
        <f t="shared" si="10"/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5">
        <f t="shared" si="11"/>
        <v>0</v>
      </c>
      <c r="S69" s="38">
        <v>5250</v>
      </c>
      <c r="T69" s="35">
        <f>_xlfn.LET(_xlpm.x,_xlfn.XLOOKUP(A69&amp;"/2/2",'[1]S_ALR Export'!$O$1:$O$777,'[1]S_ALR Export'!$I$1:$I$777,"",0),IF(_xlpm.x="",0,IF(ISNUMBER(_xlpm.x),_xlpm.x,_xlfn.NUMBERVALUE(_xlpm.x,",","."))))</f>
        <v>411262</v>
      </c>
      <c r="U69" s="38">
        <v>5250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  <c r="AA69" s="38">
        <v>0</v>
      </c>
      <c r="AB69" s="35">
        <f t="shared" si="12"/>
        <v>0</v>
      </c>
      <c r="AC69" s="35">
        <f t="shared" si="8"/>
        <v>5250</v>
      </c>
      <c r="AD69" s="35">
        <f t="shared" si="7"/>
        <v>5250</v>
      </c>
      <c r="AE69" s="36" t="str">
        <f>_xlfn.XLOOKUP(A69,'[1]S_ALR Export'!$O$1:$O$777,'[1]S_ALR Export'!$I$1:$I$777,"",0)</f>
        <v>832.462,00</v>
      </c>
    </row>
    <row r="70" spans="1:31" ht="14.5" x14ac:dyDescent="0.25">
      <c r="A70" s="37" t="s">
        <v>951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15" t="s">
        <v>884</v>
      </c>
      <c r="H70" s="35">
        <f t="shared" si="9"/>
        <v>0</v>
      </c>
      <c r="I70" s="35">
        <v>114123.5</v>
      </c>
      <c r="J70" s="35">
        <v>-28678</v>
      </c>
      <c r="K70" s="35">
        <f>_xlfn.LET(_xlpm.x,_xlfn.XLOOKUP(A70&amp;"/2/1",'[1]S_ALR Export'!$O$1:$O$777,'[1]S_ALR Export'!$I$1:$I$777,"",0),IF(_xlpm.x="",0,IF(ISNUMBER(_xlpm.x),_xlpm.x,_xlfn.NUMBERVALUE(_xlpm.x,",","."))))</f>
        <v>200000</v>
      </c>
      <c r="L70" s="35">
        <f t="shared" si="10"/>
        <v>85445.5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f t="shared" si="11"/>
        <v>0</v>
      </c>
      <c r="S70" s="35">
        <v>0</v>
      </c>
      <c r="T70" s="35">
        <f>_xlfn.LET(_xlpm.x,_xlfn.XLOOKUP(A70&amp;"/2/2",'[1]S_ALR Export'!$O$1:$O$777,'[1]S_ALR Export'!$I$1:$I$777,"",0),IF(_xlpm.x="",0,IF(ISNUMBER(_xlpm.x),_xlpm.x,_xlfn.NUMBERVALUE(_xlpm.x,",","."))))</f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f t="shared" si="12"/>
        <v>0</v>
      </c>
      <c r="AC70" s="35">
        <f t="shared" si="8"/>
        <v>85445.5</v>
      </c>
      <c r="AD70" s="35">
        <f t="shared" si="7"/>
        <v>85445.5</v>
      </c>
      <c r="AE70" s="36" t="str">
        <f>_xlfn.XLOOKUP(A70,'[1]S_ALR Export'!$O$1:$O$777,'[1]S_ALR Export'!$I$1:$I$777,"",0)</f>
        <v>200.000,00</v>
      </c>
    </row>
    <row r="71" spans="1:31" ht="14.5" x14ac:dyDescent="0.25">
      <c r="A71" s="37" t="s">
        <v>952</v>
      </c>
      <c r="B71" s="38">
        <v>0</v>
      </c>
      <c r="C71" s="38">
        <v>0</v>
      </c>
      <c r="D71" s="38">
        <v>0</v>
      </c>
      <c r="E71" s="38">
        <v>0</v>
      </c>
      <c r="F71" s="38">
        <v>0</v>
      </c>
      <c r="G71" s="15" t="s">
        <v>884</v>
      </c>
      <c r="H71" s="35">
        <f t="shared" si="9"/>
        <v>0</v>
      </c>
      <c r="I71" s="38">
        <v>11210</v>
      </c>
      <c r="J71" s="38">
        <v>7951</v>
      </c>
      <c r="K71" s="35">
        <f>_xlfn.LET(_xlpm.x,_xlfn.XLOOKUP(A71&amp;"/2/1",'[1]S_ALR Export'!$O$1:$O$777,'[1]S_ALR Export'!$I$1:$I$777,"",0),IF(_xlpm.x="",0,IF(ISNUMBER(_xlpm.x),_xlpm.x,_xlfn.NUMBERVALUE(_xlpm.x,",","."))))</f>
        <v>63000</v>
      </c>
      <c r="L71" s="38">
        <f t="shared" si="10"/>
        <v>19161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5">
        <f t="shared" si="11"/>
        <v>0</v>
      </c>
      <c r="S71" s="38">
        <v>0</v>
      </c>
      <c r="T71" s="35">
        <f>_xlfn.LET(_xlpm.x,_xlfn.XLOOKUP(A71&amp;"/2/2",'[1]S_ALR Export'!$O$1:$O$777,'[1]S_ALR Export'!$I$1:$I$777,"",0),IF(_xlpm.x="",0,IF(ISNUMBER(_xlpm.x),_xlpm.x,_xlfn.NUMBERVALUE(_xlpm.x,",","."))))</f>
        <v>0</v>
      </c>
      <c r="U71" s="38">
        <v>0</v>
      </c>
      <c r="V71" s="38">
        <v>0</v>
      </c>
      <c r="W71" s="38">
        <v>0</v>
      </c>
      <c r="X71" s="38">
        <v>0</v>
      </c>
      <c r="Y71" s="38">
        <v>0</v>
      </c>
      <c r="Z71" s="38">
        <v>0</v>
      </c>
      <c r="AA71" s="38">
        <v>0</v>
      </c>
      <c r="AB71" s="35">
        <f t="shared" si="12"/>
        <v>0</v>
      </c>
      <c r="AC71" s="35">
        <f t="shared" si="8"/>
        <v>19161</v>
      </c>
      <c r="AD71" s="35">
        <f t="shared" si="7"/>
        <v>19161</v>
      </c>
      <c r="AE71" s="36" t="str">
        <f>_xlfn.XLOOKUP(A71,'[1]S_ALR Export'!$O$1:$O$777,'[1]S_ALR Export'!$I$1:$I$777,"",0)</f>
        <v>63.000,00</v>
      </c>
    </row>
    <row r="72" spans="1:31" ht="14.5" x14ac:dyDescent="0.25">
      <c r="A72" s="37" t="s">
        <v>953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15" t="s">
        <v>882</v>
      </c>
      <c r="H72" s="35">
        <f t="shared" si="9"/>
        <v>0</v>
      </c>
      <c r="I72" s="35">
        <v>0</v>
      </c>
      <c r="J72" s="35">
        <v>0</v>
      </c>
      <c r="K72" s="35">
        <f>_xlfn.LET(_xlpm.x,_xlfn.XLOOKUP(A72&amp;"/2/1",'[1]S_ALR Export'!$O$1:$O$777,'[1]S_ALR Export'!$I$1:$I$777,"",0),IF(_xlpm.x="",0,IF(ISNUMBER(_xlpm.x),_xlpm.x,_xlfn.NUMBERVALUE(_xlpm.x,",","."))))</f>
        <v>47880</v>
      </c>
      <c r="L72" s="35">
        <f t="shared" si="10"/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f t="shared" si="11"/>
        <v>0</v>
      </c>
      <c r="S72" s="35">
        <v>0</v>
      </c>
      <c r="T72" s="35">
        <f>_xlfn.LET(_xlpm.x,_xlfn.XLOOKUP(A72&amp;"/2/2",'[1]S_ALR Export'!$O$1:$O$777,'[1]S_ALR Export'!$I$1:$I$777,"",0),IF(_xlpm.x="",0,IF(ISNUMBER(_xlpm.x),_xlpm.x,_xlfn.NUMBERVALUE(_xlpm.x,",","."))))</f>
        <v>63000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f t="shared" si="12"/>
        <v>0</v>
      </c>
      <c r="AC72" s="35">
        <f t="shared" si="8"/>
        <v>0</v>
      </c>
      <c r="AD72" s="35">
        <f t="shared" si="7"/>
        <v>0</v>
      </c>
      <c r="AE72" s="36" t="str">
        <f>_xlfn.XLOOKUP(A72,'[1]S_ALR Export'!$O$1:$O$777,'[1]S_ALR Export'!$I$1:$I$777,"",0)</f>
        <v>110.880,00</v>
      </c>
    </row>
    <row r="73" spans="1:31" ht="14.5" x14ac:dyDescent="0.25">
      <c r="A73" s="37" t="s">
        <v>954</v>
      </c>
      <c r="B73" s="38">
        <v>0</v>
      </c>
      <c r="C73" s="38">
        <v>0</v>
      </c>
      <c r="D73" s="38">
        <v>0</v>
      </c>
      <c r="E73" s="38">
        <v>0</v>
      </c>
      <c r="F73" s="38">
        <v>0</v>
      </c>
      <c r="G73" s="15" t="s">
        <v>882</v>
      </c>
      <c r="H73" s="35">
        <f t="shared" si="9"/>
        <v>0</v>
      </c>
      <c r="I73" s="38">
        <v>23400</v>
      </c>
      <c r="J73" s="38">
        <v>500</v>
      </c>
      <c r="K73" s="35">
        <f>_xlfn.LET(_xlpm.x,_xlfn.XLOOKUP(A73&amp;"/2/1",'[1]S_ALR Export'!$O$1:$O$777,'[1]S_ALR Export'!$I$1:$I$777,"",0),IF(_xlpm.x="",0,IF(ISNUMBER(_xlpm.x),_xlpm.x,_xlfn.NUMBERVALUE(_xlpm.x,",","."))))</f>
        <v>52000</v>
      </c>
      <c r="L73" s="38">
        <f t="shared" si="10"/>
        <v>23900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5">
        <f t="shared" si="11"/>
        <v>0</v>
      </c>
      <c r="S73" s="38">
        <v>0</v>
      </c>
      <c r="T73" s="35">
        <f>_xlfn.LET(_xlpm.x,_xlfn.XLOOKUP(A73&amp;"/2/2",'[1]S_ALR Export'!$O$1:$O$777,'[1]S_ALR Export'!$I$1:$I$777,"",0),IF(_xlpm.x="",0,IF(ISNUMBER(_xlpm.x),_xlpm.x,_xlfn.NUMBERVALUE(_xlpm.x,",","."))))</f>
        <v>0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  <c r="Z73" s="38">
        <v>0</v>
      </c>
      <c r="AA73" s="38">
        <v>0</v>
      </c>
      <c r="AB73" s="35">
        <f t="shared" si="12"/>
        <v>0</v>
      </c>
      <c r="AC73" s="35">
        <f t="shared" si="8"/>
        <v>23900</v>
      </c>
      <c r="AD73" s="35">
        <f t="shared" si="7"/>
        <v>23900</v>
      </c>
      <c r="AE73" s="36" t="str">
        <f>_xlfn.XLOOKUP(A73,'[1]S_ALR Export'!$O$1:$O$777,'[1]S_ALR Export'!$I$1:$I$777,"",0)</f>
        <v>52.000,00</v>
      </c>
    </row>
    <row r="74" spans="1:31" ht="14.5" x14ac:dyDescent="0.25">
      <c r="A74" s="37" t="s">
        <v>955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15" t="s">
        <v>882</v>
      </c>
      <c r="H74" s="35">
        <f t="shared" si="9"/>
        <v>0</v>
      </c>
      <c r="I74" s="35">
        <v>6792</v>
      </c>
      <c r="J74" s="35">
        <v>0</v>
      </c>
      <c r="K74" s="35">
        <f>_xlfn.LET(_xlpm.x,_xlfn.XLOOKUP(A74&amp;"/2/1",'[1]S_ALR Export'!$O$1:$O$777,'[1]S_ALR Export'!$I$1:$I$777,"",0),IF(_xlpm.x="",0,IF(ISNUMBER(_xlpm.x),_xlpm.x,_xlfn.NUMBERVALUE(_xlpm.x,",","."))))</f>
        <v>150000</v>
      </c>
      <c r="L74" s="35">
        <f t="shared" si="10"/>
        <v>6792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f t="shared" si="11"/>
        <v>0</v>
      </c>
      <c r="S74" s="35">
        <v>0</v>
      </c>
      <c r="T74" s="35">
        <f>_xlfn.LET(_xlpm.x,_xlfn.XLOOKUP(A74&amp;"/2/2",'[1]S_ALR Export'!$O$1:$O$777,'[1]S_ALR Export'!$I$1:$I$777,"",0),IF(_xlpm.x="",0,IF(ISNUMBER(_xlpm.x),_xlpm.x,_xlfn.NUMBERVALUE(_xlpm.x,",","."))))</f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f t="shared" si="12"/>
        <v>0</v>
      </c>
      <c r="AC74" s="35">
        <f t="shared" si="8"/>
        <v>6792</v>
      </c>
      <c r="AD74" s="35">
        <f t="shared" si="7"/>
        <v>6792</v>
      </c>
      <c r="AE74" s="36" t="str">
        <f>_xlfn.XLOOKUP(A74,'[1]S_ALR Export'!$O$1:$O$777,'[1]S_ALR Export'!$I$1:$I$777,"",0)</f>
        <v>150.000,00</v>
      </c>
    </row>
    <row r="75" spans="1:31" ht="14.5" x14ac:dyDescent="0.25">
      <c r="A75" s="37" t="s">
        <v>956</v>
      </c>
      <c r="B75" s="38">
        <v>0</v>
      </c>
      <c r="C75" s="38">
        <v>0</v>
      </c>
      <c r="D75" s="38">
        <v>0</v>
      </c>
      <c r="E75" s="38">
        <v>0</v>
      </c>
      <c r="F75" s="38">
        <v>0</v>
      </c>
      <c r="G75" s="15" t="s">
        <v>882</v>
      </c>
      <c r="H75" s="35">
        <f t="shared" si="9"/>
        <v>0</v>
      </c>
      <c r="I75" s="38">
        <v>0</v>
      </c>
      <c r="J75" s="38">
        <v>0</v>
      </c>
      <c r="K75" s="35">
        <f>_xlfn.LET(_xlpm.x,_xlfn.XLOOKUP(A75&amp;"/2/1",'[1]S_ALR Export'!$O$1:$O$777,'[1]S_ALR Export'!$I$1:$I$777,"",0),IF(_xlpm.x="",0,IF(ISNUMBER(_xlpm.x),_xlpm.x,_xlfn.NUMBERVALUE(_xlpm.x,",","."))))</f>
        <v>100000</v>
      </c>
      <c r="L75" s="38">
        <f t="shared" si="10"/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5">
        <f t="shared" si="11"/>
        <v>0</v>
      </c>
      <c r="S75" s="38">
        <v>0</v>
      </c>
      <c r="T75" s="35">
        <f>_xlfn.LET(_xlpm.x,_xlfn.XLOOKUP(A75&amp;"/2/2",'[1]S_ALR Export'!$O$1:$O$777,'[1]S_ALR Export'!$I$1:$I$777,"",0),IF(_xlpm.x="",0,IF(ISNUMBER(_xlpm.x),_xlpm.x,_xlfn.NUMBERVALUE(_xlpm.x,",","."))))</f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  <c r="AA75" s="38">
        <v>0</v>
      </c>
      <c r="AB75" s="35">
        <f t="shared" si="12"/>
        <v>0</v>
      </c>
      <c r="AC75" s="35">
        <f t="shared" si="8"/>
        <v>0</v>
      </c>
      <c r="AD75" s="35">
        <f t="shared" si="7"/>
        <v>0</v>
      </c>
      <c r="AE75" s="36" t="str">
        <f>_xlfn.XLOOKUP(A75,'[1]S_ALR Export'!$O$1:$O$777,'[1]S_ALR Export'!$I$1:$I$777,"",0)</f>
        <v>100.000,00</v>
      </c>
    </row>
    <row r="76" spans="1:31" ht="14.5" x14ac:dyDescent="0.25">
      <c r="A76" s="37" t="s">
        <v>957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15" t="s">
        <v>882</v>
      </c>
      <c r="H76" s="35">
        <f t="shared" si="9"/>
        <v>0</v>
      </c>
      <c r="I76" s="35">
        <v>11800</v>
      </c>
      <c r="J76" s="35">
        <v>11500</v>
      </c>
      <c r="K76" s="35">
        <f>_xlfn.LET(_xlpm.x,_xlfn.XLOOKUP(A76&amp;"/2/1",'[1]S_ALR Export'!$O$1:$O$777,'[1]S_ALR Export'!$I$1:$I$777,"",0),IF(_xlpm.x="",0,IF(ISNUMBER(_xlpm.x),_xlpm.x,_xlfn.NUMBERVALUE(_xlpm.x,",","."))))</f>
        <v>24000</v>
      </c>
      <c r="L76" s="35">
        <f t="shared" si="10"/>
        <v>23300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f t="shared" si="11"/>
        <v>0</v>
      </c>
      <c r="S76" s="35">
        <v>0</v>
      </c>
      <c r="T76" s="35">
        <f>_xlfn.LET(_xlpm.x,_xlfn.XLOOKUP(A76&amp;"/2/2",'[1]S_ALR Export'!$O$1:$O$777,'[1]S_ALR Export'!$I$1:$I$777,"",0),IF(_xlpm.x="",0,IF(ISNUMBER(_xlpm.x),_xlpm.x,_xlfn.NUMBERVALUE(_xlpm.x,",","."))))</f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f t="shared" si="12"/>
        <v>0</v>
      </c>
      <c r="AC76" s="35">
        <f t="shared" si="8"/>
        <v>23300</v>
      </c>
      <c r="AD76" s="35">
        <f t="shared" si="7"/>
        <v>23300</v>
      </c>
      <c r="AE76" s="36" t="str">
        <f>_xlfn.XLOOKUP(A76,'[1]S_ALR Export'!$O$1:$O$777,'[1]S_ALR Export'!$I$1:$I$777,"",0)</f>
        <v>24.000,00</v>
      </c>
    </row>
    <row r="77" spans="1:31" ht="14.5" x14ac:dyDescent="0.25">
      <c r="A77" s="37" t="s">
        <v>958</v>
      </c>
      <c r="B77" s="38">
        <v>0</v>
      </c>
      <c r="C77" s="38">
        <v>0</v>
      </c>
      <c r="D77" s="38">
        <v>0</v>
      </c>
      <c r="E77" s="38">
        <v>0</v>
      </c>
      <c r="F77" s="38">
        <v>0</v>
      </c>
      <c r="G77" s="15" t="s">
        <v>882</v>
      </c>
      <c r="H77" s="35">
        <f t="shared" si="9"/>
        <v>0</v>
      </c>
      <c r="I77" s="38">
        <v>18074.5</v>
      </c>
      <c r="J77" s="38">
        <v>64098.5</v>
      </c>
      <c r="K77" s="35">
        <f>_xlfn.LET(_xlpm.x,_xlfn.XLOOKUP(A77&amp;"/2/1",'[1]S_ALR Export'!$O$1:$O$777,'[1]S_ALR Export'!$I$1:$I$777,"",0),IF(_xlpm.x="",0,IF(ISNUMBER(_xlpm.x),_xlpm.x,_xlfn.NUMBERVALUE(_xlpm.x,",","."))))</f>
        <v>108292</v>
      </c>
      <c r="L77" s="38">
        <f t="shared" si="10"/>
        <v>82173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5">
        <f t="shared" si="11"/>
        <v>0</v>
      </c>
      <c r="S77" s="38">
        <v>0</v>
      </c>
      <c r="T77" s="35">
        <f>_xlfn.LET(_xlpm.x,_xlfn.XLOOKUP(A77&amp;"/2/2",'[1]S_ALR Export'!$O$1:$O$777,'[1]S_ALR Export'!$I$1:$I$777,"",0),IF(_xlpm.x="",0,IF(ISNUMBER(_xlpm.x),_xlpm.x,_xlfn.NUMBERVALUE(_xlpm.x,",","."))))</f>
        <v>100000</v>
      </c>
      <c r="U77" s="38">
        <v>0</v>
      </c>
      <c r="V77" s="38">
        <v>0</v>
      </c>
      <c r="W77" s="38">
        <v>0</v>
      </c>
      <c r="X77" s="38">
        <v>0</v>
      </c>
      <c r="Y77" s="38">
        <v>0</v>
      </c>
      <c r="Z77" s="38">
        <v>0</v>
      </c>
      <c r="AA77" s="38">
        <v>-23546</v>
      </c>
      <c r="AB77" s="35">
        <f t="shared" si="12"/>
        <v>-23546</v>
      </c>
      <c r="AC77" s="35">
        <f t="shared" si="8"/>
        <v>82173</v>
      </c>
      <c r="AD77" s="35">
        <f t="shared" si="7"/>
        <v>58627</v>
      </c>
      <c r="AE77" s="36" t="str">
        <f>_xlfn.XLOOKUP(A77,'[1]S_ALR Export'!$O$1:$O$777,'[1]S_ALR Export'!$I$1:$I$777,"",0)</f>
        <v>208.292,00</v>
      </c>
    </row>
    <row r="78" spans="1:31" ht="14.5" x14ac:dyDescent="0.25">
      <c r="A78" s="37" t="s">
        <v>959</v>
      </c>
      <c r="B78" s="35">
        <v>0</v>
      </c>
      <c r="C78" s="35">
        <v>0</v>
      </c>
      <c r="D78" s="35">
        <v>0</v>
      </c>
      <c r="E78" s="35">
        <v>0</v>
      </c>
      <c r="F78" s="35">
        <v>0</v>
      </c>
      <c r="G78" s="15" t="s">
        <v>882</v>
      </c>
      <c r="H78" s="35">
        <f t="shared" si="9"/>
        <v>0</v>
      </c>
      <c r="I78" s="35">
        <v>16840</v>
      </c>
      <c r="J78" s="35">
        <v>8445</v>
      </c>
      <c r="K78" s="35">
        <f>_xlfn.LET(_xlpm.x,_xlfn.XLOOKUP(A78&amp;"/2/1",'[1]S_ALR Export'!$O$1:$O$777,'[1]S_ALR Export'!$I$1:$I$777,"",0),IF(_xlpm.x="",0,IF(ISNUMBER(_xlpm.x),_xlpm.x,_xlfn.NUMBERVALUE(_xlpm.x,",","."))))</f>
        <v>95600</v>
      </c>
      <c r="L78" s="35">
        <f t="shared" si="10"/>
        <v>25285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f t="shared" si="11"/>
        <v>0</v>
      </c>
      <c r="S78" s="35">
        <v>0</v>
      </c>
      <c r="T78" s="35">
        <f>_xlfn.LET(_xlpm.x,_xlfn.XLOOKUP(A78&amp;"/2/2",'[1]S_ALR Export'!$O$1:$O$777,'[1]S_ALR Export'!$I$1:$I$777,"",0),IF(_xlpm.x="",0,IF(ISNUMBER(_xlpm.x),_xlpm.x,_xlfn.NUMBERVALUE(_xlpm.x,",","."))))</f>
        <v>10000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-25201</v>
      </c>
      <c r="AB78" s="35">
        <f t="shared" si="12"/>
        <v>-25201</v>
      </c>
      <c r="AC78" s="35">
        <f t="shared" si="8"/>
        <v>25285</v>
      </c>
      <c r="AD78" s="35">
        <f t="shared" si="7"/>
        <v>84</v>
      </c>
      <c r="AE78" s="36" t="str">
        <f>_xlfn.XLOOKUP(A78,'[1]S_ALR Export'!$O$1:$O$777,'[1]S_ALR Export'!$I$1:$I$777,"",0)</f>
        <v>105.600,00</v>
      </c>
    </row>
    <row r="79" spans="1:31" ht="14.5" x14ac:dyDescent="0.25">
      <c r="A79" s="37" t="s">
        <v>960</v>
      </c>
      <c r="B79" s="38">
        <v>0</v>
      </c>
      <c r="C79" s="38">
        <v>0</v>
      </c>
      <c r="D79" s="38">
        <v>0</v>
      </c>
      <c r="E79" s="38">
        <v>0</v>
      </c>
      <c r="F79" s="38">
        <v>0</v>
      </c>
      <c r="G79" s="15" t="s">
        <v>882</v>
      </c>
      <c r="H79" s="35">
        <f t="shared" si="9"/>
        <v>0</v>
      </c>
      <c r="I79" s="38">
        <v>0</v>
      </c>
      <c r="J79" s="38">
        <v>0</v>
      </c>
      <c r="K79" s="35">
        <f>_xlfn.LET(_xlpm.x,_xlfn.XLOOKUP(A79&amp;"/2/1",'[1]S_ALR Export'!$O$1:$O$777,'[1]S_ALR Export'!$I$1:$I$777,"",0),IF(_xlpm.x="",0,IF(ISNUMBER(_xlpm.x),_xlpm.x,_xlfn.NUMBERVALUE(_xlpm.x,",","."))))</f>
        <v>200000</v>
      </c>
      <c r="L79" s="38">
        <f t="shared" si="10"/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5">
        <f t="shared" si="11"/>
        <v>0</v>
      </c>
      <c r="S79" s="38">
        <v>0</v>
      </c>
      <c r="T79" s="35">
        <f>_xlfn.LET(_xlpm.x,_xlfn.XLOOKUP(A79&amp;"/2/2",'[1]S_ALR Export'!$O$1:$O$777,'[1]S_ALR Export'!$I$1:$I$777,"",0),IF(_xlpm.x="",0,IF(ISNUMBER(_xlpm.x),_xlpm.x,_xlfn.NUMBERVALUE(_xlpm.x,",","."))))</f>
        <v>0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38">
        <v>0</v>
      </c>
      <c r="AA79" s="38">
        <v>0</v>
      </c>
      <c r="AB79" s="35">
        <f t="shared" si="12"/>
        <v>0</v>
      </c>
      <c r="AC79" s="35">
        <f t="shared" si="8"/>
        <v>0</v>
      </c>
      <c r="AD79" s="35">
        <f t="shared" si="7"/>
        <v>0</v>
      </c>
      <c r="AE79" s="36" t="str">
        <f>_xlfn.XLOOKUP(A79,'[1]S_ALR Export'!$O$1:$O$777,'[1]S_ALR Export'!$I$1:$I$777,"",0)</f>
        <v>200.000,00</v>
      </c>
    </row>
    <row r="80" spans="1:31" ht="14.5" x14ac:dyDescent="0.25">
      <c r="A80" s="37" t="s">
        <v>961</v>
      </c>
      <c r="B80" s="35">
        <v>0</v>
      </c>
      <c r="C80" s="35">
        <v>0</v>
      </c>
      <c r="D80" s="35">
        <v>0</v>
      </c>
      <c r="E80" s="35">
        <v>0</v>
      </c>
      <c r="F80" s="35">
        <v>0</v>
      </c>
      <c r="G80" s="15" t="s">
        <v>882</v>
      </c>
      <c r="H80" s="35">
        <f t="shared" si="9"/>
        <v>0</v>
      </c>
      <c r="I80" s="35">
        <v>0</v>
      </c>
      <c r="J80" s="35">
        <v>7800</v>
      </c>
      <c r="K80" s="35">
        <f>_xlfn.LET(_xlpm.x,_xlfn.XLOOKUP(A80&amp;"/2/1",'[1]S_ALR Export'!$O$1:$O$777,'[1]S_ALR Export'!$I$1:$I$777,"",0),IF(_xlpm.x="",0,IF(ISNUMBER(_xlpm.x),_xlpm.x,_xlfn.NUMBERVALUE(_xlpm.x,",","."))))</f>
        <v>20000</v>
      </c>
      <c r="L80" s="35">
        <f t="shared" si="10"/>
        <v>7800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f t="shared" si="11"/>
        <v>0</v>
      </c>
      <c r="S80" s="35">
        <v>0</v>
      </c>
      <c r="T80" s="35">
        <f>_xlfn.LET(_xlpm.x,_xlfn.XLOOKUP(A80&amp;"/2/2",'[1]S_ALR Export'!$O$1:$O$777,'[1]S_ALR Export'!$I$1:$I$777,"",0),IF(_xlpm.x="",0,IF(ISNUMBER(_xlpm.x),_xlpm.x,_xlfn.NUMBERVALUE(_xlpm.x,",","."))))</f>
        <v>0</v>
      </c>
      <c r="U80" s="35">
        <v>0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f t="shared" si="12"/>
        <v>0</v>
      </c>
      <c r="AC80" s="35">
        <f t="shared" si="8"/>
        <v>7800</v>
      </c>
      <c r="AD80" s="35">
        <f t="shared" si="7"/>
        <v>7800</v>
      </c>
      <c r="AE80" s="36" t="str">
        <f>_xlfn.XLOOKUP(A80,'[1]S_ALR Export'!$O$1:$O$777,'[1]S_ALR Export'!$I$1:$I$777,"",0)</f>
        <v>20.000,00</v>
      </c>
    </row>
    <row r="81" spans="1:31" ht="14.5" x14ac:dyDescent="0.25">
      <c r="A81" s="37" t="s">
        <v>962</v>
      </c>
      <c r="B81" s="38">
        <v>0</v>
      </c>
      <c r="C81" s="38">
        <v>0</v>
      </c>
      <c r="D81" s="38">
        <v>0</v>
      </c>
      <c r="E81" s="38">
        <v>0</v>
      </c>
      <c r="F81" s="38">
        <v>0</v>
      </c>
      <c r="G81" s="15" t="s">
        <v>882</v>
      </c>
      <c r="H81" s="35">
        <f t="shared" si="9"/>
        <v>0</v>
      </c>
      <c r="I81" s="38">
        <v>4700</v>
      </c>
      <c r="J81" s="38">
        <v>7900</v>
      </c>
      <c r="K81" s="35">
        <f>_xlfn.LET(_xlpm.x,_xlfn.XLOOKUP(A81&amp;"/2/1",'[1]S_ALR Export'!$O$1:$O$777,'[1]S_ALR Export'!$I$1:$I$777,"",0),IF(_xlpm.x="",0,IF(ISNUMBER(_xlpm.x),_xlpm.x,_xlfn.NUMBERVALUE(_xlpm.x,",","."))))</f>
        <v>25652</v>
      </c>
      <c r="L81" s="38">
        <f t="shared" si="10"/>
        <v>12600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5">
        <f t="shared" si="11"/>
        <v>0</v>
      </c>
      <c r="S81" s="38">
        <v>10200</v>
      </c>
      <c r="T81" s="35">
        <f>_xlfn.LET(_xlpm.x,_xlfn.XLOOKUP(A81&amp;"/2/2",'[1]S_ALR Export'!$O$1:$O$777,'[1]S_ALR Export'!$I$1:$I$777,"",0),IF(_xlpm.x="",0,IF(ISNUMBER(_xlpm.x),_xlpm.x,_xlfn.NUMBERVALUE(_xlpm.x,",","."))))</f>
        <v>10200</v>
      </c>
      <c r="U81" s="38">
        <v>10200</v>
      </c>
      <c r="V81" s="38">
        <v>0</v>
      </c>
      <c r="W81" s="38">
        <v>0</v>
      </c>
      <c r="X81" s="38">
        <v>0</v>
      </c>
      <c r="Y81" s="38">
        <v>0</v>
      </c>
      <c r="Z81" s="38">
        <v>0</v>
      </c>
      <c r="AA81" s="38">
        <v>-23424</v>
      </c>
      <c r="AB81" s="35">
        <f t="shared" si="12"/>
        <v>-23424</v>
      </c>
      <c r="AC81" s="35">
        <f t="shared" si="8"/>
        <v>22800</v>
      </c>
      <c r="AD81" s="35">
        <f t="shared" ref="AD81:AD132" si="13">AC81+AB81</f>
        <v>-624</v>
      </c>
      <c r="AE81" s="36" t="str">
        <f>_xlfn.XLOOKUP(A81,'[1]S_ALR Export'!$O$1:$O$777,'[1]S_ALR Export'!$I$1:$I$777,"",0)</f>
        <v>35.852,00</v>
      </c>
    </row>
    <row r="82" spans="1:31" ht="14.5" x14ac:dyDescent="0.25">
      <c r="A82" s="37" t="s">
        <v>963</v>
      </c>
      <c r="B82" s="35">
        <v>0</v>
      </c>
      <c r="C82" s="35">
        <v>0</v>
      </c>
      <c r="D82" s="35">
        <v>0</v>
      </c>
      <c r="E82" s="35">
        <v>0</v>
      </c>
      <c r="F82" s="35">
        <v>0</v>
      </c>
      <c r="G82" s="15" t="s">
        <v>882</v>
      </c>
      <c r="H82" s="35">
        <f t="shared" si="9"/>
        <v>0</v>
      </c>
      <c r="I82" s="35">
        <v>100</v>
      </c>
      <c r="J82" s="35">
        <v>16167</v>
      </c>
      <c r="K82" s="35">
        <f>_xlfn.LET(_xlpm.x,_xlfn.XLOOKUP(A82&amp;"/2/1",'[1]S_ALR Export'!$O$1:$O$777,'[1]S_ALR Export'!$I$1:$I$777,"",0),IF(_xlpm.x="",0,IF(ISNUMBER(_xlpm.x),_xlpm.x,_xlfn.NUMBERVALUE(_xlpm.x,",","."))))</f>
        <v>56000</v>
      </c>
      <c r="L82" s="35">
        <f t="shared" si="10"/>
        <v>16267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f t="shared" si="11"/>
        <v>0</v>
      </c>
      <c r="S82" s="35">
        <v>0</v>
      </c>
      <c r="T82" s="35">
        <f>_xlfn.LET(_xlpm.x,_xlfn.XLOOKUP(A82&amp;"/2/2",'[1]S_ALR Export'!$O$1:$O$777,'[1]S_ALR Export'!$I$1:$I$777,"",0),IF(_xlpm.x="",0,IF(ISNUMBER(_xlpm.x),_xlpm.x,_xlfn.NUMBERVALUE(_xlpm.x,",","."))))</f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-11445</v>
      </c>
      <c r="AB82" s="35">
        <f t="shared" si="12"/>
        <v>-11445</v>
      </c>
      <c r="AC82" s="35">
        <f t="shared" si="8"/>
        <v>16267</v>
      </c>
      <c r="AD82" s="35">
        <f t="shared" si="13"/>
        <v>4822</v>
      </c>
      <c r="AE82" s="36" t="str">
        <f>_xlfn.XLOOKUP(A82,'[1]S_ALR Export'!$O$1:$O$777,'[1]S_ALR Export'!$I$1:$I$777,"",0)</f>
        <v>56.000,00</v>
      </c>
    </row>
    <row r="83" spans="1:31" ht="14.5" x14ac:dyDescent="0.25">
      <c r="A83" s="37" t="s">
        <v>964</v>
      </c>
      <c r="B83" s="38">
        <v>0</v>
      </c>
      <c r="C83" s="38">
        <v>0</v>
      </c>
      <c r="D83" s="38">
        <v>0</v>
      </c>
      <c r="E83" s="38">
        <v>0</v>
      </c>
      <c r="F83" s="38">
        <v>0</v>
      </c>
      <c r="G83" s="15" t="s">
        <v>882</v>
      </c>
      <c r="H83" s="35">
        <f t="shared" si="9"/>
        <v>0</v>
      </c>
      <c r="I83" s="38">
        <v>7.2759576141834259E-12</v>
      </c>
      <c r="J83" s="38">
        <v>0.39999999999417923</v>
      </c>
      <c r="K83" s="35">
        <f>_xlfn.LET(_xlpm.x,_xlfn.XLOOKUP(A83&amp;"/2/1",'[1]S_ALR Export'!$O$1:$O$777,'[1]S_ALR Export'!$I$1:$I$777,"",0),IF(_xlpm.x="",0,IF(ISNUMBER(_xlpm.x),_xlpm.x,_xlfn.NUMBERVALUE(_xlpm.x,",","."))))</f>
        <v>100000</v>
      </c>
      <c r="L83" s="38">
        <f t="shared" si="10"/>
        <v>0.40000000000145519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5">
        <f t="shared" si="11"/>
        <v>0</v>
      </c>
      <c r="S83" s="38">
        <v>0</v>
      </c>
      <c r="T83" s="35">
        <f>_xlfn.LET(_xlpm.x,_xlfn.XLOOKUP(A83&amp;"/2/2",'[1]S_ALR Export'!$O$1:$O$777,'[1]S_ALR Export'!$I$1:$I$777,"",0),IF(_xlpm.x="",0,IF(ISNUMBER(_xlpm.x),_xlpm.x,_xlfn.NUMBERVALUE(_xlpm.x,",","."))))</f>
        <v>0</v>
      </c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5">
        <f t="shared" si="12"/>
        <v>0</v>
      </c>
      <c r="AC83" s="35">
        <f t="shared" si="8"/>
        <v>0.40000000000145519</v>
      </c>
      <c r="AD83" s="35">
        <f t="shared" si="13"/>
        <v>0.40000000000145519</v>
      </c>
      <c r="AE83" s="36" t="str">
        <f>_xlfn.XLOOKUP(A83,'[1]S_ALR Export'!$O$1:$O$777,'[1]S_ALR Export'!$I$1:$I$777,"",0)</f>
        <v>100.000,00</v>
      </c>
    </row>
    <row r="84" spans="1:31" ht="14.5" x14ac:dyDescent="0.25">
      <c r="A84" s="37" t="s">
        <v>965</v>
      </c>
      <c r="B84" s="35">
        <v>0</v>
      </c>
      <c r="C84" s="35">
        <v>0</v>
      </c>
      <c r="D84" s="35">
        <v>0</v>
      </c>
      <c r="E84" s="35">
        <v>0</v>
      </c>
      <c r="F84" s="35">
        <v>0</v>
      </c>
      <c r="G84" s="15" t="s">
        <v>882</v>
      </c>
      <c r="H84" s="35">
        <f t="shared" si="9"/>
        <v>0</v>
      </c>
      <c r="I84" s="35">
        <v>0</v>
      </c>
      <c r="J84" s="35">
        <v>513</v>
      </c>
      <c r="K84" s="35">
        <f>_xlfn.LET(_xlpm.x,_xlfn.XLOOKUP(A84&amp;"/2/1",'[1]S_ALR Export'!$O$1:$O$777,'[1]S_ALR Export'!$I$1:$I$777,"",0),IF(_xlpm.x="",0,IF(ISNUMBER(_xlpm.x),_xlpm.x,_xlfn.NUMBERVALUE(_xlpm.x,",","."))))</f>
        <v>38115</v>
      </c>
      <c r="L84" s="35">
        <f t="shared" si="10"/>
        <v>513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f t="shared" si="11"/>
        <v>0</v>
      </c>
      <c r="S84" s="35">
        <v>0</v>
      </c>
      <c r="T84" s="35">
        <f>_xlfn.LET(_xlpm.x,_xlfn.XLOOKUP(A84&amp;"/2/2",'[1]S_ALR Export'!$O$1:$O$777,'[1]S_ALR Export'!$I$1:$I$777,"",0),IF(_xlpm.x="",0,IF(ISNUMBER(_xlpm.x),_xlpm.x,_xlfn.NUMBERVALUE(_xlpm.x,",","."))))</f>
        <v>0</v>
      </c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f t="shared" si="12"/>
        <v>0</v>
      </c>
      <c r="AC84" s="35">
        <f t="shared" si="8"/>
        <v>513</v>
      </c>
      <c r="AD84" s="35">
        <f t="shared" si="13"/>
        <v>513</v>
      </c>
      <c r="AE84" s="36" t="str">
        <f>_xlfn.XLOOKUP(A84,'[1]S_ALR Export'!$O$1:$O$777,'[1]S_ALR Export'!$I$1:$I$777,"",0)</f>
        <v>38.115,00</v>
      </c>
    </row>
    <row r="85" spans="1:31" ht="14.5" x14ac:dyDescent="0.25">
      <c r="A85" s="37" t="s">
        <v>966</v>
      </c>
      <c r="B85" s="38">
        <v>0</v>
      </c>
      <c r="C85" s="38">
        <v>0</v>
      </c>
      <c r="D85" s="38">
        <v>0</v>
      </c>
      <c r="E85" s="38">
        <v>0</v>
      </c>
      <c r="F85" s="38">
        <v>0</v>
      </c>
      <c r="G85" s="15" t="s">
        <v>882</v>
      </c>
      <c r="H85" s="35">
        <f t="shared" si="9"/>
        <v>0</v>
      </c>
      <c r="I85" s="38">
        <v>0</v>
      </c>
      <c r="J85" s="38">
        <v>0</v>
      </c>
      <c r="K85" s="35">
        <f>_xlfn.LET(_xlpm.x,_xlfn.XLOOKUP(A85&amp;"/2/1",'[1]S_ALR Export'!$O$1:$O$777,'[1]S_ALR Export'!$I$1:$I$777,"",0),IF(_xlpm.x="",0,IF(ISNUMBER(_xlpm.x),_xlpm.x,_xlfn.NUMBERVALUE(_xlpm.x,",","."))))</f>
        <v>100000</v>
      </c>
      <c r="L85" s="38">
        <f t="shared" si="10"/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5">
        <f t="shared" si="11"/>
        <v>0</v>
      </c>
      <c r="S85" s="38">
        <v>0</v>
      </c>
      <c r="T85" s="35">
        <f>_xlfn.LET(_xlpm.x,_xlfn.XLOOKUP(A85&amp;"/2/2",'[1]S_ALR Export'!$O$1:$O$777,'[1]S_ALR Export'!$I$1:$I$777,"",0),IF(_xlpm.x="",0,IF(ISNUMBER(_xlpm.x),_xlpm.x,_xlfn.NUMBERVALUE(_xlpm.x,",","."))))</f>
        <v>0</v>
      </c>
      <c r="U85" s="38">
        <v>0</v>
      </c>
      <c r="V85" s="38">
        <v>0</v>
      </c>
      <c r="W85" s="38">
        <v>0</v>
      </c>
      <c r="X85" s="38">
        <v>0</v>
      </c>
      <c r="Y85" s="38">
        <v>0</v>
      </c>
      <c r="Z85" s="38">
        <v>0</v>
      </c>
      <c r="AA85" s="38">
        <v>0</v>
      </c>
      <c r="AB85" s="35">
        <f t="shared" si="12"/>
        <v>0</v>
      </c>
      <c r="AC85" s="35">
        <f t="shared" si="8"/>
        <v>0</v>
      </c>
      <c r="AD85" s="35">
        <f t="shared" si="13"/>
        <v>0</v>
      </c>
      <c r="AE85" s="36" t="str">
        <f>_xlfn.XLOOKUP(A85,'[1]S_ALR Export'!$O$1:$O$777,'[1]S_ALR Export'!$I$1:$I$777,"",0)</f>
        <v>100.000,00</v>
      </c>
    </row>
    <row r="86" spans="1:31" ht="14.5" x14ac:dyDescent="0.25">
      <c r="A86" s="37" t="s">
        <v>967</v>
      </c>
      <c r="B86" s="35">
        <v>0</v>
      </c>
      <c r="C86" s="35">
        <v>0</v>
      </c>
      <c r="D86" s="35">
        <v>0</v>
      </c>
      <c r="E86" s="35">
        <v>0</v>
      </c>
      <c r="F86" s="35">
        <v>0</v>
      </c>
      <c r="G86" s="15" t="s">
        <v>882</v>
      </c>
      <c r="H86" s="35">
        <f t="shared" si="9"/>
        <v>0</v>
      </c>
      <c r="I86" s="35">
        <v>1000</v>
      </c>
      <c r="J86" s="35">
        <v>0</v>
      </c>
      <c r="K86" s="35">
        <f>_xlfn.LET(_xlpm.x,_xlfn.XLOOKUP(A86&amp;"/2/1",'[1]S_ALR Export'!$O$1:$O$777,'[1]S_ALR Export'!$I$1:$I$777,"",0),IF(_xlpm.x="",0,IF(ISNUMBER(_xlpm.x),_xlpm.x,_xlfn.NUMBERVALUE(_xlpm.x,",","."))))</f>
        <v>1000</v>
      </c>
      <c r="L86" s="35">
        <f t="shared" si="10"/>
        <v>1000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f t="shared" si="11"/>
        <v>0</v>
      </c>
      <c r="S86" s="35">
        <v>0</v>
      </c>
      <c r="T86" s="35">
        <f>_xlfn.LET(_xlpm.x,_xlfn.XLOOKUP(A86&amp;"/2/2",'[1]S_ALR Export'!$O$1:$O$777,'[1]S_ALR Export'!$I$1:$I$777,"",0),IF(_xlpm.x="",0,IF(ISNUMBER(_xlpm.x),_xlpm.x,_xlfn.NUMBERVALUE(_xlpm.x,",","."))))</f>
        <v>0</v>
      </c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-33000</v>
      </c>
      <c r="AB86" s="35">
        <f t="shared" si="12"/>
        <v>-33000</v>
      </c>
      <c r="AC86" s="35">
        <f t="shared" si="8"/>
        <v>1000</v>
      </c>
      <c r="AD86" s="35">
        <f t="shared" si="13"/>
        <v>-32000</v>
      </c>
      <c r="AE86" s="36" t="str">
        <f>_xlfn.XLOOKUP(A86,'[1]S_ALR Export'!$O$1:$O$777,'[1]S_ALR Export'!$I$1:$I$777,"",0)</f>
        <v>1.000,00</v>
      </c>
    </row>
    <row r="87" spans="1:31" ht="14.5" x14ac:dyDescent="0.25">
      <c r="A87" s="37" t="s">
        <v>968</v>
      </c>
      <c r="B87" s="38">
        <v>0</v>
      </c>
      <c r="C87" s="38">
        <v>0</v>
      </c>
      <c r="D87" s="38">
        <v>0</v>
      </c>
      <c r="E87" s="38">
        <v>0</v>
      </c>
      <c r="F87" s="38">
        <v>0</v>
      </c>
      <c r="G87" s="15" t="s">
        <v>882</v>
      </c>
      <c r="H87" s="35">
        <f t="shared" si="9"/>
        <v>0</v>
      </c>
      <c r="I87" s="38">
        <v>1100</v>
      </c>
      <c r="J87" s="38">
        <v>0</v>
      </c>
      <c r="K87" s="35">
        <f>_xlfn.LET(_xlpm.x,_xlfn.XLOOKUP(A87&amp;"/2/1",'[1]S_ALR Export'!$O$1:$O$777,'[1]S_ALR Export'!$I$1:$I$777,"",0),IF(_xlpm.x="",0,IF(ISNUMBER(_xlpm.x),_xlpm.x,_xlfn.NUMBERVALUE(_xlpm.x,",","."))))</f>
        <v>1100</v>
      </c>
      <c r="L87" s="38">
        <f t="shared" si="10"/>
        <v>1100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5">
        <f t="shared" si="11"/>
        <v>0</v>
      </c>
      <c r="S87" s="38">
        <v>0</v>
      </c>
      <c r="T87" s="35">
        <f>_xlfn.LET(_xlpm.x,_xlfn.XLOOKUP(A87&amp;"/2/2",'[1]S_ALR Export'!$O$1:$O$777,'[1]S_ALR Export'!$I$1:$I$777,"",0),IF(_xlpm.x="",0,IF(ISNUMBER(_xlpm.x),_xlpm.x,_xlfn.NUMBERVALUE(_xlpm.x,",","."))))</f>
        <v>0</v>
      </c>
      <c r="U87" s="38">
        <v>0</v>
      </c>
      <c r="V87" s="38">
        <v>0</v>
      </c>
      <c r="W87" s="38">
        <v>0</v>
      </c>
      <c r="X87" s="38">
        <v>0</v>
      </c>
      <c r="Y87" s="38">
        <v>0</v>
      </c>
      <c r="Z87" s="38">
        <v>0</v>
      </c>
      <c r="AA87" s="38">
        <v>-33000</v>
      </c>
      <c r="AB87" s="35">
        <f t="shared" si="12"/>
        <v>-33000</v>
      </c>
      <c r="AC87" s="35">
        <f t="shared" si="8"/>
        <v>1100</v>
      </c>
      <c r="AD87" s="35">
        <f t="shared" si="13"/>
        <v>-31900</v>
      </c>
      <c r="AE87" s="36" t="str">
        <f>_xlfn.XLOOKUP(A87,'[1]S_ALR Export'!$O$1:$O$777,'[1]S_ALR Export'!$I$1:$I$777,"",0)</f>
        <v>1.100,00</v>
      </c>
    </row>
    <row r="88" spans="1:31" ht="14.5" x14ac:dyDescent="0.25">
      <c r="A88" s="37" t="s">
        <v>969</v>
      </c>
      <c r="B88" s="35">
        <v>0</v>
      </c>
      <c r="C88" s="35">
        <v>0</v>
      </c>
      <c r="D88" s="35">
        <v>0</v>
      </c>
      <c r="E88" s="35">
        <v>0</v>
      </c>
      <c r="F88" s="35">
        <v>0</v>
      </c>
      <c r="G88" s="15" t="s">
        <v>882</v>
      </c>
      <c r="H88" s="35">
        <f t="shared" si="9"/>
        <v>0</v>
      </c>
      <c r="I88" s="35">
        <v>1700</v>
      </c>
      <c r="J88" s="35">
        <v>0</v>
      </c>
      <c r="K88" s="35">
        <f>_xlfn.LET(_xlpm.x,_xlfn.XLOOKUP(A88&amp;"/2/1",'[1]S_ALR Export'!$O$1:$O$777,'[1]S_ALR Export'!$I$1:$I$777,"",0),IF(_xlpm.x="",0,IF(ISNUMBER(_xlpm.x),_xlpm.x,_xlfn.NUMBERVALUE(_xlpm.x,",","."))))</f>
        <v>1700</v>
      </c>
      <c r="L88" s="35">
        <f t="shared" si="10"/>
        <v>1700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f t="shared" si="11"/>
        <v>0</v>
      </c>
      <c r="S88" s="35">
        <v>0</v>
      </c>
      <c r="T88" s="35">
        <f>_xlfn.LET(_xlpm.x,_xlfn.XLOOKUP(A88&amp;"/2/2",'[1]S_ALR Export'!$O$1:$O$777,'[1]S_ALR Export'!$I$1:$I$777,"",0),IF(_xlpm.x="",0,IF(ISNUMBER(_xlpm.x),_xlpm.x,_xlfn.NUMBERVALUE(_xlpm.x,",","."))))</f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-33000</v>
      </c>
      <c r="AB88" s="35">
        <f t="shared" si="12"/>
        <v>-33000</v>
      </c>
      <c r="AC88" s="35">
        <f t="shared" si="8"/>
        <v>1700</v>
      </c>
      <c r="AD88" s="35">
        <f t="shared" si="13"/>
        <v>-31300</v>
      </c>
      <c r="AE88" s="36" t="str">
        <f>_xlfn.XLOOKUP(A88,'[1]S_ALR Export'!$O$1:$O$777,'[1]S_ALR Export'!$I$1:$I$777,"",0)</f>
        <v>1.700,00</v>
      </c>
    </row>
    <row r="89" spans="1:31" ht="14.5" x14ac:dyDescent="0.25">
      <c r="A89" s="37" t="s">
        <v>970</v>
      </c>
      <c r="B89" s="38">
        <v>0</v>
      </c>
      <c r="C89" s="38">
        <v>0</v>
      </c>
      <c r="D89" s="38">
        <v>0</v>
      </c>
      <c r="E89" s="38">
        <v>0</v>
      </c>
      <c r="F89" s="38">
        <v>0</v>
      </c>
      <c r="G89" s="15" t="s">
        <v>882</v>
      </c>
      <c r="H89" s="35">
        <f t="shared" si="9"/>
        <v>0</v>
      </c>
      <c r="I89" s="38">
        <v>3100</v>
      </c>
      <c r="J89" s="38">
        <v>34800</v>
      </c>
      <c r="K89" s="35">
        <f>_xlfn.LET(_xlpm.x,_xlfn.XLOOKUP(A89&amp;"/2/1",'[1]S_ALR Export'!$O$1:$O$777,'[1]S_ALR Export'!$I$1:$I$777,"",0),IF(_xlpm.x="",0,IF(ISNUMBER(_xlpm.x),_xlpm.x,_xlfn.NUMBERVALUE(_xlpm.x,",","."))))</f>
        <v>50000</v>
      </c>
      <c r="L89" s="38">
        <f t="shared" si="10"/>
        <v>37900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5">
        <f t="shared" si="11"/>
        <v>0</v>
      </c>
      <c r="S89" s="38">
        <v>20000</v>
      </c>
      <c r="T89" s="35">
        <f>_xlfn.LET(_xlpm.x,_xlfn.XLOOKUP(A89&amp;"/2/2",'[1]S_ALR Export'!$O$1:$O$777,'[1]S_ALR Export'!$I$1:$I$777,"",0),IF(_xlpm.x="",0,IF(ISNUMBER(_xlpm.x),_xlpm.x,_xlfn.NUMBERVALUE(_xlpm.x,",","."))))</f>
        <v>25000</v>
      </c>
      <c r="U89" s="38">
        <v>20000</v>
      </c>
      <c r="V89" s="38">
        <v>0</v>
      </c>
      <c r="W89" s="38">
        <v>0</v>
      </c>
      <c r="X89" s="38">
        <v>0</v>
      </c>
      <c r="Y89" s="38">
        <v>0</v>
      </c>
      <c r="Z89" s="38">
        <v>0</v>
      </c>
      <c r="AA89" s="38">
        <v>-49800</v>
      </c>
      <c r="AB89" s="35">
        <f t="shared" si="12"/>
        <v>-49800</v>
      </c>
      <c r="AC89" s="35">
        <f t="shared" si="8"/>
        <v>57900</v>
      </c>
      <c r="AD89" s="35">
        <f t="shared" si="13"/>
        <v>8100</v>
      </c>
      <c r="AE89" s="36" t="str">
        <f>_xlfn.XLOOKUP(A89,'[1]S_ALR Export'!$O$1:$O$777,'[1]S_ALR Export'!$I$1:$I$777,"",0)</f>
        <v>75.000,00</v>
      </c>
    </row>
    <row r="90" spans="1:31" ht="14.5" x14ac:dyDescent="0.25">
      <c r="A90" s="37" t="s">
        <v>971</v>
      </c>
      <c r="B90" s="35">
        <v>0</v>
      </c>
      <c r="C90" s="35">
        <v>0</v>
      </c>
      <c r="D90" s="35">
        <v>0</v>
      </c>
      <c r="E90" s="35">
        <v>0</v>
      </c>
      <c r="F90" s="35">
        <v>0</v>
      </c>
      <c r="G90" s="15" t="s">
        <v>884</v>
      </c>
      <c r="H90" s="35">
        <f t="shared" si="9"/>
        <v>0</v>
      </c>
      <c r="I90" s="35">
        <v>0</v>
      </c>
      <c r="J90" s="35">
        <v>0</v>
      </c>
      <c r="K90" s="35">
        <f>_xlfn.LET(_xlpm.x,_xlfn.XLOOKUP(A90&amp;"/2/1",'[1]S_ALR Export'!$O$1:$O$777,'[1]S_ALR Export'!$I$1:$I$777,"",0),IF(_xlpm.x="",0,IF(ISNUMBER(_xlpm.x),_xlpm.x,_xlfn.NUMBERVALUE(_xlpm.x,",","."))))</f>
        <v>105000</v>
      </c>
      <c r="L90" s="35">
        <f t="shared" si="10"/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f t="shared" si="11"/>
        <v>0</v>
      </c>
      <c r="S90" s="35">
        <v>0</v>
      </c>
      <c r="T90" s="35">
        <f>_xlfn.LET(_xlpm.x,_xlfn.XLOOKUP(A90&amp;"/2/2",'[1]S_ALR Export'!$O$1:$O$777,'[1]S_ALR Export'!$I$1:$I$777,"",0),IF(_xlpm.x="",0,IF(ISNUMBER(_xlpm.x),_xlpm.x,_xlfn.NUMBERVALUE(_xlpm.x,",","."))))</f>
        <v>0</v>
      </c>
      <c r="U90" s="35">
        <v>0</v>
      </c>
      <c r="V90" s="35">
        <v>0</v>
      </c>
      <c r="W90" s="35">
        <v>0</v>
      </c>
      <c r="X90" s="35">
        <v>0</v>
      </c>
      <c r="Y90" s="35">
        <v>0</v>
      </c>
      <c r="Z90" s="35">
        <v>0</v>
      </c>
      <c r="AA90" s="35">
        <v>0</v>
      </c>
      <c r="AB90" s="35">
        <f t="shared" si="12"/>
        <v>0</v>
      </c>
      <c r="AC90" s="35">
        <f t="shared" si="8"/>
        <v>0</v>
      </c>
      <c r="AD90" s="35">
        <f t="shared" si="13"/>
        <v>0</v>
      </c>
      <c r="AE90" s="36" t="str">
        <f>_xlfn.XLOOKUP(A90,'[1]S_ALR Export'!$O$1:$O$777,'[1]S_ALR Export'!$I$1:$I$777,"",0)</f>
        <v>105.000,00</v>
      </c>
    </row>
    <row r="91" spans="1:31" ht="14.5" x14ac:dyDescent="0.25">
      <c r="A91" s="37" t="s">
        <v>972</v>
      </c>
      <c r="B91" s="38">
        <v>0</v>
      </c>
      <c r="C91" s="38">
        <v>0</v>
      </c>
      <c r="D91" s="38">
        <v>0</v>
      </c>
      <c r="E91" s="38">
        <v>0</v>
      </c>
      <c r="F91" s="38">
        <v>0</v>
      </c>
      <c r="G91" s="15" t="s">
        <v>882</v>
      </c>
      <c r="H91" s="35">
        <f t="shared" si="9"/>
        <v>0</v>
      </c>
      <c r="I91" s="38">
        <v>300</v>
      </c>
      <c r="J91" s="38">
        <v>200</v>
      </c>
      <c r="K91" s="35">
        <f>_xlfn.LET(_xlpm.x,_xlfn.XLOOKUP(A91&amp;"/2/1",'[1]S_ALR Export'!$O$1:$O$777,'[1]S_ALR Export'!$I$1:$I$777,"",0),IF(_xlpm.x="",0,IF(ISNUMBER(_xlpm.x),_xlpm.x,_xlfn.NUMBERVALUE(_xlpm.x,",","."))))</f>
        <v>5600</v>
      </c>
      <c r="L91" s="38">
        <f t="shared" si="10"/>
        <v>500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5">
        <f t="shared" si="11"/>
        <v>0</v>
      </c>
      <c r="S91" s="38">
        <v>0</v>
      </c>
      <c r="T91" s="35">
        <f>_xlfn.LET(_xlpm.x,_xlfn.XLOOKUP(A91&amp;"/2/2",'[1]S_ALR Export'!$O$1:$O$777,'[1]S_ALR Export'!$I$1:$I$777,"",0),IF(_xlpm.x="",0,IF(ISNUMBER(_xlpm.x),_xlpm.x,_xlfn.NUMBERVALUE(_xlpm.x,",","."))))</f>
        <v>0</v>
      </c>
      <c r="U91" s="38">
        <v>0</v>
      </c>
      <c r="V91" s="38">
        <v>0</v>
      </c>
      <c r="W91" s="38">
        <v>0</v>
      </c>
      <c r="X91" s="38">
        <v>0</v>
      </c>
      <c r="Y91" s="38">
        <v>0</v>
      </c>
      <c r="Z91" s="38">
        <v>0</v>
      </c>
      <c r="AA91" s="38">
        <v>0</v>
      </c>
      <c r="AB91" s="35">
        <f t="shared" si="12"/>
        <v>0</v>
      </c>
      <c r="AC91" s="35">
        <f t="shared" si="8"/>
        <v>500</v>
      </c>
      <c r="AD91" s="35">
        <f t="shared" si="13"/>
        <v>500</v>
      </c>
      <c r="AE91" s="36" t="str">
        <f>_xlfn.XLOOKUP(A91,'[1]S_ALR Export'!$O$1:$O$777,'[1]S_ALR Export'!$I$1:$I$777,"",0)</f>
        <v>5.600,00</v>
      </c>
    </row>
    <row r="92" spans="1:31" ht="14.5" x14ac:dyDescent="0.25">
      <c r="A92" s="37" t="s">
        <v>973</v>
      </c>
      <c r="B92" s="35">
        <v>0</v>
      </c>
      <c r="C92" s="35">
        <v>0</v>
      </c>
      <c r="D92" s="35">
        <v>0</v>
      </c>
      <c r="E92" s="35">
        <v>0</v>
      </c>
      <c r="F92" s="35">
        <v>0</v>
      </c>
      <c r="G92" s="15" t="s">
        <v>882</v>
      </c>
      <c r="H92" s="35">
        <f t="shared" si="9"/>
        <v>0</v>
      </c>
      <c r="I92" s="35">
        <v>0</v>
      </c>
      <c r="J92" s="35">
        <v>0</v>
      </c>
      <c r="K92" s="35">
        <f>_xlfn.LET(_xlpm.x,_xlfn.XLOOKUP(A92&amp;"/2/1",'[1]S_ALR Export'!$O$1:$O$777,'[1]S_ALR Export'!$I$1:$I$777,"",0),IF(_xlpm.x="",0,IF(ISNUMBER(_xlpm.x),_xlpm.x,_xlfn.NUMBERVALUE(_xlpm.x,",","."))))</f>
        <v>32800</v>
      </c>
      <c r="L92" s="35">
        <f t="shared" si="10"/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f t="shared" si="11"/>
        <v>0</v>
      </c>
      <c r="S92" s="35">
        <v>0</v>
      </c>
      <c r="T92" s="35">
        <f>_xlfn.LET(_xlpm.x,_xlfn.XLOOKUP(A92&amp;"/2/2",'[1]S_ALR Export'!$O$1:$O$777,'[1]S_ALR Export'!$I$1:$I$777,"",0),IF(_xlpm.x="",0,IF(ISNUMBER(_xlpm.x),_xlpm.x,_xlfn.NUMBERVALUE(_xlpm.x,",","."))))</f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f t="shared" si="12"/>
        <v>0</v>
      </c>
      <c r="AC92" s="35">
        <f t="shared" si="8"/>
        <v>0</v>
      </c>
      <c r="AD92" s="35">
        <f t="shared" si="13"/>
        <v>0</v>
      </c>
      <c r="AE92" s="36" t="str">
        <f>_xlfn.XLOOKUP(A92,'[1]S_ALR Export'!$O$1:$O$777,'[1]S_ALR Export'!$I$1:$I$777,"",0)</f>
        <v>32.800,00</v>
      </c>
    </row>
    <row r="93" spans="1:31" ht="14.5" x14ac:dyDescent="0.25">
      <c r="A93" s="37" t="s">
        <v>974</v>
      </c>
      <c r="B93" s="38">
        <v>0</v>
      </c>
      <c r="C93" s="38">
        <v>0</v>
      </c>
      <c r="D93" s="38">
        <v>0</v>
      </c>
      <c r="E93" s="38">
        <v>0</v>
      </c>
      <c r="F93" s="38">
        <v>0</v>
      </c>
      <c r="G93" s="15" t="s">
        <v>884</v>
      </c>
      <c r="H93" s="35">
        <f t="shared" si="9"/>
        <v>0</v>
      </c>
      <c r="I93" s="38">
        <v>41800</v>
      </c>
      <c r="J93" s="38">
        <v>155128.44</v>
      </c>
      <c r="K93" s="35">
        <f>_xlfn.LET(_xlpm.x,_xlfn.XLOOKUP(A93&amp;"/2/1",'[1]S_ALR Export'!$O$1:$O$777,'[1]S_ALR Export'!$I$1:$I$777,"",0),IF(_xlpm.x="",0,IF(ISNUMBER(_xlpm.x),_xlpm.x,_xlfn.NUMBERVALUE(_xlpm.x,",","."))))</f>
        <v>310126</v>
      </c>
      <c r="L93" s="38">
        <f t="shared" si="10"/>
        <v>196928.44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5">
        <f t="shared" si="11"/>
        <v>0</v>
      </c>
      <c r="S93" s="38">
        <v>0</v>
      </c>
      <c r="T93" s="35">
        <f>_xlfn.LET(_xlpm.x,_xlfn.XLOOKUP(A93&amp;"/2/2",'[1]S_ALR Export'!$O$1:$O$777,'[1]S_ALR Export'!$I$1:$I$777,"",0),IF(_xlpm.x="",0,IF(ISNUMBER(_xlpm.x),_xlpm.x,_xlfn.NUMBERVALUE(_xlpm.x,",","."))))</f>
        <v>0</v>
      </c>
      <c r="U93" s="38">
        <v>0</v>
      </c>
      <c r="V93" s="38">
        <v>0</v>
      </c>
      <c r="W93" s="38">
        <v>0</v>
      </c>
      <c r="X93" s="38">
        <v>0</v>
      </c>
      <c r="Y93" s="38">
        <v>0</v>
      </c>
      <c r="Z93" s="38">
        <v>0</v>
      </c>
      <c r="AA93" s="38">
        <v>0</v>
      </c>
      <c r="AB93" s="35">
        <f t="shared" si="12"/>
        <v>0</v>
      </c>
      <c r="AC93" s="35">
        <f t="shared" si="8"/>
        <v>196928.44</v>
      </c>
      <c r="AD93" s="35">
        <f t="shared" si="13"/>
        <v>196928.44</v>
      </c>
      <c r="AE93" s="36" t="str">
        <f>_xlfn.XLOOKUP(A93,'[1]S_ALR Export'!$O$1:$O$777,'[1]S_ALR Export'!$I$1:$I$777,"",0)</f>
        <v>310.126,00</v>
      </c>
    </row>
    <row r="94" spans="1:31" ht="14.5" x14ac:dyDescent="0.25">
      <c r="A94" s="37" t="s">
        <v>975</v>
      </c>
      <c r="B94" s="35">
        <v>0</v>
      </c>
      <c r="C94" s="35">
        <v>0</v>
      </c>
      <c r="D94" s="35">
        <v>0</v>
      </c>
      <c r="E94" s="35">
        <v>0</v>
      </c>
      <c r="F94" s="35">
        <v>0</v>
      </c>
      <c r="G94" s="15" t="s">
        <v>884</v>
      </c>
      <c r="H94" s="35">
        <f t="shared" si="9"/>
        <v>0</v>
      </c>
      <c r="I94" s="35">
        <v>0</v>
      </c>
      <c r="J94" s="35">
        <v>0</v>
      </c>
      <c r="K94" s="35">
        <f>_xlfn.LET(_xlpm.x,_xlfn.XLOOKUP(A94&amp;"/2/1",'[1]S_ALR Export'!$O$1:$O$777,'[1]S_ALR Export'!$I$1:$I$777,"",0),IF(_xlpm.x="",0,IF(ISNUMBER(_xlpm.x),_xlpm.x,_xlfn.NUMBERVALUE(_xlpm.x,",","."))))</f>
        <v>235000</v>
      </c>
      <c r="L94" s="35">
        <f t="shared" si="10"/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f t="shared" si="11"/>
        <v>0</v>
      </c>
      <c r="S94" s="35">
        <v>0</v>
      </c>
      <c r="T94" s="35">
        <f>_xlfn.LET(_xlpm.x,_xlfn.XLOOKUP(A94&amp;"/2/2",'[1]S_ALR Export'!$O$1:$O$777,'[1]S_ALR Export'!$I$1:$I$777,"",0),IF(_xlpm.x="",0,IF(ISNUMBER(_xlpm.x),_xlpm.x,_xlfn.NUMBERVALUE(_xlpm.x,",","."))))</f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f t="shared" si="12"/>
        <v>0</v>
      </c>
      <c r="AC94" s="35">
        <f t="shared" si="8"/>
        <v>0</v>
      </c>
      <c r="AD94" s="35">
        <f t="shared" si="13"/>
        <v>0</v>
      </c>
      <c r="AE94" s="36" t="str">
        <f>_xlfn.XLOOKUP(A94,'[1]S_ALR Export'!$O$1:$O$777,'[1]S_ALR Export'!$I$1:$I$777,"",0)</f>
        <v>235.000,00</v>
      </c>
    </row>
    <row r="95" spans="1:31" ht="14.5" x14ac:dyDescent="0.25">
      <c r="A95" s="37" t="s">
        <v>976</v>
      </c>
      <c r="B95" s="38">
        <v>0</v>
      </c>
      <c r="C95" s="38">
        <v>0</v>
      </c>
      <c r="D95" s="38">
        <v>0</v>
      </c>
      <c r="E95" s="38">
        <v>0</v>
      </c>
      <c r="F95" s="38">
        <v>0</v>
      </c>
      <c r="G95" s="15" t="s">
        <v>882</v>
      </c>
      <c r="H95" s="35">
        <f t="shared" si="9"/>
        <v>0</v>
      </c>
      <c r="I95" s="38">
        <v>0</v>
      </c>
      <c r="J95" s="38">
        <v>0</v>
      </c>
      <c r="K95" s="35">
        <f>_xlfn.LET(_xlpm.x,_xlfn.XLOOKUP(A95&amp;"/2/1",'[1]S_ALR Export'!$O$1:$O$777,'[1]S_ALR Export'!$I$1:$I$777,"",0),IF(_xlpm.x="",0,IF(ISNUMBER(_xlpm.x),_xlpm.x,_xlfn.NUMBERVALUE(_xlpm.x,",","."))))</f>
        <v>135600</v>
      </c>
      <c r="L95" s="38">
        <f t="shared" si="10"/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5">
        <f t="shared" si="11"/>
        <v>0</v>
      </c>
      <c r="S95" s="38">
        <v>0</v>
      </c>
      <c r="T95" s="35">
        <f>_xlfn.LET(_xlpm.x,_xlfn.XLOOKUP(A95&amp;"/2/2",'[1]S_ALR Export'!$O$1:$O$777,'[1]S_ALR Export'!$I$1:$I$777,"",0),IF(_xlpm.x="",0,IF(ISNUMBER(_xlpm.x),_xlpm.x,_xlfn.NUMBERVALUE(_xlpm.x,",","."))))</f>
        <v>0</v>
      </c>
      <c r="U95" s="38">
        <v>0</v>
      </c>
      <c r="V95" s="38">
        <v>0</v>
      </c>
      <c r="W95" s="38">
        <v>0</v>
      </c>
      <c r="X95" s="38">
        <v>0</v>
      </c>
      <c r="Y95" s="38">
        <v>0</v>
      </c>
      <c r="Z95" s="38">
        <v>0</v>
      </c>
      <c r="AA95" s="38">
        <v>0</v>
      </c>
      <c r="AB95" s="35">
        <f t="shared" si="12"/>
        <v>0</v>
      </c>
      <c r="AC95" s="35">
        <f t="shared" si="8"/>
        <v>0</v>
      </c>
      <c r="AD95" s="35">
        <f t="shared" si="13"/>
        <v>0</v>
      </c>
      <c r="AE95" s="36" t="str">
        <f>_xlfn.XLOOKUP(A95,'[1]S_ALR Export'!$O$1:$O$777,'[1]S_ALR Export'!$I$1:$I$777,"",0)</f>
        <v>135.600,00</v>
      </c>
    </row>
    <row r="96" spans="1:31" ht="14.5" x14ac:dyDescent="0.25">
      <c r="A96" s="37" t="s">
        <v>977</v>
      </c>
      <c r="B96" s="35">
        <v>0</v>
      </c>
      <c r="C96" s="35">
        <v>0</v>
      </c>
      <c r="D96" s="35">
        <v>0</v>
      </c>
      <c r="E96" s="35">
        <v>0</v>
      </c>
      <c r="F96" s="35">
        <v>0</v>
      </c>
      <c r="G96" s="15" t="s">
        <v>884</v>
      </c>
      <c r="H96" s="35">
        <f t="shared" si="9"/>
        <v>0</v>
      </c>
      <c r="I96" s="35">
        <v>0</v>
      </c>
      <c r="J96" s="35">
        <v>6399.3600000000006</v>
      </c>
      <c r="K96" s="35">
        <f>_xlfn.LET(_xlpm.x,_xlfn.XLOOKUP(A96&amp;"/2/1",'[1]S_ALR Export'!$O$1:$O$777,'[1]S_ALR Export'!$I$1:$I$777,"",0),IF(_xlpm.x="",0,IF(ISNUMBER(_xlpm.x),_xlpm.x,_xlfn.NUMBERVALUE(_xlpm.x,",","."))))</f>
        <v>139790</v>
      </c>
      <c r="L96" s="35">
        <f t="shared" si="10"/>
        <v>6399.3600000000006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f t="shared" si="11"/>
        <v>0</v>
      </c>
      <c r="S96" s="35">
        <v>0</v>
      </c>
      <c r="T96" s="35">
        <f>_xlfn.LET(_xlpm.x,_xlfn.XLOOKUP(A96&amp;"/2/2",'[1]S_ALR Export'!$O$1:$O$777,'[1]S_ALR Export'!$I$1:$I$777,"",0),IF(_xlpm.x="",0,IF(ISNUMBER(_xlpm.x),_xlpm.x,_xlfn.NUMBERVALUE(_xlpm.x,",","."))))</f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f t="shared" si="12"/>
        <v>0</v>
      </c>
      <c r="AC96" s="35">
        <f t="shared" si="8"/>
        <v>6399.3600000000006</v>
      </c>
      <c r="AD96" s="35">
        <f t="shared" si="13"/>
        <v>6399.3600000000006</v>
      </c>
      <c r="AE96" s="36" t="str">
        <f>_xlfn.XLOOKUP(A96,'[1]S_ALR Export'!$O$1:$O$777,'[1]S_ALR Export'!$I$1:$I$777,"",0)</f>
        <v>139.790,00</v>
      </c>
    </row>
    <row r="97" spans="1:31" ht="14.5" x14ac:dyDescent="0.25">
      <c r="A97" s="37" t="s">
        <v>978</v>
      </c>
      <c r="B97" s="38">
        <v>0</v>
      </c>
      <c r="C97" s="38">
        <v>0</v>
      </c>
      <c r="D97" s="38">
        <v>0</v>
      </c>
      <c r="E97" s="38">
        <v>0</v>
      </c>
      <c r="F97" s="38">
        <v>0</v>
      </c>
      <c r="G97" s="15" t="s">
        <v>882</v>
      </c>
      <c r="H97" s="35">
        <f t="shared" si="9"/>
        <v>0</v>
      </c>
      <c r="I97" s="38">
        <v>0</v>
      </c>
      <c r="J97" s="38">
        <v>0</v>
      </c>
      <c r="K97" s="35">
        <f>_xlfn.LET(_xlpm.x,_xlfn.XLOOKUP(A97&amp;"/2/1",'[1]S_ALR Export'!$O$1:$O$777,'[1]S_ALR Export'!$I$1:$I$777,"",0),IF(_xlpm.x="",0,IF(ISNUMBER(_xlpm.x),_xlpm.x,_xlfn.NUMBERVALUE(_xlpm.x,",","."))))</f>
        <v>123000</v>
      </c>
      <c r="L97" s="38">
        <f t="shared" si="10"/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5">
        <f t="shared" si="11"/>
        <v>0</v>
      </c>
      <c r="S97" s="38">
        <v>8634.3799999999992</v>
      </c>
      <c r="T97" s="35">
        <f>_xlfn.LET(_xlpm.x,_xlfn.XLOOKUP(A97&amp;"/2/2",'[1]S_ALR Export'!$O$1:$O$777,'[1]S_ALR Export'!$I$1:$I$777,"",0),IF(_xlpm.x="",0,IF(ISNUMBER(_xlpm.x),_xlpm.x,_xlfn.NUMBERVALUE(_xlpm.x,",","."))))</f>
        <v>18000</v>
      </c>
      <c r="U97" s="38">
        <v>8634.3799999999992</v>
      </c>
      <c r="V97" s="38">
        <v>0</v>
      </c>
      <c r="W97" s="38">
        <v>0</v>
      </c>
      <c r="X97" s="38">
        <v>0</v>
      </c>
      <c r="Y97" s="38">
        <v>0</v>
      </c>
      <c r="Z97" s="38">
        <v>0</v>
      </c>
      <c r="AA97" s="38">
        <v>0</v>
      </c>
      <c r="AB97" s="35">
        <f t="shared" si="12"/>
        <v>0</v>
      </c>
      <c r="AC97" s="35">
        <f t="shared" si="8"/>
        <v>8634.3799999999992</v>
      </c>
      <c r="AD97" s="35">
        <f t="shared" si="13"/>
        <v>8634.3799999999992</v>
      </c>
      <c r="AE97" s="36" t="str">
        <f>_xlfn.XLOOKUP(A97,'[1]S_ALR Export'!$O$1:$O$777,'[1]S_ALR Export'!$I$1:$I$777,"",0)</f>
        <v>141.000,00</v>
      </c>
    </row>
    <row r="98" spans="1:31" ht="14.5" x14ac:dyDescent="0.25">
      <c r="A98" s="37" t="s">
        <v>979</v>
      </c>
      <c r="B98" s="35">
        <v>0</v>
      </c>
      <c r="C98" s="35">
        <v>0</v>
      </c>
      <c r="D98" s="35">
        <v>0</v>
      </c>
      <c r="E98" s="35">
        <v>0</v>
      </c>
      <c r="F98" s="35">
        <v>0</v>
      </c>
      <c r="G98" s="15" t="s">
        <v>882</v>
      </c>
      <c r="H98" s="35">
        <f t="shared" si="9"/>
        <v>0</v>
      </c>
      <c r="I98" s="35">
        <v>0</v>
      </c>
      <c r="J98" s="35">
        <v>1100</v>
      </c>
      <c r="K98" s="35">
        <f>_xlfn.LET(_xlpm.x,_xlfn.XLOOKUP(A98&amp;"/2/1",'[1]S_ALR Export'!$O$1:$O$777,'[1]S_ALR Export'!$I$1:$I$777,"",0),IF(_xlpm.x="",0,IF(ISNUMBER(_xlpm.x),_xlpm.x,_xlfn.NUMBERVALUE(_xlpm.x,",","."))))</f>
        <v>40000</v>
      </c>
      <c r="L98" s="35">
        <f t="shared" si="10"/>
        <v>1100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f t="shared" si="11"/>
        <v>0</v>
      </c>
      <c r="S98" s="35">
        <v>0</v>
      </c>
      <c r="T98" s="35">
        <f>_xlfn.LET(_xlpm.x,_xlfn.XLOOKUP(A98&amp;"/2/2",'[1]S_ALR Export'!$O$1:$O$777,'[1]S_ALR Export'!$I$1:$I$777,"",0),IF(_xlpm.x="",0,IF(ISNUMBER(_xlpm.x),_xlpm.x,_xlfn.NUMBERVALUE(_xlpm.x,",","."))))</f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f t="shared" si="12"/>
        <v>0</v>
      </c>
      <c r="AC98" s="35">
        <f t="shared" si="8"/>
        <v>1100</v>
      </c>
      <c r="AD98" s="35">
        <f t="shared" si="13"/>
        <v>1100</v>
      </c>
      <c r="AE98" s="36" t="str">
        <f>_xlfn.XLOOKUP(A98,'[1]S_ALR Export'!$O$1:$O$777,'[1]S_ALR Export'!$I$1:$I$777,"",0)</f>
        <v>40.000,00</v>
      </c>
    </row>
    <row r="99" spans="1:31" ht="14.5" x14ac:dyDescent="0.25">
      <c r="A99" s="37" t="s">
        <v>980</v>
      </c>
      <c r="B99" s="38">
        <v>0</v>
      </c>
      <c r="C99" s="38">
        <v>0</v>
      </c>
      <c r="D99" s="38">
        <v>0</v>
      </c>
      <c r="E99" s="38">
        <v>0</v>
      </c>
      <c r="F99" s="38">
        <v>0</v>
      </c>
      <c r="G99" s="15" t="s">
        <v>882</v>
      </c>
      <c r="H99" s="35">
        <f t="shared" si="9"/>
        <v>0</v>
      </c>
      <c r="I99" s="38">
        <v>0</v>
      </c>
      <c r="J99" s="38">
        <v>0</v>
      </c>
      <c r="K99" s="35">
        <f>_xlfn.LET(_xlpm.x,_xlfn.XLOOKUP(A99&amp;"/2/1",'[1]S_ALR Export'!$O$1:$O$777,'[1]S_ALR Export'!$I$1:$I$777,"",0),IF(_xlpm.x="",0,IF(ISNUMBER(_xlpm.x),_xlpm.x,_xlfn.NUMBERVALUE(_xlpm.x,",","."))))</f>
        <v>83000</v>
      </c>
      <c r="L99" s="38">
        <f t="shared" si="10"/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5">
        <f t="shared" si="11"/>
        <v>0</v>
      </c>
      <c r="S99" s="38">
        <v>0</v>
      </c>
      <c r="T99" s="35">
        <f>_xlfn.LET(_xlpm.x,_xlfn.XLOOKUP(A99&amp;"/2/2",'[1]S_ALR Export'!$O$1:$O$777,'[1]S_ALR Export'!$I$1:$I$777,"",0),IF(_xlpm.x="",0,IF(ISNUMBER(_xlpm.x),_xlpm.x,_xlfn.NUMBERVALUE(_xlpm.x,",","."))))</f>
        <v>0</v>
      </c>
      <c r="U99" s="38">
        <v>0</v>
      </c>
      <c r="V99" s="38">
        <v>0</v>
      </c>
      <c r="W99" s="38">
        <v>0</v>
      </c>
      <c r="X99" s="38">
        <v>0</v>
      </c>
      <c r="Y99" s="38">
        <v>0</v>
      </c>
      <c r="Z99" s="38">
        <v>0</v>
      </c>
      <c r="AA99" s="38">
        <v>0</v>
      </c>
      <c r="AB99" s="35">
        <f t="shared" si="12"/>
        <v>0</v>
      </c>
      <c r="AC99" s="35">
        <f t="shared" si="8"/>
        <v>0</v>
      </c>
      <c r="AD99" s="35">
        <f t="shared" si="13"/>
        <v>0</v>
      </c>
      <c r="AE99" s="36" t="str">
        <f>_xlfn.XLOOKUP(A99,'[1]S_ALR Export'!$O$1:$O$777,'[1]S_ALR Export'!$I$1:$I$777,"",0)</f>
        <v>83.000,00</v>
      </c>
    </row>
    <row r="100" spans="1:31" ht="14.5" x14ac:dyDescent="0.25">
      <c r="A100" s="37" t="s">
        <v>981</v>
      </c>
      <c r="B100" s="35">
        <v>0</v>
      </c>
      <c r="C100" s="35">
        <v>0</v>
      </c>
      <c r="D100" s="35">
        <v>0</v>
      </c>
      <c r="E100" s="35">
        <v>0</v>
      </c>
      <c r="F100" s="35">
        <v>0</v>
      </c>
      <c r="G100" s="15" t="s">
        <v>882</v>
      </c>
      <c r="H100" s="35">
        <f t="shared" si="9"/>
        <v>0</v>
      </c>
      <c r="I100" s="35">
        <v>0</v>
      </c>
      <c r="J100" s="35">
        <v>0</v>
      </c>
      <c r="K100" s="35">
        <f>_xlfn.LET(_xlpm.x,_xlfn.XLOOKUP(A100&amp;"/2/1",'[1]S_ALR Export'!$O$1:$O$777,'[1]S_ALR Export'!$I$1:$I$777,"",0),IF(_xlpm.x="",0,IF(ISNUMBER(_xlpm.x),_xlpm.x,_xlfn.NUMBERVALUE(_xlpm.x,",","."))))</f>
        <v>43000</v>
      </c>
      <c r="L100" s="35">
        <f t="shared" si="10"/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f t="shared" si="11"/>
        <v>0</v>
      </c>
      <c r="S100" s="35">
        <v>0</v>
      </c>
      <c r="T100" s="35">
        <f>_xlfn.LET(_xlpm.x,_xlfn.XLOOKUP(A100&amp;"/2/2",'[1]S_ALR Export'!$O$1:$O$777,'[1]S_ALR Export'!$I$1:$I$777,"",0),IF(_xlpm.x="",0,IF(ISNUMBER(_xlpm.x),_xlpm.x,_xlfn.NUMBERVALUE(_xlpm.x,",","."))))</f>
        <v>0</v>
      </c>
      <c r="U100" s="35">
        <v>0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  <c r="AB100" s="35">
        <f t="shared" si="12"/>
        <v>0</v>
      </c>
      <c r="AC100" s="35">
        <f t="shared" ref="AC100:AC132" si="14">SUM(L100,U100)</f>
        <v>0</v>
      </c>
      <c r="AD100" s="35">
        <f t="shared" si="13"/>
        <v>0</v>
      </c>
      <c r="AE100" s="36" t="str">
        <f>_xlfn.XLOOKUP(A100,'[1]S_ALR Export'!$O$1:$O$777,'[1]S_ALR Export'!$I$1:$I$777,"",0)</f>
        <v>43.000,00</v>
      </c>
    </row>
    <row r="101" spans="1:31" ht="14.5" x14ac:dyDescent="0.25">
      <c r="A101" s="37" t="s">
        <v>982</v>
      </c>
      <c r="B101" s="38">
        <v>0</v>
      </c>
      <c r="C101" s="38">
        <v>0</v>
      </c>
      <c r="D101" s="38">
        <v>0</v>
      </c>
      <c r="E101" s="38">
        <v>0</v>
      </c>
      <c r="F101" s="38">
        <v>0</v>
      </c>
      <c r="G101" s="15" t="s">
        <v>882</v>
      </c>
      <c r="H101" s="35">
        <f t="shared" si="9"/>
        <v>0</v>
      </c>
      <c r="I101" s="38">
        <v>0</v>
      </c>
      <c r="J101" s="38">
        <v>900</v>
      </c>
      <c r="K101" s="35">
        <f>_xlfn.LET(_xlpm.x,_xlfn.XLOOKUP(A101&amp;"/2/1",'[1]S_ALR Export'!$O$1:$O$777,'[1]S_ALR Export'!$I$1:$I$777,"",0),IF(_xlpm.x="",0,IF(ISNUMBER(_xlpm.x),_xlpm.x,_xlfn.NUMBERVALUE(_xlpm.x,",","."))))</f>
        <v>3200</v>
      </c>
      <c r="L101" s="38">
        <f t="shared" si="10"/>
        <v>900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5">
        <f t="shared" si="11"/>
        <v>0</v>
      </c>
      <c r="S101" s="38">
        <v>0</v>
      </c>
      <c r="T101" s="35">
        <f>_xlfn.LET(_xlpm.x,_xlfn.XLOOKUP(A101&amp;"/2/2",'[1]S_ALR Export'!$O$1:$O$777,'[1]S_ALR Export'!$I$1:$I$777,"",0),IF(_xlpm.x="",0,IF(ISNUMBER(_xlpm.x),_xlpm.x,_xlfn.NUMBERVALUE(_xlpm.x,",","."))))</f>
        <v>70000</v>
      </c>
      <c r="U101" s="38">
        <v>0</v>
      </c>
      <c r="V101" s="38">
        <v>0</v>
      </c>
      <c r="W101" s="38">
        <v>0</v>
      </c>
      <c r="X101" s="38">
        <v>0</v>
      </c>
      <c r="Y101" s="38">
        <v>0</v>
      </c>
      <c r="Z101" s="38">
        <v>0</v>
      </c>
      <c r="AA101" s="38">
        <v>0</v>
      </c>
      <c r="AB101" s="35">
        <f t="shared" si="12"/>
        <v>0</v>
      </c>
      <c r="AC101" s="35">
        <f t="shared" si="14"/>
        <v>900</v>
      </c>
      <c r="AD101" s="35">
        <f t="shared" si="13"/>
        <v>900</v>
      </c>
      <c r="AE101" s="36" t="str">
        <f>_xlfn.XLOOKUP(A101,'[1]S_ALR Export'!$O$1:$O$777,'[1]S_ALR Export'!$I$1:$I$777,"",0)</f>
        <v>73.200,00</v>
      </c>
    </row>
    <row r="102" spans="1:31" ht="14.5" x14ac:dyDescent="0.25">
      <c r="A102" s="37" t="s">
        <v>983</v>
      </c>
      <c r="B102" s="35">
        <v>0</v>
      </c>
      <c r="C102" s="35">
        <v>0</v>
      </c>
      <c r="D102" s="35">
        <v>0</v>
      </c>
      <c r="E102" s="35">
        <v>0</v>
      </c>
      <c r="F102" s="35">
        <v>0</v>
      </c>
      <c r="G102" s="15" t="s">
        <v>884</v>
      </c>
      <c r="H102" s="35">
        <f t="shared" si="9"/>
        <v>0</v>
      </c>
      <c r="I102" s="35">
        <v>0</v>
      </c>
      <c r="J102" s="35">
        <v>28046</v>
      </c>
      <c r="K102" s="35">
        <f>_xlfn.LET(_xlpm.x,_xlfn.XLOOKUP(A102&amp;"/2/1",'[1]S_ALR Export'!$O$1:$O$777,'[1]S_ALR Export'!$I$1:$I$777,"",0),IF(_xlpm.x="",0,IF(ISNUMBER(_xlpm.x),_xlpm.x,_xlfn.NUMBERVALUE(_xlpm.x,",","."))))</f>
        <v>50000</v>
      </c>
      <c r="L102" s="35">
        <f t="shared" si="10"/>
        <v>28046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f t="shared" si="11"/>
        <v>0</v>
      </c>
      <c r="S102" s="35">
        <v>0</v>
      </c>
      <c r="T102" s="35">
        <f>_xlfn.LET(_xlpm.x,_xlfn.XLOOKUP(A102&amp;"/2/2",'[1]S_ALR Export'!$O$1:$O$777,'[1]S_ALR Export'!$I$1:$I$777,"",0),IF(_xlpm.x="",0,IF(ISNUMBER(_xlpm.x),_xlpm.x,_xlfn.NUMBERVALUE(_xlpm.x,",","."))))</f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f t="shared" si="12"/>
        <v>0</v>
      </c>
      <c r="AC102" s="35">
        <f t="shared" si="14"/>
        <v>28046</v>
      </c>
      <c r="AD102" s="35">
        <f t="shared" si="13"/>
        <v>28046</v>
      </c>
      <c r="AE102" s="36" t="str">
        <f>_xlfn.XLOOKUP(A102,'[1]S_ALR Export'!$O$1:$O$777,'[1]S_ALR Export'!$I$1:$I$777,"",0)</f>
        <v>50.000,00</v>
      </c>
    </row>
    <row r="103" spans="1:31" ht="14.5" x14ac:dyDescent="0.25">
      <c r="A103" s="37" t="s">
        <v>984</v>
      </c>
      <c r="B103" s="38">
        <v>0</v>
      </c>
      <c r="C103" s="38">
        <v>0</v>
      </c>
      <c r="D103" s="38">
        <v>0</v>
      </c>
      <c r="E103" s="38">
        <v>0</v>
      </c>
      <c r="F103" s="38">
        <v>0</v>
      </c>
      <c r="G103" s="15" t="s">
        <v>882</v>
      </c>
      <c r="H103" s="35">
        <f t="shared" si="9"/>
        <v>0</v>
      </c>
      <c r="I103" s="38">
        <v>0</v>
      </c>
      <c r="J103" s="38">
        <v>30515</v>
      </c>
      <c r="K103" s="35">
        <f>_xlfn.LET(_xlpm.x,_xlfn.XLOOKUP(A103&amp;"/2/1",'[1]S_ALR Export'!$O$1:$O$777,'[1]S_ALR Export'!$I$1:$I$777,"",0),IF(_xlpm.x="",0,IF(ISNUMBER(_xlpm.x),_xlpm.x,_xlfn.NUMBERVALUE(_xlpm.x,",","."))))</f>
        <v>50000</v>
      </c>
      <c r="L103" s="38">
        <f t="shared" si="10"/>
        <v>30515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5">
        <f t="shared" si="11"/>
        <v>0</v>
      </c>
      <c r="S103" s="38">
        <v>0</v>
      </c>
      <c r="T103" s="35">
        <f>_xlfn.LET(_xlpm.x,_xlfn.XLOOKUP(A103&amp;"/2/2",'[1]S_ALR Export'!$O$1:$O$777,'[1]S_ALR Export'!$I$1:$I$777,"",0),IF(_xlpm.x="",0,IF(ISNUMBER(_xlpm.x),_xlpm.x,_xlfn.NUMBERVALUE(_xlpm.x,",","."))))</f>
        <v>0</v>
      </c>
      <c r="U103" s="38">
        <v>0</v>
      </c>
      <c r="V103" s="38">
        <v>0</v>
      </c>
      <c r="W103" s="38">
        <v>0</v>
      </c>
      <c r="X103" s="38">
        <v>0</v>
      </c>
      <c r="Y103" s="38">
        <v>0</v>
      </c>
      <c r="Z103" s="38">
        <v>0</v>
      </c>
      <c r="AA103" s="38">
        <v>0</v>
      </c>
      <c r="AB103" s="35">
        <f t="shared" si="12"/>
        <v>0</v>
      </c>
      <c r="AC103" s="35">
        <f t="shared" si="14"/>
        <v>30515</v>
      </c>
      <c r="AD103" s="35">
        <f t="shared" si="13"/>
        <v>30515</v>
      </c>
      <c r="AE103" s="36" t="str">
        <f>_xlfn.XLOOKUP(A103,'[1]S_ALR Export'!$O$1:$O$777,'[1]S_ALR Export'!$I$1:$I$777,"",0)</f>
        <v>50.000,00</v>
      </c>
    </row>
    <row r="104" spans="1:31" ht="14.5" x14ac:dyDescent="0.25">
      <c r="A104" s="37" t="s">
        <v>985</v>
      </c>
      <c r="B104" s="35">
        <v>0</v>
      </c>
      <c r="C104" s="35">
        <v>0</v>
      </c>
      <c r="D104" s="35">
        <v>0</v>
      </c>
      <c r="E104" s="35">
        <v>0</v>
      </c>
      <c r="F104" s="35">
        <v>0</v>
      </c>
      <c r="G104" s="15" t="s">
        <v>882</v>
      </c>
      <c r="H104" s="35">
        <f t="shared" si="9"/>
        <v>0</v>
      </c>
      <c r="I104" s="35">
        <v>0</v>
      </c>
      <c r="J104" s="35">
        <v>1600</v>
      </c>
      <c r="K104" s="35">
        <f>_xlfn.LET(_xlpm.x,_xlfn.XLOOKUP(A104&amp;"/2/1",'[1]S_ALR Export'!$O$1:$O$777,'[1]S_ALR Export'!$I$1:$I$777,"",0),IF(_xlpm.x="",0,IF(ISNUMBER(_xlpm.x),_xlpm.x,_xlfn.NUMBERVALUE(_xlpm.x,",","."))))</f>
        <v>20000</v>
      </c>
      <c r="L104" s="35">
        <f t="shared" si="10"/>
        <v>1600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f t="shared" si="11"/>
        <v>0</v>
      </c>
      <c r="S104" s="35">
        <v>0</v>
      </c>
      <c r="T104" s="35">
        <f>_xlfn.LET(_xlpm.x,_xlfn.XLOOKUP(A104&amp;"/2/2",'[1]S_ALR Export'!$O$1:$O$777,'[1]S_ALR Export'!$I$1:$I$777,"",0),IF(_xlpm.x="",0,IF(ISNUMBER(_xlpm.x),_xlpm.x,_xlfn.NUMBERVALUE(_xlpm.x,",","."))))</f>
        <v>0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f t="shared" si="12"/>
        <v>0</v>
      </c>
      <c r="AC104" s="35">
        <f t="shared" si="14"/>
        <v>1600</v>
      </c>
      <c r="AD104" s="35">
        <f t="shared" si="13"/>
        <v>1600</v>
      </c>
      <c r="AE104" s="36" t="str">
        <f>_xlfn.XLOOKUP(A104,'[1]S_ALR Export'!$O$1:$O$777,'[1]S_ALR Export'!$I$1:$I$777,"",0)</f>
        <v>20.000,00</v>
      </c>
    </row>
    <row r="105" spans="1:31" ht="14.5" x14ac:dyDescent="0.25">
      <c r="A105" s="37" t="s">
        <v>986</v>
      </c>
      <c r="B105" s="38">
        <v>0</v>
      </c>
      <c r="C105" s="38">
        <v>0</v>
      </c>
      <c r="D105" s="38">
        <v>0</v>
      </c>
      <c r="E105" s="38">
        <v>0</v>
      </c>
      <c r="F105" s="38">
        <v>0</v>
      </c>
      <c r="G105" s="15" t="s">
        <v>882</v>
      </c>
      <c r="H105" s="35">
        <f t="shared" si="9"/>
        <v>0</v>
      </c>
      <c r="I105" s="38">
        <v>0</v>
      </c>
      <c r="J105" s="38">
        <v>2100</v>
      </c>
      <c r="K105" s="35">
        <f>_xlfn.LET(_xlpm.x,_xlfn.XLOOKUP(A105&amp;"/2/1",'[1]S_ALR Export'!$O$1:$O$777,'[1]S_ALR Export'!$I$1:$I$777,"",0),IF(_xlpm.x="",0,IF(ISNUMBER(_xlpm.x),_xlpm.x,_xlfn.NUMBERVALUE(_xlpm.x,",","."))))</f>
        <v>20000</v>
      </c>
      <c r="L105" s="38">
        <f t="shared" si="10"/>
        <v>2100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5">
        <f t="shared" si="11"/>
        <v>0</v>
      </c>
      <c r="S105" s="38">
        <v>0</v>
      </c>
      <c r="T105" s="35">
        <f>_xlfn.LET(_xlpm.x,_xlfn.XLOOKUP(A105&amp;"/2/2",'[1]S_ALR Export'!$O$1:$O$777,'[1]S_ALR Export'!$I$1:$I$777,"",0),IF(_xlpm.x="",0,IF(ISNUMBER(_xlpm.x),_xlpm.x,_xlfn.NUMBERVALUE(_xlpm.x,",","."))))</f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0</v>
      </c>
      <c r="Z105" s="38">
        <v>0</v>
      </c>
      <c r="AA105" s="38">
        <v>0</v>
      </c>
      <c r="AB105" s="35">
        <f t="shared" si="12"/>
        <v>0</v>
      </c>
      <c r="AC105" s="35">
        <f t="shared" si="14"/>
        <v>2100</v>
      </c>
      <c r="AD105" s="35">
        <f t="shared" si="13"/>
        <v>2100</v>
      </c>
      <c r="AE105" s="36" t="str">
        <f>_xlfn.XLOOKUP(A105,'[1]S_ALR Export'!$O$1:$O$777,'[1]S_ALR Export'!$I$1:$I$777,"",0)</f>
        <v>20.000,00</v>
      </c>
    </row>
    <row r="106" spans="1:31" ht="14.5" x14ac:dyDescent="0.25">
      <c r="A106" s="37" t="s">
        <v>987</v>
      </c>
      <c r="B106" s="35">
        <v>0</v>
      </c>
      <c r="C106" s="35">
        <v>0</v>
      </c>
      <c r="D106" s="35">
        <v>0</v>
      </c>
      <c r="E106" s="35">
        <v>0</v>
      </c>
      <c r="F106" s="35">
        <v>0</v>
      </c>
      <c r="G106" s="15" t="s">
        <v>882</v>
      </c>
      <c r="H106" s="35">
        <f t="shared" si="9"/>
        <v>0</v>
      </c>
      <c r="I106" s="35">
        <v>0</v>
      </c>
      <c r="J106" s="35">
        <v>2255</v>
      </c>
      <c r="K106" s="35">
        <f>_xlfn.LET(_xlpm.x,_xlfn.XLOOKUP(A106&amp;"/2/1",'[1]S_ALR Export'!$O$1:$O$777,'[1]S_ALR Export'!$I$1:$I$777,"",0),IF(_xlpm.x="",0,IF(ISNUMBER(_xlpm.x),_xlpm.x,_xlfn.NUMBERVALUE(_xlpm.x,",","."))))</f>
        <v>12800</v>
      </c>
      <c r="L106" s="35">
        <f t="shared" si="10"/>
        <v>2255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f t="shared" si="11"/>
        <v>0</v>
      </c>
      <c r="S106" s="35">
        <v>0</v>
      </c>
      <c r="T106" s="35">
        <f>_xlfn.LET(_xlpm.x,_xlfn.XLOOKUP(A106&amp;"/2/2",'[1]S_ALR Export'!$O$1:$O$777,'[1]S_ALR Export'!$I$1:$I$777,"",0),IF(_xlpm.x="",0,IF(ISNUMBER(_xlpm.x),_xlpm.x,_xlfn.NUMBERVALUE(_xlpm.x,",","."))))</f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f t="shared" si="12"/>
        <v>0</v>
      </c>
      <c r="AC106" s="35">
        <f t="shared" si="14"/>
        <v>2255</v>
      </c>
      <c r="AD106" s="35">
        <f t="shared" si="13"/>
        <v>2255</v>
      </c>
      <c r="AE106" s="36" t="str">
        <f>_xlfn.XLOOKUP(A106,'[1]S_ALR Export'!$O$1:$O$777,'[1]S_ALR Export'!$I$1:$I$777,"",0)</f>
        <v>12.800,00</v>
      </c>
    </row>
    <row r="107" spans="1:31" ht="14.5" x14ac:dyDescent="0.25">
      <c r="A107" s="37" t="s">
        <v>988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15" t="s">
        <v>882</v>
      </c>
      <c r="H107" s="35">
        <f t="shared" si="9"/>
        <v>0</v>
      </c>
      <c r="I107" s="38">
        <v>0</v>
      </c>
      <c r="J107" s="38">
        <v>5100</v>
      </c>
      <c r="K107" s="35">
        <f>_xlfn.LET(_xlpm.x,_xlfn.XLOOKUP(A107&amp;"/2/1",'[1]S_ALR Export'!$O$1:$O$777,'[1]S_ALR Export'!$I$1:$I$777,"",0),IF(_xlpm.x="",0,IF(ISNUMBER(_xlpm.x),_xlpm.x,_xlfn.NUMBERVALUE(_xlpm.x,",","."))))</f>
        <v>5880</v>
      </c>
      <c r="L107" s="38">
        <f t="shared" si="10"/>
        <v>5100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5">
        <f t="shared" si="11"/>
        <v>0</v>
      </c>
      <c r="S107" s="38">
        <v>0</v>
      </c>
      <c r="T107" s="35">
        <f>_xlfn.LET(_xlpm.x,_xlfn.XLOOKUP(A107&amp;"/2/2",'[1]S_ALR Export'!$O$1:$O$777,'[1]S_ALR Export'!$I$1:$I$777,"",0),IF(_xlpm.x="",0,IF(ISNUMBER(_xlpm.x),_xlpm.x,_xlfn.NUMBERVALUE(_xlpm.x,",","."))))</f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5">
        <f t="shared" si="12"/>
        <v>0</v>
      </c>
      <c r="AC107" s="35">
        <f t="shared" si="14"/>
        <v>5100</v>
      </c>
      <c r="AD107" s="35">
        <f t="shared" si="13"/>
        <v>5100</v>
      </c>
      <c r="AE107" s="36" t="str">
        <f>_xlfn.XLOOKUP(A107,'[1]S_ALR Export'!$O$1:$O$777,'[1]S_ALR Export'!$I$1:$I$777,"",0)</f>
        <v>5.880,00</v>
      </c>
    </row>
    <row r="108" spans="1:31" ht="14.5" x14ac:dyDescent="0.25">
      <c r="A108" s="37" t="s">
        <v>989</v>
      </c>
      <c r="B108" s="35">
        <v>0</v>
      </c>
      <c r="C108" s="35">
        <v>0</v>
      </c>
      <c r="D108" s="35">
        <v>0</v>
      </c>
      <c r="E108" s="35">
        <v>0</v>
      </c>
      <c r="F108" s="35">
        <v>0</v>
      </c>
      <c r="G108" s="15" t="s">
        <v>882</v>
      </c>
      <c r="H108" s="35">
        <f t="shared" si="9"/>
        <v>0</v>
      </c>
      <c r="I108" s="35">
        <v>0</v>
      </c>
      <c r="J108" s="35">
        <v>6400</v>
      </c>
      <c r="K108" s="35">
        <f>_xlfn.LET(_xlpm.x,_xlfn.XLOOKUP(A108&amp;"/2/1",'[1]S_ALR Export'!$O$1:$O$777,'[1]S_ALR Export'!$I$1:$I$777,"",0),IF(_xlpm.x="",0,IF(ISNUMBER(_xlpm.x),_xlpm.x,_xlfn.NUMBERVALUE(_xlpm.x,",","."))))</f>
        <v>20000</v>
      </c>
      <c r="L108" s="35">
        <f t="shared" si="10"/>
        <v>6400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f t="shared" si="11"/>
        <v>0</v>
      </c>
      <c r="S108" s="35">
        <v>0</v>
      </c>
      <c r="T108" s="35">
        <f>_xlfn.LET(_xlpm.x,_xlfn.XLOOKUP(A108&amp;"/2/2",'[1]S_ALR Export'!$O$1:$O$777,'[1]S_ALR Export'!$I$1:$I$777,"",0),IF(_xlpm.x="",0,IF(ISNUMBER(_xlpm.x),_xlpm.x,_xlfn.NUMBERVALUE(_xlpm.x,",","."))))</f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f t="shared" si="12"/>
        <v>0</v>
      </c>
      <c r="AC108" s="35">
        <f t="shared" si="14"/>
        <v>6400</v>
      </c>
      <c r="AD108" s="35">
        <f t="shared" si="13"/>
        <v>6400</v>
      </c>
      <c r="AE108" s="36" t="str">
        <f>_xlfn.XLOOKUP(A108,'[1]S_ALR Export'!$O$1:$O$777,'[1]S_ALR Export'!$I$1:$I$777,"",0)</f>
        <v>20.000,00</v>
      </c>
    </row>
    <row r="109" spans="1:31" ht="14.5" x14ac:dyDescent="0.25">
      <c r="A109" s="37" t="s">
        <v>990</v>
      </c>
      <c r="B109" s="38">
        <v>0</v>
      </c>
      <c r="C109" s="38">
        <v>0</v>
      </c>
      <c r="D109" s="38">
        <v>0</v>
      </c>
      <c r="E109" s="38">
        <v>0</v>
      </c>
      <c r="F109" s="38">
        <v>3074.5</v>
      </c>
      <c r="G109" s="15" t="s">
        <v>882</v>
      </c>
      <c r="H109" s="35">
        <f t="shared" si="9"/>
        <v>3074.5</v>
      </c>
      <c r="I109" s="38">
        <v>0</v>
      </c>
      <c r="J109" s="38">
        <v>0</v>
      </c>
      <c r="K109" s="35">
        <f>_xlfn.LET(_xlpm.x,_xlfn.XLOOKUP(A109&amp;"/2/1",'[1]S_ALR Export'!$O$1:$O$777,'[1]S_ALR Export'!$I$1:$I$777,"",0),IF(_xlpm.x="",0,IF(ISNUMBER(_xlpm.x),_xlpm.x,_xlfn.NUMBERVALUE(_xlpm.x,",","."))))</f>
        <v>3075</v>
      </c>
      <c r="L109" s="38">
        <f t="shared" si="10"/>
        <v>3074.5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5">
        <f t="shared" si="11"/>
        <v>0</v>
      </c>
      <c r="S109" s="38">
        <v>0</v>
      </c>
      <c r="T109" s="35">
        <f>_xlfn.LET(_xlpm.x,_xlfn.XLOOKUP(A109&amp;"/2/2",'[1]S_ALR Export'!$O$1:$O$777,'[1]S_ALR Export'!$I$1:$I$777,"",0),IF(_xlpm.x="",0,IF(ISNUMBER(_xlpm.x),_xlpm.x,_xlfn.NUMBERVALUE(_xlpm.x,",","."))))</f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0</v>
      </c>
      <c r="Z109" s="38">
        <v>-3229</v>
      </c>
      <c r="AA109" s="38">
        <v>0</v>
      </c>
      <c r="AB109" s="35">
        <f t="shared" si="12"/>
        <v>-3229</v>
      </c>
      <c r="AC109" s="35">
        <f t="shared" si="14"/>
        <v>3074.5</v>
      </c>
      <c r="AD109" s="35">
        <f t="shared" si="13"/>
        <v>-154.5</v>
      </c>
      <c r="AE109" s="36" t="str">
        <f>_xlfn.XLOOKUP(A109,'[1]S_ALR Export'!$O$1:$O$777,'[1]S_ALR Export'!$I$1:$I$777,"",0)</f>
        <v>3.075,00</v>
      </c>
    </row>
    <row r="110" spans="1:31" ht="14.5" x14ac:dyDescent="0.25">
      <c r="A110" s="37" t="s">
        <v>991</v>
      </c>
      <c r="B110" s="35">
        <v>0</v>
      </c>
      <c r="C110" s="35">
        <v>0</v>
      </c>
      <c r="D110" s="35">
        <v>0</v>
      </c>
      <c r="E110" s="35">
        <v>0</v>
      </c>
      <c r="F110" s="35">
        <v>0</v>
      </c>
      <c r="G110" s="15" t="s">
        <v>882</v>
      </c>
      <c r="H110" s="35">
        <f t="shared" si="9"/>
        <v>0</v>
      </c>
      <c r="I110" s="35">
        <v>0</v>
      </c>
      <c r="J110" s="35">
        <v>3900</v>
      </c>
      <c r="K110" s="35">
        <f>_xlfn.LET(_xlpm.x,_xlfn.XLOOKUP(A110&amp;"/2/1",'[1]S_ALR Export'!$O$1:$O$777,'[1]S_ALR Export'!$I$1:$I$777,"",0),IF(_xlpm.x="",0,IF(ISNUMBER(_xlpm.x),_xlpm.x,_xlfn.NUMBERVALUE(_xlpm.x,",","."))))</f>
        <v>3900</v>
      </c>
      <c r="L110" s="35">
        <f t="shared" si="10"/>
        <v>3900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f t="shared" si="11"/>
        <v>0</v>
      </c>
      <c r="S110" s="35">
        <v>0</v>
      </c>
      <c r="T110" s="35">
        <f>_xlfn.LET(_xlpm.x,_xlfn.XLOOKUP(A110&amp;"/2/2",'[1]S_ALR Export'!$O$1:$O$777,'[1]S_ALR Export'!$I$1:$I$777,"",0),IF(_xlpm.x="",0,IF(ISNUMBER(_xlpm.x),_xlpm.x,_xlfn.NUMBERVALUE(_xlpm.x,",","."))))</f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f t="shared" si="12"/>
        <v>0</v>
      </c>
      <c r="AC110" s="35">
        <f t="shared" si="14"/>
        <v>3900</v>
      </c>
      <c r="AD110" s="35">
        <f t="shared" si="13"/>
        <v>3900</v>
      </c>
      <c r="AE110" s="36" t="str">
        <f>_xlfn.XLOOKUP(A110,'[1]S_ALR Export'!$O$1:$O$777,'[1]S_ALR Export'!$I$1:$I$777,"",0)</f>
        <v>3.900,00</v>
      </c>
    </row>
    <row r="111" spans="1:31" ht="14.5" x14ac:dyDescent="0.25">
      <c r="A111" s="37" t="s">
        <v>992</v>
      </c>
      <c r="B111" s="38">
        <v>0</v>
      </c>
      <c r="C111" s="38">
        <v>0</v>
      </c>
      <c r="D111" s="38">
        <v>0</v>
      </c>
      <c r="E111" s="38">
        <v>0</v>
      </c>
      <c r="F111" s="38">
        <v>0</v>
      </c>
      <c r="G111" s="15" t="s">
        <v>882</v>
      </c>
      <c r="H111" s="35">
        <f t="shared" si="9"/>
        <v>0</v>
      </c>
      <c r="I111" s="38">
        <v>0</v>
      </c>
      <c r="J111" s="38">
        <v>11125</v>
      </c>
      <c r="K111" s="35">
        <f>_xlfn.LET(_xlpm.x,_xlfn.XLOOKUP(A111&amp;"/2/1",'[1]S_ALR Export'!$O$1:$O$777,'[1]S_ALR Export'!$I$1:$I$777,"",0),IF(_xlpm.x="",0,IF(ISNUMBER(_xlpm.x),_xlpm.x,_xlfn.NUMBERVALUE(_xlpm.x,",","."))))</f>
        <v>15000</v>
      </c>
      <c r="L111" s="38">
        <f t="shared" si="10"/>
        <v>11125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5">
        <f t="shared" si="11"/>
        <v>0</v>
      </c>
      <c r="S111" s="38">
        <v>0</v>
      </c>
      <c r="T111" s="35">
        <f>_xlfn.LET(_xlpm.x,_xlfn.XLOOKUP(A111&amp;"/2/2",'[1]S_ALR Export'!$O$1:$O$777,'[1]S_ALR Export'!$I$1:$I$777,"",0),IF(_xlpm.x="",0,IF(ISNUMBER(_xlpm.x),_xlpm.x,_xlfn.NUMBERVALUE(_xlpm.x,",","."))))</f>
        <v>0</v>
      </c>
      <c r="U111" s="38">
        <v>0</v>
      </c>
      <c r="V111" s="38">
        <v>0</v>
      </c>
      <c r="W111" s="38">
        <v>0</v>
      </c>
      <c r="X111" s="38">
        <v>0</v>
      </c>
      <c r="Y111" s="38">
        <v>0</v>
      </c>
      <c r="Z111" s="38">
        <v>0</v>
      </c>
      <c r="AA111" s="38">
        <v>0</v>
      </c>
      <c r="AB111" s="35">
        <f t="shared" si="12"/>
        <v>0</v>
      </c>
      <c r="AC111" s="35">
        <f t="shared" si="14"/>
        <v>11125</v>
      </c>
      <c r="AD111" s="35">
        <f t="shared" si="13"/>
        <v>11125</v>
      </c>
      <c r="AE111" s="36" t="str">
        <f>_xlfn.XLOOKUP(A111,'[1]S_ALR Export'!$O$1:$O$777,'[1]S_ALR Export'!$I$1:$I$777,"",0)</f>
        <v>15.000,00</v>
      </c>
    </row>
    <row r="112" spans="1:31" ht="14.5" x14ac:dyDescent="0.25">
      <c r="A112" s="37" t="s">
        <v>993</v>
      </c>
      <c r="B112" s="35">
        <v>0</v>
      </c>
      <c r="C112" s="35">
        <v>0</v>
      </c>
      <c r="D112" s="35">
        <v>0</v>
      </c>
      <c r="E112" s="35">
        <v>0</v>
      </c>
      <c r="F112" s="35">
        <v>0</v>
      </c>
      <c r="G112" s="15" t="s">
        <v>882</v>
      </c>
      <c r="H112" s="35">
        <f t="shared" si="9"/>
        <v>0</v>
      </c>
      <c r="I112" s="35">
        <v>0</v>
      </c>
      <c r="J112" s="35">
        <v>19000</v>
      </c>
      <c r="K112" s="35">
        <f>_xlfn.LET(_xlpm.x,_xlfn.XLOOKUP(A112&amp;"/2/1",'[1]S_ALR Export'!$O$1:$O$777,'[1]S_ALR Export'!$I$1:$I$777,"",0),IF(_xlpm.x="",0,IF(ISNUMBER(_xlpm.x),_xlpm.x,_xlfn.NUMBERVALUE(_xlpm.x,",","."))))</f>
        <v>19000</v>
      </c>
      <c r="L112" s="35">
        <f t="shared" si="10"/>
        <v>19000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f t="shared" si="11"/>
        <v>0</v>
      </c>
      <c r="S112" s="35">
        <v>0</v>
      </c>
      <c r="T112" s="35">
        <f>_xlfn.LET(_xlpm.x,_xlfn.XLOOKUP(A112&amp;"/2/2",'[1]S_ALR Export'!$O$1:$O$777,'[1]S_ALR Export'!$I$1:$I$777,"",0),IF(_xlpm.x="",0,IF(ISNUMBER(_xlpm.x),_xlpm.x,_xlfn.NUMBERVALUE(_xlpm.x,",","."))))</f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f t="shared" si="12"/>
        <v>0</v>
      </c>
      <c r="AC112" s="35">
        <f t="shared" si="14"/>
        <v>19000</v>
      </c>
      <c r="AD112" s="35">
        <f t="shared" si="13"/>
        <v>19000</v>
      </c>
      <c r="AE112" s="36" t="str">
        <f>_xlfn.XLOOKUP(A112,'[1]S_ALR Export'!$O$1:$O$777,'[1]S_ALR Export'!$I$1:$I$777,"",0)</f>
        <v>19.000,00</v>
      </c>
    </row>
    <row r="113" spans="1:31" ht="14.5" x14ac:dyDescent="0.25">
      <c r="A113" s="37" t="s">
        <v>994</v>
      </c>
      <c r="B113" s="38">
        <v>0</v>
      </c>
      <c r="C113" s="38">
        <v>0</v>
      </c>
      <c r="D113" s="38">
        <v>0</v>
      </c>
      <c r="E113" s="38">
        <v>0</v>
      </c>
      <c r="F113" s="38">
        <v>9588</v>
      </c>
      <c r="G113" s="15" t="s">
        <v>882</v>
      </c>
      <c r="H113" s="35">
        <f t="shared" si="9"/>
        <v>9588</v>
      </c>
      <c r="I113" s="38">
        <v>430</v>
      </c>
      <c r="J113" s="38">
        <v>0</v>
      </c>
      <c r="K113" s="35">
        <f>_xlfn.LET(_xlpm.x,_xlfn.XLOOKUP(A113&amp;"/2/1",'[1]S_ALR Export'!$O$1:$O$777,'[1]S_ALR Export'!$I$1:$I$777,"",0),IF(_xlpm.x="",0,IF(ISNUMBER(_xlpm.x),_xlpm.x,_xlfn.NUMBERVALUE(_xlpm.x,",","."))))</f>
        <v>10018</v>
      </c>
      <c r="L113" s="38">
        <f t="shared" si="10"/>
        <v>10018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5">
        <f t="shared" si="11"/>
        <v>0</v>
      </c>
      <c r="S113" s="38">
        <v>0</v>
      </c>
      <c r="T113" s="35">
        <f>_xlfn.LET(_xlpm.x,_xlfn.XLOOKUP(A113&amp;"/2/2",'[1]S_ALR Export'!$O$1:$O$777,'[1]S_ALR Export'!$I$1:$I$777,"",0),IF(_xlpm.x="",0,IF(ISNUMBER(_xlpm.x),_xlpm.x,_xlfn.NUMBERVALUE(_xlpm.x,",","."))))</f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-12000</v>
      </c>
      <c r="AA113" s="38">
        <v>0</v>
      </c>
      <c r="AB113" s="35">
        <f t="shared" si="12"/>
        <v>-12000</v>
      </c>
      <c r="AC113" s="35">
        <f t="shared" si="14"/>
        <v>10018</v>
      </c>
      <c r="AD113" s="35">
        <f t="shared" si="13"/>
        <v>-1982</v>
      </c>
      <c r="AE113" s="36" t="str">
        <f>_xlfn.XLOOKUP(A113,'[1]S_ALR Export'!$O$1:$O$777,'[1]S_ALR Export'!$I$1:$I$777,"",0)</f>
        <v>10.018,00</v>
      </c>
    </row>
    <row r="114" spans="1:31" ht="14.5" x14ac:dyDescent="0.25">
      <c r="A114" s="37" t="s">
        <v>995</v>
      </c>
      <c r="B114" s="35">
        <v>0</v>
      </c>
      <c r="C114" s="35">
        <v>0</v>
      </c>
      <c r="D114" s="35">
        <v>0</v>
      </c>
      <c r="E114" s="35">
        <v>0</v>
      </c>
      <c r="F114" s="35">
        <v>4758</v>
      </c>
      <c r="G114" s="15" t="s">
        <v>882</v>
      </c>
      <c r="H114" s="35">
        <f t="shared" si="9"/>
        <v>4758</v>
      </c>
      <c r="I114" s="35">
        <v>2705</v>
      </c>
      <c r="J114" s="35">
        <v>0</v>
      </c>
      <c r="K114" s="35">
        <f>_xlfn.LET(_xlpm.x,_xlfn.XLOOKUP(A114&amp;"/2/1",'[1]S_ALR Export'!$O$1:$O$777,'[1]S_ALR Export'!$I$1:$I$777,"",0),IF(_xlpm.x="",0,IF(ISNUMBER(_xlpm.x),_xlpm.x,_xlfn.NUMBERVALUE(_xlpm.x,",","."))))</f>
        <v>12000</v>
      </c>
      <c r="L114" s="35">
        <f t="shared" si="10"/>
        <v>7463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f t="shared" si="11"/>
        <v>0</v>
      </c>
      <c r="S114" s="35">
        <v>0</v>
      </c>
      <c r="T114" s="35">
        <f>_xlfn.LET(_xlpm.x,_xlfn.XLOOKUP(A114&amp;"/2/2",'[1]S_ALR Export'!$O$1:$O$777,'[1]S_ALR Export'!$I$1:$I$777,"",0),IF(_xlpm.x="",0,IF(ISNUMBER(_xlpm.x),_xlpm.x,_xlfn.NUMBERVALUE(_xlpm.x,",","."))))</f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-3000</v>
      </c>
      <c r="AA114" s="35">
        <v>-2740</v>
      </c>
      <c r="AB114" s="35">
        <f t="shared" si="12"/>
        <v>-5740</v>
      </c>
      <c r="AC114" s="35">
        <f t="shared" si="14"/>
        <v>7463</v>
      </c>
      <c r="AD114" s="35">
        <f t="shared" si="13"/>
        <v>1723</v>
      </c>
      <c r="AE114" s="36" t="str">
        <f>_xlfn.XLOOKUP(A114,'[1]S_ALR Export'!$O$1:$O$777,'[1]S_ALR Export'!$I$1:$I$777,"",0)</f>
        <v>12.000,00</v>
      </c>
    </row>
    <row r="115" spans="1:31" ht="14.5" x14ac:dyDescent="0.25">
      <c r="A115" s="37" t="s">
        <v>996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15" t="s">
        <v>882</v>
      </c>
      <c r="H115" s="35">
        <f t="shared" si="9"/>
        <v>0</v>
      </c>
      <c r="I115" s="38">
        <v>0</v>
      </c>
      <c r="J115" s="38">
        <v>6300</v>
      </c>
      <c r="K115" s="35">
        <f>_xlfn.LET(_xlpm.x,_xlfn.XLOOKUP(A115&amp;"/2/1",'[1]S_ALR Export'!$O$1:$O$777,'[1]S_ALR Export'!$I$1:$I$777,"",0),IF(_xlpm.x="",0,IF(ISNUMBER(_xlpm.x),_xlpm.x,_xlfn.NUMBERVALUE(_xlpm.x,",","."))))</f>
        <v>20000</v>
      </c>
      <c r="L115" s="38">
        <f t="shared" si="10"/>
        <v>6300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5">
        <f t="shared" si="11"/>
        <v>0</v>
      </c>
      <c r="S115" s="38">
        <v>0</v>
      </c>
      <c r="T115" s="35">
        <f>_xlfn.LET(_xlpm.x,_xlfn.XLOOKUP(A115&amp;"/2/2",'[1]S_ALR Export'!$O$1:$O$777,'[1]S_ALR Export'!$I$1:$I$777,"",0),IF(_xlpm.x="",0,IF(ISNUMBER(_xlpm.x),_xlpm.x,_xlfn.NUMBERVALUE(_xlpm.x,",","."))))</f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5">
        <f t="shared" si="12"/>
        <v>0</v>
      </c>
      <c r="AC115" s="35">
        <f t="shared" si="14"/>
        <v>6300</v>
      </c>
      <c r="AD115" s="35">
        <f t="shared" si="13"/>
        <v>6300</v>
      </c>
      <c r="AE115" s="36" t="str">
        <f>_xlfn.XLOOKUP(A115,'[1]S_ALR Export'!$O$1:$O$777,'[1]S_ALR Export'!$I$1:$I$777,"",0)</f>
        <v>20.000,00</v>
      </c>
    </row>
    <row r="116" spans="1:31" ht="14.5" x14ac:dyDescent="0.25">
      <c r="A116" s="37" t="s">
        <v>997</v>
      </c>
      <c r="B116" s="35">
        <v>0</v>
      </c>
      <c r="C116" s="35">
        <v>0</v>
      </c>
      <c r="D116" s="35">
        <v>0</v>
      </c>
      <c r="E116" s="35">
        <v>0</v>
      </c>
      <c r="F116" s="35">
        <v>0</v>
      </c>
      <c r="G116" s="15" t="s">
        <v>882</v>
      </c>
      <c r="H116" s="35">
        <f t="shared" si="9"/>
        <v>0</v>
      </c>
      <c r="I116" s="35">
        <v>0</v>
      </c>
      <c r="J116" s="35">
        <v>10850</v>
      </c>
      <c r="K116" s="35">
        <f>_xlfn.LET(_xlpm.x,_xlfn.XLOOKUP(A116&amp;"/2/1",'[1]S_ALR Export'!$O$1:$O$777,'[1]S_ALR Export'!$I$1:$I$777,"",0),IF(_xlpm.x="",0,IF(ISNUMBER(_xlpm.x),_xlpm.x,_xlfn.NUMBERVALUE(_xlpm.x,",","."))))</f>
        <v>11600</v>
      </c>
      <c r="L116" s="35">
        <f t="shared" si="10"/>
        <v>10850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f t="shared" si="11"/>
        <v>0</v>
      </c>
      <c r="S116" s="35">
        <v>0</v>
      </c>
      <c r="T116" s="35">
        <f>_xlfn.LET(_xlpm.x,_xlfn.XLOOKUP(A116&amp;"/2/2",'[1]S_ALR Export'!$O$1:$O$777,'[1]S_ALR Export'!$I$1:$I$777,"",0),IF(_xlpm.x="",0,IF(ISNUMBER(_xlpm.x),_xlpm.x,_xlfn.NUMBERVALUE(_xlpm.x,",","."))))</f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f t="shared" si="12"/>
        <v>0</v>
      </c>
      <c r="AC116" s="35">
        <f t="shared" si="14"/>
        <v>10850</v>
      </c>
      <c r="AD116" s="35">
        <f t="shared" si="13"/>
        <v>10850</v>
      </c>
      <c r="AE116" s="36" t="str">
        <f>_xlfn.XLOOKUP(A116,'[1]S_ALR Export'!$O$1:$O$777,'[1]S_ALR Export'!$I$1:$I$777,"",0)</f>
        <v>11.600,00</v>
      </c>
    </row>
    <row r="117" spans="1:31" ht="14.5" x14ac:dyDescent="0.25">
      <c r="A117" s="37" t="s">
        <v>998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15" t="s">
        <v>882</v>
      </c>
      <c r="H117" s="35">
        <f t="shared" si="9"/>
        <v>0</v>
      </c>
      <c r="I117" s="38">
        <v>0</v>
      </c>
      <c r="J117" s="38">
        <v>6850</v>
      </c>
      <c r="K117" s="35">
        <f>_xlfn.LET(_xlpm.x,_xlfn.XLOOKUP(A117&amp;"/2/1",'[1]S_ALR Export'!$O$1:$O$777,'[1]S_ALR Export'!$I$1:$I$777,"",0),IF(_xlpm.x="",0,IF(ISNUMBER(_xlpm.x),_xlpm.x,_xlfn.NUMBERVALUE(_xlpm.x,",","."))))</f>
        <v>10000</v>
      </c>
      <c r="L117" s="38">
        <f t="shared" si="10"/>
        <v>6850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5">
        <f t="shared" si="11"/>
        <v>0</v>
      </c>
      <c r="S117" s="38">
        <v>0</v>
      </c>
      <c r="T117" s="35">
        <f>_xlfn.LET(_xlpm.x,_xlfn.XLOOKUP(A117&amp;"/2/2",'[1]S_ALR Export'!$O$1:$O$777,'[1]S_ALR Export'!$I$1:$I$777,"",0),IF(_xlpm.x="",0,IF(ISNUMBER(_xlpm.x),_xlpm.x,_xlfn.NUMBERVALUE(_xlpm.x,",","."))))</f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5">
        <f t="shared" si="12"/>
        <v>0</v>
      </c>
      <c r="AC117" s="35">
        <f t="shared" si="14"/>
        <v>6850</v>
      </c>
      <c r="AD117" s="35">
        <f t="shared" si="13"/>
        <v>6850</v>
      </c>
      <c r="AE117" s="36" t="str">
        <f>_xlfn.XLOOKUP(A117,'[1]S_ALR Export'!$O$1:$O$777,'[1]S_ALR Export'!$I$1:$I$777,"",0)</f>
        <v>10.000,00</v>
      </c>
    </row>
    <row r="118" spans="1:31" ht="14.5" x14ac:dyDescent="0.25">
      <c r="A118" s="37" t="s">
        <v>999</v>
      </c>
      <c r="B118" s="35">
        <v>0</v>
      </c>
      <c r="C118" s="35">
        <v>0</v>
      </c>
      <c r="D118" s="35">
        <v>0</v>
      </c>
      <c r="E118" s="35">
        <v>0</v>
      </c>
      <c r="F118" s="35">
        <v>0</v>
      </c>
      <c r="G118" s="15" t="s">
        <v>882</v>
      </c>
      <c r="H118" s="35">
        <f t="shared" si="9"/>
        <v>0</v>
      </c>
      <c r="I118" s="35">
        <v>0</v>
      </c>
      <c r="J118" s="35">
        <v>6000</v>
      </c>
      <c r="K118" s="35">
        <f>_xlfn.LET(_xlpm.x,_xlfn.XLOOKUP(A118&amp;"/2/1",'[1]S_ALR Export'!$O$1:$O$777,'[1]S_ALR Export'!$I$1:$I$777,"",0),IF(_xlpm.x="",0,IF(ISNUMBER(_xlpm.x),_xlpm.x,_xlfn.NUMBERVALUE(_xlpm.x,",","."))))</f>
        <v>10000</v>
      </c>
      <c r="L118" s="35">
        <f t="shared" si="10"/>
        <v>6000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f t="shared" si="11"/>
        <v>0</v>
      </c>
      <c r="S118" s="35">
        <v>0</v>
      </c>
      <c r="T118" s="35">
        <f>_xlfn.LET(_xlpm.x,_xlfn.XLOOKUP(A118&amp;"/2/2",'[1]S_ALR Export'!$O$1:$O$777,'[1]S_ALR Export'!$I$1:$I$777,"",0),IF(_xlpm.x="",0,IF(ISNUMBER(_xlpm.x),_xlpm.x,_xlfn.NUMBERVALUE(_xlpm.x,",","."))))</f>
        <v>0</v>
      </c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f t="shared" si="12"/>
        <v>0</v>
      </c>
      <c r="AC118" s="35">
        <f t="shared" si="14"/>
        <v>6000</v>
      </c>
      <c r="AD118" s="35">
        <f t="shared" si="13"/>
        <v>6000</v>
      </c>
      <c r="AE118" s="36" t="str">
        <f>_xlfn.XLOOKUP(A118,'[1]S_ALR Export'!$O$1:$O$777,'[1]S_ALR Export'!$I$1:$I$777,"",0)</f>
        <v>10.000,00</v>
      </c>
    </row>
    <row r="119" spans="1:31" ht="14.5" x14ac:dyDescent="0.25">
      <c r="A119" s="37" t="s">
        <v>1000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15" t="s">
        <v>882</v>
      </c>
      <c r="H119" s="35">
        <f t="shared" si="9"/>
        <v>0</v>
      </c>
      <c r="I119" s="38">
        <v>0</v>
      </c>
      <c r="J119" s="38">
        <v>0</v>
      </c>
      <c r="K119" s="35">
        <f>_xlfn.LET(_xlpm.x,_xlfn.XLOOKUP(A119&amp;"/2/1",'[1]S_ALR Export'!$O$1:$O$777,'[1]S_ALR Export'!$I$1:$I$777,"",0),IF(_xlpm.x="",0,IF(ISNUMBER(_xlpm.x),_xlpm.x,_xlfn.NUMBERVALUE(_xlpm.x,",","."))))</f>
        <v>108000</v>
      </c>
      <c r="L119" s="38">
        <f t="shared" si="10"/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5">
        <f t="shared" si="11"/>
        <v>0</v>
      </c>
      <c r="S119" s="38">
        <v>0</v>
      </c>
      <c r="T119" s="35">
        <f>_xlfn.LET(_xlpm.x,_xlfn.XLOOKUP(A119&amp;"/2/2",'[1]S_ALR Export'!$O$1:$O$777,'[1]S_ALR Export'!$I$1:$I$777,"",0),IF(_xlpm.x="",0,IF(ISNUMBER(_xlpm.x),_xlpm.x,_xlfn.NUMBERVALUE(_xlpm.x,",","."))))</f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5">
        <f t="shared" si="12"/>
        <v>0</v>
      </c>
      <c r="AC119" s="35">
        <f t="shared" si="14"/>
        <v>0</v>
      </c>
      <c r="AD119" s="35">
        <f t="shared" si="13"/>
        <v>0</v>
      </c>
      <c r="AE119" s="36" t="str">
        <f>_xlfn.XLOOKUP(A119,'[1]S_ALR Export'!$O$1:$O$777,'[1]S_ALR Export'!$I$1:$I$777,"",0)</f>
        <v>108.000,00</v>
      </c>
    </row>
    <row r="120" spans="1:31" ht="14.5" x14ac:dyDescent="0.25">
      <c r="A120" s="37" t="s">
        <v>1001</v>
      </c>
      <c r="B120" s="35">
        <v>0</v>
      </c>
      <c r="C120" s="35">
        <v>0</v>
      </c>
      <c r="D120" s="35">
        <v>0</v>
      </c>
      <c r="E120" s="35">
        <v>0</v>
      </c>
      <c r="F120" s="35">
        <v>0</v>
      </c>
      <c r="G120" s="15" t="s">
        <v>882</v>
      </c>
      <c r="H120" s="35">
        <f t="shared" si="9"/>
        <v>0</v>
      </c>
      <c r="I120" s="35">
        <v>0</v>
      </c>
      <c r="J120" s="35">
        <v>0</v>
      </c>
      <c r="K120" s="35">
        <f>_xlfn.LET(_xlpm.x,_xlfn.XLOOKUP(A120&amp;"/2/1",'[1]S_ALR Export'!$O$1:$O$777,'[1]S_ALR Export'!$I$1:$I$777,"",0),IF(_xlpm.x="",0,IF(ISNUMBER(_xlpm.x),_xlpm.x,_xlfn.NUMBERVALUE(_xlpm.x,",","."))))</f>
        <v>0</v>
      </c>
      <c r="L120" s="35">
        <f t="shared" si="10"/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f t="shared" si="11"/>
        <v>0</v>
      </c>
      <c r="S120" s="35">
        <f>_xlfn.NUMBERVALUE(_xlfn.XLOOKUP(A120&amp;"/2/2",'[1]S_ALR Export'!$O$1:$O$777,'[1]S_ALR Export'!$J$1:$J$777,0,0),",",".")</f>
        <v>700</v>
      </c>
      <c r="T120" s="35">
        <f>_xlfn.LET(_xlpm.x,_xlfn.XLOOKUP(A120&amp;"/2/2",'[1]S_ALR Export'!$O$1:$O$777,'[1]S_ALR Export'!$I$1:$I$777,"",0),IF(_xlpm.x="",0,IF(ISNUMBER(_xlpm.x),_xlpm.x,_xlfn.NUMBERVALUE(_xlpm.x,",","."))))</f>
        <v>700</v>
      </c>
      <c r="U120" s="35">
        <f>SUM(R120:S120)</f>
        <v>700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f t="shared" si="12"/>
        <v>0</v>
      </c>
      <c r="AC120" s="35">
        <f t="shared" si="14"/>
        <v>700</v>
      </c>
      <c r="AD120" s="35">
        <f t="shared" si="13"/>
        <v>700</v>
      </c>
      <c r="AE120" s="36" t="str">
        <f>_xlfn.XLOOKUP(A120,'[1]S_ALR Export'!$O$1:$O$777,'[1]S_ALR Export'!$I$1:$I$777,"",0)</f>
        <v>700,00</v>
      </c>
    </row>
    <row r="121" spans="1:31" ht="14.5" x14ac:dyDescent="0.25">
      <c r="A121" s="37" t="s">
        <v>1002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15" t="s">
        <v>882</v>
      </c>
      <c r="H121" s="35">
        <f t="shared" si="9"/>
        <v>0</v>
      </c>
      <c r="I121" s="38">
        <v>0</v>
      </c>
      <c r="J121" s="38">
        <v>3300</v>
      </c>
      <c r="K121" s="35">
        <f>_xlfn.LET(_xlpm.x,_xlfn.XLOOKUP(A121&amp;"/2/1",'[1]S_ALR Export'!$O$1:$O$777,'[1]S_ALR Export'!$I$1:$I$777,"",0),IF(_xlpm.x="",0,IF(ISNUMBER(_xlpm.x),_xlpm.x,_xlfn.NUMBERVALUE(_xlpm.x,",","."))))</f>
        <v>12000</v>
      </c>
      <c r="L121" s="38">
        <f t="shared" si="10"/>
        <v>3300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5">
        <f t="shared" si="11"/>
        <v>0</v>
      </c>
      <c r="S121" s="38">
        <v>0</v>
      </c>
      <c r="T121" s="35">
        <f>_xlfn.LET(_xlpm.x,_xlfn.XLOOKUP(A121&amp;"/2/2",'[1]S_ALR Export'!$O$1:$O$777,'[1]S_ALR Export'!$I$1:$I$777,"",0),IF(_xlpm.x="",0,IF(ISNUMBER(_xlpm.x),_xlpm.x,_xlfn.NUMBERVALUE(_xlpm.x,",","."))))</f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-12000</v>
      </c>
      <c r="AB121" s="35">
        <f t="shared" si="12"/>
        <v>-12000</v>
      </c>
      <c r="AC121" s="35">
        <f t="shared" si="14"/>
        <v>3300</v>
      </c>
      <c r="AD121" s="35">
        <f t="shared" si="13"/>
        <v>-8700</v>
      </c>
      <c r="AE121" s="36" t="str">
        <f>_xlfn.XLOOKUP(A121,'[1]S_ALR Export'!$O$1:$O$777,'[1]S_ALR Export'!$I$1:$I$777,"",0)</f>
        <v>12.000,00</v>
      </c>
    </row>
    <row r="122" spans="1:31" ht="14.5" x14ac:dyDescent="0.25">
      <c r="A122" s="37" t="s">
        <v>1003</v>
      </c>
      <c r="B122" s="35">
        <v>0</v>
      </c>
      <c r="C122" s="35">
        <v>0</v>
      </c>
      <c r="D122" s="35">
        <v>0</v>
      </c>
      <c r="E122" s="35">
        <v>0</v>
      </c>
      <c r="F122" s="35">
        <v>0</v>
      </c>
      <c r="G122" s="15" t="s">
        <v>882</v>
      </c>
      <c r="H122" s="35">
        <f t="shared" si="9"/>
        <v>0</v>
      </c>
      <c r="I122" s="35">
        <v>0</v>
      </c>
      <c r="J122" s="35">
        <v>200</v>
      </c>
      <c r="K122" s="35">
        <f>_xlfn.LET(_xlpm.x,_xlfn.XLOOKUP(A122&amp;"/2/1",'[1]S_ALR Export'!$O$1:$O$777,'[1]S_ALR Export'!$I$1:$I$777,"",0),IF(_xlpm.x="",0,IF(ISNUMBER(_xlpm.x),_xlpm.x,_xlfn.NUMBERVALUE(_xlpm.x,",","."))))</f>
        <v>20000</v>
      </c>
      <c r="L122" s="35">
        <f t="shared" si="10"/>
        <v>200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f t="shared" si="11"/>
        <v>0</v>
      </c>
      <c r="S122" s="35">
        <v>0</v>
      </c>
      <c r="T122" s="35">
        <f>_xlfn.LET(_xlpm.x,_xlfn.XLOOKUP(A122&amp;"/2/2",'[1]S_ALR Export'!$O$1:$O$777,'[1]S_ALR Export'!$I$1:$I$777,"",0),IF(_xlpm.x="",0,IF(ISNUMBER(_xlpm.x),_xlpm.x,_xlfn.NUMBERVALUE(_xlpm.x,",","."))))</f>
        <v>0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f t="shared" si="12"/>
        <v>0</v>
      </c>
      <c r="AC122" s="35">
        <f t="shared" si="14"/>
        <v>200</v>
      </c>
      <c r="AD122" s="35">
        <f t="shared" si="13"/>
        <v>200</v>
      </c>
      <c r="AE122" s="36" t="str">
        <f>_xlfn.XLOOKUP(A122,'[1]S_ALR Export'!$O$1:$O$777,'[1]S_ALR Export'!$I$1:$I$777,"",0)</f>
        <v>20.000,00</v>
      </c>
    </row>
    <row r="123" spans="1:31" ht="14.5" x14ac:dyDescent="0.25">
      <c r="A123" s="37" t="s">
        <v>1004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15" t="s">
        <v>882</v>
      </c>
      <c r="H123" s="35">
        <f t="shared" si="9"/>
        <v>0</v>
      </c>
      <c r="I123" s="38">
        <v>14976</v>
      </c>
      <c r="J123" s="38">
        <v>0</v>
      </c>
      <c r="K123" s="35">
        <f>_xlfn.LET(_xlpm.x,_xlfn.XLOOKUP(A123&amp;"/2/1",'[1]S_ALR Export'!$O$1:$O$777,'[1]S_ALR Export'!$I$1:$I$777,"",0),IF(_xlpm.x="",0,IF(ISNUMBER(_xlpm.x),_xlpm.x,_xlfn.NUMBERVALUE(_xlpm.x,",","."))))</f>
        <v>15000</v>
      </c>
      <c r="L123" s="38">
        <f t="shared" si="10"/>
        <v>14976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5">
        <f t="shared" si="11"/>
        <v>0</v>
      </c>
      <c r="S123" s="38">
        <v>0</v>
      </c>
      <c r="T123" s="35">
        <f>_xlfn.LET(_xlpm.x,_xlfn.XLOOKUP(A123&amp;"/2/2",'[1]S_ALR Export'!$O$1:$O$777,'[1]S_ALR Export'!$I$1:$I$777,"",0),IF(_xlpm.x="",0,IF(ISNUMBER(_xlpm.x),_xlpm.x,_xlfn.NUMBERVALUE(_xlpm.x,",","."))))</f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-15725</v>
      </c>
      <c r="AB123" s="35">
        <f t="shared" si="12"/>
        <v>-15725</v>
      </c>
      <c r="AC123" s="35">
        <f t="shared" si="14"/>
        <v>14976</v>
      </c>
      <c r="AD123" s="35">
        <f t="shared" si="13"/>
        <v>-749</v>
      </c>
      <c r="AE123" s="36" t="str">
        <f>_xlfn.XLOOKUP(A123,'[1]S_ALR Export'!$O$1:$O$777,'[1]S_ALR Export'!$I$1:$I$777,"",0)</f>
        <v>15.000,00</v>
      </c>
    </row>
    <row r="124" spans="1:31" ht="14.5" x14ac:dyDescent="0.25">
      <c r="A124" s="37" t="s">
        <v>1005</v>
      </c>
      <c r="B124" s="35">
        <v>0</v>
      </c>
      <c r="C124" s="35">
        <v>0</v>
      </c>
      <c r="D124" s="35">
        <v>0</v>
      </c>
      <c r="E124" s="35">
        <v>0</v>
      </c>
      <c r="F124" s="35">
        <v>0</v>
      </c>
      <c r="G124" s="15" t="s">
        <v>882</v>
      </c>
      <c r="H124" s="35">
        <f t="shared" si="9"/>
        <v>0</v>
      </c>
      <c r="I124" s="35">
        <v>28300</v>
      </c>
      <c r="J124" s="35">
        <v>7700</v>
      </c>
      <c r="K124" s="35">
        <f>_xlfn.LET(_xlpm.x,_xlfn.XLOOKUP(A124&amp;"/2/1",'[1]S_ALR Export'!$O$1:$O$777,'[1]S_ALR Export'!$I$1:$I$777,"NOT FOUND",0),IF(_xlpm.x="",0,IF(ISNUMBER(_xlpm.x),_xlpm.x,_xlfn.NUMBERVALUE(_xlpm.x,",","."))))</f>
        <v>72000</v>
      </c>
      <c r="L124" s="35">
        <f t="shared" si="10"/>
        <v>36000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f t="shared" si="11"/>
        <v>0</v>
      </c>
      <c r="S124" s="35">
        <v>0</v>
      </c>
      <c r="T124" s="35">
        <f>_xlfn.LET(_xlpm.x,_xlfn.XLOOKUP(A124&amp;"/2/2",'[1]S_ALR Export'!$O$1:$O$777,'[1]S_ALR Export'!$I$1:$I$777,"",0),IF(_xlpm.x="",0,IF(ISNUMBER(_xlpm.x),_xlpm.x,_xlfn.NUMBERVALUE(_xlpm.x,",","."))))</f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-36120</v>
      </c>
      <c r="AB124" s="35">
        <f t="shared" si="12"/>
        <v>-36120</v>
      </c>
      <c r="AC124" s="35">
        <f t="shared" si="14"/>
        <v>36000</v>
      </c>
      <c r="AD124" s="35">
        <f t="shared" si="13"/>
        <v>-120</v>
      </c>
      <c r="AE124" s="36" t="str">
        <f>_xlfn.XLOOKUP(A124,'[1]S_ALR Export'!$O$1:$O$777,'[1]S_ALR Export'!$I$1:$I$777,"",0)</f>
        <v>72.000,00</v>
      </c>
    </row>
    <row r="125" spans="1:31" ht="14.5" x14ac:dyDescent="0.25">
      <c r="A125" s="37" t="s">
        <v>1006</v>
      </c>
      <c r="B125" s="38">
        <v>0</v>
      </c>
      <c r="C125" s="38">
        <v>0</v>
      </c>
      <c r="D125" s="38">
        <v>0</v>
      </c>
      <c r="E125" s="38">
        <v>0</v>
      </c>
      <c r="F125" s="38">
        <v>0</v>
      </c>
      <c r="G125" s="15" t="s">
        <v>882</v>
      </c>
      <c r="H125" s="35">
        <f t="shared" si="9"/>
        <v>0</v>
      </c>
      <c r="I125" s="38">
        <v>0</v>
      </c>
      <c r="J125" s="38">
        <v>0</v>
      </c>
      <c r="K125" s="35">
        <f>_xlfn.LET(_xlpm.x,_xlfn.XLOOKUP(A125&amp;"/2/1",'[1]S_ALR Export'!$O$1:$O$777,'[1]S_ALR Export'!$I$1:$I$777,"NOT FOUND",0),IF(_xlpm.x="",0,IF(ISNUMBER(_xlpm.x),_xlpm.x,_xlfn.NUMBERVALUE(_xlpm.x,",","."))))</f>
        <v>100000</v>
      </c>
      <c r="L125" s="38">
        <f t="shared" si="10"/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5">
        <f t="shared" si="11"/>
        <v>0</v>
      </c>
      <c r="S125" s="38">
        <v>0</v>
      </c>
      <c r="T125" s="35">
        <f>_xlfn.LET(_xlpm.x,_xlfn.XLOOKUP(A125&amp;"/2/2",'[1]S_ALR Export'!$O$1:$O$777,'[1]S_ALR Export'!$I$1:$I$777,"",0),IF(_xlpm.x="",0,IF(ISNUMBER(_xlpm.x),_xlpm.x,_xlfn.NUMBERVALUE(_xlpm.x,",","."))))</f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0</v>
      </c>
      <c r="Z125" s="38">
        <v>0</v>
      </c>
      <c r="AA125" s="38">
        <v>0</v>
      </c>
      <c r="AB125" s="35">
        <f t="shared" si="12"/>
        <v>0</v>
      </c>
      <c r="AC125" s="35">
        <f t="shared" si="14"/>
        <v>0</v>
      </c>
      <c r="AD125" s="35">
        <f t="shared" si="13"/>
        <v>0</v>
      </c>
      <c r="AE125" s="36" t="str">
        <f>_xlfn.XLOOKUP(A125,'[1]S_ALR Export'!$O$1:$O$777,'[1]S_ALR Export'!$I$1:$I$777,"",0)</f>
        <v>100.000,00</v>
      </c>
    </row>
    <row r="126" spans="1:31" ht="14.5" x14ac:dyDescent="0.25">
      <c r="A126" s="37" t="s">
        <v>1007</v>
      </c>
      <c r="B126" s="35">
        <v>0</v>
      </c>
      <c r="C126" s="35">
        <v>0</v>
      </c>
      <c r="D126" s="35">
        <v>0</v>
      </c>
      <c r="E126" s="35">
        <v>0</v>
      </c>
      <c r="F126" s="35">
        <v>0</v>
      </c>
      <c r="G126" s="15" t="s">
        <v>882</v>
      </c>
      <c r="H126" s="35">
        <f t="shared" si="9"/>
        <v>0</v>
      </c>
      <c r="I126" s="35">
        <v>25316</v>
      </c>
      <c r="J126" s="35">
        <v>4532</v>
      </c>
      <c r="K126" s="35">
        <f>_xlfn.LET(_xlpm.x,_xlfn.XLOOKUP(A126&amp;"/2/1",'[1]S_ALR Export'!$O$1:$O$777,'[1]S_ALR Export'!$I$1:$I$777,"NOT FOUND",0),IF(_xlpm.x="",0,IF(ISNUMBER(_xlpm.x),_xlpm.x,_xlfn.NUMBERVALUE(_xlpm.x,",","."))))</f>
        <v>60000</v>
      </c>
      <c r="L126" s="35">
        <f t="shared" si="10"/>
        <v>29848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f t="shared" si="11"/>
        <v>0</v>
      </c>
      <c r="S126" s="35">
        <v>0</v>
      </c>
      <c r="T126" s="35">
        <f>_xlfn.LET(_xlpm.x,_xlfn.XLOOKUP(A126&amp;"/2/2",'[1]S_ALR Export'!$O$1:$O$777,'[1]S_ALR Export'!$I$1:$I$777,"",0),IF(_xlpm.x="",0,IF(ISNUMBER(_xlpm.x),_xlpm.x,_xlfn.NUMBERVALUE(_xlpm.x,",","."))))</f>
        <v>0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f t="shared" si="12"/>
        <v>0</v>
      </c>
      <c r="AC126" s="35">
        <f t="shared" si="14"/>
        <v>29848</v>
      </c>
      <c r="AD126" s="35">
        <f t="shared" si="13"/>
        <v>29848</v>
      </c>
      <c r="AE126" s="36" t="str">
        <f>_xlfn.XLOOKUP(A126,'[1]S_ALR Export'!$O$1:$O$777,'[1]S_ALR Export'!$I$1:$I$777,"",0)</f>
        <v>60.000,00</v>
      </c>
    </row>
    <row r="127" spans="1:31" ht="14.5" x14ac:dyDescent="0.25">
      <c r="A127" s="37" t="s">
        <v>1008</v>
      </c>
      <c r="B127" s="38">
        <v>0</v>
      </c>
      <c r="C127" s="38">
        <v>0</v>
      </c>
      <c r="D127" s="38">
        <v>0</v>
      </c>
      <c r="E127" s="38">
        <v>0</v>
      </c>
      <c r="F127" s="38">
        <v>0</v>
      </c>
      <c r="G127" s="15" t="s">
        <v>882</v>
      </c>
      <c r="H127" s="35">
        <f t="shared" si="9"/>
        <v>0</v>
      </c>
      <c r="I127" s="38">
        <v>0</v>
      </c>
      <c r="J127" s="38">
        <v>2950</v>
      </c>
      <c r="K127" s="35">
        <f>_xlfn.LET(_xlpm.x,_xlfn.XLOOKUP(A127&amp;"/2/1",'[1]S_ALR Export'!$O$1:$O$777,'[1]S_ALR Export'!$I$1:$I$777,"NOT FOUND",0),IF(_xlpm.x="",0,IF(ISNUMBER(_xlpm.x),_xlpm.x,_xlfn.NUMBERVALUE(_xlpm.x,",","."))))</f>
        <v>12000</v>
      </c>
      <c r="L127" s="38">
        <f t="shared" si="10"/>
        <v>2950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5">
        <f t="shared" si="11"/>
        <v>0</v>
      </c>
      <c r="S127" s="38">
        <v>0</v>
      </c>
      <c r="T127" s="35">
        <f>_xlfn.LET(_xlpm.x,_xlfn.XLOOKUP(A127&amp;"/2/2",'[1]S_ALR Export'!$O$1:$O$777,'[1]S_ALR Export'!$I$1:$I$777,"",0),IF(_xlpm.x="",0,IF(ISNUMBER(_xlpm.x),_xlpm.x,_xlfn.NUMBERVALUE(_xlpm.x,",","."))))</f>
        <v>0</v>
      </c>
      <c r="U127" s="38">
        <v>0</v>
      </c>
      <c r="V127" s="38">
        <v>0</v>
      </c>
      <c r="W127" s="38">
        <v>0</v>
      </c>
      <c r="X127" s="38">
        <v>0</v>
      </c>
      <c r="Y127" s="38">
        <v>0</v>
      </c>
      <c r="Z127" s="38">
        <v>0</v>
      </c>
      <c r="AA127" s="38">
        <v>0</v>
      </c>
      <c r="AB127" s="35">
        <f t="shared" si="12"/>
        <v>0</v>
      </c>
      <c r="AC127" s="35">
        <f t="shared" si="14"/>
        <v>2950</v>
      </c>
      <c r="AD127" s="35">
        <f t="shared" si="13"/>
        <v>2950</v>
      </c>
      <c r="AE127" s="36" t="str">
        <f>_xlfn.XLOOKUP(A127,'[1]S_ALR Export'!$O$1:$O$777,'[1]S_ALR Export'!$I$1:$I$777,"",0)</f>
        <v>12.000,00</v>
      </c>
    </row>
    <row r="128" spans="1:31" ht="14.5" x14ac:dyDescent="0.25">
      <c r="A128" s="37" t="s">
        <v>1009</v>
      </c>
      <c r="B128" s="35">
        <v>0</v>
      </c>
      <c r="C128" s="35">
        <v>0</v>
      </c>
      <c r="D128" s="35">
        <v>0</v>
      </c>
      <c r="E128" s="35">
        <v>0</v>
      </c>
      <c r="F128" s="35">
        <v>0</v>
      </c>
      <c r="G128" s="15" t="s">
        <v>882</v>
      </c>
      <c r="H128" s="35">
        <f t="shared" si="9"/>
        <v>0</v>
      </c>
      <c r="I128" s="35">
        <v>0</v>
      </c>
      <c r="J128" s="35">
        <v>1900</v>
      </c>
      <c r="K128" s="35">
        <f>_xlfn.LET(_xlpm.x,_xlfn.XLOOKUP(A128&amp;"/2/1",'[1]S_ALR Export'!$O$1:$O$777,'[1]S_ALR Export'!$I$1:$I$777,"NOT FOUND",0),IF(_xlpm.x="",0,IF(ISNUMBER(_xlpm.x),_xlpm.x,_xlfn.NUMBERVALUE(_xlpm.x,",","."))))</f>
        <v>12000</v>
      </c>
      <c r="L128" s="35">
        <f t="shared" si="10"/>
        <v>1900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f t="shared" si="11"/>
        <v>0</v>
      </c>
      <c r="S128" s="35">
        <v>0</v>
      </c>
      <c r="T128" s="35">
        <f>_xlfn.LET(_xlpm.x,_xlfn.XLOOKUP(A128&amp;"/2/2",'[1]S_ALR Export'!$O$1:$O$777,'[1]S_ALR Export'!$I$1:$I$777,"",0),IF(_xlpm.x="",0,IF(ISNUMBER(_xlpm.x),_xlpm.x,_xlfn.NUMBERVALUE(_xlpm.x,",","."))))</f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f t="shared" si="12"/>
        <v>0</v>
      </c>
      <c r="AC128" s="35">
        <f t="shared" si="14"/>
        <v>1900</v>
      </c>
      <c r="AD128" s="35">
        <f t="shared" si="13"/>
        <v>1900</v>
      </c>
      <c r="AE128" s="36" t="str">
        <f>_xlfn.XLOOKUP(A128,'[1]S_ALR Export'!$O$1:$O$777,'[1]S_ALR Export'!$I$1:$I$777,"",0)</f>
        <v>12.000,00</v>
      </c>
    </row>
    <row r="129" spans="1:31" ht="14.5" x14ac:dyDescent="0.25">
      <c r="A129" s="37" t="s">
        <v>1010</v>
      </c>
      <c r="B129" s="38">
        <v>0</v>
      </c>
      <c r="C129" s="38">
        <v>0</v>
      </c>
      <c r="D129" s="38">
        <v>0</v>
      </c>
      <c r="E129" s="38">
        <v>0</v>
      </c>
      <c r="F129" s="38">
        <v>0</v>
      </c>
      <c r="G129" s="15" t="s">
        <v>882</v>
      </c>
      <c r="H129" s="35">
        <f t="shared" si="9"/>
        <v>0</v>
      </c>
      <c r="I129" s="38">
        <v>0</v>
      </c>
      <c r="J129" s="38">
        <v>200</v>
      </c>
      <c r="K129" s="35">
        <f>_xlfn.LET(_xlpm.x,_xlfn.XLOOKUP(A129&amp;"/2/1",'[1]S_ALR Export'!$O$1:$O$777,'[1]S_ALR Export'!$I$1:$I$777,"NOT FOUND",0),IF(_xlpm.x="",0,IF(ISNUMBER(_xlpm.x),_xlpm.x,_xlfn.NUMBERVALUE(_xlpm.x,",","."))))</f>
        <v>12000</v>
      </c>
      <c r="L129" s="38">
        <f t="shared" si="10"/>
        <v>200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5">
        <f t="shared" si="11"/>
        <v>0</v>
      </c>
      <c r="S129" s="38">
        <v>0</v>
      </c>
      <c r="T129" s="35">
        <f>_xlfn.LET(_xlpm.x,_xlfn.XLOOKUP(A129&amp;"/2/2",'[1]S_ALR Export'!$O$1:$O$777,'[1]S_ALR Export'!$I$1:$I$777,"",0),IF(_xlpm.x="",0,IF(ISNUMBER(_xlpm.x),_xlpm.x,_xlfn.NUMBERVALUE(_xlpm.x,",","."))))</f>
        <v>0</v>
      </c>
      <c r="U129" s="38">
        <v>0</v>
      </c>
      <c r="V129" s="38">
        <v>0</v>
      </c>
      <c r="W129" s="38">
        <v>0</v>
      </c>
      <c r="X129" s="38">
        <v>0</v>
      </c>
      <c r="Y129" s="38">
        <v>0</v>
      </c>
      <c r="Z129" s="38">
        <v>0</v>
      </c>
      <c r="AA129" s="38">
        <v>0</v>
      </c>
      <c r="AB129" s="35">
        <f t="shared" si="12"/>
        <v>0</v>
      </c>
      <c r="AC129" s="35">
        <f t="shared" si="14"/>
        <v>200</v>
      </c>
      <c r="AD129" s="35">
        <f t="shared" si="13"/>
        <v>200</v>
      </c>
      <c r="AE129" s="36" t="str">
        <f>_xlfn.XLOOKUP(A129,'[1]S_ALR Export'!$O$1:$O$777,'[1]S_ALR Export'!$I$1:$I$777,"",0)</f>
        <v>12.000,00</v>
      </c>
    </row>
    <row r="130" spans="1:31" ht="14.5" x14ac:dyDescent="0.25">
      <c r="A130" s="37" t="s">
        <v>1011</v>
      </c>
      <c r="B130" s="35">
        <v>0</v>
      </c>
      <c r="C130" s="35">
        <v>0</v>
      </c>
      <c r="D130" s="35">
        <v>0</v>
      </c>
      <c r="E130" s="35">
        <v>0</v>
      </c>
      <c r="F130" s="35">
        <v>0</v>
      </c>
      <c r="G130" s="15" t="s">
        <v>882</v>
      </c>
      <c r="H130" s="35">
        <f t="shared" ref="H130:H133" si="15">SUM(B130:F130)</f>
        <v>0</v>
      </c>
      <c r="I130" s="35">
        <v>0</v>
      </c>
      <c r="J130" s="35">
        <v>3100</v>
      </c>
      <c r="K130" s="35">
        <f>_xlfn.LET(_xlpm.x,_xlfn.XLOOKUP(A130&amp;"/2/1",'[1]S_ALR Export'!$O$1:$O$777,'[1]S_ALR Export'!$I$1:$I$777,"NOT FOUND",0),IF(_xlpm.x="",0,IF(ISNUMBER(_xlpm.x),_xlpm.x,_xlfn.NUMBERVALUE(_xlpm.x,",","."))))</f>
        <v>12000</v>
      </c>
      <c r="L130" s="35">
        <f t="shared" ref="L130:L133" si="16">H130+I130+J130</f>
        <v>3100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f t="shared" si="11"/>
        <v>0</v>
      </c>
      <c r="S130" s="35">
        <v>0</v>
      </c>
      <c r="T130" s="35">
        <f>_xlfn.LET(_xlpm.x,_xlfn.XLOOKUP(A130&amp;"/2/2",'[1]S_ALR Export'!$O$1:$O$777,'[1]S_ALR Export'!$I$1:$I$777,"",0),IF(_xlpm.x="",0,IF(ISNUMBER(_xlpm.x),_xlpm.x,_xlfn.NUMBERVALUE(_xlpm.x,",","."))))</f>
        <v>0</v>
      </c>
      <c r="U130" s="35">
        <v>0</v>
      </c>
      <c r="V130" s="35">
        <v>0</v>
      </c>
      <c r="W130" s="35">
        <v>0</v>
      </c>
      <c r="X130" s="35">
        <v>0</v>
      </c>
      <c r="Y130" s="35">
        <v>0</v>
      </c>
      <c r="Z130" s="35">
        <v>0</v>
      </c>
      <c r="AA130" s="35">
        <v>0</v>
      </c>
      <c r="AB130" s="35">
        <f t="shared" si="12"/>
        <v>0</v>
      </c>
      <c r="AC130" s="35">
        <f t="shared" si="14"/>
        <v>3100</v>
      </c>
      <c r="AD130" s="35">
        <f t="shared" si="13"/>
        <v>3100</v>
      </c>
      <c r="AE130" s="36" t="str">
        <f>_xlfn.XLOOKUP(A130,'[1]S_ALR Export'!$O$1:$O$777,'[1]S_ALR Export'!$I$1:$I$777,"",0)</f>
        <v>12.000,00</v>
      </c>
    </row>
    <row r="131" spans="1:31" ht="14.5" x14ac:dyDescent="0.25">
      <c r="A131" s="37" t="s">
        <v>1012</v>
      </c>
      <c r="B131" s="38">
        <v>0</v>
      </c>
      <c r="C131" s="38">
        <v>0</v>
      </c>
      <c r="D131" s="38">
        <v>0</v>
      </c>
      <c r="E131" s="38">
        <v>0</v>
      </c>
      <c r="F131" s="38">
        <v>0</v>
      </c>
      <c r="G131" s="15" t="s">
        <v>882</v>
      </c>
      <c r="H131" s="35">
        <f t="shared" si="15"/>
        <v>0</v>
      </c>
      <c r="I131" s="38">
        <v>0</v>
      </c>
      <c r="J131" s="38">
        <v>400</v>
      </c>
      <c r="K131" s="35">
        <f>_xlfn.LET(_xlpm.x,_xlfn.XLOOKUP(A131&amp;"/2/1",'[1]S_ALR Export'!$O$1:$O$777,'[1]S_ALR Export'!$I$1:$I$777,"NOT FOUND",0),IF(_xlpm.x="",0,IF(ISNUMBER(_xlpm.x),_xlpm.x,_xlfn.NUMBERVALUE(_xlpm.x,",","."))))</f>
        <v>12000</v>
      </c>
      <c r="L131" s="38">
        <f t="shared" si="16"/>
        <v>400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5">
        <f>SUM(M131:Q131)</f>
        <v>0</v>
      </c>
      <c r="S131" s="38">
        <v>0</v>
      </c>
      <c r="T131" s="35">
        <f>_xlfn.LET(_xlpm.x,_xlfn.XLOOKUP(A131&amp;"/2/2",'[1]S_ALR Export'!$O$1:$O$777,'[1]S_ALR Export'!$I$1:$I$777,"",0),IF(_xlpm.x="",0,IF(ISNUMBER(_xlpm.x),_xlpm.x,_xlfn.NUMBERVALUE(_xlpm.x,",","."))))</f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0</v>
      </c>
      <c r="Z131" s="38">
        <v>0</v>
      </c>
      <c r="AA131" s="38">
        <v>0</v>
      </c>
      <c r="AB131" s="35">
        <f t="shared" ref="AB131:AB132" si="17">SUM(V131:AA131)</f>
        <v>0</v>
      </c>
      <c r="AC131" s="35">
        <f t="shared" si="14"/>
        <v>400</v>
      </c>
      <c r="AD131" s="35">
        <f t="shared" si="13"/>
        <v>400</v>
      </c>
      <c r="AE131" s="36" t="str">
        <f>_xlfn.XLOOKUP(A131,'[1]S_ALR Export'!$O$1:$O$777,'[1]S_ALR Export'!$I$1:$I$777,"",0)</f>
        <v>12.000,00</v>
      </c>
    </row>
    <row r="132" spans="1:31" ht="14.5" x14ac:dyDescent="0.25">
      <c r="A132" s="37" t="s">
        <v>1013</v>
      </c>
      <c r="B132" s="35">
        <v>0</v>
      </c>
      <c r="C132" s="35">
        <v>0</v>
      </c>
      <c r="D132" s="35">
        <v>0</v>
      </c>
      <c r="E132" s="35">
        <v>0</v>
      </c>
      <c r="F132" s="35">
        <v>0</v>
      </c>
      <c r="G132" s="15" t="s">
        <v>882</v>
      </c>
      <c r="H132" s="35">
        <f t="shared" si="15"/>
        <v>0</v>
      </c>
      <c r="I132" s="35">
        <v>0</v>
      </c>
      <c r="J132" s="35">
        <v>0</v>
      </c>
      <c r="K132" s="35">
        <f>_xlfn.LET(_xlpm.x,_xlfn.XLOOKUP(A132&amp;"/2/1",'[1]S_ALR Export'!$O$1:$O$777,'[1]S_ALR Export'!$I$1:$I$777,"NOT FOUND",0),IF(_xlpm.x="",0,IF(ISNUMBER(_xlpm.x),_xlpm.x,_xlfn.NUMBERVALUE(_xlpm.x,",","."))))</f>
        <v>36960</v>
      </c>
      <c r="L132" s="35">
        <f t="shared" si="16"/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f>SUM(M132:Q132)</f>
        <v>0</v>
      </c>
      <c r="S132" s="35">
        <v>0</v>
      </c>
      <c r="T132" s="35">
        <f>_xlfn.LET(_xlpm.x,_xlfn.XLOOKUP(A132&amp;"/2/2",'[1]S_ALR Export'!$O$1:$O$777,'[1]S_ALR Export'!$I$1:$I$777,"",0),IF(_xlpm.x="",0,IF(ISNUMBER(_xlpm.x),_xlpm.x,_xlfn.NUMBERVALUE(_xlpm.x,",","."))))</f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f t="shared" si="17"/>
        <v>0</v>
      </c>
      <c r="AC132" s="35">
        <f t="shared" si="14"/>
        <v>0</v>
      </c>
      <c r="AD132" s="35">
        <f t="shared" si="13"/>
        <v>0</v>
      </c>
      <c r="AE132" s="36" t="str">
        <f>_xlfn.XLOOKUP(A132,'[1]S_ALR Export'!$O$1:$O$777,'[1]S_ALR Export'!$I$1:$I$777,"",0)</f>
        <v>36.960,00</v>
      </c>
    </row>
    <row r="133" spans="1:31" x14ac:dyDescent="0.25">
      <c r="K133" s="39">
        <f>SUM(K2:K132)</f>
        <v>10067692</v>
      </c>
      <c r="L133" s="39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36">
        <f>SUBTOTAL(9,AE2:AE132)</f>
        <v>0</v>
      </c>
    </row>
  </sheetData>
  <conditionalFormatting sqref="G2:G132">
    <cfRule type="cellIs" dxfId="38" priority="3" operator="equal">
      <formula>"Check"</formula>
    </cfRule>
    <cfRule type="cellIs" dxfId="37" priority="4" operator="equal">
      <formula>"Not Done"</formula>
    </cfRule>
    <cfRule type="cellIs" dxfId="36" priority="5" operator="equal">
      <formula>"Done"</formula>
    </cfRule>
  </conditionalFormatting>
  <conditionalFormatting sqref="AZ1:AZ58">
    <cfRule type="cellIs" dxfId="33" priority="1" operator="equal">
      <formula>"Not Done"</formula>
    </cfRule>
    <cfRule type="cellIs" dxfId="32" priority="2" operator="equal">
      <formula>"Done"</formula>
    </cfRule>
  </conditionalFormatting>
  <dataValidations count="2">
    <dataValidation type="list" allowBlank="1" showInputMessage="1" showErrorMessage="1" sqref="G2:G31 G33:G132" xr:uid="{460F9A8B-656D-4F1C-A41B-E235AA1964B1}">
      <formula1>"Done, Not Done, Check"</formula1>
    </dataValidation>
    <dataValidation type="list" allowBlank="1" showInputMessage="1" showErrorMessage="1" sqref="G32 AZ2:AZ57" xr:uid="{C1CDC12C-04EE-4D8A-8279-50CE327C8853}">
      <formula1>"Done, Not Done"</formula1>
    </dataValidation>
  </dataValidations>
  <pageMargins left="0.7" right="0.7" top="0.75" bottom="0.75" header="0.3" footer="0.3"/>
  <headerFooter>
    <oddFooter xml:space="preserve">&amp;C_x000D_&amp;1#&amp;"Aptos"&amp;11&amp;K000000 Classification: Internal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B71C-76F2-4F66-B422-4346239CFF39}">
  <dimension ref="A1:E53"/>
  <sheetViews>
    <sheetView workbookViewId="0">
      <selection activeCell="E7" sqref="E7"/>
    </sheetView>
  </sheetViews>
  <sheetFormatPr defaultRowHeight="25" customHeight="1" x14ac:dyDescent="0.25"/>
  <cols>
    <col min="1" max="1" width="26" style="50" bestFit="1" customWidth="1"/>
    <col min="2" max="2" width="13.36328125" style="50" bestFit="1" customWidth="1"/>
    <col min="3" max="3" width="12.1796875" style="50" bestFit="1" customWidth="1"/>
    <col min="4" max="4" width="18.54296875" style="50" customWidth="1"/>
    <col min="5" max="16384" width="8.7265625" style="50"/>
  </cols>
  <sheetData>
    <row r="1" spans="1:5" ht="25" customHeight="1" x14ac:dyDescent="0.3">
      <c r="A1" s="49" t="s">
        <v>852</v>
      </c>
      <c r="B1" s="49" t="s">
        <v>1046</v>
      </c>
      <c r="C1" s="49" t="s">
        <v>1047</v>
      </c>
    </row>
    <row r="2" spans="1:5" ht="25" customHeight="1" x14ac:dyDescent="0.25">
      <c r="A2" s="47" t="s">
        <v>1048</v>
      </c>
      <c r="B2" s="48" t="s">
        <v>26</v>
      </c>
      <c r="C2" s="48" t="s">
        <v>913</v>
      </c>
    </row>
    <row r="3" spans="1:5" ht="25" customHeight="1" x14ac:dyDescent="0.25">
      <c r="A3" s="47" t="s">
        <v>1049</v>
      </c>
      <c r="B3" s="48" t="s">
        <v>763</v>
      </c>
      <c r="C3" s="48" t="s">
        <v>1051</v>
      </c>
    </row>
    <row r="4" spans="1:5" ht="25" customHeight="1" x14ac:dyDescent="0.25">
      <c r="A4" s="47" t="s">
        <v>1050</v>
      </c>
      <c r="B4" s="48" t="s">
        <v>124</v>
      </c>
      <c r="C4" s="48" t="s">
        <v>883</v>
      </c>
      <c r="E4" s="48"/>
    </row>
    <row r="5" spans="1:5" ht="25" customHeight="1" x14ac:dyDescent="0.25">
      <c r="A5" s="47" t="s">
        <v>1052</v>
      </c>
      <c r="B5" s="48" t="s">
        <v>200</v>
      </c>
      <c r="C5" s="48" t="s">
        <v>971</v>
      </c>
      <c r="E5" s="48"/>
    </row>
    <row r="6" spans="1:5" ht="25" customHeight="1" x14ac:dyDescent="0.25">
      <c r="A6" s="47" t="s">
        <v>1053</v>
      </c>
      <c r="B6" s="48" t="s">
        <v>1054</v>
      </c>
      <c r="C6" s="48" t="s">
        <v>1005</v>
      </c>
    </row>
    <row r="7" spans="1:5" ht="25" customHeight="1" x14ac:dyDescent="0.25">
      <c r="A7" s="47" t="s">
        <v>1055</v>
      </c>
      <c r="B7" s="48" t="s">
        <v>1056</v>
      </c>
      <c r="C7" s="48"/>
    </row>
    <row r="8" spans="1:5" ht="25" customHeight="1" x14ac:dyDescent="0.25">
      <c r="A8" s="47" t="s">
        <v>1057</v>
      </c>
      <c r="B8" s="48" t="s">
        <v>157</v>
      </c>
      <c r="C8" s="48" t="s">
        <v>966</v>
      </c>
    </row>
    <row r="9" spans="1:5" ht="25" customHeight="1" x14ac:dyDescent="0.25">
      <c r="A9" s="47" t="s">
        <v>1058</v>
      </c>
      <c r="B9" s="48" t="s">
        <v>165</v>
      </c>
      <c r="C9" s="48" t="s">
        <v>950</v>
      </c>
    </row>
    <row r="10" spans="1:5" ht="25" customHeight="1" x14ac:dyDescent="0.25">
      <c r="A10" s="47" t="s">
        <v>1059</v>
      </c>
      <c r="B10" s="48" t="s">
        <v>138</v>
      </c>
      <c r="C10" s="48" t="s">
        <v>955</v>
      </c>
    </row>
    <row r="11" spans="1:5" ht="25" customHeight="1" x14ac:dyDescent="0.25">
      <c r="A11" s="47" t="s">
        <v>1060</v>
      </c>
      <c r="B11" s="48" t="s">
        <v>145</v>
      </c>
      <c r="C11" s="48" t="s">
        <v>964</v>
      </c>
    </row>
    <row r="12" spans="1:5" ht="25" customHeight="1" x14ac:dyDescent="0.25">
      <c r="A12" s="47" t="s">
        <v>1061</v>
      </c>
      <c r="B12" s="48" t="s">
        <v>144</v>
      </c>
      <c r="C12" s="48" t="s">
        <v>965</v>
      </c>
    </row>
    <row r="13" spans="1:5" ht="25" customHeight="1" x14ac:dyDescent="0.25">
      <c r="A13" s="47" t="s">
        <v>1062</v>
      </c>
      <c r="B13" s="48" t="s">
        <v>168</v>
      </c>
      <c r="C13" s="48"/>
    </row>
    <row r="14" spans="1:5" ht="25" customHeight="1" x14ac:dyDescent="0.25">
      <c r="A14" s="47" t="s">
        <v>1063</v>
      </c>
      <c r="B14" s="48" t="s">
        <v>177</v>
      </c>
      <c r="C14" s="48" t="s">
        <v>910</v>
      </c>
    </row>
    <row r="15" spans="1:5" ht="25" customHeight="1" x14ac:dyDescent="0.25">
      <c r="A15" s="47" t="s">
        <v>1064</v>
      </c>
      <c r="B15" s="48" t="s">
        <v>172</v>
      </c>
      <c r="C15" s="48" t="s">
        <v>975</v>
      </c>
    </row>
    <row r="16" spans="1:5" ht="25" customHeight="1" x14ac:dyDescent="0.25">
      <c r="A16" s="47" t="s">
        <v>1065</v>
      </c>
      <c r="B16" s="48" t="s">
        <v>197</v>
      </c>
      <c r="C16" s="48" t="s">
        <v>989</v>
      </c>
    </row>
    <row r="17" spans="1:3" ht="25" customHeight="1" x14ac:dyDescent="0.25">
      <c r="A17" s="47" t="s">
        <v>1066</v>
      </c>
      <c r="B17" s="48" t="s">
        <v>176</v>
      </c>
      <c r="C17" s="48"/>
    </row>
    <row r="18" spans="1:3" ht="25" customHeight="1" x14ac:dyDescent="0.25">
      <c r="A18" s="47" t="s">
        <v>1067</v>
      </c>
      <c r="B18" s="48" t="s">
        <v>176</v>
      </c>
      <c r="C18" s="48"/>
    </row>
    <row r="19" spans="1:3" ht="25" customHeight="1" x14ac:dyDescent="0.25">
      <c r="A19" s="47" t="s">
        <v>1068</v>
      </c>
      <c r="B19" s="48" t="s">
        <v>176</v>
      </c>
      <c r="C19" s="48"/>
    </row>
    <row r="20" spans="1:3" ht="25" customHeight="1" x14ac:dyDescent="0.25">
      <c r="A20" s="47" t="s">
        <v>1069</v>
      </c>
      <c r="B20" s="48" t="s">
        <v>195</v>
      </c>
      <c r="C20" s="48"/>
    </row>
    <row r="21" spans="1:3" ht="25" customHeight="1" x14ac:dyDescent="0.25">
      <c r="A21" s="47" t="s">
        <v>1070</v>
      </c>
      <c r="B21" s="48" t="s">
        <v>176</v>
      </c>
      <c r="C21" s="48"/>
    </row>
    <row r="22" spans="1:3" ht="25" customHeight="1" x14ac:dyDescent="0.25">
      <c r="A22" s="47" t="s">
        <v>1071</v>
      </c>
      <c r="B22" s="48" t="s">
        <v>1072</v>
      </c>
      <c r="C22" s="48" t="s">
        <v>920</v>
      </c>
    </row>
    <row r="23" spans="1:3" ht="25" customHeight="1" x14ac:dyDescent="0.25">
      <c r="A23" s="47" t="s">
        <v>1073</v>
      </c>
      <c r="B23" s="48" t="s">
        <v>91</v>
      </c>
      <c r="C23" s="48" t="s">
        <v>948</v>
      </c>
    </row>
    <row r="24" spans="1:3" ht="25" customHeight="1" x14ac:dyDescent="0.25">
      <c r="A24" s="47" t="s">
        <v>1074</v>
      </c>
      <c r="B24" s="48" t="s">
        <v>183</v>
      </c>
      <c r="C24" s="48" t="s">
        <v>977</v>
      </c>
    </row>
    <row r="25" spans="1:3" ht="25" customHeight="1" x14ac:dyDescent="0.25">
      <c r="A25" s="47" t="s">
        <v>1075</v>
      </c>
      <c r="B25" s="48" t="s">
        <v>194</v>
      </c>
      <c r="C25" s="48" t="s">
        <v>1013</v>
      </c>
    </row>
    <row r="26" spans="1:3" ht="25" customHeight="1" x14ac:dyDescent="0.25">
      <c r="A26" s="47" t="s">
        <v>1076</v>
      </c>
      <c r="B26" s="48" t="s">
        <v>0</v>
      </c>
      <c r="C26" s="48" t="s">
        <v>915</v>
      </c>
    </row>
    <row r="27" spans="1:3" ht="25" customHeight="1" x14ac:dyDescent="0.25">
      <c r="A27" s="47" t="s">
        <v>1077</v>
      </c>
      <c r="B27" s="48" t="s">
        <v>50</v>
      </c>
      <c r="C27" s="48" t="s">
        <v>930</v>
      </c>
    </row>
    <row r="28" spans="1:3" ht="25" customHeight="1" x14ac:dyDescent="0.25">
      <c r="A28" s="47" t="s">
        <v>1078</v>
      </c>
      <c r="B28" s="48" t="s">
        <v>1079</v>
      </c>
      <c r="C28" s="48" t="s">
        <v>972</v>
      </c>
    </row>
    <row r="29" spans="1:3" ht="25" customHeight="1" x14ac:dyDescent="0.25">
      <c r="A29" s="47" t="s">
        <v>1080</v>
      </c>
      <c r="B29" s="48" t="s">
        <v>128</v>
      </c>
      <c r="C29" s="48" t="s">
        <v>953</v>
      </c>
    </row>
    <row r="30" spans="1:3" ht="25" customHeight="1" x14ac:dyDescent="0.25">
      <c r="A30" s="47" t="s">
        <v>1081</v>
      </c>
      <c r="B30" s="48" t="s">
        <v>134</v>
      </c>
      <c r="C30" s="48" t="s">
        <v>1082</v>
      </c>
    </row>
    <row r="31" spans="1:3" ht="25" customHeight="1" x14ac:dyDescent="0.25">
      <c r="A31" s="47" t="s">
        <v>1083</v>
      </c>
      <c r="B31" s="48" t="s">
        <v>1084</v>
      </c>
      <c r="C31" s="48" t="s">
        <v>1002</v>
      </c>
    </row>
    <row r="32" spans="1:3" ht="25" customHeight="1" x14ac:dyDescent="0.25">
      <c r="A32" s="47" t="s">
        <v>1085</v>
      </c>
      <c r="B32" s="48" t="s">
        <v>1086</v>
      </c>
      <c r="C32" s="48" t="s">
        <v>1003</v>
      </c>
    </row>
    <row r="33" spans="1:3" ht="25" customHeight="1" x14ac:dyDescent="0.25">
      <c r="A33" s="47" t="s">
        <v>1087</v>
      </c>
      <c r="B33" s="48" t="s">
        <v>755</v>
      </c>
      <c r="C33" s="48" t="s">
        <v>1009</v>
      </c>
    </row>
    <row r="34" spans="1:3" ht="25" customHeight="1" x14ac:dyDescent="0.25">
      <c r="A34" s="47" t="s">
        <v>1088</v>
      </c>
      <c r="B34" s="48" t="s">
        <v>23</v>
      </c>
      <c r="C34" s="48"/>
    </row>
    <row r="35" spans="1:3" ht="25" customHeight="1" x14ac:dyDescent="0.25">
      <c r="A35" s="47" t="s">
        <v>1089</v>
      </c>
      <c r="B35" s="48" t="s">
        <v>201</v>
      </c>
      <c r="C35" s="48" t="s">
        <v>1090</v>
      </c>
    </row>
    <row r="36" spans="1:3" ht="25" customHeight="1" x14ac:dyDescent="0.25">
      <c r="A36" s="47" t="s">
        <v>1091</v>
      </c>
      <c r="B36" s="48" t="s">
        <v>67</v>
      </c>
      <c r="C36" s="48" t="s">
        <v>931</v>
      </c>
    </row>
    <row r="37" spans="1:3" ht="25" customHeight="1" x14ac:dyDescent="0.25">
      <c r="A37" s="47" t="s">
        <v>1092</v>
      </c>
      <c r="B37" s="48" t="s">
        <v>149</v>
      </c>
      <c r="C37" s="48" t="s">
        <v>956</v>
      </c>
    </row>
    <row r="38" spans="1:3" ht="25" customHeight="1" x14ac:dyDescent="0.25">
      <c r="A38" s="47" t="s">
        <v>1093</v>
      </c>
      <c r="B38" s="48" t="s">
        <v>131</v>
      </c>
      <c r="C38" s="48"/>
    </row>
    <row r="39" spans="1:3" ht="25" customHeight="1" x14ac:dyDescent="0.25">
      <c r="A39" s="47" t="s">
        <v>1094</v>
      </c>
      <c r="B39" s="48" t="s">
        <v>179</v>
      </c>
      <c r="C39" s="48" t="s">
        <v>951</v>
      </c>
    </row>
    <row r="40" spans="1:3" ht="25" customHeight="1" x14ac:dyDescent="0.25">
      <c r="A40" s="47" t="s">
        <v>1095</v>
      </c>
      <c r="B40" s="48" t="s">
        <v>1096</v>
      </c>
      <c r="C40" s="48" t="s">
        <v>952</v>
      </c>
    </row>
    <row r="41" spans="1:3" ht="25" customHeight="1" x14ac:dyDescent="0.25">
      <c r="A41" s="47" t="s">
        <v>1097</v>
      </c>
      <c r="B41" s="48" t="s">
        <v>143</v>
      </c>
      <c r="C41" s="48" t="s">
        <v>960</v>
      </c>
    </row>
    <row r="42" spans="1:3" ht="25" customHeight="1" x14ac:dyDescent="0.25">
      <c r="A42" s="47" t="s">
        <v>1098</v>
      </c>
      <c r="B42" s="48" t="s">
        <v>199</v>
      </c>
      <c r="C42" s="48" t="s">
        <v>976</v>
      </c>
    </row>
    <row r="43" spans="1:3" ht="25" customHeight="1" x14ac:dyDescent="0.25">
      <c r="A43" s="47" t="s">
        <v>1099</v>
      </c>
      <c r="B43" s="48" t="s">
        <v>180</v>
      </c>
      <c r="C43" s="48" t="s">
        <v>981</v>
      </c>
    </row>
    <row r="44" spans="1:3" ht="25" customHeight="1" x14ac:dyDescent="0.25">
      <c r="A44" s="47" t="s">
        <v>1100</v>
      </c>
      <c r="B44" s="48" t="s">
        <v>158</v>
      </c>
      <c r="C44" s="48" t="s">
        <v>1006</v>
      </c>
    </row>
    <row r="45" spans="1:3" ht="25" customHeight="1" x14ac:dyDescent="0.25">
      <c r="A45" s="47" t="s">
        <v>1101</v>
      </c>
      <c r="B45" s="48" t="s">
        <v>189</v>
      </c>
      <c r="C45" s="48" t="s">
        <v>980</v>
      </c>
    </row>
    <row r="46" spans="1:3" ht="25" customHeight="1" x14ac:dyDescent="0.25">
      <c r="A46" s="47" t="s">
        <v>1102</v>
      </c>
      <c r="B46" s="48" t="s">
        <v>1103</v>
      </c>
      <c r="C46" s="48" t="s">
        <v>949</v>
      </c>
    </row>
    <row r="47" spans="1:3" ht="25" customHeight="1" x14ac:dyDescent="0.25">
      <c r="A47" s="47" t="s">
        <v>1104</v>
      </c>
      <c r="B47" s="48" t="s">
        <v>190</v>
      </c>
      <c r="C47" s="48" t="s">
        <v>979</v>
      </c>
    </row>
    <row r="48" spans="1:3" ht="25" customHeight="1" x14ac:dyDescent="0.25">
      <c r="A48" s="47" t="s">
        <v>1105</v>
      </c>
      <c r="B48" s="48" t="s">
        <v>187</v>
      </c>
      <c r="C48" s="48" t="s">
        <v>973</v>
      </c>
    </row>
    <row r="49" spans="1:3" ht="25" customHeight="1" x14ac:dyDescent="0.25">
      <c r="A49" s="47" t="s">
        <v>1106</v>
      </c>
      <c r="B49" s="48" t="s">
        <v>146</v>
      </c>
      <c r="C49" s="48" t="s">
        <v>887</v>
      </c>
    </row>
    <row r="50" spans="1:3" ht="25" customHeight="1" x14ac:dyDescent="0.25">
      <c r="A50" s="47" t="s">
        <v>1107</v>
      </c>
      <c r="B50" s="48" t="s">
        <v>159</v>
      </c>
      <c r="C50" s="48"/>
    </row>
    <row r="51" spans="1:3" ht="25" customHeight="1" x14ac:dyDescent="0.25">
      <c r="A51" s="47" t="s">
        <v>1108</v>
      </c>
      <c r="B51" s="48" t="s">
        <v>162</v>
      </c>
      <c r="C51" s="48"/>
    </row>
    <row r="52" spans="1:3" ht="25" customHeight="1" x14ac:dyDescent="0.25">
      <c r="A52" s="47" t="s">
        <v>1109</v>
      </c>
      <c r="B52" s="48" t="s">
        <v>86</v>
      </c>
      <c r="C52" s="48" t="s">
        <v>945</v>
      </c>
    </row>
    <row r="53" spans="1:3" ht="25" customHeight="1" x14ac:dyDescent="0.25">
      <c r="A53" s="47" t="s">
        <v>1110</v>
      </c>
      <c r="B53" s="48" t="s">
        <v>188</v>
      </c>
      <c r="C53" s="48" t="s">
        <v>1000</v>
      </c>
    </row>
  </sheetData>
  <conditionalFormatting sqref="B1:B53">
    <cfRule type="duplicateValues" dxfId="31" priority="2"/>
  </conditionalFormatting>
  <conditionalFormatting sqref="E5">
    <cfRule type="duplicateValues" dxfId="30" priority="1"/>
  </conditionalFormatting>
  <pageMargins left="0.7" right="0.7" top="0.75" bottom="0.75" header="0.3" footer="0.3"/>
  <headerFooter>
    <oddFooter xml:space="preserve">&amp;C_x000D_&amp;1#&amp;"Aptos"&amp;11&amp;K000000 Classification: Internal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6E24-FAF0-4C70-B295-D19E68E4DEEB}">
  <dimension ref="A1:Q121"/>
  <sheetViews>
    <sheetView tabSelected="1" topLeftCell="J48" workbookViewId="0">
      <selection activeCell="D18" sqref="D18"/>
    </sheetView>
  </sheetViews>
  <sheetFormatPr defaultRowHeight="12.5" x14ac:dyDescent="0.25"/>
  <cols>
    <col min="1" max="1" width="45.453125" customWidth="1"/>
    <col min="2" max="2" width="19.08984375" customWidth="1"/>
    <col min="3" max="5" width="20.90625" customWidth="1"/>
    <col min="6" max="6" width="22.7265625" customWidth="1"/>
    <col min="7" max="7" width="26.36328125" customWidth="1"/>
    <col min="8" max="8" width="34.54296875" customWidth="1"/>
    <col min="9" max="9" width="3.26953125" customWidth="1"/>
    <col min="10" max="10" width="45.453125" customWidth="1"/>
    <col min="11" max="11" width="19.08984375" customWidth="1"/>
    <col min="12" max="14" width="20.90625" customWidth="1"/>
    <col min="15" max="15" width="22.7265625" customWidth="1"/>
    <col min="16" max="16" width="26.36328125" customWidth="1"/>
    <col min="17" max="17" width="34.54296875" customWidth="1"/>
  </cols>
  <sheetData>
    <row r="1" spans="1:17" ht="23.5" x14ac:dyDescent="0.25">
      <c r="A1" s="56" t="s">
        <v>1112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13" x14ac:dyDescent="0.25">
      <c r="A2" s="57" t="s">
        <v>1113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ht="13" x14ac:dyDescent="0.25">
      <c r="A3" s="51" t="s">
        <v>1136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</row>
    <row r="4" spans="1:17" ht="13" x14ac:dyDescent="0.25">
      <c r="A4" s="51" t="s">
        <v>1145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ht="13" x14ac:dyDescent="0.25">
      <c r="A5" s="51" t="s">
        <v>1137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spans="1:17" ht="13" x14ac:dyDescent="0.25">
      <c r="A6" s="53"/>
      <c r="B6" s="53"/>
      <c r="C6" s="53"/>
      <c r="D6" s="53"/>
      <c r="E6" s="53"/>
      <c r="F6" s="53"/>
      <c r="G6" s="53"/>
      <c r="H6" s="53"/>
      <c r="I6" s="50"/>
      <c r="J6" s="50"/>
      <c r="K6" s="50"/>
      <c r="L6" s="50"/>
      <c r="M6" s="50"/>
      <c r="N6" s="50"/>
      <c r="O6" s="50"/>
      <c r="P6" s="50"/>
      <c r="Q6" s="50"/>
    </row>
    <row r="7" spans="1:17" ht="16" x14ac:dyDescent="0.25">
      <c r="A7" s="54" t="s">
        <v>1114</v>
      </c>
      <c r="B7" s="54"/>
      <c r="C7" s="54"/>
      <c r="D7" s="54"/>
      <c r="E7" s="54"/>
      <c r="F7" s="54"/>
      <c r="G7" s="54"/>
      <c r="H7" s="54"/>
      <c r="I7" s="50"/>
      <c r="J7" s="54" t="s">
        <v>1121</v>
      </c>
      <c r="K7" s="54"/>
      <c r="L7" s="54"/>
      <c r="M7" s="54"/>
      <c r="N7" s="54"/>
      <c r="O7" s="54"/>
      <c r="P7" s="54"/>
      <c r="Q7" s="54"/>
    </row>
    <row r="8" spans="1:17" ht="26" x14ac:dyDescent="0.25">
      <c r="A8" s="53" t="s">
        <v>1115</v>
      </c>
      <c r="B8" s="53" t="s">
        <v>1116</v>
      </c>
      <c r="C8" s="53" t="s">
        <v>1138</v>
      </c>
      <c r="D8" s="53" t="s">
        <v>1139</v>
      </c>
      <c r="E8" s="53" t="s">
        <v>1140</v>
      </c>
      <c r="F8" s="53" t="s">
        <v>1141</v>
      </c>
      <c r="G8" s="53" t="s">
        <v>1142</v>
      </c>
      <c r="H8" s="53" t="s">
        <v>1120</v>
      </c>
      <c r="I8" s="50"/>
      <c r="J8" s="53" t="s">
        <v>1122</v>
      </c>
      <c r="K8" s="53" t="s">
        <v>1123</v>
      </c>
      <c r="L8" s="53" t="s">
        <v>1117</v>
      </c>
      <c r="M8" s="53" t="s">
        <v>1118</v>
      </c>
      <c r="N8" s="53" t="s">
        <v>1119</v>
      </c>
      <c r="O8" s="53" t="s">
        <v>1124</v>
      </c>
      <c r="P8" s="53" t="s">
        <v>1125</v>
      </c>
      <c r="Q8" s="53" t="s">
        <v>1120</v>
      </c>
    </row>
    <row r="9" spans="1:17" ht="26" x14ac:dyDescent="0.25">
      <c r="A9" s="53" t="s">
        <v>1048</v>
      </c>
      <c r="B9" s="53" t="s">
        <v>913</v>
      </c>
      <c r="C9" s="58">
        <f>IF($B9="",0,MAX(0,_xlfn.XLOOKUP($B9,'Opex Tables'!$A$2:$A$133,'Opex Tables'!$H$2:$H$133,0)))</f>
        <v>0</v>
      </c>
      <c r="D9" s="58">
        <f>IF($B9="",0,MAX(0,_xlfn.XLOOKUP($B9,'Opex Tables'!$A$2:$A$133,'Opex Tables'!$I$2:$I$133,0)))</f>
        <v>0</v>
      </c>
      <c r="E9" s="59">
        <f>IF($B9="",0,MAX(0,_xlfn.XLOOKUP($B9,'Opex Tables'!$A$2:$A$133,'Opex Tables'!$J$2:$J$133,0)))</f>
        <v>0</v>
      </c>
      <c r="F9" s="60">
        <f>SUM(C9:E9)</f>
        <v>0</v>
      </c>
      <c r="G9" s="61">
        <f>IF($B9="",0,SUMIFS('OPEX CJI3'!$F$2:$F$7490,'OPEX CJI3'!$A$2:$A$7490,$B9&amp;"*",'OPEX CJI3'!$J$2:$J$7490,"*Reclass internal hours*"))</f>
        <v>-66690</v>
      </c>
      <c r="H9" s="53" t="str">
        <f>IF($B9="","No OPEX code",IF(COUNTIF('Opex Tables'!$A$2:$A$133,$B9)=0,"REVIEW: no processed spend",IF(AND(C9=0,D9=0,E9=0,G9&lt;0),"Credit only — DO NOT ENTER",IF(AND(C9=0,D9=0,E9=0,G9=0),"No internal spend","Enter C/D; compare E"))))</f>
        <v>Credit only — DO NOT ENTER</v>
      </c>
      <c r="I9" s="50"/>
      <c r="J9" s="53" t="s">
        <v>1048</v>
      </c>
      <c r="K9" s="53" t="s">
        <v>26</v>
      </c>
      <c r="L9" s="58">
        <f>IF(OR($K9="",$K9="Not needed",FALSE),0,_xlfn.XLOOKUP($K9,'CAPEX Tables'!$A$8:$A$54,'CAPEX Tables'!$B$8:$B$54,0))</f>
        <v>18000</v>
      </c>
      <c r="M9" s="58">
        <f>IF(OR($K9="",$K9="Not needed",FALSE),0,SUMIFS('CAPEX CJI3'!$F$2:$F$433,'CAPEX CJI3'!$A$2:$A$433,$K9,'CAPEX CJI3'!$K$2:$K$433,2026,'CAPEX CJI3'!$J$2:$J$433,"*Reclass internal hours*",'CAPEX CJI3'!$N$2:$N$433,"&lt;"&amp;DATE(2026,6,1)))</f>
        <v>30690</v>
      </c>
      <c r="N9" s="59">
        <f>IF(OR($K9="",$K9="Not needed",FALSE),0,SUMIFS('CAPEX CJI3'!$F$2:$F$433,'CAPEX CJI3'!$A$2:$A$433,$K9,'CAPEX CJI3'!$K$2:$K$433,2026,'CAPEX CJI3'!$J$2:$J$433,"*Reclass internal hours*",'CAPEX CJI3'!$N$2:$N$433,"&gt;="&amp;DATE(2026,6,1)))</f>
        <v>18000</v>
      </c>
      <c r="O9" s="60">
        <f>SUM(L9:N9)</f>
        <v>66690</v>
      </c>
      <c r="P9" s="55" t="str">
        <f>_xlfn.LET(_xlpm.op,_xlfn.XLOOKUP($J9,'codes match'!$A$2:$A$53,'codes match'!$C$2:$C$53,""),_xlpm.cr,IF(_xlpm.op="",0,SUMIFS('OPEX CJI3'!$F$2:$F$7490,'OPEX CJI3'!$A$2:$A$7490,_xlpm.op&amp;"*",'OPEX CJI3'!$J$2:$J$7490,"*Reclass internal hours*")),IF(_xlpm.op="","No OPEX pair",IF(ABS(_xlpm.cr+O9)&lt;0.01,"MATCH","REVIEW: unmatched €"&amp;TEXT(_xlpm.cr+O9,"#,##0.00"))))</f>
        <v>MATCH</v>
      </c>
      <c r="Q9" s="53" t="str">
        <f>IF(OR($K9="",$K9="Not needed"),"No CAPEX code",IF(COUNTIF('CAPEX Tables'!$A$8:$A$54,$K9)=0,"No processed CAPEX spend",IF(O9=0,"No internal spend","Enter C/D; compare E")))</f>
        <v>Enter C/D; compare E</v>
      </c>
    </row>
    <row r="10" spans="1:17" ht="13" x14ac:dyDescent="0.25">
      <c r="A10" s="53" t="s">
        <v>1049</v>
      </c>
      <c r="B10" s="53" t="s">
        <v>1051</v>
      </c>
      <c r="C10" s="58">
        <f>IF($B10="",0,MAX(0,_xlfn.XLOOKUP($B10,'Opex Tables'!$A$2:$A$133,'Opex Tables'!$H$2:$H$133,0)))</f>
        <v>0</v>
      </c>
      <c r="D10" s="58">
        <f>IF($B10="",0,MAX(0,_xlfn.XLOOKUP($B10,'Opex Tables'!$A$2:$A$133,'Opex Tables'!$I$2:$I$133,0)))</f>
        <v>0</v>
      </c>
      <c r="E10" s="59">
        <f>IF($B10="",0,MAX(0,_xlfn.XLOOKUP($B10,'Opex Tables'!$A$2:$A$133,'Opex Tables'!$J$2:$J$133,0)))</f>
        <v>0</v>
      </c>
      <c r="F10" s="60">
        <f t="shared" ref="F10:F60" si="0">SUM(C10:E10)</f>
        <v>0</v>
      </c>
      <c r="G10" s="61">
        <f>IF($B10="",0,SUMIFS('OPEX CJI3'!$F$2:$F$7490,'OPEX CJI3'!$A$2:$A$7490,$B10&amp;"*",'OPEX CJI3'!$J$2:$J$7490,"*Reclass internal hours*"))</f>
        <v>0</v>
      </c>
      <c r="H10" s="53" t="str">
        <f>IF($B10="","No OPEX code",IF(COUNTIF('Opex Tables'!$A$2:$A$133,$B10)=0,"REVIEW: no processed spend",IF(AND(C10=0,D10=0,E10=0,G10&lt;0),"Credit only — DO NOT ENTER",IF(AND(C10=0,D10=0,E10=0,G10=0),"No internal spend","Enter C/D; compare E"))))</f>
        <v>REVIEW: no processed spend</v>
      </c>
      <c r="I10" s="50"/>
      <c r="J10" s="53" t="s">
        <v>1049</v>
      </c>
      <c r="K10" s="53" t="s">
        <v>763</v>
      </c>
      <c r="L10" s="58">
        <f>IF(OR($K10="",$K10="Not needed",FALSE),0,_xlfn.XLOOKUP($K10,'CAPEX Tables'!$A$8:$A$54,'CAPEX Tables'!$B$8:$B$54,0))</f>
        <v>0</v>
      </c>
      <c r="M10" s="58">
        <f>IF(OR($K10="",$K10="Not needed",FALSE),0,SUMIFS('CAPEX CJI3'!$F$2:$F$433,'CAPEX CJI3'!$A$2:$A$433,$K10,'CAPEX CJI3'!$K$2:$K$433,2026,'CAPEX CJI3'!$J$2:$J$433,"*Reclass internal hours*",'CAPEX CJI3'!$N$2:$N$433,"&lt;"&amp;DATE(2026,6,1)))</f>
        <v>0</v>
      </c>
      <c r="N10" s="59">
        <f>IF(OR($K10="",$K10="Not needed",FALSE),0,SUMIFS('CAPEX CJI3'!$F$2:$F$433,'CAPEX CJI3'!$A$2:$A$433,$K10,'CAPEX CJI3'!$K$2:$K$433,2026,'CAPEX CJI3'!$J$2:$J$433,"*Reclass internal hours*",'CAPEX CJI3'!$N$2:$N$433,"&gt;="&amp;DATE(2026,6,1)))</f>
        <v>0</v>
      </c>
      <c r="O10" s="60">
        <f t="shared" ref="O10:O60" si="1">SUM(L10:N10)</f>
        <v>0</v>
      </c>
      <c r="P10" s="55" t="str">
        <f>_xlfn.LET(_xlpm.op,_xlfn.XLOOKUP($J10,'codes match'!$A$2:$A$53,'codes match'!$C$2:$C$53,""),_xlpm.cr,IF(_xlpm.op="",0,SUMIFS('OPEX CJI3'!$F$2:$F$7490,'OPEX CJI3'!$A$2:$A$7490,_xlpm.op&amp;"*",'OPEX CJI3'!$J$2:$J$7490,"*Reclass internal hours*")),IF(_xlpm.op="","No OPEX pair",IF(ABS(_xlpm.cr+O10)&lt;0.01,"MATCH","REVIEW: unmatched €"&amp;TEXT(_xlpm.cr+O10,"#,##0.00"))))</f>
        <v>MATCH</v>
      </c>
      <c r="Q10" s="53" t="str">
        <f>IF(OR($K10="",$K10="Not needed"),"No CAPEX code",IF(COUNTIF('CAPEX Tables'!$A$8:$A$54,$K10)=0,"No processed CAPEX spend",IF(O10=0,"No internal spend","Enter C/D; compare E")))</f>
        <v>No processed CAPEX spend</v>
      </c>
    </row>
    <row r="11" spans="1:17" ht="26" x14ac:dyDescent="0.25">
      <c r="A11" s="53" t="s">
        <v>1050</v>
      </c>
      <c r="B11" s="53" t="s">
        <v>883</v>
      </c>
      <c r="C11" s="58">
        <f>IF($B11="",0,MAX(0,_xlfn.XLOOKUP($B11,'Opex Tables'!$A$2:$A$133,'Opex Tables'!$H$2:$H$133,0)))</f>
        <v>9250</v>
      </c>
      <c r="D11" s="58">
        <f>IF($B11="",0,MAX(0,_xlfn.XLOOKUP($B11,'Opex Tables'!$A$2:$A$133,'Opex Tables'!$I$2:$I$133,0)))</f>
        <v>0</v>
      </c>
      <c r="E11" s="59">
        <f>IF($B11="",0,MAX(0,_xlfn.XLOOKUP($B11,'Opex Tables'!$A$2:$A$133,'Opex Tables'!$J$2:$J$133,0)))</f>
        <v>0</v>
      </c>
      <c r="F11" s="60">
        <f t="shared" si="0"/>
        <v>9250</v>
      </c>
      <c r="G11" s="61">
        <f>IF($B11="",0,SUMIFS('OPEX CJI3'!$F$2:$F$7490,'OPEX CJI3'!$A$2:$A$7490,$B11&amp;"*",'OPEX CJI3'!$J$2:$J$7490,"*Reclass internal hours*"))</f>
        <v>-48850</v>
      </c>
      <c r="H11" s="53" t="str">
        <f>IF($B11="","No OPEX code",IF(COUNTIF('Opex Tables'!$A$2:$A$133,$B11)=0,"REVIEW: no processed spend",IF(AND(C11=0,D11=0,E11=0,G11&lt;0),"Credit only — DO NOT ENTER",IF(AND(C11=0,D11=0,E11=0,G11=0),"No internal spend","Enter C/D; compare E"))))</f>
        <v>Enter C/D; compare E</v>
      </c>
      <c r="I11" s="50"/>
      <c r="J11" s="53" t="s">
        <v>1050</v>
      </c>
      <c r="K11" s="53" t="s">
        <v>124</v>
      </c>
      <c r="L11" s="58">
        <f>IF(OR($K11="",$K11="Not needed",FALSE),0,_xlfn.XLOOKUP($K11,'CAPEX Tables'!$A$8:$A$54,'CAPEX Tables'!$B$8:$B$54,0))</f>
        <v>0</v>
      </c>
      <c r="M11" s="58">
        <f>IF(OR($K11="",$K11="Not needed",FALSE),0,SUMIFS('CAPEX CJI3'!$F$2:$F$433,'CAPEX CJI3'!$A$2:$A$433,$K11,'CAPEX CJI3'!$K$2:$K$433,2026,'CAPEX CJI3'!$J$2:$J$433,"*Reclass internal hours*",'CAPEX CJI3'!$N$2:$N$433,"&lt;"&amp;DATE(2026,6,1)))</f>
        <v>15050</v>
      </c>
      <c r="N11" s="59">
        <f>IF(OR($K11="",$K11="Not needed",FALSE),0,SUMIFS('CAPEX CJI3'!$F$2:$F$433,'CAPEX CJI3'!$A$2:$A$433,$K11,'CAPEX CJI3'!$K$2:$K$433,2026,'CAPEX CJI3'!$J$2:$J$433,"*Reclass internal hours*",'CAPEX CJI3'!$N$2:$N$433,"&gt;="&amp;DATE(2026,6,1)))</f>
        <v>600</v>
      </c>
      <c r="O11" s="60">
        <f t="shared" si="1"/>
        <v>15650</v>
      </c>
      <c r="P11" s="55" t="str">
        <f>_xlfn.LET(_xlpm.op,_xlfn.XLOOKUP($J11,'codes match'!$A$2:$A$53,'codes match'!$C$2:$C$53,""),_xlpm.cr,IF(_xlpm.op="",0,SUMIFS('OPEX CJI3'!$F$2:$F$7490,'OPEX CJI3'!$A$2:$A$7490,_xlpm.op&amp;"*",'OPEX CJI3'!$J$2:$J$7490,"*Reclass internal hours*")),IF(_xlpm.op="","No OPEX pair",IF(ABS(_xlpm.cr+O11)&lt;0.01,"MATCH","REVIEW: unmatched €"&amp;TEXT(_xlpm.cr+O11,"#,##0.00"))))</f>
        <v>REVIEW: unmatched €-33,200.00</v>
      </c>
      <c r="Q11" s="53" t="str">
        <f>IF(OR($K11="",$K11="Not needed"),"No CAPEX code",IF(COUNTIF('CAPEX Tables'!$A$8:$A$54,$K11)=0,"No processed CAPEX spend",IF(O11=0,"No internal spend","Enter C/D; compare E")))</f>
        <v>Enter C/D; compare E</v>
      </c>
    </row>
    <row r="12" spans="1:17" ht="13" x14ac:dyDescent="0.25">
      <c r="A12" s="53" t="s">
        <v>1052</v>
      </c>
      <c r="B12" s="53" t="s">
        <v>971</v>
      </c>
      <c r="C12" s="58">
        <f>IF($B12="",0,MAX(0,_xlfn.XLOOKUP($B12,'Opex Tables'!$A$2:$A$133,'Opex Tables'!$H$2:$H$133,0)))</f>
        <v>0</v>
      </c>
      <c r="D12" s="58">
        <f>IF($B12="",0,MAX(0,_xlfn.XLOOKUP($B12,'Opex Tables'!$A$2:$A$133,'Opex Tables'!$I$2:$I$133,0)))</f>
        <v>0</v>
      </c>
      <c r="E12" s="59">
        <f>IF($B12="",0,MAX(0,_xlfn.XLOOKUP($B12,'Opex Tables'!$A$2:$A$133,'Opex Tables'!$J$2:$J$133,0)))</f>
        <v>0</v>
      </c>
      <c r="F12" s="60">
        <f t="shared" si="0"/>
        <v>0</v>
      </c>
      <c r="G12" s="61">
        <f>IF($B12="",0,SUMIFS('OPEX CJI3'!$F$2:$F$7490,'OPEX CJI3'!$A$2:$A$7490,$B12&amp;"*",'OPEX CJI3'!$J$2:$J$7490,"*Reclass internal hours*"))</f>
        <v>-59972.5</v>
      </c>
      <c r="H12" s="53" t="str">
        <f>IF($B12="","No OPEX code",IF(COUNTIF('Opex Tables'!$A$2:$A$133,$B12)=0,"REVIEW: no processed spend",IF(AND(C12=0,D12=0,E12=0,G12&lt;0),"Credit only — DO NOT ENTER",IF(AND(C12=0,D12=0,E12=0,G12=0),"No internal spend","Enter C/D; compare E"))))</f>
        <v>Credit only — DO NOT ENTER</v>
      </c>
      <c r="I12" s="50"/>
      <c r="J12" s="53" t="s">
        <v>1052</v>
      </c>
      <c r="K12" s="53" t="s">
        <v>200</v>
      </c>
      <c r="L12" s="58">
        <f>IF(OR($K12="",$K12="Not needed",FALSE),0,_xlfn.XLOOKUP($K12,'CAPEX Tables'!$A$8:$A$54,'CAPEX Tables'!$B$8:$B$54,0))</f>
        <v>0</v>
      </c>
      <c r="M12" s="58">
        <f>IF(OR($K12="",$K12="Not needed",FALSE),0,SUMIFS('CAPEX CJI3'!$F$2:$F$433,'CAPEX CJI3'!$A$2:$A$433,$K12,'CAPEX CJI3'!$K$2:$K$433,2026,'CAPEX CJI3'!$J$2:$J$433,"*Reclass internal hours*",'CAPEX CJI3'!$N$2:$N$433,"&lt;"&amp;DATE(2026,6,1)))</f>
        <v>46990</v>
      </c>
      <c r="N12" s="59">
        <f>IF(OR($K12="",$K12="Not needed",FALSE),0,SUMIFS('CAPEX CJI3'!$F$2:$F$433,'CAPEX CJI3'!$A$2:$A$433,$K12,'CAPEX CJI3'!$K$2:$K$433,2026,'CAPEX CJI3'!$J$2:$J$433,"*Reclass internal hours*",'CAPEX CJI3'!$N$2:$N$433,"&gt;="&amp;DATE(2026,6,1)))</f>
        <v>12982.5</v>
      </c>
      <c r="O12" s="60">
        <f t="shared" si="1"/>
        <v>59972.5</v>
      </c>
      <c r="P12" s="55" t="str">
        <f>_xlfn.LET(_xlpm.op,_xlfn.XLOOKUP($J12,'codes match'!$A$2:$A$53,'codes match'!$C$2:$C$53,""),_xlpm.cr,IF(_xlpm.op="",0,SUMIFS('OPEX CJI3'!$F$2:$F$7490,'OPEX CJI3'!$A$2:$A$7490,_xlpm.op&amp;"*",'OPEX CJI3'!$J$2:$J$7490,"*Reclass internal hours*")),IF(_xlpm.op="","No OPEX pair",IF(ABS(_xlpm.cr+O12)&lt;0.01,"MATCH","REVIEW: unmatched €"&amp;TEXT(_xlpm.cr+O12,"#,##0.00"))))</f>
        <v>MATCH</v>
      </c>
      <c r="Q12" s="53" t="str">
        <f>IF(OR($K12="",$K12="Not needed"),"No CAPEX code",IF(COUNTIF('CAPEX Tables'!$A$8:$A$54,$K12)=0,"No processed CAPEX spend",IF(O12=0,"No internal spend","Enter C/D; compare E")))</f>
        <v>Enter C/D; compare E</v>
      </c>
    </row>
    <row r="13" spans="1:17" ht="13" x14ac:dyDescent="0.25">
      <c r="A13" s="53" t="s">
        <v>1053</v>
      </c>
      <c r="B13" s="53" t="s">
        <v>1005</v>
      </c>
      <c r="C13" s="58">
        <f>IF($B13="",0,MAX(0,_xlfn.XLOOKUP($B13,'Opex Tables'!$A$2:$A$133,'Opex Tables'!$H$2:$H$133,0)))</f>
        <v>0</v>
      </c>
      <c r="D13" s="58">
        <f>IF($B13="",0,MAX(0,_xlfn.XLOOKUP($B13,'Opex Tables'!$A$2:$A$133,'Opex Tables'!$I$2:$I$133,0)))</f>
        <v>28300</v>
      </c>
      <c r="E13" s="59">
        <f>IF($B13="",0,MAX(0,_xlfn.XLOOKUP($B13,'Opex Tables'!$A$2:$A$133,'Opex Tables'!$J$2:$J$133,0)))</f>
        <v>7700</v>
      </c>
      <c r="F13" s="60">
        <f t="shared" si="0"/>
        <v>36000</v>
      </c>
      <c r="G13" s="61">
        <f>IF($B13="",0,SUMIFS('OPEX CJI3'!$F$2:$F$7490,'OPEX CJI3'!$A$2:$A$7490,$B13&amp;"*",'OPEX CJI3'!$J$2:$J$7490,"*Reclass internal hours*"))</f>
        <v>0</v>
      </c>
      <c r="H13" s="53" t="str">
        <f>IF($B13="","No OPEX code",IF(COUNTIF('Opex Tables'!$A$2:$A$133,$B13)=0,"REVIEW: no processed spend",IF(AND(C13=0,D13=0,E13=0,G13&lt;0),"Credit only — DO NOT ENTER",IF(AND(C13=0,D13=0,E13=0,G13=0),"No internal spend","Enter C/D; compare E"))))</f>
        <v>Enter C/D; compare E</v>
      </c>
      <c r="I13" s="50"/>
      <c r="J13" s="53" t="s">
        <v>1053</v>
      </c>
      <c r="K13" s="53" t="s">
        <v>1054</v>
      </c>
      <c r="L13" s="58">
        <f>IF(OR($K13="",$K13="Not needed",FALSE),0,_xlfn.XLOOKUP($K13,'CAPEX Tables'!$A$8:$A$54,'CAPEX Tables'!$B$8:$B$54,0))</f>
        <v>0</v>
      </c>
      <c r="M13" s="58">
        <f>IF(OR($K13="",$K13="Not needed",FALSE),0,SUMIFS('CAPEX CJI3'!$F$2:$F$433,'CAPEX CJI3'!$A$2:$A$433,$K13,'CAPEX CJI3'!$K$2:$K$433,2026,'CAPEX CJI3'!$J$2:$J$433,"*Reclass internal hours*",'CAPEX CJI3'!$N$2:$N$433,"&lt;"&amp;DATE(2026,6,1)))</f>
        <v>0</v>
      </c>
      <c r="N13" s="59">
        <f>IF(OR($K13="",$K13="Not needed",FALSE),0,SUMIFS('CAPEX CJI3'!$F$2:$F$433,'CAPEX CJI3'!$A$2:$A$433,$K13,'CAPEX CJI3'!$K$2:$K$433,2026,'CAPEX CJI3'!$J$2:$J$433,"*Reclass internal hours*",'CAPEX CJI3'!$N$2:$N$433,"&gt;="&amp;DATE(2026,6,1)))</f>
        <v>0</v>
      </c>
      <c r="O13" s="60">
        <f t="shared" si="1"/>
        <v>0</v>
      </c>
      <c r="P13" s="55" t="str">
        <f>_xlfn.LET(_xlpm.op,_xlfn.XLOOKUP($J13,'codes match'!$A$2:$A$53,'codes match'!$C$2:$C$53,""),_xlpm.cr,IF(_xlpm.op="",0,SUMIFS('OPEX CJI3'!$F$2:$F$7490,'OPEX CJI3'!$A$2:$A$7490,_xlpm.op&amp;"*",'OPEX CJI3'!$J$2:$J$7490,"*Reclass internal hours*")),IF(_xlpm.op="","No OPEX pair",IF(ABS(_xlpm.cr+O13)&lt;0.01,"MATCH","REVIEW: unmatched €"&amp;TEXT(_xlpm.cr+O13,"#,##0.00"))))</f>
        <v>MATCH</v>
      </c>
      <c r="Q13" s="53" t="str">
        <f>IF(OR($K13="",$K13="Not needed"),"No CAPEX code",IF(COUNTIF('CAPEX Tables'!$A$8:$A$54,$K13)=0,"No processed CAPEX spend",IF(O13=0,"No internal spend","Enter C/D; compare E")))</f>
        <v>No CAPEX code</v>
      </c>
    </row>
    <row r="14" spans="1:17" ht="13" x14ac:dyDescent="0.25">
      <c r="A14" s="53" t="s">
        <v>1055</v>
      </c>
      <c r="B14" s="53"/>
      <c r="C14" s="58">
        <f>IF($B14="",0,MAX(0,_xlfn.XLOOKUP($B14,'Opex Tables'!$A$2:$A$133,'Opex Tables'!$H$2:$H$133,0)))</f>
        <v>0</v>
      </c>
      <c r="D14" s="58">
        <f>IF($B14="",0,MAX(0,_xlfn.XLOOKUP($B14,'Opex Tables'!$A$2:$A$133,'Opex Tables'!$I$2:$I$133,0)))</f>
        <v>0</v>
      </c>
      <c r="E14" s="59">
        <f>IF($B14="",0,MAX(0,_xlfn.XLOOKUP($B14,'Opex Tables'!$A$2:$A$133,'Opex Tables'!$J$2:$J$133,0)))</f>
        <v>0</v>
      </c>
      <c r="F14" s="60">
        <f t="shared" si="0"/>
        <v>0</v>
      </c>
      <c r="G14" s="61">
        <f>IF($B14="",0,SUMIFS('OPEX CJI3'!$F$2:$F$7490,'OPEX CJI3'!$A$2:$A$7490,$B14&amp;"*",'OPEX CJI3'!$J$2:$J$7490,"*Reclass internal hours*"))</f>
        <v>0</v>
      </c>
      <c r="H14" s="53" t="str">
        <f>IF($B14="","No OPEX code",IF(COUNTIF('Opex Tables'!$A$2:$A$133,$B14)=0,"REVIEW: no processed spend",IF(AND(C14=0,D14=0,E14=0,G14&lt;0),"Credit only — DO NOT ENTER",IF(AND(C14=0,D14=0,E14=0,G14=0),"No internal spend","Enter C/D; compare E"))))</f>
        <v>No OPEX code</v>
      </c>
      <c r="I14" s="50"/>
      <c r="J14" s="53" t="s">
        <v>1055</v>
      </c>
      <c r="K14" s="53" t="s">
        <v>1056</v>
      </c>
      <c r="L14" s="58">
        <f>IF(OR($K14="",$K14="Not needed",FALSE),0,_xlfn.XLOOKUP($K14,'CAPEX Tables'!$A$8:$A$54,'CAPEX Tables'!$B$8:$B$54,0))</f>
        <v>0</v>
      </c>
      <c r="M14" s="58">
        <f>IF(OR($K14="",$K14="Not needed",FALSE),0,SUMIFS('CAPEX CJI3'!$F$2:$F$433,'CAPEX CJI3'!$A$2:$A$433,$K14,'CAPEX CJI3'!$K$2:$K$433,2026,'CAPEX CJI3'!$J$2:$J$433,"*Reclass internal hours*",'CAPEX CJI3'!$N$2:$N$433,"&lt;"&amp;DATE(2026,6,1)))</f>
        <v>0</v>
      </c>
      <c r="N14" s="59">
        <f>IF(OR($K14="",$K14="Not needed",FALSE),0,SUMIFS('CAPEX CJI3'!$F$2:$F$433,'CAPEX CJI3'!$A$2:$A$433,$K14,'CAPEX CJI3'!$K$2:$K$433,2026,'CAPEX CJI3'!$J$2:$J$433,"*Reclass internal hours*",'CAPEX CJI3'!$N$2:$N$433,"&gt;="&amp;DATE(2026,6,1)))</f>
        <v>0</v>
      </c>
      <c r="O14" s="60">
        <f t="shared" si="1"/>
        <v>0</v>
      </c>
      <c r="P14" s="55" t="str">
        <f>_xlfn.LET(_xlpm.op,_xlfn.XLOOKUP($J14,'codes match'!$A$2:$A$53,'codes match'!$C$2:$C$53,""),_xlpm.cr,IF(_xlpm.op="",0,SUMIFS('OPEX CJI3'!$F$2:$F$7490,'OPEX CJI3'!$A$2:$A$7490,_xlpm.op&amp;"*",'OPEX CJI3'!$J$2:$J$7490,"*Reclass internal hours*")),IF(_xlpm.op="","No OPEX pair",IF(ABS(_xlpm.cr+O14)&lt;0.01,"MATCH","REVIEW: unmatched €"&amp;TEXT(_xlpm.cr+O14,"#,##0.00"))))</f>
        <v>No OPEX pair</v>
      </c>
      <c r="Q14" s="53" t="str">
        <f>IF(OR($K14="",$K14="Not needed"),"No CAPEX code",IF(COUNTIF('CAPEX Tables'!$A$8:$A$54,$K14)=0,"No processed CAPEX spend",IF(O14=0,"No internal spend","Enter C/D; compare E")))</f>
        <v>No processed CAPEX spend</v>
      </c>
    </row>
    <row r="15" spans="1:17" ht="13" x14ac:dyDescent="0.25">
      <c r="A15" s="53" t="s">
        <v>1057</v>
      </c>
      <c r="B15" s="53" t="s">
        <v>966</v>
      </c>
      <c r="C15" s="58">
        <f>IF($B15="",0,MAX(0,_xlfn.XLOOKUP($B15,'Opex Tables'!$A$2:$A$133,'Opex Tables'!$H$2:$H$133,0)))</f>
        <v>0</v>
      </c>
      <c r="D15" s="58">
        <f>IF($B15="",0,MAX(0,_xlfn.XLOOKUP($B15,'Opex Tables'!$A$2:$A$133,'Opex Tables'!$I$2:$I$133,0)))</f>
        <v>0</v>
      </c>
      <c r="E15" s="59">
        <f>IF($B15="",0,MAX(0,_xlfn.XLOOKUP($B15,'Opex Tables'!$A$2:$A$133,'Opex Tables'!$J$2:$J$133,0)))</f>
        <v>0</v>
      </c>
      <c r="F15" s="60">
        <f t="shared" si="0"/>
        <v>0</v>
      </c>
      <c r="G15" s="61">
        <f>IF($B15="",0,SUMIFS('OPEX CJI3'!$F$2:$F$7490,'OPEX CJI3'!$A$2:$A$7490,$B15&amp;"*",'OPEX CJI3'!$J$2:$J$7490,"*Reclass internal hours*"))</f>
        <v>-135855</v>
      </c>
      <c r="H15" s="53" t="str">
        <f>IF($B15="","No OPEX code",IF(COUNTIF('Opex Tables'!$A$2:$A$133,$B15)=0,"REVIEW: no processed spend",IF(AND(C15=0,D15=0,E15=0,G15&lt;0),"Credit only — DO NOT ENTER",IF(AND(C15=0,D15=0,E15=0,G15=0),"No internal spend","Enter C/D; compare E"))))</f>
        <v>Credit only — DO NOT ENTER</v>
      </c>
      <c r="I15" s="50"/>
      <c r="J15" s="53" t="s">
        <v>1057</v>
      </c>
      <c r="K15" s="53" t="s">
        <v>157</v>
      </c>
      <c r="L15" s="58">
        <f>IF(OR($K15="",$K15="Not needed",FALSE),0,_xlfn.XLOOKUP($K15,'CAPEX Tables'!$A$8:$A$54,'CAPEX Tables'!$B$8:$B$54,0))</f>
        <v>0</v>
      </c>
      <c r="M15" s="58">
        <f>IF(OR($K15="",$K15="Not needed",FALSE),0,SUMIFS('CAPEX CJI3'!$F$2:$F$433,'CAPEX CJI3'!$A$2:$A$433,$K15,'CAPEX CJI3'!$K$2:$K$433,2026,'CAPEX CJI3'!$J$2:$J$433,"*Reclass internal hours*",'CAPEX CJI3'!$N$2:$N$433,"&lt;"&amp;DATE(2026,6,1)))</f>
        <v>67850</v>
      </c>
      <c r="N15" s="59">
        <f>IF(OR($K15="",$K15="Not needed",FALSE),0,SUMIFS('CAPEX CJI3'!$F$2:$F$433,'CAPEX CJI3'!$A$2:$A$433,$K15,'CAPEX CJI3'!$K$2:$K$433,2026,'CAPEX CJI3'!$J$2:$J$433,"*Reclass internal hours*",'CAPEX CJI3'!$N$2:$N$433,"&gt;="&amp;DATE(2026,6,1)))</f>
        <v>68005</v>
      </c>
      <c r="O15" s="60">
        <f t="shared" si="1"/>
        <v>135855</v>
      </c>
      <c r="P15" s="55" t="str">
        <f>_xlfn.LET(_xlpm.op,_xlfn.XLOOKUP($J15,'codes match'!$A$2:$A$53,'codes match'!$C$2:$C$53,""),_xlpm.cr,IF(_xlpm.op="",0,SUMIFS('OPEX CJI3'!$F$2:$F$7490,'OPEX CJI3'!$A$2:$A$7490,_xlpm.op&amp;"*",'OPEX CJI3'!$J$2:$J$7490,"*Reclass internal hours*")),IF(_xlpm.op="","No OPEX pair",IF(ABS(_xlpm.cr+O15)&lt;0.01,"MATCH","REVIEW: unmatched €"&amp;TEXT(_xlpm.cr+O15,"#,##0.00"))))</f>
        <v>MATCH</v>
      </c>
      <c r="Q15" s="53" t="str">
        <f>IF(OR($K15="",$K15="Not needed"),"No CAPEX code",IF(COUNTIF('CAPEX Tables'!$A$8:$A$54,$K15)=0,"No processed CAPEX spend",IF(O15=0,"No internal spend","Enter C/D; compare E")))</f>
        <v>Enter C/D; compare E</v>
      </c>
    </row>
    <row r="16" spans="1:17" ht="13" x14ac:dyDescent="0.25">
      <c r="A16" s="53" t="s">
        <v>1058</v>
      </c>
      <c r="B16" s="53" t="s">
        <v>950</v>
      </c>
      <c r="C16" s="58">
        <f>IF($B16="",0,MAX(0,_xlfn.XLOOKUP($B16,'Opex Tables'!$A$2:$A$133,'Opex Tables'!$H$2:$H$133,0)))</f>
        <v>0</v>
      </c>
      <c r="D16" s="58">
        <f>IF($B16="",0,MAX(0,_xlfn.XLOOKUP($B16,'Opex Tables'!$A$2:$A$133,'Opex Tables'!$I$2:$I$133,0)))</f>
        <v>0</v>
      </c>
      <c r="E16" s="59">
        <f>IF($B16="",0,MAX(0,_xlfn.XLOOKUP($B16,'Opex Tables'!$A$2:$A$133,'Opex Tables'!$J$2:$J$133,0)))</f>
        <v>0</v>
      </c>
      <c r="F16" s="60">
        <f t="shared" si="0"/>
        <v>0</v>
      </c>
      <c r="G16" s="61">
        <f>IF($B16="",0,SUMIFS('OPEX CJI3'!$F$2:$F$7490,'OPEX CJI3'!$A$2:$A$7490,$B16&amp;"*",'OPEX CJI3'!$J$2:$J$7490,"*Reclass internal hours*"))</f>
        <v>-416686</v>
      </c>
      <c r="H16" s="53" t="str">
        <f>IF($B16="","No OPEX code",IF(COUNTIF('Opex Tables'!$A$2:$A$133,$B16)=0,"REVIEW: no processed spend",IF(AND(C16=0,D16=0,E16=0,G16&lt;0),"Credit only — DO NOT ENTER",IF(AND(C16=0,D16=0,E16=0,G16=0),"No internal spend","Enter C/D; compare E"))))</f>
        <v>Credit only — DO NOT ENTER</v>
      </c>
      <c r="I16" s="50"/>
      <c r="J16" s="53" t="s">
        <v>1058</v>
      </c>
      <c r="K16" s="53" t="s">
        <v>165</v>
      </c>
      <c r="L16" s="58">
        <f>IF(OR($K16="",$K16="Not needed",FALSE),0,_xlfn.XLOOKUP($K16,'CAPEX Tables'!$A$8:$A$54,'CAPEX Tables'!$B$8:$B$54,0))</f>
        <v>0</v>
      </c>
      <c r="M16" s="58">
        <f>IF(OR($K16="",$K16="Not needed",FALSE),0,SUMIFS('CAPEX CJI3'!$F$2:$F$433,'CAPEX CJI3'!$A$2:$A$433,$K16,'CAPEX CJI3'!$K$2:$K$433,2026,'CAPEX CJI3'!$J$2:$J$433,"*Reclass internal hours*",'CAPEX CJI3'!$N$2:$N$433,"&lt;"&amp;DATE(2026,6,1)))</f>
        <v>332616</v>
      </c>
      <c r="N16" s="59">
        <f>IF(OR($K16="",$K16="Not needed",FALSE),0,SUMIFS('CAPEX CJI3'!$F$2:$F$433,'CAPEX CJI3'!$A$2:$A$433,$K16,'CAPEX CJI3'!$K$2:$K$433,2026,'CAPEX CJI3'!$J$2:$J$433,"*Reclass internal hours*",'CAPEX CJI3'!$N$2:$N$433,"&gt;="&amp;DATE(2026,6,1)))</f>
        <v>84070</v>
      </c>
      <c r="O16" s="60">
        <f t="shared" si="1"/>
        <v>416686</v>
      </c>
      <c r="P16" s="55" t="str">
        <f>_xlfn.LET(_xlpm.op,_xlfn.XLOOKUP($J16,'codes match'!$A$2:$A$53,'codes match'!$C$2:$C$53,""),_xlpm.cr,IF(_xlpm.op="",0,SUMIFS('OPEX CJI3'!$F$2:$F$7490,'OPEX CJI3'!$A$2:$A$7490,_xlpm.op&amp;"*",'OPEX CJI3'!$J$2:$J$7490,"*Reclass internal hours*")),IF(_xlpm.op="","No OPEX pair",IF(ABS(_xlpm.cr+O16)&lt;0.01,"MATCH","REVIEW: unmatched €"&amp;TEXT(_xlpm.cr+O16,"#,##0.00"))))</f>
        <v>MATCH</v>
      </c>
      <c r="Q16" s="53" t="str">
        <f>IF(OR($K16="",$K16="Not needed"),"No CAPEX code",IF(COUNTIF('CAPEX Tables'!$A$8:$A$54,$K16)=0,"No processed CAPEX spend",IF(O16=0,"No internal spend","Enter C/D; compare E")))</f>
        <v>Enter C/D; compare E</v>
      </c>
    </row>
    <row r="17" spans="1:17" ht="13" x14ac:dyDescent="0.25">
      <c r="A17" s="53" t="s">
        <v>1059</v>
      </c>
      <c r="B17" s="53" t="s">
        <v>955</v>
      </c>
      <c r="C17" s="58">
        <f>IF($B17="",0,MAX(0,_xlfn.XLOOKUP($B17,'Opex Tables'!$A$2:$A$133,'Opex Tables'!$H$2:$H$133,0)))</f>
        <v>0</v>
      </c>
      <c r="D17" s="58">
        <f>IF($B17="",0,MAX(0,_xlfn.XLOOKUP($B17,'Opex Tables'!$A$2:$A$133,'Opex Tables'!$I$2:$I$133,0)))</f>
        <v>6792</v>
      </c>
      <c r="E17" s="59">
        <f>IF($B17="",0,MAX(0,_xlfn.XLOOKUP($B17,'Opex Tables'!$A$2:$A$133,'Opex Tables'!$J$2:$J$133,0)))</f>
        <v>0</v>
      </c>
      <c r="F17" s="60">
        <f t="shared" si="0"/>
        <v>6792</v>
      </c>
      <c r="G17" s="61">
        <f>IF($B17="",0,SUMIFS('OPEX CJI3'!$F$2:$F$7490,'OPEX CJI3'!$A$2:$A$7490,$B17&amp;"*",'OPEX CJI3'!$J$2:$J$7490,"*Reclass internal hours*"))</f>
        <v>-191538</v>
      </c>
      <c r="H17" s="53" t="str">
        <f>IF($B17="","No OPEX code",IF(COUNTIF('Opex Tables'!$A$2:$A$133,$B17)=0,"REVIEW: no processed spend",IF(AND(C17=0,D17=0,E17=0,G17&lt;0),"Credit only — DO NOT ENTER",IF(AND(C17=0,D17=0,E17=0,G17=0),"No internal spend","Enter C/D; compare E"))))</f>
        <v>Enter C/D; compare E</v>
      </c>
      <c r="I17" s="50"/>
      <c r="J17" s="53" t="s">
        <v>1059</v>
      </c>
      <c r="K17" s="53" t="s">
        <v>138</v>
      </c>
      <c r="L17" s="58">
        <f>IF(OR($K17="",$K17="Not needed",FALSE),0,_xlfn.XLOOKUP($K17,'CAPEX Tables'!$A$8:$A$54,'CAPEX Tables'!$B$8:$B$54,0))</f>
        <v>0</v>
      </c>
      <c r="M17" s="58">
        <f>IF(OR($K17="",$K17="Not needed",FALSE),0,SUMIFS('CAPEX CJI3'!$F$2:$F$433,'CAPEX CJI3'!$A$2:$A$433,$K17,'CAPEX CJI3'!$K$2:$K$433,2026,'CAPEX CJI3'!$J$2:$J$433,"*Reclass internal hours*",'CAPEX CJI3'!$N$2:$N$433,"&lt;"&amp;DATE(2026,6,1)))</f>
        <v>191538</v>
      </c>
      <c r="N17" s="59">
        <f>IF(OR($K17="",$K17="Not needed",FALSE),0,SUMIFS('CAPEX CJI3'!$F$2:$F$433,'CAPEX CJI3'!$A$2:$A$433,$K17,'CAPEX CJI3'!$K$2:$K$433,2026,'CAPEX CJI3'!$J$2:$J$433,"*Reclass internal hours*",'CAPEX CJI3'!$N$2:$N$433,"&gt;="&amp;DATE(2026,6,1)))</f>
        <v>0</v>
      </c>
      <c r="O17" s="60">
        <f t="shared" si="1"/>
        <v>191538</v>
      </c>
      <c r="P17" s="55" t="str">
        <f>_xlfn.LET(_xlpm.op,_xlfn.XLOOKUP($J17,'codes match'!$A$2:$A$53,'codes match'!$C$2:$C$53,""),_xlpm.cr,IF(_xlpm.op="",0,SUMIFS('OPEX CJI3'!$F$2:$F$7490,'OPEX CJI3'!$A$2:$A$7490,_xlpm.op&amp;"*",'OPEX CJI3'!$J$2:$J$7490,"*Reclass internal hours*")),IF(_xlpm.op="","No OPEX pair",IF(ABS(_xlpm.cr+O17)&lt;0.01,"MATCH","REVIEW: unmatched €"&amp;TEXT(_xlpm.cr+O17,"#,##0.00"))))</f>
        <v>MATCH</v>
      </c>
      <c r="Q17" s="53" t="str">
        <f>IF(OR($K17="",$K17="Not needed"),"No CAPEX code",IF(COUNTIF('CAPEX Tables'!$A$8:$A$54,$K17)=0,"No processed CAPEX spend",IF(O17=0,"No internal spend","Enter C/D; compare E")))</f>
        <v>Enter C/D; compare E</v>
      </c>
    </row>
    <row r="18" spans="1:17" ht="13" x14ac:dyDescent="0.25">
      <c r="A18" s="53" t="s">
        <v>1060</v>
      </c>
      <c r="B18" s="53" t="s">
        <v>964</v>
      </c>
      <c r="C18" s="58">
        <f>IF($B18="",0,MAX(0,_xlfn.XLOOKUP($B18,'Opex Tables'!$A$2:$A$133,'Opex Tables'!$H$2:$H$133,0)))</f>
        <v>0</v>
      </c>
      <c r="D18" s="58">
        <f>IF($B18="",0,MAX(0,_xlfn.XLOOKUP($B18,'Opex Tables'!$A$2:$A$133,'Opex Tables'!$I$2:$I$133,0)))</f>
        <v>7.2759576141834259E-12</v>
      </c>
      <c r="E18" s="59">
        <f>IF($B18="",0,MAX(0,_xlfn.XLOOKUP($B18,'Opex Tables'!$A$2:$A$133,'Opex Tables'!$J$2:$J$133,0)))</f>
        <v>0.39999999999417923</v>
      </c>
      <c r="F18" s="60">
        <f t="shared" si="0"/>
        <v>0.40000000000145519</v>
      </c>
      <c r="G18" s="61">
        <f>IF($B18="",0,SUMIFS('OPEX CJI3'!$F$2:$F$7490,'OPEX CJI3'!$A$2:$A$7490,$B18&amp;"*",'OPEX CJI3'!$J$2:$J$7490,"*Reclass internal hours*"))</f>
        <v>-179947.6</v>
      </c>
      <c r="H18" s="53" t="str">
        <f>IF($B18="","No OPEX code",IF(COUNTIF('Opex Tables'!$A$2:$A$133,$B18)=0,"REVIEW: no processed spend",IF(AND(C18=0,D18=0,E18=0,G18&lt;0),"Credit only — DO NOT ENTER",IF(AND(C18=0,D18=0,E18=0,G18=0),"No internal spend","Enter C/D; compare E"))))</f>
        <v>Enter C/D; compare E</v>
      </c>
      <c r="I18" s="50"/>
      <c r="J18" s="53" t="s">
        <v>1060</v>
      </c>
      <c r="K18" s="53" t="s">
        <v>145</v>
      </c>
      <c r="L18" s="58">
        <f>IF(OR($K18="",$K18="Not needed",FALSE),0,_xlfn.XLOOKUP($K18,'CAPEX Tables'!$A$8:$A$54,'CAPEX Tables'!$B$8:$B$54,0))</f>
        <v>0</v>
      </c>
      <c r="M18" s="58">
        <f>IF(OR($K18="",$K18="Not needed",FALSE),0,SUMIFS('CAPEX CJI3'!$F$2:$F$433,'CAPEX CJI3'!$A$2:$A$433,$K18,'CAPEX CJI3'!$K$2:$K$433,2026,'CAPEX CJI3'!$J$2:$J$433,"*Reclass internal hours*",'CAPEX CJI3'!$N$2:$N$433,"&lt;"&amp;DATE(2026,6,1)))</f>
        <v>93289.600000000006</v>
      </c>
      <c r="N18" s="59">
        <f>IF(OR($K18="",$K18="Not needed",FALSE),0,SUMIFS('CAPEX CJI3'!$F$2:$F$433,'CAPEX CJI3'!$A$2:$A$433,$K18,'CAPEX CJI3'!$K$2:$K$433,2026,'CAPEX CJI3'!$J$2:$J$433,"*Reclass internal hours*",'CAPEX CJI3'!$N$2:$N$433,"&gt;="&amp;DATE(2026,6,1)))</f>
        <v>86658</v>
      </c>
      <c r="O18" s="60">
        <f t="shared" si="1"/>
        <v>179947.6</v>
      </c>
      <c r="P18" s="55" t="str">
        <f>_xlfn.LET(_xlpm.op,_xlfn.XLOOKUP($J18,'codes match'!$A$2:$A$53,'codes match'!$C$2:$C$53,""),_xlpm.cr,IF(_xlpm.op="",0,SUMIFS('OPEX CJI3'!$F$2:$F$7490,'OPEX CJI3'!$A$2:$A$7490,_xlpm.op&amp;"*",'OPEX CJI3'!$J$2:$J$7490,"*Reclass internal hours*")),IF(_xlpm.op="","No OPEX pair",IF(ABS(_xlpm.cr+O18)&lt;0.01,"MATCH","REVIEW: unmatched €"&amp;TEXT(_xlpm.cr+O18,"#,##0.00"))))</f>
        <v>MATCH</v>
      </c>
      <c r="Q18" s="53" t="str">
        <f>IF(OR($K18="",$K18="Not needed"),"No CAPEX code",IF(COUNTIF('CAPEX Tables'!$A$8:$A$54,$K18)=0,"No processed CAPEX spend",IF(O18=0,"No internal spend","Enter C/D; compare E")))</f>
        <v>Enter C/D; compare E</v>
      </c>
    </row>
    <row r="19" spans="1:17" ht="13" x14ac:dyDescent="0.25">
      <c r="A19" s="53" t="s">
        <v>1061</v>
      </c>
      <c r="B19" s="53" t="s">
        <v>965</v>
      </c>
      <c r="C19" s="58">
        <f>IF($B19="",0,MAX(0,_xlfn.XLOOKUP($B19,'Opex Tables'!$A$2:$A$133,'Opex Tables'!$H$2:$H$133,0)))</f>
        <v>0</v>
      </c>
      <c r="D19" s="58">
        <f>IF($B19="",0,MAX(0,_xlfn.XLOOKUP($B19,'Opex Tables'!$A$2:$A$133,'Opex Tables'!$I$2:$I$133,0)))</f>
        <v>0</v>
      </c>
      <c r="E19" s="59">
        <f>IF($B19="",0,MAX(0,_xlfn.XLOOKUP($B19,'Opex Tables'!$A$2:$A$133,'Opex Tables'!$J$2:$J$133,0)))</f>
        <v>513</v>
      </c>
      <c r="F19" s="60">
        <f t="shared" si="0"/>
        <v>513</v>
      </c>
      <c r="G19" s="61">
        <f>IF($B19="",0,SUMIFS('OPEX CJI3'!$F$2:$F$7490,'OPEX CJI3'!$A$2:$A$7490,$B19&amp;"*",'OPEX CJI3'!$J$2:$J$7490,"*Reclass internal hours*"))</f>
        <v>-38115</v>
      </c>
      <c r="H19" s="53" t="str">
        <f>IF($B19="","No OPEX code",IF(COUNTIF('Opex Tables'!$A$2:$A$133,$B19)=0,"REVIEW: no processed spend",IF(AND(C19=0,D19=0,E19=0,G19&lt;0),"Credit only — DO NOT ENTER",IF(AND(C19=0,D19=0,E19=0,G19=0),"No internal spend","Enter C/D; compare E"))))</f>
        <v>Enter C/D; compare E</v>
      </c>
      <c r="I19" s="50"/>
      <c r="J19" s="53" t="s">
        <v>1061</v>
      </c>
      <c r="K19" s="53" t="s">
        <v>144</v>
      </c>
      <c r="L19" s="58">
        <f>IF(OR($K19="",$K19="Not needed",FALSE),0,_xlfn.XLOOKUP($K19,'CAPEX Tables'!$A$8:$A$54,'CAPEX Tables'!$B$8:$B$54,0))</f>
        <v>0</v>
      </c>
      <c r="M19" s="58">
        <f>IF(OR($K19="",$K19="Not needed",FALSE),0,SUMIFS('CAPEX CJI3'!$F$2:$F$433,'CAPEX CJI3'!$A$2:$A$433,$K19,'CAPEX CJI3'!$K$2:$K$433,2026,'CAPEX CJI3'!$J$2:$J$433,"*Reclass internal hours*",'CAPEX CJI3'!$N$2:$N$433,"&lt;"&amp;DATE(2026,6,1)))</f>
        <v>11544</v>
      </c>
      <c r="N19" s="59">
        <f>IF(OR($K19="",$K19="Not needed",FALSE),0,SUMIFS('CAPEX CJI3'!$F$2:$F$433,'CAPEX CJI3'!$A$2:$A$433,$K19,'CAPEX CJI3'!$K$2:$K$433,2026,'CAPEX CJI3'!$J$2:$J$433,"*Reclass internal hours*",'CAPEX CJI3'!$N$2:$N$433,"&gt;="&amp;DATE(2026,6,1)))</f>
        <v>26571</v>
      </c>
      <c r="O19" s="60">
        <f t="shared" si="1"/>
        <v>38115</v>
      </c>
      <c r="P19" s="55" t="str">
        <f>_xlfn.LET(_xlpm.op,_xlfn.XLOOKUP($J19,'codes match'!$A$2:$A$53,'codes match'!$C$2:$C$53,""),_xlpm.cr,IF(_xlpm.op="",0,SUMIFS('OPEX CJI3'!$F$2:$F$7490,'OPEX CJI3'!$A$2:$A$7490,_xlpm.op&amp;"*",'OPEX CJI3'!$J$2:$J$7490,"*Reclass internal hours*")),IF(_xlpm.op="","No OPEX pair",IF(ABS(_xlpm.cr+O19)&lt;0.01,"MATCH","REVIEW: unmatched €"&amp;TEXT(_xlpm.cr+O19,"#,##0.00"))))</f>
        <v>MATCH</v>
      </c>
      <c r="Q19" s="53" t="str">
        <f>IF(OR($K19="",$K19="Not needed"),"No CAPEX code",IF(COUNTIF('CAPEX Tables'!$A$8:$A$54,$K19)=0,"No processed CAPEX spend",IF(O19=0,"No internal spend","Enter C/D; compare E")))</f>
        <v>Enter C/D; compare E</v>
      </c>
    </row>
    <row r="20" spans="1:17" ht="13" x14ac:dyDescent="0.25">
      <c r="A20" s="53" t="s">
        <v>1062</v>
      </c>
      <c r="B20" s="53"/>
      <c r="C20" s="58">
        <f>IF($B20="",0,MAX(0,_xlfn.XLOOKUP($B20,'Opex Tables'!$A$2:$A$133,'Opex Tables'!$H$2:$H$133,0)))</f>
        <v>0</v>
      </c>
      <c r="D20" s="58">
        <f>IF($B20="",0,MAX(0,_xlfn.XLOOKUP($B20,'Opex Tables'!$A$2:$A$133,'Opex Tables'!$I$2:$I$133,0)))</f>
        <v>0</v>
      </c>
      <c r="E20" s="59">
        <f>IF($B20="",0,MAX(0,_xlfn.XLOOKUP($B20,'Opex Tables'!$A$2:$A$133,'Opex Tables'!$J$2:$J$133,0)))</f>
        <v>0</v>
      </c>
      <c r="F20" s="60">
        <f t="shared" si="0"/>
        <v>0</v>
      </c>
      <c r="G20" s="61">
        <f>IF($B20="",0,SUMIFS('OPEX CJI3'!$F$2:$F$7490,'OPEX CJI3'!$A$2:$A$7490,$B20&amp;"*",'OPEX CJI3'!$J$2:$J$7490,"*Reclass internal hours*"))</f>
        <v>0</v>
      </c>
      <c r="H20" s="53" t="str">
        <f>IF($B20="","No OPEX code",IF(COUNTIF('Opex Tables'!$A$2:$A$133,$B20)=0,"REVIEW: no processed spend",IF(AND(C20=0,D20=0,E20=0,G20&lt;0),"Credit only — DO NOT ENTER",IF(AND(C20=0,D20=0,E20=0,G20=0),"No internal spend","Enter C/D; compare E"))))</f>
        <v>No OPEX code</v>
      </c>
      <c r="I20" s="50"/>
      <c r="J20" s="53" t="s">
        <v>1062</v>
      </c>
      <c r="K20" s="53" t="s">
        <v>168</v>
      </c>
      <c r="L20" s="58">
        <f>IF(OR($K20="",$K20="Not needed",FALSE),0,_xlfn.XLOOKUP($K20,'CAPEX Tables'!$A$8:$A$54,'CAPEX Tables'!$B$8:$B$54,0))</f>
        <v>0</v>
      </c>
      <c r="M20" s="58">
        <f>IF(OR($K20="",$K20="Not needed",FALSE),0,SUMIFS('CAPEX CJI3'!$F$2:$F$433,'CAPEX CJI3'!$A$2:$A$433,$K20,'CAPEX CJI3'!$K$2:$K$433,2026,'CAPEX CJI3'!$J$2:$J$433,"*Reclass internal hours*",'CAPEX CJI3'!$N$2:$N$433,"&lt;"&amp;DATE(2026,6,1)))</f>
        <v>0</v>
      </c>
      <c r="N20" s="59">
        <f>IF(OR($K20="",$K20="Not needed",FALSE),0,SUMIFS('CAPEX CJI3'!$F$2:$F$433,'CAPEX CJI3'!$A$2:$A$433,$K20,'CAPEX CJI3'!$K$2:$K$433,2026,'CAPEX CJI3'!$J$2:$J$433,"*Reclass internal hours*",'CAPEX CJI3'!$N$2:$N$433,"&gt;="&amp;DATE(2026,6,1)))</f>
        <v>0</v>
      </c>
      <c r="O20" s="60">
        <f t="shared" si="1"/>
        <v>0</v>
      </c>
      <c r="P20" s="55" t="str">
        <f>_xlfn.LET(_xlpm.op,_xlfn.XLOOKUP($J20,'codes match'!$A$2:$A$53,'codes match'!$C$2:$C$53,""),_xlpm.cr,IF(_xlpm.op="",0,SUMIFS('OPEX CJI3'!$F$2:$F$7490,'OPEX CJI3'!$A$2:$A$7490,_xlpm.op&amp;"*",'OPEX CJI3'!$J$2:$J$7490,"*Reclass internal hours*")),IF(_xlpm.op="","No OPEX pair",IF(ABS(_xlpm.cr+O20)&lt;0.01,"MATCH","REVIEW: unmatched €"&amp;TEXT(_xlpm.cr+O20,"#,##0.00"))))</f>
        <v>No OPEX pair</v>
      </c>
      <c r="Q20" s="53" t="str">
        <f>IF(OR($K20="",$K20="Not needed"),"No CAPEX code",IF(COUNTIF('CAPEX Tables'!$A$8:$A$54,$K20)=0,"No processed CAPEX spend",IF(O20=0,"No internal spend","Enter C/D; compare E")))</f>
        <v>No internal spend</v>
      </c>
    </row>
    <row r="21" spans="1:17" ht="13" x14ac:dyDescent="0.25">
      <c r="A21" s="53" t="s">
        <v>1063</v>
      </c>
      <c r="B21" s="53" t="s">
        <v>910</v>
      </c>
      <c r="C21" s="58">
        <f>IF($B21="",0,MAX(0,_xlfn.XLOOKUP($B21,'Opex Tables'!$A$2:$A$133,'Opex Tables'!$H$2:$H$133,0)))</f>
        <v>0</v>
      </c>
      <c r="D21" s="58">
        <f>IF($B21="",0,MAX(0,_xlfn.XLOOKUP($B21,'Opex Tables'!$A$2:$A$133,'Opex Tables'!$I$2:$I$133,0)))</f>
        <v>4000</v>
      </c>
      <c r="E21" s="59">
        <f>IF($B21="",0,MAX(0,_xlfn.XLOOKUP($B21,'Opex Tables'!$A$2:$A$133,'Opex Tables'!$J$2:$J$133,0)))</f>
        <v>300</v>
      </c>
      <c r="F21" s="60">
        <f t="shared" si="0"/>
        <v>4300</v>
      </c>
      <c r="G21" s="61">
        <f>IF($B21="",0,SUMIFS('OPEX CJI3'!$F$2:$F$7490,'OPEX CJI3'!$A$2:$A$7490,$B21&amp;"*",'OPEX CJI3'!$J$2:$J$7490,"*Reclass internal hours*"))</f>
        <v>0</v>
      </c>
      <c r="H21" s="53" t="str">
        <f>IF($B21="","No OPEX code",IF(COUNTIF('Opex Tables'!$A$2:$A$133,$B21)=0,"REVIEW: no processed spend",IF(AND(C21=0,D21=0,E21=0,G21&lt;0),"Credit only — DO NOT ENTER",IF(AND(C21=0,D21=0,E21=0,G21=0),"No internal spend","Enter C/D; compare E"))))</f>
        <v>Enter C/D; compare E</v>
      </c>
      <c r="I21" s="50"/>
      <c r="J21" s="53" t="s">
        <v>1063</v>
      </c>
      <c r="K21" s="53" t="s">
        <v>177</v>
      </c>
      <c r="L21" s="58">
        <f>IF(OR($K21="",$K21="Not needed",FALSE),0,_xlfn.XLOOKUP($K21,'CAPEX Tables'!$A$8:$A$54,'CAPEX Tables'!$B$8:$B$54,0))</f>
        <v>0</v>
      </c>
      <c r="M21" s="58">
        <f>IF(OR($K21="",$K21="Not needed",FALSE),0,SUMIFS('CAPEX CJI3'!$F$2:$F$433,'CAPEX CJI3'!$A$2:$A$433,$K21,'CAPEX CJI3'!$K$2:$K$433,2026,'CAPEX CJI3'!$J$2:$J$433,"*Reclass internal hours*",'CAPEX CJI3'!$N$2:$N$433,"&lt;"&amp;DATE(2026,6,1)))</f>
        <v>0</v>
      </c>
      <c r="N21" s="59">
        <f>IF(OR($K21="",$K21="Not needed",FALSE),0,SUMIFS('CAPEX CJI3'!$F$2:$F$433,'CAPEX CJI3'!$A$2:$A$433,$K21,'CAPEX CJI3'!$K$2:$K$433,2026,'CAPEX CJI3'!$J$2:$J$433,"*Reclass internal hours*",'CAPEX CJI3'!$N$2:$N$433,"&gt;="&amp;DATE(2026,6,1)))</f>
        <v>0</v>
      </c>
      <c r="O21" s="60">
        <f t="shared" si="1"/>
        <v>0</v>
      </c>
      <c r="P21" s="55" t="str">
        <f>_xlfn.LET(_xlpm.op,_xlfn.XLOOKUP($J21,'codes match'!$A$2:$A$53,'codes match'!$C$2:$C$53,""),_xlpm.cr,IF(_xlpm.op="",0,SUMIFS('OPEX CJI3'!$F$2:$F$7490,'OPEX CJI3'!$A$2:$A$7490,_xlpm.op&amp;"*",'OPEX CJI3'!$J$2:$J$7490,"*Reclass internal hours*")),IF(_xlpm.op="","No OPEX pair",IF(ABS(_xlpm.cr+O21)&lt;0.01,"MATCH","REVIEW: unmatched €"&amp;TEXT(_xlpm.cr+O21,"#,##0.00"))))</f>
        <v>MATCH</v>
      </c>
      <c r="Q21" s="53" t="str">
        <f>IF(OR($K21="",$K21="Not needed"),"No CAPEX code",IF(COUNTIF('CAPEX Tables'!$A$8:$A$54,$K21)=0,"No processed CAPEX spend",IF(O21=0,"No internal spend","Enter C/D; compare E")))</f>
        <v>No internal spend</v>
      </c>
    </row>
    <row r="22" spans="1:17" ht="26" x14ac:dyDescent="0.25">
      <c r="A22" s="53" t="s">
        <v>1064</v>
      </c>
      <c r="B22" s="53" t="s">
        <v>975</v>
      </c>
      <c r="C22" s="58">
        <f>IF($B22="",0,MAX(0,_xlfn.XLOOKUP($B22,'Opex Tables'!$A$2:$A$133,'Opex Tables'!$H$2:$H$133,0)))</f>
        <v>0</v>
      </c>
      <c r="D22" s="58">
        <f>IF($B22="",0,MAX(0,_xlfn.XLOOKUP($B22,'Opex Tables'!$A$2:$A$133,'Opex Tables'!$I$2:$I$133,0)))</f>
        <v>0</v>
      </c>
      <c r="E22" s="59">
        <f>IF($B22="",0,MAX(0,_xlfn.XLOOKUP($B22,'Opex Tables'!$A$2:$A$133,'Opex Tables'!$J$2:$J$133,0)))</f>
        <v>0</v>
      </c>
      <c r="F22" s="60">
        <f t="shared" si="0"/>
        <v>0</v>
      </c>
      <c r="G22" s="61">
        <f>IF($B22="",0,SUMIFS('OPEX CJI3'!$F$2:$F$7490,'OPEX CJI3'!$A$2:$A$7490,$B22&amp;"*",'OPEX CJI3'!$J$2:$J$7490,"*Reclass internal hours*"))</f>
        <v>-47350</v>
      </c>
      <c r="H22" s="53" t="str">
        <f>IF($B22="","No OPEX code",IF(COUNTIF('Opex Tables'!$A$2:$A$133,$B22)=0,"REVIEW: no processed spend",IF(AND(C22=0,D22=0,E22=0,G22&lt;0),"Credit only — DO NOT ENTER",IF(AND(C22=0,D22=0,E22=0,G22=0),"No internal spend","Enter C/D; compare E"))))</f>
        <v>Credit only — DO NOT ENTER</v>
      </c>
      <c r="I22" s="50"/>
      <c r="J22" s="53" t="s">
        <v>1064</v>
      </c>
      <c r="K22" s="53" t="s">
        <v>172</v>
      </c>
      <c r="L22" s="58">
        <f>IF(OR($K22="",$K22="Not needed",FALSE),0,_xlfn.XLOOKUP($K22,'CAPEX Tables'!$A$8:$A$54,'CAPEX Tables'!$B$8:$B$54,0))</f>
        <v>0</v>
      </c>
      <c r="M22" s="58">
        <f>IF(OR($K22="",$K22="Not needed",FALSE),0,SUMIFS('CAPEX CJI3'!$F$2:$F$433,'CAPEX CJI3'!$A$2:$A$433,$K22,'CAPEX CJI3'!$K$2:$K$433,2026,'CAPEX CJI3'!$J$2:$J$433,"*Reclass internal hours*",'CAPEX CJI3'!$N$2:$N$433,"&lt;"&amp;DATE(2026,6,1)))</f>
        <v>0</v>
      </c>
      <c r="N22" s="59">
        <f>IF(OR($K22="",$K22="Not needed",FALSE),0,SUMIFS('CAPEX CJI3'!$F$2:$F$433,'CAPEX CJI3'!$A$2:$A$433,$K22,'CAPEX CJI3'!$K$2:$K$433,2026,'CAPEX CJI3'!$J$2:$J$433,"*Reclass internal hours*",'CAPEX CJI3'!$N$2:$N$433,"&gt;="&amp;DATE(2026,6,1)))</f>
        <v>47350</v>
      </c>
      <c r="O22" s="60">
        <f t="shared" si="1"/>
        <v>47350</v>
      </c>
      <c r="P22" s="55" t="str">
        <f>_xlfn.LET(_xlpm.op,_xlfn.XLOOKUP($J22,'codes match'!$A$2:$A$53,'codes match'!$C$2:$C$53,""),_xlpm.cr,IF(_xlpm.op="",0,SUMIFS('OPEX CJI3'!$F$2:$F$7490,'OPEX CJI3'!$A$2:$A$7490,_xlpm.op&amp;"*",'OPEX CJI3'!$J$2:$J$7490,"*Reclass internal hours*")),IF(_xlpm.op="","No OPEX pair",IF(ABS(_xlpm.cr+O22)&lt;0.01,"MATCH","REVIEW: unmatched €"&amp;TEXT(_xlpm.cr+O22,"#,##0.00"))))</f>
        <v>MATCH</v>
      </c>
      <c r="Q22" s="53" t="str">
        <f>IF(OR($K22="",$K22="Not needed"),"No CAPEX code",IF(COUNTIF('CAPEX Tables'!$A$8:$A$54,$K22)=0,"No processed CAPEX spend",IF(O22=0,"No internal spend","Enter C/D; compare E")))</f>
        <v>Enter C/D; compare E</v>
      </c>
    </row>
    <row r="23" spans="1:17" ht="13" x14ac:dyDescent="0.25">
      <c r="A23" s="53" t="s">
        <v>1065</v>
      </c>
      <c r="B23" s="53" t="s">
        <v>989</v>
      </c>
      <c r="C23" s="58">
        <f>IF($B23="",0,MAX(0,_xlfn.XLOOKUP($B23,'Opex Tables'!$A$2:$A$133,'Opex Tables'!$H$2:$H$133,0)))</f>
        <v>0</v>
      </c>
      <c r="D23" s="58">
        <f>IF($B23="",0,MAX(0,_xlfn.XLOOKUP($B23,'Opex Tables'!$A$2:$A$133,'Opex Tables'!$I$2:$I$133,0)))</f>
        <v>0</v>
      </c>
      <c r="E23" s="59">
        <f>IF($B23="",0,MAX(0,_xlfn.XLOOKUP($B23,'Opex Tables'!$A$2:$A$133,'Opex Tables'!$J$2:$J$133,0)))</f>
        <v>6400</v>
      </c>
      <c r="F23" s="60">
        <f t="shared" si="0"/>
        <v>6400</v>
      </c>
      <c r="G23" s="61">
        <f>IF($B23="",0,SUMIFS('OPEX CJI3'!$F$2:$F$7490,'OPEX CJI3'!$A$2:$A$7490,$B23&amp;"*",'OPEX CJI3'!$J$2:$J$7490,"*Reclass internal hours*"))</f>
        <v>0</v>
      </c>
      <c r="H23" s="53" t="str">
        <f>IF($B23="","No OPEX code",IF(COUNTIF('Opex Tables'!$A$2:$A$133,$B23)=0,"REVIEW: no processed spend",IF(AND(C23=0,D23=0,E23=0,G23&lt;0),"Credit only — DO NOT ENTER",IF(AND(C23=0,D23=0,E23=0,G23=0),"No internal spend","Enter C/D; compare E"))))</f>
        <v>Enter C/D; compare E</v>
      </c>
      <c r="I23" s="50"/>
      <c r="J23" s="53" t="s">
        <v>1065</v>
      </c>
      <c r="K23" s="53" t="s">
        <v>197</v>
      </c>
      <c r="L23" s="58">
        <f>IF(OR($K23="",$K23="Not needed",FALSE),0,_xlfn.XLOOKUP($K23,'CAPEX Tables'!$A$8:$A$54,'CAPEX Tables'!$B$8:$B$54,0))</f>
        <v>0</v>
      </c>
      <c r="M23" s="58">
        <f>IF(OR($K23="",$K23="Not needed",FALSE),0,SUMIFS('CAPEX CJI3'!$F$2:$F$433,'CAPEX CJI3'!$A$2:$A$433,$K23,'CAPEX CJI3'!$K$2:$K$433,2026,'CAPEX CJI3'!$J$2:$J$433,"*Reclass internal hours*",'CAPEX CJI3'!$N$2:$N$433,"&lt;"&amp;DATE(2026,6,1)))</f>
        <v>0</v>
      </c>
      <c r="N23" s="59">
        <f>IF(OR($K23="",$K23="Not needed",FALSE),0,SUMIFS('CAPEX CJI3'!$F$2:$F$433,'CAPEX CJI3'!$A$2:$A$433,$K23,'CAPEX CJI3'!$K$2:$K$433,2026,'CAPEX CJI3'!$J$2:$J$433,"*Reclass internal hours*",'CAPEX CJI3'!$N$2:$N$433,"&gt;="&amp;DATE(2026,6,1)))</f>
        <v>0</v>
      </c>
      <c r="O23" s="60">
        <f t="shared" si="1"/>
        <v>0</v>
      </c>
      <c r="P23" s="55" t="str">
        <f>_xlfn.LET(_xlpm.op,_xlfn.XLOOKUP($J23,'codes match'!$A$2:$A$53,'codes match'!$C$2:$C$53,""),_xlpm.cr,IF(_xlpm.op="",0,SUMIFS('OPEX CJI3'!$F$2:$F$7490,'OPEX CJI3'!$A$2:$A$7490,_xlpm.op&amp;"*",'OPEX CJI3'!$J$2:$J$7490,"*Reclass internal hours*")),IF(_xlpm.op="","No OPEX pair",IF(ABS(_xlpm.cr+O23)&lt;0.01,"MATCH","REVIEW: unmatched €"&amp;TEXT(_xlpm.cr+O23,"#,##0.00"))))</f>
        <v>MATCH</v>
      </c>
      <c r="Q23" s="53" t="str">
        <f>IF(OR($K23="",$K23="Not needed"),"No CAPEX code",IF(COUNTIF('CAPEX Tables'!$A$8:$A$54,$K23)=0,"No processed CAPEX spend",IF(O23=0,"No internal spend","Enter C/D; compare E")))</f>
        <v>No internal spend</v>
      </c>
    </row>
    <row r="24" spans="1:17" ht="13" x14ac:dyDescent="0.25">
      <c r="A24" s="53" t="s">
        <v>1066</v>
      </c>
      <c r="B24" s="53"/>
      <c r="C24" s="58">
        <f>IF($B24="",0,MAX(0,_xlfn.XLOOKUP($B24,'Opex Tables'!$A$2:$A$133,'Opex Tables'!$H$2:$H$133,0)))</f>
        <v>0</v>
      </c>
      <c r="D24" s="58">
        <f>IF($B24="",0,MAX(0,_xlfn.XLOOKUP($B24,'Opex Tables'!$A$2:$A$133,'Opex Tables'!$I$2:$I$133,0)))</f>
        <v>0</v>
      </c>
      <c r="E24" s="59">
        <f>IF($B24="",0,MAX(0,_xlfn.XLOOKUP($B24,'Opex Tables'!$A$2:$A$133,'Opex Tables'!$J$2:$J$133,0)))</f>
        <v>0</v>
      </c>
      <c r="F24" s="60">
        <f t="shared" si="0"/>
        <v>0</v>
      </c>
      <c r="G24" s="61">
        <f>IF($B24="",0,SUMIFS('OPEX CJI3'!$F$2:$F$7490,'OPEX CJI3'!$A$2:$A$7490,$B24&amp;"*",'OPEX CJI3'!$J$2:$J$7490,"*Reclass internal hours*"))</f>
        <v>0</v>
      </c>
      <c r="H24" s="53" t="str">
        <f>IF($B24="","No OPEX code",IF(COUNTIF('Opex Tables'!$A$2:$A$133,$B24)=0,"REVIEW: no processed spend",IF(AND(C24=0,D24=0,E24=0,G24&lt;0),"Credit only — DO NOT ENTER",IF(AND(C24=0,D24=0,E24=0,G24=0),"No internal spend","Enter C/D; compare E"))))</f>
        <v>No OPEX code</v>
      </c>
      <c r="I24" s="50"/>
      <c r="J24" s="53" t="s">
        <v>1066</v>
      </c>
      <c r="K24" s="53" t="s">
        <v>176</v>
      </c>
      <c r="L24" s="58">
        <f>IF(OR($K24="",$K24="Not needed",FALSE),0,_xlfn.XLOOKUP($K24,'CAPEX Tables'!$A$8:$A$54,'CAPEX Tables'!$B$8:$B$54,0))</f>
        <v>0</v>
      </c>
      <c r="M24" s="58">
        <f>IF(OR($K24="",$K24="Not needed",FALSE),0,SUMIFS('CAPEX CJI3'!$F$2:$F$433,'CAPEX CJI3'!$A$2:$A$433,$K24,'CAPEX CJI3'!$K$2:$K$433,2026,'CAPEX CJI3'!$J$2:$J$433,"*Reclass internal hours*",'CAPEX CJI3'!$N$2:$N$433,"&lt;"&amp;DATE(2026,6,1)))</f>
        <v>0</v>
      </c>
      <c r="N24" s="59">
        <f>IF(OR($K24="",$K24="Not needed",FALSE),0,SUMIFS('CAPEX CJI3'!$F$2:$F$433,'CAPEX CJI3'!$A$2:$A$433,$K24,'CAPEX CJI3'!$K$2:$K$433,2026,'CAPEX CJI3'!$J$2:$J$433,"*Reclass internal hours*",'CAPEX CJI3'!$N$2:$N$433,"&gt;="&amp;DATE(2026,6,1)))</f>
        <v>0</v>
      </c>
      <c r="O24" s="60">
        <f t="shared" si="1"/>
        <v>0</v>
      </c>
      <c r="P24" s="55" t="str">
        <f>_xlfn.LET(_xlpm.op,_xlfn.XLOOKUP($J24,'codes match'!$A$2:$A$53,'codes match'!$C$2:$C$53,""),_xlpm.cr,IF(_xlpm.op="",0,SUMIFS('OPEX CJI3'!$F$2:$F$7490,'OPEX CJI3'!$A$2:$A$7490,_xlpm.op&amp;"*",'OPEX CJI3'!$J$2:$J$7490,"*Reclass internal hours*")),IF(_xlpm.op="","No OPEX pair",IF(ABS(_xlpm.cr+O24)&lt;0.01,"MATCH","REVIEW: unmatched €"&amp;TEXT(_xlpm.cr+O24,"#,##0.00"))))</f>
        <v>No OPEX pair</v>
      </c>
      <c r="Q24" s="53" t="str">
        <f>IF(OR($K24="",$K24="Not needed"),"No CAPEX code",IF(COUNTIF('CAPEX Tables'!$A$8:$A$54,$K24)=0,"No processed CAPEX spend",IF(O24=0,"No internal spend","Enter C/D; compare E")))</f>
        <v>No internal spend</v>
      </c>
    </row>
    <row r="25" spans="1:17" ht="13" x14ac:dyDescent="0.25">
      <c r="A25" s="53" t="s">
        <v>1067</v>
      </c>
      <c r="B25" s="53"/>
      <c r="C25" s="58">
        <f>IF($B25="",0,MAX(0,_xlfn.XLOOKUP($B25,'Opex Tables'!$A$2:$A$133,'Opex Tables'!$H$2:$H$133,0)))</f>
        <v>0</v>
      </c>
      <c r="D25" s="58">
        <f>IF($B25="",0,MAX(0,_xlfn.XLOOKUP($B25,'Opex Tables'!$A$2:$A$133,'Opex Tables'!$I$2:$I$133,0)))</f>
        <v>0</v>
      </c>
      <c r="E25" s="59">
        <f>IF($B25="",0,MAX(0,_xlfn.XLOOKUP($B25,'Opex Tables'!$A$2:$A$133,'Opex Tables'!$J$2:$J$133,0)))</f>
        <v>0</v>
      </c>
      <c r="F25" s="60">
        <f t="shared" si="0"/>
        <v>0</v>
      </c>
      <c r="G25" s="61">
        <f>IF($B25="",0,SUMIFS('OPEX CJI3'!$F$2:$F$7490,'OPEX CJI3'!$A$2:$A$7490,$B25&amp;"*",'OPEX CJI3'!$J$2:$J$7490,"*Reclass internal hours*"))</f>
        <v>0</v>
      </c>
      <c r="H25" s="53" t="str">
        <f>IF($B25="","No OPEX code",IF(COUNTIF('Opex Tables'!$A$2:$A$133,$B25)=0,"REVIEW: no processed spend",IF(AND(C25=0,D25=0,E25=0,G25&lt;0),"Credit only — DO NOT ENTER",IF(AND(C25=0,D25=0,E25=0,G25=0),"No internal spend","Enter C/D; compare E"))))</f>
        <v>No OPEX code</v>
      </c>
      <c r="I25" s="50"/>
      <c r="J25" s="53" t="s">
        <v>1067</v>
      </c>
      <c r="K25" s="53" t="s">
        <v>176</v>
      </c>
      <c r="L25" s="58">
        <f>IF(OR($K25="",$K25="Not needed",FALSE),0,_xlfn.XLOOKUP($K25,'CAPEX Tables'!$A$8:$A$54,'CAPEX Tables'!$B$8:$B$54,0))</f>
        <v>0</v>
      </c>
      <c r="M25" s="58">
        <f>IF(OR($K25="",$K25="Not needed",FALSE),0,SUMIFS('CAPEX CJI3'!$F$2:$F$433,'CAPEX CJI3'!$A$2:$A$433,$K25,'CAPEX CJI3'!$K$2:$K$433,2026,'CAPEX CJI3'!$J$2:$J$433,"*Reclass internal hours*",'CAPEX CJI3'!$N$2:$N$433,"&lt;"&amp;DATE(2026,6,1)))</f>
        <v>0</v>
      </c>
      <c r="N25" s="59">
        <f>IF(OR($K25="",$K25="Not needed",FALSE),0,SUMIFS('CAPEX CJI3'!$F$2:$F$433,'CAPEX CJI3'!$A$2:$A$433,$K25,'CAPEX CJI3'!$K$2:$K$433,2026,'CAPEX CJI3'!$J$2:$J$433,"*Reclass internal hours*",'CAPEX CJI3'!$N$2:$N$433,"&gt;="&amp;DATE(2026,6,1)))</f>
        <v>0</v>
      </c>
      <c r="O25" s="60">
        <f t="shared" si="1"/>
        <v>0</v>
      </c>
      <c r="P25" s="55" t="str">
        <f>_xlfn.LET(_xlpm.op,_xlfn.XLOOKUP($J25,'codes match'!$A$2:$A$53,'codes match'!$C$2:$C$53,""),_xlpm.cr,IF(_xlpm.op="",0,SUMIFS('OPEX CJI3'!$F$2:$F$7490,'OPEX CJI3'!$A$2:$A$7490,_xlpm.op&amp;"*",'OPEX CJI3'!$J$2:$J$7490,"*Reclass internal hours*")),IF(_xlpm.op="","No OPEX pair",IF(ABS(_xlpm.cr+O25)&lt;0.01,"MATCH","REVIEW: unmatched €"&amp;TEXT(_xlpm.cr+O25,"#,##0.00"))))</f>
        <v>No OPEX pair</v>
      </c>
      <c r="Q25" s="53" t="str">
        <f>IF(OR($K25="",$K25="Not needed"),"No CAPEX code",IF(COUNTIF('CAPEX Tables'!$A$8:$A$54,$K25)=0,"No processed CAPEX spend",IF(O25=0,"No internal spend","Enter C/D; compare E")))</f>
        <v>No internal spend</v>
      </c>
    </row>
    <row r="26" spans="1:17" ht="13" x14ac:dyDescent="0.25">
      <c r="A26" s="53" t="s">
        <v>1068</v>
      </c>
      <c r="B26" s="53"/>
      <c r="C26" s="58">
        <f>IF($B26="",0,MAX(0,_xlfn.XLOOKUP($B26,'Opex Tables'!$A$2:$A$133,'Opex Tables'!$H$2:$H$133,0)))</f>
        <v>0</v>
      </c>
      <c r="D26" s="58">
        <f>IF($B26="",0,MAX(0,_xlfn.XLOOKUP($B26,'Opex Tables'!$A$2:$A$133,'Opex Tables'!$I$2:$I$133,0)))</f>
        <v>0</v>
      </c>
      <c r="E26" s="59">
        <f>IF($B26="",0,MAX(0,_xlfn.XLOOKUP($B26,'Opex Tables'!$A$2:$A$133,'Opex Tables'!$J$2:$J$133,0)))</f>
        <v>0</v>
      </c>
      <c r="F26" s="60">
        <f t="shared" si="0"/>
        <v>0</v>
      </c>
      <c r="G26" s="61">
        <f>IF($B26="",0,SUMIFS('OPEX CJI3'!$F$2:$F$7490,'OPEX CJI3'!$A$2:$A$7490,$B26&amp;"*",'OPEX CJI3'!$J$2:$J$7490,"*Reclass internal hours*"))</f>
        <v>0</v>
      </c>
      <c r="H26" s="53" t="str">
        <f>IF($B26="","No OPEX code",IF(COUNTIF('Opex Tables'!$A$2:$A$133,$B26)=0,"REVIEW: no processed spend",IF(AND(C26=0,D26=0,E26=0,G26&lt;0),"Credit only — DO NOT ENTER",IF(AND(C26=0,D26=0,E26=0,G26=0),"No internal spend","Enter C/D; compare E"))))</f>
        <v>No OPEX code</v>
      </c>
      <c r="I26" s="50"/>
      <c r="J26" s="53" t="s">
        <v>1068</v>
      </c>
      <c r="K26" s="53" t="s">
        <v>176</v>
      </c>
      <c r="L26" s="58">
        <f>IF(OR($K26="",$K26="Not needed",FALSE),0,_xlfn.XLOOKUP($K26,'CAPEX Tables'!$A$8:$A$54,'CAPEX Tables'!$B$8:$B$54,0))</f>
        <v>0</v>
      </c>
      <c r="M26" s="58">
        <f>IF(OR($K26="",$K26="Not needed",FALSE),0,SUMIFS('CAPEX CJI3'!$F$2:$F$433,'CAPEX CJI3'!$A$2:$A$433,$K26,'CAPEX CJI3'!$K$2:$K$433,2026,'CAPEX CJI3'!$J$2:$J$433,"*Reclass internal hours*",'CAPEX CJI3'!$N$2:$N$433,"&lt;"&amp;DATE(2026,6,1)))</f>
        <v>0</v>
      </c>
      <c r="N26" s="59">
        <f>IF(OR($K26="",$K26="Not needed",FALSE),0,SUMIFS('CAPEX CJI3'!$F$2:$F$433,'CAPEX CJI3'!$A$2:$A$433,$K26,'CAPEX CJI3'!$K$2:$K$433,2026,'CAPEX CJI3'!$J$2:$J$433,"*Reclass internal hours*",'CAPEX CJI3'!$N$2:$N$433,"&gt;="&amp;DATE(2026,6,1)))</f>
        <v>0</v>
      </c>
      <c r="O26" s="60">
        <f t="shared" si="1"/>
        <v>0</v>
      </c>
      <c r="P26" s="55" t="str">
        <f>_xlfn.LET(_xlpm.op,_xlfn.XLOOKUP($J26,'codes match'!$A$2:$A$53,'codes match'!$C$2:$C$53,""),_xlpm.cr,IF(_xlpm.op="",0,SUMIFS('OPEX CJI3'!$F$2:$F$7490,'OPEX CJI3'!$A$2:$A$7490,_xlpm.op&amp;"*",'OPEX CJI3'!$J$2:$J$7490,"*Reclass internal hours*")),IF(_xlpm.op="","No OPEX pair",IF(ABS(_xlpm.cr+O26)&lt;0.01,"MATCH","REVIEW: unmatched €"&amp;TEXT(_xlpm.cr+O26,"#,##0.00"))))</f>
        <v>No OPEX pair</v>
      </c>
      <c r="Q26" s="53" t="str">
        <f>IF(OR($K26="",$K26="Not needed"),"No CAPEX code",IF(COUNTIF('CAPEX Tables'!$A$8:$A$54,$K26)=0,"No processed CAPEX spend",IF(O26=0,"No internal spend","Enter C/D; compare E")))</f>
        <v>No internal spend</v>
      </c>
    </row>
    <row r="27" spans="1:17" ht="13" x14ac:dyDescent="0.25">
      <c r="A27" s="53" t="s">
        <v>1069</v>
      </c>
      <c r="B27" s="53"/>
      <c r="C27" s="58">
        <f>IF($B27="",0,MAX(0,_xlfn.XLOOKUP($B27,'Opex Tables'!$A$2:$A$133,'Opex Tables'!$H$2:$H$133,0)))</f>
        <v>0</v>
      </c>
      <c r="D27" s="58">
        <f>IF($B27="",0,MAX(0,_xlfn.XLOOKUP($B27,'Opex Tables'!$A$2:$A$133,'Opex Tables'!$I$2:$I$133,0)))</f>
        <v>0</v>
      </c>
      <c r="E27" s="59">
        <f>IF($B27="",0,MAX(0,_xlfn.XLOOKUP($B27,'Opex Tables'!$A$2:$A$133,'Opex Tables'!$J$2:$J$133,0)))</f>
        <v>0</v>
      </c>
      <c r="F27" s="60">
        <f t="shared" si="0"/>
        <v>0</v>
      </c>
      <c r="G27" s="61">
        <f>IF($B27="",0,SUMIFS('OPEX CJI3'!$F$2:$F$7490,'OPEX CJI3'!$A$2:$A$7490,$B27&amp;"*",'OPEX CJI3'!$J$2:$J$7490,"*Reclass internal hours*"))</f>
        <v>0</v>
      </c>
      <c r="H27" s="53" t="str">
        <f>IF($B27="","No OPEX code",IF(COUNTIF('Opex Tables'!$A$2:$A$133,$B27)=0,"REVIEW: no processed spend",IF(AND(C27=0,D27=0,E27=0,G27&lt;0),"Credit only — DO NOT ENTER",IF(AND(C27=0,D27=0,E27=0,G27=0),"No internal spend","Enter C/D; compare E"))))</f>
        <v>No OPEX code</v>
      </c>
      <c r="I27" s="50"/>
      <c r="J27" s="53" t="s">
        <v>1069</v>
      </c>
      <c r="K27" s="53" t="s">
        <v>195</v>
      </c>
      <c r="L27" s="58">
        <f>IF(OR($K27="",$K27="Not needed",FALSE),0,_xlfn.XLOOKUP($K27,'CAPEX Tables'!$A$8:$A$54,'CAPEX Tables'!$B$8:$B$54,0))</f>
        <v>0</v>
      </c>
      <c r="M27" s="58">
        <f>IF(OR($K27="",$K27="Not needed",FALSE),0,SUMIFS('CAPEX CJI3'!$F$2:$F$433,'CAPEX CJI3'!$A$2:$A$433,$K27,'CAPEX CJI3'!$K$2:$K$433,2026,'CAPEX CJI3'!$J$2:$J$433,"*Reclass internal hours*",'CAPEX CJI3'!$N$2:$N$433,"&lt;"&amp;DATE(2026,6,1)))</f>
        <v>0</v>
      </c>
      <c r="N27" s="59">
        <f>IF(OR($K27="",$K27="Not needed",FALSE),0,SUMIFS('CAPEX CJI3'!$F$2:$F$433,'CAPEX CJI3'!$A$2:$A$433,$K27,'CAPEX CJI3'!$K$2:$K$433,2026,'CAPEX CJI3'!$J$2:$J$433,"*Reclass internal hours*",'CAPEX CJI3'!$N$2:$N$433,"&gt;="&amp;DATE(2026,6,1)))</f>
        <v>0</v>
      </c>
      <c r="O27" s="60">
        <f t="shared" si="1"/>
        <v>0</v>
      </c>
      <c r="P27" s="55" t="str">
        <f>_xlfn.LET(_xlpm.op,_xlfn.XLOOKUP($J27,'codes match'!$A$2:$A$53,'codes match'!$C$2:$C$53,""),_xlpm.cr,IF(_xlpm.op="",0,SUMIFS('OPEX CJI3'!$F$2:$F$7490,'OPEX CJI3'!$A$2:$A$7490,_xlpm.op&amp;"*",'OPEX CJI3'!$J$2:$J$7490,"*Reclass internal hours*")),IF(_xlpm.op="","No OPEX pair",IF(ABS(_xlpm.cr+O27)&lt;0.01,"MATCH","REVIEW: unmatched €"&amp;TEXT(_xlpm.cr+O27,"#,##0.00"))))</f>
        <v>No OPEX pair</v>
      </c>
      <c r="Q27" s="53" t="str">
        <f>IF(OR($K27="",$K27="Not needed"),"No CAPEX code",IF(COUNTIF('CAPEX Tables'!$A$8:$A$54,$K27)=0,"No processed CAPEX spend",IF(O27=0,"No internal spend","Enter C/D; compare E")))</f>
        <v>No internal spend</v>
      </c>
    </row>
    <row r="28" spans="1:17" ht="13" x14ac:dyDescent="0.25">
      <c r="A28" s="53" t="s">
        <v>1070</v>
      </c>
      <c r="B28" s="53"/>
      <c r="C28" s="58">
        <f>IF($B28="",0,MAX(0,_xlfn.XLOOKUP($B28,'Opex Tables'!$A$2:$A$133,'Opex Tables'!$H$2:$H$133,0)))</f>
        <v>0</v>
      </c>
      <c r="D28" s="58">
        <f>IF($B28="",0,MAX(0,_xlfn.XLOOKUP($B28,'Opex Tables'!$A$2:$A$133,'Opex Tables'!$I$2:$I$133,0)))</f>
        <v>0</v>
      </c>
      <c r="E28" s="59">
        <f>IF($B28="",0,MAX(0,_xlfn.XLOOKUP($B28,'Opex Tables'!$A$2:$A$133,'Opex Tables'!$J$2:$J$133,0)))</f>
        <v>0</v>
      </c>
      <c r="F28" s="60">
        <f t="shared" si="0"/>
        <v>0</v>
      </c>
      <c r="G28" s="61">
        <f>IF($B28="",0,SUMIFS('OPEX CJI3'!$F$2:$F$7490,'OPEX CJI3'!$A$2:$A$7490,$B28&amp;"*",'OPEX CJI3'!$J$2:$J$7490,"*Reclass internal hours*"))</f>
        <v>0</v>
      </c>
      <c r="H28" s="53" t="str">
        <f>IF($B28="","No OPEX code",IF(COUNTIF('Opex Tables'!$A$2:$A$133,$B28)=0,"REVIEW: no processed spend",IF(AND(C28=0,D28=0,E28=0,G28&lt;0),"Credit only — DO NOT ENTER",IF(AND(C28=0,D28=0,E28=0,G28=0),"No internal spend","Enter C/D; compare E"))))</f>
        <v>No OPEX code</v>
      </c>
      <c r="I28" s="50"/>
      <c r="J28" s="53" t="s">
        <v>1070</v>
      </c>
      <c r="K28" s="53" t="s">
        <v>176</v>
      </c>
      <c r="L28" s="58">
        <f>IF(OR($K28="",$K28="Not needed",FALSE),0,_xlfn.XLOOKUP($K28,'CAPEX Tables'!$A$8:$A$54,'CAPEX Tables'!$B$8:$B$54,0))</f>
        <v>0</v>
      </c>
      <c r="M28" s="58">
        <f>IF(OR($K28="",$K28="Not needed",FALSE),0,SUMIFS('CAPEX CJI3'!$F$2:$F$433,'CAPEX CJI3'!$A$2:$A$433,$K28,'CAPEX CJI3'!$K$2:$K$433,2026,'CAPEX CJI3'!$J$2:$J$433,"*Reclass internal hours*",'CAPEX CJI3'!$N$2:$N$433,"&lt;"&amp;DATE(2026,6,1)))</f>
        <v>0</v>
      </c>
      <c r="N28" s="59">
        <f>IF(OR($K28="",$K28="Not needed",FALSE),0,SUMIFS('CAPEX CJI3'!$F$2:$F$433,'CAPEX CJI3'!$A$2:$A$433,$K28,'CAPEX CJI3'!$K$2:$K$433,2026,'CAPEX CJI3'!$J$2:$J$433,"*Reclass internal hours*",'CAPEX CJI3'!$N$2:$N$433,"&gt;="&amp;DATE(2026,6,1)))</f>
        <v>0</v>
      </c>
      <c r="O28" s="60">
        <f t="shared" si="1"/>
        <v>0</v>
      </c>
      <c r="P28" s="55" t="str">
        <f>_xlfn.LET(_xlpm.op,_xlfn.XLOOKUP($J28,'codes match'!$A$2:$A$53,'codes match'!$C$2:$C$53,""),_xlpm.cr,IF(_xlpm.op="",0,SUMIFS('OPEX CJI3'!$F$2:$F$7490,'OPEX CJI3'!$A$2:$A$7490,_xlpm.op&amp;"*",'OPEX CJI3'!$J$2:$J$7490,"*Reclass internal hours*")),IF(_xlpm.op="","No OPEX pair",IF(ABS(_xlpm.cr+O28)&lt;0.01,"MATCH","REVIEW: unmatched €"&amp;TEXT(_xlpm.cr+O28,"#,##0.00"))))</f>
        <v>No OPEX pair</v>
      </c>
      <c r="Q28" s="53" t="str">
        <f>IF(OR($K28="",$K28="Not needed"),"No CAPEX code",IF(COUNTIF('CAPEX Tables'!$A$8:$A$54,$K28)=0,"No processed CAPEX spend",IF(O28=0,"No internal spend","Enter C/D; compare E")))</f>
        <v>No internal spend</v>
      </c>
    </row>
    <row r="29" spans="1:17" ht="13" x14ac:dyDescent="0.25">
      <c r="A29" s="53" t="s">
        <v>1071</v>
      </c>
      <c r="B29" s="53" t="s">
        <v>920</v>
      </c>
      <c r="C29" s="58">
        <f>IF($B29="",0,MAX(0,_xlfn.XLOOKUP($B29,'Opex Tables'!$A$2:$A$133,'Opex Tables'!$H$2:$H$133,0)))</f>
        <v>0</v>
      </c>
      <c r="D29" s="58">
        <f>IF($B29="",0,MAX(0,_xlfn.XLOOKUP($B29,'Opex Tables'!$A$2:$A$133,'Opex Tables'!$I$2:$I$133,0)))</f>
        <v>2400</v>
      </c>
      <c r="E29" s="59">
        <f>IF($B29="",0,MAX(0,_xlfn.XLOOKUP($B29,'Opex Tables'!$A$2:$A$133,'Opex Tables'!$J$2:$J$133,0)))</f>
        <v>400</v>
      </c>
      <c r="F29" s="60">
        <f t="shared" si="0"/>
        <v>2800</v>
      </c>
      <c r="G29" s="61">
        <f>IF($B29="",0,SUMIFS('OPEX CJI3'!$F$2:$F$7490,'OPEX CJI3'!$A$2:$A$7490,$B29&amp;"*",'OPEX CJI3'!$J$2:$J$7490,"*Reclass internal hours*"))</f>
        <v>0</v>
      </c>
      <c r="H29" s="53" t="str">
        <f>IF($B29="","No OPEX code",IF(COUNTIF('Opex Tables'!$A$2:$A$133,$B29)=0,"REVIEW: no processed spend",IF(AND(C29=0,D29=0,E29=0,G29&lt;0),"Credit only — DO NOT ENTER",IF(AND(C29=0,D29=0,E29=0,G29=0),"No internal spend","Enter C/D; compare E"))))</f>
        <v>Enter C/D; compare E</v>
      </c>
      <c r="I29" s="50"/>
      <c r="J29" s="53" t="s">
        <v>1071</v>
      </c>
      <c r="K29" s="53" t="s">
        <v>1072</v>
      </c>
      <c r="L29" s="58">
        <f>IF(OR($K29="",$K29="Not needed",FALSE),0,_xlfn.XLOOKUP($K29,'CAPEX Tables'!$A$8:$A$54,'CAPEX Tables'!$B$8:$B$54,0))</f>
        <v>0</v>
      </c>
      <c r="M29" s="58">
        <f>IF(OR($K29="",$K29="Not needed",FALSE),0,SUMIFS('CAPEX CJI3'!$F$2:$F$433,'CAPEX CJI3'!$A$2:$A$433,$K29,'CAPEX CJI3'!$K$2:$K$433,2026,'CAPEX CJI3'!$J$2:$J$433,"*Reclass internal hours*",'CAPEX CJI3'!$N$2:$N$433,"&lt;"&amp;DATE(2026,6,1)))</f>
        <v>0</v>
      </c>
      <c r="N29" s="59">
        <f>IF(OR($K29="",$K29="Not needed",FALSE),0,SUMIFS('CAPEX CJI3'!$F$2:$F$433,'CAPEX CJI3'!$A$2:$A$433,$K29,'CAPEX CJI3'!$K$2:$K$433,2026,'CAPEX CJI3'!$J$2:$J$433,"*Reclass internal hours*",'CAPEX CJI3'!$N$2:$N$433,"&gt;="&amp;DATE(2026,6,1)))</f>
        <v>0</v>
      </c>
      <c r="O29" s="60">
        <f t="shared" si="1"/>
        <v>0</v>
      </c>
      <c r="P29" s="55" t="str">
        <f>_xlfn.LET(_xlpm.op,_xlfn.XLOOKUP($J29,'codes match'!$A$2:$A$53,'codes match'!$C$2:$C$53,""),_xlpm.cr,IF(_xlpm.op="",0,SUMIFS('OPEX CJI3'!$F$2:$F$7490,'OPEX CJI3'!$A$2:$A$7490,_xlpm.op&amp;"*",'OPEX CJI3'!$J$2:$J$7490,"*Reclass internal hours*")),IF(_xlpm.op="","No OPEX pair",IF(ABS(_xlpm.cr+O29)&lt;0.01,"MATCH","REVIEW: unmatched €"&amp;TEXT(_xlpm.cr+O29,"#,##0.00"))))</f>
        <v>MATCH</v>
      </c>
      <c r="Q29" s="53" t="str">
        <f>IF(OR($K29="",$K29="Not needed"),"No CAPEX code",IF(COUNTIF('CAPEX Tables'!$A$8:$A$54,$K29)=0,"No processed CAPEX spend",IF(O29=0,"No internal spend","Enter C/D; compare E")))</f>
        <v>No processed CAPEX spend</v>
      </c>
    </row>
    <row r="30" spans="1:17" ht="26" x14ac:dyDescent="0.25">
      <c r="A30" s="53" t="s">
        <v>1073</v>
      </c>
      <c r="B30" s="53" t="s">
        <v>948</v>
      </c>
      <c r="C30" s="58">
        <f>IF($B30="",0,MAX(0,_xlfn.XLOOKUP($B30,'Opex Tables'!$A$2:$A$133,'Opex Tables'!$H$2:$H$133,0)))</f>
        <v>0</v>
      </c>
      <c r="D30" s="58">
        <f>IF($B30="",0,MAX(0,_xlfn.XLOOKUP($B30,'Opex Tables'!$A$2:$A$133,'Opex Tables'!$I$2:$I$133,0)))</f>
        <v>0</v>
      </c>
      <c r="E30" s="59">
        <f>IF($B30="",0,MAX(0,_xlfn.XLOOKUP($B30,'Opex Tables'!$A$2:$A$133,'Opex Tables'!$J$2:$J$133,0)))</f>
        <v>0</v>
      </c>
      <c r="F30" s="60">
        <f t="shared" si="0"/>
        <v>0</v>
      </c>
      <c r="G30" s="61">
        <f>IF($B30="",0,SUMIFS('OPEX CJI3'!$F$2:$F$7490,'OPEX CJI3'!$A$2:$A$7490,$B30&amp;"*",'OPEX CJI3'!$J$2:$J$7490,"*Reclass internal hours*"))</f>
        <v>-43090</v>
      </c>
      <c r="H30" s="53" t="str">
        <f>IF($B30="","No OPEX code",IF(COUNTIF('Opex Tables'!$A$2:$A$133,$B30)=0,"REVIEW: no processed spend",IF(AND(C30=0,D30=0,E30=0,G30&lt;0),"Credit only — DO NOT ENTER",IF(AND(C30=0,D30=0,E30=0,G30=0),"No internal spend","Enter C/D; compare E"))))</f>
        <v>Credit only — DO NOT ENTER</v>
      </c>
      <c r="I30" s="50"/>
      <c r="J30" s="53" t="s">
        <v>1073</v>
      </c>
      <c r="K30" s="53" t="s">
        <v>91</v>
      </c>
      <c r="L30" s="58">
        <f>IF(OR($K30="",$K30="Not needed",FALSE),0,_xlfn.XLOOKUP($K30,'CAPEX Tables'!$A$8:$A$54,'CAPEX Tables'!$B$8:$B$54,0))</f>
        <v>0</v>
      </c>
      <c r="M30" s="58">
        <f>IF(OR($K30="",$K30="Not needed",FALSE),0,SUMIFS('CAPEX CJI3'!$F$2:$F$433,'CAPEX CJI3'!$A$2:$A$433,$K30,'CAPEX CJI3'!$K$2:$K$433,2026,'CAPEX CJI3'!$J$2:$J$433,"*Reclass internal hours*",'CAPEX CJI3'!$N$2:$N$433,"&lt;"&amp;DATE(2026,6,1)))</f>
        <v>0</v>
      </c>
      <c r="N30" s="59">
        <f>IF(OR($K30="",$K30="Not needed",FALSE),0,SUMIFS('CAPEX CJI3'!$F$2:$F$433,'CAPEX CJI3'!$A$2:$A$433,$K30,'CAPEX CJI3'!$K$2:$K$433,2026,'CAPEX CJI3'!$J$2:$J$433,"*Reclass internal hours*",'CAPEX CJI3'!$N$2:$N$433,"&gt;="&amp;DATE(2026,6,1)))</f>
        <v>0</v>
      </c>
      <c r="O30" s="60">
        <f t="shared" si="1"/>
        <v>0</v>
      </c>
      <c r="P30" s="55" t="str">
        <f>_xlfn.LET(_xlpm.op,_xlfn.XLOOKUP($J30,'codes match'!$A$2:$A$53,'codes match'!$C$2:$C$53,""),_xlpm.cr,IF(_xlpm.op="",0,SUMIFS('OPEX CJI3'!$F$2:$F$7490,'OPEX CJI3'!$A$2:$A$7490,_xlpm.op&amp;"*",'OPEX CJI3'!$J$2:$J$7490,"*Reclass internal hours*")),IF(_xlpm.op="","No OPEX pair",IF(ABS(_xlpm.cr+O30)&lt;0.01,"MATCH","REVIEW: unmatched €"&amp;TEXT(_xlpm.cr+O30,"#,##0.00"))))</f>
        <v>REVIEW: unmatched €-43,090.00</v>
      </c>
      <c r="Q30" s="53" t="str">
        <f>IF(OR($K30="",$K30="Not needed"),"No CAPEX code",IF(COUNTIF('CAPEX Tables'!$A$8:$A$54,$K30)=0,"No processed CAPEX spend",IF(O30=0,"No internal spend","Enter C/D; compare E")))</f>
        <v>No internal spend</v>
      </c>
    </row>
    <row r="31" spans="1:17" ht="13" x14ac:dyDescent="0.25">
      <c r="A31" s="53" t="s">
        <v>1074</v>
      </c>
      <c r="B31" s="53" t="s">
        <v>977</v>
      </c>
      <c r="C31" s="58">
        <f>IF($B31="",0,MAX(0,_xlfn.XLOOKUP($B31,'Opex Tables'!$A$2:$A$133,'Opex Tables'!$H$2:$H$133,0)))</f>
        <v>0</v>
      </c>
      <c r="D31" s="58">
        <f>IF($B31="",0,MAX(0,_xlfn.XLOOKUP($B31,'Opex Tables'!$A$2:$A$133,'Opex Tables'!$I$2:$I$133,0)))</f>
        <v>0</v>
      </c>
      <c r="E31" s="59">
        <f>IF($B31="",0,MAX(0,_xlfn.XLOOKUP($B31,'Opex Tables'!$A$2:$A$133,'Opex Tables'!$J$2:$J$133,0)))</f>
        <v>6399.3600000000006</v>
      </c>
      <c r="F31" s="60">
        <f t="shared" si="0"/>
        <v>6399.3600000000006</v>
      </c>
      <c r="G31" s="61">
        <f>IF($B31="",0,SUMIFS('OPEX CJI3'!$F$2:$F$7490,'OPEX CJI3'!$A$2:$A$7490,$B31&amp;"*",'OPEX CJI3'!$J$2:$J$7490,"*Reclass internal hours*"))</f>
        <v>-1700.6399999999999</v>
      </c>
      <c r="H31" s="53" t="str">
        <f>IF($B31="","No OPEX code",IF(COUNTIF('Opex Tables'!$A$2:$A$133,$B31)=0,"REVIEW: no processed spend",IF(AND(C31=0,D31=0,E31=0,G31&lt;0),"Credit only — DO NOT ENTER",IF(AND(C31=0,D31=0,E31=0,G31=0),"No internal spend","Enter C/D; compare E"))))</f>
        <v>Enter C/D; compare E</v>
      </c>
      <c r="I31" s="50"/>
      <c r="J31" s="53" t="s">
        <v>1074</v>
      </c>
      <c r="K31" s="53" t="s">
        <v>183</v>
      </c>
      <c r="L31" s="58">
        <f>IF(OR($K31="",$K31="Not needed",FALSE),0,_xlfn.XLOOKUP($K31,'CAPEX Tables'!$A$8:$A$54,'CAPEX Tables'!$B$8:$B$54,0))</f>
        <v>0</v>
      </c>
      <c r="M31" s="58">
        <f>IF(OR($K31="",$K31="Not needed",FALSE),0,SUMIFS('CAPEX CJI3'!$F$2:$F$433,'CAPEX CJI3'!$A$2:$A$433,$K31,'CAPEX CJI3'!$K$2:$K$433,2026,'CAPEX CJI3'!$J$2:$J$433,"*Reclass internal hours*",'CAPEX CJI3'!$N$2:$N$433,"&lt;"&amp;DATE(2026,6,1)))</f>
        <v>0</v>
      </c>
      <c r="N31" s="59">
        <f>IF(OR($K31="",$K31="Not needed",FALSE),0,SUMIFS('CAPEX CJI3'!$F$2:$F$433,'CAPEX CJI3'!$A$2:$A$433,$K31,'CAPEX CJI3'!$K$2:$K$433,2026,'CAPEX CJI3'!$J$2:$J$433,"*Reclass internal hours*",'CAPEX CJI3'!$N$2:$N$433,"&gt;="&amp;DATE(2026,6,1)))</f>
        <v>1700.6399999999999</v>
      </c>
      <c r="O31" s="60">
        <f t="shared" si="1"/>
        <v>1700.6399999999999</v>
      </c>
      <c r="P31" s="55" t="str">
        <f>_xlfn.LET(_xlpm.op,_xlfn.XLOOKUP($J31,'codes match'!$A$2:$A$53,'codes match'!$C$2:$C$53,""),_xlpm.cr,IF(_xlpm.op="",0,SUMIFS('OPEX CJI3'!$F$2:$F$7490,'OPEX CJI3'!$A$2:$A$7490,_xlpm.op&amp;"*",'OPEX CJI3'!$J$2:$J$7490,"*Reclass internal hours*")),IF(_xlpm.op="","No OPEX pair",IF(ABS(_xlpm.cr+O31)&lt;0.01,"MATCH","REVIEW: unmatched €"&amp;TEXT(_xlpm.cr+O31,"#,##0.00"))))</f>
        <v>MATCH</v>
      </c>
      <c r="Q31" s="53" t="str">
        <f>IF(OR($K31="",$K31="Not needed"),"No CAPEX code",IF(COUNTIF('CAPEX Tables'!$A$8:$A$54,$K31)=0,"No processed CAPEX spend",IF(O31=0,"No internal spend","Enter C/D; compare E")))</f>
        <v>Enter C/D; compare E</v>
      </c>
    </row>
    <row r="32" spans="1:17" ht="13" x14ac:dyDescent="0.25">
      <c r="A32" s="53" t="s">
        <v>1075</v>
      </c>
      <c r="B32" s="53" t="s">
        <v>1013</v>
      </c>
      <c r="C32" s="58">
        <f>IF($B32="",0,MAX(0,_xlfn.XLOOKUP($B32,'Opex Tables'!$A$2:$A$133,'Opex Tables'!$H$2:$H$133,0)))</f>
        <v>0</v>
      </c>
      <c r="D32" s="58">
        <f>IF($B32="",0,MAX(0,_xlfn.XLOOKUP($B32,'Opex Tables'!$A$2:$A$133,'Opex Tables'!$I$2:$I$133,0)))</f>
        <v>0</v>
      </c>
      <c r="E32" s="59">
        <f>IF($B32="",0,MAX(0,_xlfn.XLOOKUP($B32,'Opex Tables'!$A$2:$A$133,'Opex Tables'!$J$2:$J$133,0)))</f>
        <v>0</v>
      </c>
      <c r="F32" s="60">
        <f t="shared" si="0"/>
        <v>0</v>
      </c>
      <c r="G32" s="61">
        <f>IF($B32="",0,SUMIFS('OPEX CJI3'!$F$2:$F$7490,'OPEX CJI3'!$A$2:$A$7490,$B32&amp;"*",'OPEX CJI3'!$J$2:$J$7490,"*Reclass internal hours*"))</f>
        <v>-44950</v>
      </c>
      <c r="H32" s="53" t="str">
        <f>IF($B32="","No OPEX code",IF(COUNTIF('Opex Tables'!$A$2:$A$133,$B32)=0,"REVIEW: no processed spend",IF(AND(C32=0,D32=0,E32=0,G32&lt;0),"Credit only — DO NOT ENTER",IF(AND(C32=0,D32=0,E32=0,G32=0),"No internal spend","Enter C/D; compare E"))))</f>
        <v>Credit only — DO NOT ENTER</v>
      </c>
      <c r="I32" s="50"/>
      <c r="J32" s="53" t="s">
        <v>1075</v>
      </c>
      <c r="K32" s="53" t="s">
        <v>194</v>
      </c>
      <c r="L32" s="58">
        <f>IF(OR($K32="",$K32="Not needed",FALSE),0,_xlfn.XLOOKUP($K32,'CAPEX Tables'!$A$8:$A$54,'CAPEX Tables'!$B$8:$B$54,0))</f>
        <v>0</v>
      </c>
      <c r="M32" s="58">
        <f>IF(OR($K32="",$K32="Not needed",FALSE),0,SUMIFS('CAPEX CJI3'!$F$2:$F$433,'CAPEX CJI3'!$A$2:$A$433,$K32,'CAPEX CJI3'!$K$2:$K$433,2026,'CAPEX CJI3'!$J$2:$J$433,"*Reclass internal hours*",'CAPEX CJI3'!$N$2:$N$433,"&lt;"&amp;DATE(2026,6,1)))</f>
        <v>0</v>
      </c>
      <c r="N32" s="59">
        <f>IF(OR($K32="",$K32="Not needed",FALSE),0,SUMIFS('CAPEX CJI3'!$F$2:$F$433,'CAPEX CJI3'!$A$2:$A$433,$K32,'CAPEX CJI3'!$K$2:$K$433,2026,'CAPEX CJI3'!$J$2:$J$433,"*Reclass internal hours*",'CAPEX CJI3'!$N$2:$N$433,"&gt;="&amp;DATE(2026,6,1)))</f>
        <v>44950</v>
      </c>
      <c r="O32" s="60">
        <f t="shared" si="1"/>
        <v>44950</v>
      </c>
      <c r="P32" s="55" t="str">
        <f>_xlfn.LET(_xlpm.op,_xlfn.XLOOKUP($J32,'codes match'!$A$2:$A$53,'codes match'!$C$2:$C$53,""),_xlpm.cr,IF(_xlpm.op="",0,SUMIFS('OPEX CJI3'!$F$2:$F$7490,'OPEX CJI3'!$A$2:$A$7490,_xlpm.op&amp;"*",'OPEX CJI3'!$J$2:$J$7490,"*Reclass internal hours*")),IF(_xlpm.op="","No OPEX pair",IF(ABS(_xlpm.cr+O32)&lt;0.01,"MATCH","REVIEW: unmatched €"&amp;TEXT(_xlpm.cr+O32,"#,##0.00"))))</f>
        <v>MATCH</v>
      </c>
      <c r="Q32" s="53" t="str">
        <f>IF(OR($K32="",$K32="Not needed"),"No CAPEX code",IF(COUNTIF('CAPEX Tables'!$A$8:$A$54,$K32)=0,"No processed CAPEX spend",IF(O32=0,"No internal spend","Enter C/D; compare E")))</f>
        <v>Enter C/D; compare E</v>
      </c>
    </row>
    <row r="33" spans="1:17" ht="13" x14ac:dyDescent="0.25">
      <c r="A33" s="53" t="s">
        <v>1076</v>
      </c>
      <c r="B33" s="53" t="s">
        <v>915</v>
      </c>
      <c r="C33" s="58">
        <f>IF($B33="",0,MAX(0,_xlfn.XLOOKUP($B33,'Opex Tables'!$A$2:$A$133,'Opex Tables'!$H$2:$H$133,0)))</f>
        <v>0</v>
      </c>
      <c r="D33" s="58">
        <f>IF($B33="",0,MAX(0,_xlfn.XLOOKUP($B33,'Opex Tables'!$A$2:$A$133,'Opex Tables'!$I$2:$I$133,0)))</f>
        <v>0</v>
      </c>
      <c r="E33" s="59">
        <f>IF($B33="",0,MAX(0,_xlfn.XLOOKUP($B33,'Opex Tables'!$A$2:$A$133,'Opex Tables'!$J$2:$J$133,0)))</f>
        <v>0</v>
      </c>
      <c r="F33" s="60">
        <f t="shared" si="0"/>
        <v>0</v>
      </c>
      <c r="G33" s="61">
        <f>IF($B33="",0,SUMIFS('OPEX CJI3'!$F$2:$F$7490,'OPEX CJI3'!$A$2:$A$7490,$B33&amp;"*",'OPEX CJI3'!$J$2:$J$7490,"*Reclass internal hours*"))</f>
        <v>-58068</v>
      </c>
      <c r="H33" s="53" t="str">
        <f>IF($B33="","No OPEX code",IF(COUNTIF('Opex Tables'!$A$2:$A$133,$B33)=0,"REVIEW: no processed spend",IF(AND(C33=0,D33=0,E33=0,G33&lt;0),"Credit only — DO NOT ENTER",IF(AND(C33=0,D33=0,E33=0,G33=0),"No internal spend","Enter C/D; compare E"))))</f>
        <v>Credit only — DO NOT ENTER</v>
      </c>
      <c r="I33" s="50"/>
      <c r="J33" s="53" t="s">
        <v>1076</v>
      </c>
      <c r="K33" s="53" t="s">
        <v>0</v>
      </c>
      <c r="L33" s="58">
        <f>IF(OR($K33="",$K33="Not needed",FALSE),0,_xlfn.XLOOKUP($K33,'CAPEX Tables'!$A$8:$A$54,'CAPEX Tables'!$B$8:$B$54,0))</f>
        <v>13150</v>
      </c>
      <c r="M33" s="58">
        <f>IF(OR($K33="",$K33="Not needed",FALSE),0,SUMIFS('CAPEX CJI3'!$F$2:$F$433,'CAPEX CJI3'!$A$2:$A$433,$K33,'CAPEX CJI3'!$K$2:$K$433,2026,'CAPEX CJI3'!$J$2:$J$433,"*Reclass internal hours*",'CAPEX CJI3'!$N$2:$N$433,"&lt;"&amp;DATE(2026,6,1)))</f>
        <v>20300</v>
      </c>
      <c r="N33" s="59">
        <f>IF(OR($K33="",$K33="Not needed",FALSE),0,SUMIFS('CAPEX CJI3'!$F$2:$F$433,'CAPEX CJI3'!$A$2:$A$433,$K33,'CAPEX CJI3'!$K$2:$K$433,2026,'CAPEX CJI3'!$J$2:$J$433,"*Reclass internal hours*",'CAPEX CJI3'!$N$2:$N$433,"&gt;="&amp;DATE(2026,6,1)))</f>
        <v>24618</v>
      </c>
      <c r="O33" s="60">
        <f t="shared" si="1"/>
        <v>58068</v>
      </c>
      <c r="P33" s="55" t="str">
        <f>_xlfn.LET(_xlpm.op,_xlfn.XLOOKUP($J33,'codes match'!$A$2:$A$53,'codes match'!$C$2:$C$53,""),_xlpm.cr,IF(_xlpm.op="",0,SUMIFS('OPEX CJI3'!$F$2:$F$7490,'OPEX CJI3'!$A$2:$A$7490,_xlpm.op&amp;"*",'OPEX CJI3'!$J$2:$J$7490,"*Reclass internal hours*")),IF(_xlpm.op="","No OPEX pair",IF(ABS(_xlpm.cr+O33)&lt;0.01,"MATCH","REVIEW: unmatched €"&amp;TEXT(_xlpm.cr+O33,"#,##0.00"))))</f>
        <v>MATCH</v>
      </c>
      <c r="Q33" s="53" t="str">
        <f>IF(OR($K33="",$K33="Not needed"),"No CAPEX code",IF(COUNTIF('CAPEX Tables'!$A$8:$A$54,$K33)=0,"No processed CAPEX spend",IF(O33=0,"No internal spend","Enter C/D; compare E")))</f>
        <v>Enter C/D; compare E</v>
      </c>
    </row>
    <row r="34" spans="1:17" ht="13" x14ac:dyDescent="0.25">
      <c r="A34" s="53" t="s">
        <v>1077</v>
      </c>
      <c r="B34" s="53" t="s">
        <v>930</v>
      </c>
      <c r="C34" s="58">
        <f>IF($B34="",0,MAX(0,_xlfn.XLOOKUP($B34,'Opex Tables'!$A$2:$A$133,'Opex Tables'!$H$2:$H$133,0)))</f>
        <v>0</v>
      </c>
      <c r="D34" s="58">
        <f>IF($B34="",0,MAX(0,_xlfn.XLOOKUP($B34,'Opex Tables'!$A$2:$A$133,'Opex Tables'!$I$2:$I$133,0)))</f>
        <v>0</v>
      </c>
      <c r="E34" s="59">
        <f>IF($B34="",0,MAX(0,_xlfn.XLOOKUP($B34,'Opex Tables'!$A$2:$A$133,'Opex Tables'!$J$2:$J$133,0)))</f>
        <v>0</v>
      </c>
      <c r="F34" s="60">
        <f t="shared" si="0"/>
        <v>0</v>
      </c>
      <c r="G34" s="61">
        <f>IF($B34="",0,SUMIFS('OPEX CJI3'!$F$2:$F$7490,'OPEX CJI3'!$A$2:$A$7490,$B34&amp;"*",'OPEX CJI3'!$J$2:$J$7490,"*Reclass internal hours*"))</f>
        <v>-82138</v>
      </c>
      <c r="H34" s="53" t="str">
        <f>IF($B34="","No OPEX code",IF(COUNTIF('Opex Tables'!$A$2:$A$133,$B34)=0,"REVIEW: no processed spend",IF(AND(C34=0,D34=0,E34=0,G34&lt;0),"Credit only — DO NOT ENTER",IF(AND(C34=0,D34=0,E34=0,G34=0),"No internal spend","Enter C/D; compare E"))))</f>
        <v>Credit only — DO NOT ENTER</v>
      </c>
      <c r="I34" s="50"/>
      <c r="J34" s="53" t="s">
        <v>1077</v>
      </c>
      <c r="K34" s="53" t="s">
        <v>50</v>
      </c>
      <c r="L34" s="58">
        <f>IF(OR($K34="",$K34="Not needed",FALSE),0,_xlfn.XLOOKUP($K34,'CAPEX Tables'!$A$8:$A$54,'CAPEX Tables'!$B$8:$B$54,0))</f>
        <v>2900</v>
      </c>
      <c r="M34" s="58">
        <f>IF(OR($K34="",$K34="Not needed",FALSE),0,SUMIFS('CAPEX CJI3'!$F$2:$F$433,'CAPEX CJI3'!$A$2:$A$433,$K34,'CAPEX CJI3'!$K$2:$K$433,2026,'CAPEX CJI3'!$J$2:$J$433,"*Reclass internal hours*",'CAPEX CJI3'!$N$2:$N$433,"&lt;"&amp;DATE(2026,6,1)))</f>
        <v>17800</v>
      </c>
      <c r="N34" s="59">
        <f>IF(OR($K34="",$K34="Not needed",FALSE),0,SUMIFS('CAPEX CJI3'!$F$2:$F$433,'CAPEX CJI3'!$A$2:$A$433,$K34,'CAPEX CJI3'!$K$2:$K$433,2026,'CAPEX CJI3'!$J$2:$J$433,"*Reclass internal hours*",'CAPEX CJI3'!$N$2:$N$433,"&gt;="&amp;DATE(2026,6,1)))</f>
        <v>61438</v>
      </c>
      <c r="O34" s="60">
        <f t="shared" si="1"/>
        <v>82138</v>
      </c>
      <c r="P34" s="55" t="str">
        <f>_xlfn.LET(_xlpm.op,_xlfn.XLOOKUP($J34,'codes match'!$A$2:$A$53,'codes match'!$C$2:$C$53,""),_xlpm.cr,IF(_xlpm.op="",0,SUMIFS('OPEX CJI3'!$F$2:$F$7490,'OPEX CJI3'!$A$2:$A$7490,_xlpm.op&amp;"*",'OPEX CJI3'!$J$2:$J$7490,"*Reclass internal hours*")),IF(_xlpm.op="","No OPEX pair",IF(ABS(_xlpm.cr+O34)&lt;0.01,"MATCH","REVIEW: unmatched €"&amp;TEXT(_xlpm.cr+O34,"#,##0.00"))))</f>
        <v>MATCH</v>
      </c>
      <c r="Q34" s="53" t="str">
        <f>IF(OR($K34="",$K34="Not needed"),"No CAPEX code",IF(COUNTIF('CAPEX Tables'!$A$8:$A$54,$K34)=0,"No processed CAPEX spend",IF(O34=0,"No internal spend","Enter C/D; compare E")))</f>
        <v>Enter C/D; compare E</v>
      </c>
    </row>
    <row r="35" spans="1:17" ht="13" x14ac:dyDescent="0.25">
      <c r="A35" s="53" t="s">
        <v>1078</v>
      </c>
      <c r="B35" s="53" t="s">
        <v>972</v>
      </c>
      <c r="C35" s="58">
        <f>IF($B35="",0,MAX(0,_xlfn.XLOOKUP($B35,'Opex Tables'!$A$2:$A$133,'Opex Tables'!$H$2:$H$133,0)))</f>
        <v>0</v>
      </c>
      <c r="D35" s="58">
        <f>IF($B35="",0,MAX(0,_xlfn.XLOOKUP($B35,'Opex Tables'!$A$2:$A$133,'Opex Tables'!$I$2:$I$133,0)))</f>
        <v>300</v>
      </c>
      <c r="E35" s="59">
        <f>IF($B35="",0,MAX(0,_xlfn.XLOOKUP($B35,'Opex Tables'!$A$2:$A$133,'Opex Tables'!$J$2:$J$133,0)))</f>
        <v>200</v>
      </c>
      <c r="F35" s="60">
        <f t="shared" si="0"/>
        <v>500</v>
      </c>
      <c r="G35" s="61">
        <f>IF($B35="",0,SUMIFS('OPEX CJI3'!$F$2:$F$7490,'OPEX CJI3'!$A$2:$A$7490,$B35&amp;"*",'OPEX CJI3'!$J$2:$J$7490,"*Reclass internal hours*"))</f>
        <v>0</v>
      </c>
      <c r="H35" s="53" t="str">
        <f>IF($B35="","No OPEX code",IF(COUNTIF('Opex Tables'!$A$2:$A$133,$B35)=0,"REVIEW: no processed spend",IF(AND(C35=0,D35=0,E35=0,G35&lt;0),"Credit only — DO NOT ENTER",IF(AND(C35=0,D35=0,E35=0,G35=0),"No internal spend","Enter C/D; compare E"))))</f>
        <v>Enter C/D; compare E</v>
      </c>
      <c r="I35" s="50"/>
      <c r="J35" s="53" t="s">
        <v>1078</v>
      </c>
      <c r="K35" s="53" t="s">
        <v>1079</v>
      </c>
      <c r="L35" s="58">
        <f>IF(OR($K35="",$K35="Not needed",FALSE),0,_xlfn.XLOOKUP($K35,'CAPEX Tables'!$A$8:$A$54,'CAPEX Tables'!$B$8:$B$54,0))</f>
        <v>0</v>
      </c>
      <c r="M35" s="58">
        <f>IF(OR($K35="",$K35="Not needed",FALSE),0,SUMIFS('CAPEX CJI3'!$F$2:$F$433,'CAPEX CJI3'!$A$2:$A$433,$K35,'CAPEX CJI3'!$K$2:$K$433,2026,'CAPEX CJI3'!$J$2:$J$433,"*Reclass internal hours*",'CAPEX CJI3'!$N$2:$N$433,"&lt;"&amp;DATE(2026,6,1)))</f>
        <v>0</v>
      </c>
      <c r="N35" s="59">
        <f>IF(OR($K35="",$K35="Not needed",FALSE),0,SUMIFS('CAPEX CJI3'!$F$2:$F$433,'CAPEX CJI3'!$A$2:$A$433,$K35,'CAPEX CJI3'!$K$2:$K$433,2026,'CAPEX CJI3'!$J$2:$J$433,"*Reclass internal hours*",'CAPEX CJI3'!$N$2:$N$433,"&gt;="&amp;DATE(2026,6,1)))</f>
        <v>0</v>
      </c>
      <c r="O35" s="60">
        <f t="shared" si="1"/>
        <v>0</v>
      </c>
      <c r="P35" s="55" t="str">
        <f>_xlfn.LET(_xlpm.op,_xlfn.XLOOKUP($J35,'codes match'!$A$2:$A$53,'codes match'!$C$2:$C$53,""),_xlpm.cr,IF(_xlpm.op="",0,SUMIFS('OPEX CJI3'!$F$2:$F$7490,'OPEX CJI3'!$A$2:$A$7490,_xlpm.op&amp;"*",'OPEX CJI3'!$J$2:$J$7490,"*Reclass internal hours*")),IF(_xlpm.op="","No OPEX pair",IF(ABS(_xlpm.cr+O35)&lt;0.01,"MATCH","REVIEW: unmatched €"&amp;TEXT(_xlpm.cr+O35,"#,##0.00"))))</f>
        <v>MATCH</v>
      </c>
      <c r="Q35" s="53" t="str">
        <f>IF(OR($K35="",$K35="Not needed"),"No CAPEX code",IF(COUNTIF('CAPEX Tables'!$A$8:$A$54,$K35)=0,"No processed CAPEX spend",IF(O35=0,"No internal spend","Enter C/D; compare E")))</f>
        <v>No processed CAPEX spend</v>
      </c>
    </row>
    <row r="36" spans="1:17" ht="13" x14ac:dyDescent="0.25">
      <c r="A36" s="53" t="s">
        <v>1080</v>
      </c>
      <c r="B36" s="53" t="s">
        <v>953</v>
      </c>
      <c r="C36" s="58">
        <f>IF($B36="",0,MAX(0,_xlfn.XLOOKUP($B36,'Opex Tables'!$A$2:$A$133,'Opex Tables'!$H$2:$H$133,0)))</f>
        <v>0</v>
      </c>
      <c r="D36" s="58">
        <f>IF($B36="",0,MAX(0,_xlfn.XLOOKUP($B36,'Opex Tables'!$A$2:$A$133,'Opex Tables'!$I$2:$I$133,0)))</f>
        <v>0</v>
      </c>
      <c r="E36" s="59">
        <f>IF($B36="",0,MAX(0,_xlfn.XLOOKUP($B36,'Opex Tables'!$A$2:$A$133,'Opex Tables'!$J$2:$J$133,0)))</f>
        <v>0</v>
      </c>
      <c r="F36" s="60">
        <f t="shared" si="0"/>
        <v>0</v>
      </c>
      <c r="G36" s="61">
        <f>IF($B36="",0,SUMIFS('OPEX CJI3'!$F$2:$F$7490,'OPEX CJI3'!$A$2:$A$7490,$B36&amp;"*",'OPEX CJI3'!$J$2:$J$7490,"*Reclass internal hours*"))</f>
        <v>-38000</v>
      </c>
      <c r="H36" s="53" t="str">
        <f>IF($B36="","No OPEX code",IF(COUNTIF('Opex Tables'!$A$2:$A$133,$B36)=0,"REVIEW: no processed spend",IF(AND(C36=0,D36=0,E36=0,G36&lt;0),"Credit only — DO NOT ENTER",IF(AND(C36=0,D36=0,E36=0,G36=0),"No internal spend","Enter C/D; compare E"))))</f>
        <v>Credit only — DO NOT ENTER</v>
      </c>
      <c r="I36" s="50"/>
      <c r="J36" s="53" t="s">
        <v>1080</v>
      </c>
      <c r="K36" s="53" t="s">
        <v>128</v>
      </c>
      <c r="L36" s="58">
        <f>IF(OR($K36="",$K36="Not needed",FALSE),0,_xlfn.XLOOKUP($K36,'CAPEX Tables'!$A$8:$A$54,'CAPEX Tables'!$B$8:$B$54,0))</f>
        <v>0</v>
      </c>
      <c r="M36" s="58">
        <f>IF(OR($K36="",$K36="Not needed",FALSE),0,SUMIFS('CAPEX CJI3'!$F$2:$F$433,'CAPEX CJI3'!$A$2:$A$433,$K36,'CAPEX CJI3'!$K$2:$K$433,2026,'CAPEX CJI3'!$J$2:$J$433,"*Reclass internal hours*",'CAPEX CJI3'!$N$2:$N$433,"&lt;"&amp;DATE(2026,6,1)))</f>
        <v>27100</v>
      </c>
      <c r="N36" s="59">
        <f>IF(OR($K36="",$K36="Not needed",FALSE),0,SUMIFS('CAPEX CJI3'!$F$2:$F$433,'CAPEX CJI3'!$A$2:$A$433,$K36,'CAPEX CJI3'!$K$2:$K$433,2026,'CAPEX CJI3'!$J$2:$J$433,"*Reclass internal hours*",'CAPEX CJI3'!$N$2:$N$433,"&gt;="&amp;DATE(2026,6,1)))</f>
        <v>10900</v>
      </c>
      <c r="O36" s="60">
        <f t="shared" si="1"/>
        <v>38000</v>
      </c>
      <c r="P36" s="55" t="str">
        <f>_xlfn.LET(_xlpm.op,_xlfn.XLOOKUP($J36,'codes match'!$A$2:$A$53,'codes match'!$C$2:$C$53,""),_xlpm.cr,IF(_xlpm.op="",0,SUMIFS('OPEX CJI3'!$F$2:$F$7490,'OPEX CJI3'!$A$2:$A$7490,_xlpm.op&amp;"*",'OPEX CJI3'!$J$2:$J$7490,"*Reclass internal hours*")),IF(_xlpm.op="","No OPEX pair",IF(ABS(_xlpm.cr+O36)&lt;0.01,"MATCH","REVIEW: unmatched €"&amp;TEXT(_xlpm.cr+O36,"#,##0.00"))))</f>
        <v>MATCH</v>
      </c>
      <c r="Q36" s="53" t="str">
        <f>IF(OR($K36="",$K36="Not needed"),"No CAPEX code",IF(COUNTIF('CAPEX Tables'!$A$8:$A$54,$K36)=0,"No processed CAPEX spend",IF(O36=0,"No internal spend","Enter C/D; compare E")))</f>
        <v>Enter C/D; compare E</v>
      </c>
    </row>
    <row r="37" spans="1:17" ht="13" x14ac:dyDescent="0.25">
      <c r="A37" s="53" t="s">
        <v>1081</v>
      </c>
      <c r="B37" s="53" t="s">
        <v>1082</v>
      </c>
      <c r="C37" s="58">
        <f>IF($B37="",0,MAX(0,_xlfn.XLOOKUP($B37,'Opex Tables'!$A$2:$A$133,'Opex Tables'!$H$2:$H$133,0)))</f>
        <v>0</v>
      </c>
      <c r="D37" s="58">
        <f>IF($B37="",0,MAX(0,_xlfn.XLOOKUP($B37,'Opex Tables'!$A$2:$A$133,'Opex Tables'!$I$2:$I$133,0)))</f>
        <v>0</v>
      </c>
      <c r="E37" s="59">
        <f>IF($B37="",0,MAX(0,_xlfn.XLOOKUP($B37,'Opex Tables'!$A$2:$A$133,'Opex Tables'!$J$2:$J$133,0)))</f>
        <v>0</v>
      </c>
      <c r="F37" s="60">
        <f t="shared" si="0"/>
        <v>0</v>
      </c>
      <c r="G37" s="61">
        <f>IF($B37="",0,SUMIFS('OPEX CJI3'!$F$2:$F$7490,'OPEX CJI3'!$A$2:$A$7490,$B37&amp;"*",'OPEX CJI3'!$J$2:$J$7490,"*Reclass internal hours*"))</f>
        <v>0</v>
      </c>
      <c r="H37" s="53" t="str">
        <f>IF($B37="","No OPEX code",IF(COUNTIF('Opex Tables'!$A$2:$A$133,$B37)=0,"REVIEW: no processed spend",IF(AND(C37=0,D37=0,E37=0,G37&lt;0),"Credit only — DO NOT ENTER",IF(AND(C37=0,D37=0,E37=0,G37=0),"No internal spend","Enter C/D; compare E"))))</f>
        <v>REVIEW: no processed spend</v>
      </c>
      <c r="I37" s="50"/>
      <c r="J37" s="53" t="s">
        <v>1081</v>
      </c>
      <c r="K37" s="53" t="s">
        <v>134</v>
      </c>
      <c r="L37" s="58">
        <f>IF(OR($K37="",$K37="Not needed",FALSE),0,_xlfn.XLOOKUP($K37,'CAPEX Tables'!$A$8:$A$54,'CAPEX Tables'!$B$8:$B$54,0))</f>
        <v>0</v>
      </c>
      <c r="M37" s="58">
        <f>IF(OR($K37="",$K37="Not needed",FALSE),0,SUMIFS('CAPEX CJI3'!$F$2:$F$433,'CAPEX CJI3'!$A$2:$A$433,$K37,'CAPEX CJI3'!$K$2:$K$433,2026,'CAPEX CJI3'!$J$2:$J$433,"*Reclass internal hours*",'CAPEX CJI3'!$N$2:$N$433,"&lt;"&amp;DATE(2026,6,1)))</f>
        <v>0</v>
      </c>
      <c r="N37" s="59">
        <f>IF(OR($K37="",$K37="Not needed",FALSE),0,SUMIFS('CAPEX CJI3'!$F$2:$F$433,'CAPEX CJI3'!$A$2:$A$433,$K37,'CAPEX CJI3'!$K$2:$K$433,2026,'CAPEX CJI3'!$J$2:$J$433,"*Reclass internal hours*",'CAPEX CJI3'!$N$2:$N$433,"&gt;="&amp;DATE(2026,6,1)))</f>
        <v>0</v>
      </c>
      <c r="O37" s="60">
        <f t="shared" si="1"/>
        <v>0</v>
      </c>
      <c r="P37" s="55" t="str">
        <f>_xlfn.LET(_xlpm.op,_xlfn.XLOOKUP($J37,'codes match'!$A$2:$A$53,'codes match'!$C$2:$C$53,""),_xlpm.cr,IF(_xlpm.op="",0,SUMIFS('OPEX CJI3'!$F$2:$F$7490,'OPEX CJI3'!$A$2:$A$7490,_xlpm.op&amp;"*",'OPEX CJI3'!$J$2:$J$7490,"*Reclass internal hours*")),IF(_xlpm.op="","No OPEX pair",IF(ABS(_xlpm.cr+O37)&lt;0.01,"MATCH","REVIEW: unmatched €"&amp;TEXT(_xlpm.cr+O37,"#,##0.00"))))</f>
        <v>MATCH</v>
      </c>
      <c r="Q37" s="53" t="str">
        <f>IF(OR($K37="",$K37="Not needed"),"No CAPEX code",IF(COUNTIF('CAPEX Tables'!$A$8:$A$54,$K37)=0,"No processed CAPEX spend",IF(O37=0,"No internal spend","Enter C/D; compare E")))</f>
        <v>No internal spend</v>
      </c>
    </row>
    <row r="38" spans="1:17" ht="13" x14ac:dyDescent="0.25">
      <c r="A38" s="53" t="s">
        <v>1083</v>
      </c>
      <c r="B38" s="53" t="s">
        <v>1002</v>
      </c>
      <c r="C38" s="58">
        <f>IF($B38="",0,MAX(0,_xlfn.XLOOKUP($B38,'Opex Tables'!$A$2:$A$133,'Opex Tables'!$H$2:$H$133,0)))</f>
        <v>0</v>
      </c>
      <c r="D38" s="58">
        <f>IF($B38="",0,MAX(0,_xlfn.XLOOKUP($B38,'Opex Tables'!$A$2:$A$133,'Opex Tables'!$I$2:$I$133,0)))</f>
        <v>0</v>
      </c>
      <c r="E38" s="59">
        <f>IF($B38="",0,MAX(0,_xlfn.XLOOKUP($B38,'Opex Tables'!$A$2:$A$133,'Opex Tables'!$J$2:$J$133,0)))</f>
        <v>3300</v>
      </c>
      <c r="F38" s="60">
        <f t="shared" si="0"/>
        <v>3300</v>
      </c>
      <c r="G38" s="61">
        <f>IF($B38="",0,SUMIFS('OPEX CJI3'!$F$2:$F$7490,'OPEX CJI3'!$A$2:$A$7490,$B38&amp;"*",'OPEX CJI3'!$J$2:$J$7490,"*Reclass internal hours*"))</f>
        <v>0</v>
      </c>
      <c r="H38" s="53" t="str">
        <f>IF($B38="","No OPEX code",IF(COUNTIF('Opex Tables'!$A$2:$A$133,$B38)=0,"REVIEW: no processed spend",IF(AND(C38=0,D38=0,E38=0,G38&lt;0),"Credit only — DO NOT ENTER",IF(AND(C38=0,D38=0,E38=0,G38=0),"No internal spend","Enter C/D; compare E"))))</f>
        <v>Enter C/D; compare E</v>
      </c>
      <c r="I38" s="50"/>
      <c r="J38" s="53" t="s">
        <v>1083</v>
      </c>
      <c r="K38" s="53" t="s">
        <v>1084</v>
      </c>
      <c r="L38" s="58">
        <f>IF(OR($K38="",$K38="Not needed",FALSE),0,_xlfn.XLOOKUP($K38,'CAPEX Tables'!$A$8:$A$54,'CAPEX Tables'!$B$8:$B$54,0))</f>
        <v>0</v>
      </c>
      <c r="M38" s="58">
        <f>IF(OR($K38="",$K38="Not needed",FALSE),0,SUMIFS('CAPEX CJI3'!$F$2:$F$433,'CAPEX CJI3'!$A$2:$A$433,$K38,'CAPEX CJI3'!$K$2:$K$433,2026,'CAPEX CJI3'!$J$2:$J$433,"*Reclass internal hours*",'CAPEX CJI3'!$N$2:$N$433,"&lt;"&amp;DATE(2026,6,1)))</f>
        <v>0</v>
      </c>
      <c r="N38" s="59">
        <f>IF(OR($K38="",$K38="Not needed",FALSE),0,SUMIFS('CAPEX CJI3'!$F$2:$F$433,'CAPEX CJI3'!$A$2:$A$433,$K38,'CAPEX CJI3'!$K$2:$K$433,2026,'CAPEX CJI3'!$J$2:$J$433,"*Reclass internal hours*",'CAPEX CJI3'!$N$2:$N$433,"&gt;="&amp;DATE(2026,6,1)))</f>
        <v>0</v>
      </c>
      <c r="O38" s="60">
        <f t="shared" si="1"/>
        <v>0</v>
      </c>
      <c r="P38" s="55" t="str">
        <f>_xlfn.LET(_xlpm.op,_xlfn.XLOOKUP($J38,'codes match'!$A$2:$A$53,'codes match'!$C$2:$C$53,""),_xlpm.cr,IF(_xlpm.op="",0,SUMIFS('OPEX CJI3'!$F$2:$F$7490,'OPEX CJI3'!$A$2:$A$7490,_xlpm.op&amp;"*",'OPEX CJI3'!$J$2:$J$7490,"*Reclass internal hours*")),IF(_xlpm.op="","No OPEX pair",IF(ABS(_xlpm.cr+O38)&lt;0.01,"MATCH","REVIEW: unmatched €"&amp;TEXT(_xlpm.cr+O38,"#,##0.00"))))</f>
        <v>MATCH</v>
      </c>
      <c r="Q38" s="53" t="str">
        <f>IF(OR($K38="",$K38="Not needed"),"No CAPEX code",IF(COUNTIF('CAPEX Tables'!$A$8:$A$54,$K38)=0,"No processed CAPEX spend",IF(O38=0,"No internal spend","Enter C/D; compare E")))</f>
        <v>No processed CAPEX spend</v>
      </c>
    </row>
    <row r="39" spans="1:17" ht="13" x14ac:dyDescent="0.25">
      <c r="A39" s="53" t="s">
        <v>1085</v>
      </c>
      <c r="B39" s="53" t="s">
        <v>1003</v>
      </c>
      <c r="C39" s="58">
        <f>IF($B39="",0,MAX(0,_xlfn.XLOOKUP($B39,'Opex Tables'!$A$2:$A$133,'Opex Tables'!$H$2:$H$133,0)))</f>
        <v>0</v>
      </c>
      <c r="D39" s="58">
        <f>IF($B39="",0,MAX(0,_xlfn.XLOOKUP($B39,'Opex Tables'!$A$2:$A$133,'Opex Tables'!$I$2:$I$133,0)))</f>
        <v>0</v>
      </c>
      <c r="E39" s="59">
        <f>IF($B39="",0,MAX(0,_xlfn.XLOOKUP($B39,'Opex Tables'!$A$2:$A$133,'Opex Tables'!$J$2:$J$133,0)))</f>
        <v>200</v>
      </c>
      <c r="F39" s="60">
        <f t="shared" si="0"/>
        <v>200</v>
      </c>
      <c r="G39" s="61">
        <f>IF($B39="",0,SUMIFS('OPEX CJI3'!$F$2:$F$7490,'OPEX CJI3'!$A$2:$A$7490,$B39&amp;"*",'OPEX CJI3'!$J$2:$J$7490,"*Reclass internal hours*"))</f>
        <v>0</v>
      </c>
      <c r="H39" s="53" t="str">
        <f>IF($B39="","No OPEX code",IF(COUNTIF('Opex Tables'!$A$2:$A$133,$B39)=0,"REVIEW: no processed spend",IF(AND(C39=0,D39=0,E39=0,G39&lt;0),"Credit only — DO NOT ENTER",IF(AND(C39=0,D39=0,E39=0,G39=0),"No internal spend","Enter C/D; compare E"))))</f>
        <v>Enter C/D; compare E</v>
      </c>
      <c r="I39" s="50"/>
      <c r="J39" s="53" t="s">
        <v>1085</v>
      </c>
      <c r="K39" s="53" t="s">
        <v>1086</v>
      </c>
      <c r="L39" s="58">
        <f>IF(OR($K39="",$K39="Not needed",FALSE),0,_xlfn.XLOOKUP($K39,'CAPEX Tables'!$A$8:$A$54,'CAPEX Tables'!$B$8:$B$54,0))</f>
        <v>0</v>
      </c>
      <c r="M39" s="58">
        <f>IF(OR($K39="",$K39="Not needed",FALSE),0,SUMIFS('CAPEX CJI3'!$F$2:$F$433,'CAPEX CJI3'!$A$2:$A$433,$K39,'CAPEX CJI3'!$K$2:$K$433,2026,'CAPEX CJI3'!$J$2:$J$433,"*Reclass internal hours*",'CAPEX CJI3'!$N$2:$N$433,"&lt;"&amp;DATE(2026,6,1)))</f>
        <v>0</v>
      </c>
      <c r="N39" s="59">
        <f>IF(OR($K39="",$K39="Not needed",FALSE),0,SUMIFS('CAPEX CJI3'!$F$2:$F$433,'CAPEX CJI3'!$A$2:$A$433,$K39,'CAPEX CJI3'!$K$2:$K$433,2026,'CAPEX CJI3'!$J$2:$J$433,"*Reclass internal hours*",'CAPEX CJI3'!$N$2:$N$433,"&gt;="&amp;DATE(2026,6,1)))</f>
        <v>0</v>
      </c>
      <c r="O39" s="60">
        <f t="shared" si="1"/>
        <v>0</v>
      </c>
      <c r="P39" s="55" t="str">
        <f>_xlfn.LET(_xlpm.op,_xlfn.XLOOKUP($J39,'codes match'!$A$2:$A$53,'codes match'!$C$2:$C$53,""),_xlpm.cr,IF(_xlpm.op="",0,SUMIFS('OPEX CJI3'!$F$2:$F$7490,'OPEX CJI3'!$A$2:$A$7490,_xlpm.op&amp;"*",'OPEX CJI3'!$J$2:$J$7490,"*Reclass internal hours*")),IF(_xlpm.op="","No OPEX pair",IF(ABS(_xlpm.cr+O39)&lt;0.01,"MATCH","REVIEW: unmatched €"&amp;TEXT(_xlpm.cr+O39,"#,##0.00"))))</f>
        <v>MATCH</v>
      </c>
      <c r="Q39" s="53" t="str">
        <f>IF(OR($K39="",$K39="Not needed"),"No CAPEX code",IF(COUNTIF('CAPEX Tables'!$A$8:$A$54,$K39)=0,"No processed CAPEX spend",IF(O39=0,"No internal spend","Enter C/D; compare E")))</f>
        <v>No processed CAPEX spend</v>
      </c>
    </row>
    <row r="40" spans="1:17" ht="13" x14ac:dyDescent="0.25">
      <c r="A40" s="53" t="s">
        <v>1087</v>
      </c>
      <c r="B40" s="53" t="s">
        <v>1009</v>
      </c>
      <c r="C40" s="58">
        <f>IF($B40="",0,MAX(0,_xlfn.XLOOKUP($B40,'Opex Tables'!$A$2:$A$133,'Opex Tables'!$H$2:$H$133,0)))</f>
        <v>0</v>
      </c>
      <c r="D40" s="58">
        <f>IF($B40="",0,MAX(0,_xlfn.XLOOKUP($B40,'Opex Tables'!$A$2:$A$133,'Opex Tables'!$I$2:$I$133,0)))</f>
        <v>0</v>
      </c>
      <c r="E40" s="59">
        <f>IF($B40="",0,MAX(0,_xlfn.XLOOKUP($B40,'Opex Tables'!$A$2:$A$133,'Opex Tables'!$J$2:$J$133,0)))</f>
        <v>1900</v>
      </c>
      <c r="F40" s="60">
        <f t="shared" si="0"/>
        <v>1900</v>
      </c>
      <c r="G40" s="61">
        <f>IF($B40="",0,SUMIFS('OPEX CJI3'!$F$2:$F$7490,'OPEX CJI3'!$A$2:$A$7490,$B40&amp;"*",'OPEX CJI3'!$J$2:$J$7490,"*Reclass internal hours*"))</f>
        <v>0</v>
      </c>
      <c r="H40" s="53" t="str">
        <f>IF($B40="","No OPEX code",IF(COUNTIF('Opex Tables'!$A$2:$A$133,$B40)=0,"REVIEW: no processed spend",IF(AND(C40=0,D40=0,E40=0,G40&lt;0),"Credit only — DO NOT ENTER",IF(AND(C40=0,D40=0,E40=0,G40=0),"No internal spend","Enter C/D; compare E"))))</f>
        <v>Enter C/D; compare E</v>
      </c>
      <c r="I40" s="50"/>
      <c r="J40" s="53" t="s">
        <v>1087</v>
      </c>
      <c r="K40" s="53" t="s">
        <v>755</v>
      </c>
      <c r="L40" s="58">
        <f>IF(OR($K40="",$K40="Not needed",FALSE),0,_xlfn.XLOOKUP($K40,'CAPEX Tables'!$A$8:$A$54,'CAPEX Tables'!$B$8:$B$54,0))</f>
        <v>0</v>
      </c>
      <c r="M40" s="58">
        <f>IF(OR($K40="",$K40="Not needed",FALSE),0,SUMIFS('CAPEX CJI3'!$F$2:$F$433,'CAPEX CJI3'!$A$2:$A$433,$K40,'CAPEX CJI3'!$K$2:$K$433,2026,'CAPEX CJI3'!$J$2:$J$433,"*Reclass internal hours*",'CAPEX CJI3'!$N$2:$N$433,"&lt;"&amp;DATE(2026,6,1)))</f>
        <v>0</v>
      </c>
      <c r="N40" s="59">
        <f>IF(OR($K40="",$K40="Not needed",FALSE),0,SUMIFS('CAPEX CJI3'!$F$2:$F$433,'CAPEX CJI3'!$A$2:$A$433,$K40,'CAPEX CJI3'!$K$2:$K$433,2026,'CAPEX CJI3'!$J$2:$J$433,"*Reclass internal hours*",'CAPEX CJI3'!$N$2:$N$433,"&gt;="&amp;DATE(2026,6,1)))</f>
        <v>0</v>
      </c>
      <c r="O40" s="60">
        <f t="shared" si="1"/>
        <v>0</v>
      </c>
      <c r="P40" s="55" t="str">
        <f>_xlfn.LET(_xlpm.op,_xlfn.XLOOKUP($J40,'codes match'!$A$2:$A$53,'codes match'!$C$2:$C$53,""),_xlpm.cr,IF(_xlpm.op="",0,SUMIFS('OPEX CJI3'!$F$2:$F$7490,'OPEX CJI3'!$A$2:$A$7490,_xlpm.op&amp;"*",'OPEX CJI3'!$J$2:$J$7490,"*Reclass internal hours*")),IF(_xlpm.op="","No OPEX pair",IF(ABS(_xlpm.cr+O40)&lt;0.01,"MATCH","REVIEW: unmatched €"&amp;TEXT(_xlpm.cr+O40,"#,##0.00"))))</f>
        <v>MATCH</v>
      </c>
      <c r="Q40" s="53" t="str">
        <f>IF(OR($K40="",$K40="Not needed"),"No CAPEX code",IF(COUNTIF('CAPEX Tables'!$A$8:$A$54,$K40)=0,"No processed CAPEX spend",IF(O40=0,"No internal spend","Enter C/D; compare E")))</f>
        <v>No processed CAPEX spend</v>
      </c>
    </row>
    <row r="41" spans="1:17" ht="13" x14ac:dyDescent="0.25">
      <c r="A41" s="53" t="s">
        <v>1088</v>
      </c>
      <c r="B41" s="53"/>
      <c r="C41" s="58">
        <f>IF($B41="",0,MAX(0,_xlfn.XLOOKUP($B41,'Opex Tables'!$A$2:$A$133,'Opex Tables'!$H$2:$H$133,0)))</f>
        <v>0</v>
      </c>
      <c r="D41" s="58">
        <f>IF($B41="",0,MAX(0,_xlfn.XLOOKUP($B41,'Opex Tables'!$A$2:$A$133,'Opex Tables'!$I$2:$I$133,0)))</f>
        <v>0</v>
      </c>
      <c r="E41" s="59">
        <f>IF($B41="",0,MAX(0,_xlfn.XLOOKUP($B41,'Opex Tables'!$A$2:$A$133,'Opex Tables'!$J$2:$J$133,0)))</f>
        <v>0</v>
      </c>
      <c r="F41" s="60">
        <f t="shared" si="0"/>
        <v>0</v>
      </c>
      <c r="G41" s="61">
        <f>IF($B41="",0,SUMIFS('OPEX CJI3'!$F$2:$F$7490,'OPEX CJI3'!$A$2:$A$7490,$B41&amp;"*",'OPEX CJI3'!$J$2:$J$7490,"*Reclass internal hours*"))</f>
        <v>0</v>
      </c>
      <c r="H41" s="53" t="str">
        <f>IF($B41="","No OPEX code",IF(COUNTIF('Opex Tables'!$A$2:$A$133,$B41)=0,"REVIEW: no processed spend",IF(AND(C41=0,D41=0,E41=0,G41&lt;0),"Credit only — DO NOT ENTER",IF(AND(C41=0,D41=0,E41=0,G41=0),"No internal spend","Enter C/D; compare E"))))</f>
        <v>No OPEX code</v>
      </c>
      <c r="I41" s="50"/>
      <c r="J41" s="53" t="s">
        <v>1088</v>
      </c>
      <c r="K41" s="53" t="s">
        <v>23</v>
      </c>
      <c r="L41" s="58">
        <f>IF(OR($K41="",$K41="Not needed",FALSE),0,_xlfn.XLOOKUP($K41,'CAPEX Tables'!$A$8:$A$54,'CAPEX Tables'!$B$8:$B$54,0))</f>
        <v>0</v>
      </c>
      <c r="M41" s="58">
        <f>IF(OR($K41="",$K41="Not needed",FALSE),0,SUMIFS('CAPEX CJI3'!$F$2:$F$433,'CAPEX CJI3'!$A$2:$A$433,$K41,'CAPEX CJI3'!$K$2:$K$433,2026,'CAPEX CJI3'!$J$2:$J$433,"*Reclass internal hours*",'CAPEX CJI3'!$N$2:$N$433,"&lt;"&amp;DATE(2026,6,1)))</f>
        <v>0</v>
      </c>
      <c r="N41" s="59">
        <f>IF(OR($K41="",$K41="Not needed",FALSE),0,SUMIFS('CAPEX CJI3'!$F$2:$F$433,'CAPEX CJI3'!$A$2:$A$433,$K41,'CAPEX CJI3'!$K$2:$K$433,2026,'CAPEX CJI3'!$J$2:$J$433,"*Reclass internal hours*",'CAPEX CJI3'!$N$2:$N$433,"&gt;="&amp;DATE(2026,6,1)))</f>
        <v>0</v>
      </c>
      <c r="O41" s="60">
        <f t="shared" si="1"/>
        <v>0</v>
      </c>
      <c r="P41" s="55" t="str">
        <f>_xlfn.LET(_xlpm.op,_xlfn.XLOOKUP($J41,'codes match'!$A$2:$A$53,'codes match'!$C$2:$C$53,""),_xlpm.cr,IF(_xlpm.op="",0,SUMIFS('OPEX CJI3'!$F$2:$F$7490,'OPEX CJI3'!$A$2:$A$7490,_xlpm.op&amp;"*",'OPEX CJI3'!$J$2:$J$7490,"*Reclass internal hours*")),IF(_xlpm.op="","No OPEX pair",IF(ABS(_xlpm.cr+O41)&lt;0.01,"MATCH","REVIEW: unmatched €"&amp;TEXT(_xlpm.cr+O41,"#,##0.00"))))</f>
        <v>No OPEX pair</v>
      </c>
      <c r="Q41" s="53" t="str">
        <f>IF(OR($K41="",$K41="Not needed"),"No CAPEX code",IF(COUNTIF('CAPEX Tables'!$A$8:$A$54,$K41)=0,"No processed CAPEX spend",IF(O41=0,"No internal spend","Enter C/D; compare E")))</f>
        <v>No internal spend</v>
      </c>
    </row>
    <row r="42" spans="1:17" ht="13" x14ac:dyDescent="0.25">
      <c r="A42" s="53" t="s">
        <v>1089</v>
      </c>
      <c r="B42" s="53" t="s">
        <v>1090</v>
      </c>
      <c r="C42" s="58">
        <f>IF($B42="",0,MAX(0,_xlfn.XLOOKUP($B42,'Opex Tables'!$A$2:$A$133,'Opex Tables'!$H$2:$H$133,0)))</f>
        <v>0</v>
      </c>
      <c r="D42" s="58">
        <f>IF($B42="",0,MAX(0,_xlfn.XLOOKUP($B42,'Opex Tables'!$A$2:$A$133,'Opex Tables'!$I$2:$I$133,0)))</f>
        <v>0</v>
      </c>
      <c r="E42" s="59">
        <f>IF($B42="",0,MAX(0,_xlfn.XLOOKUP($B42,'Opex Tables'!$A$2:$A$133,'Opex Tables'!$J$2:$J$133,0)))</f>
        <v>0</v>
      </c>
      <c r="F42" s="60">
        <f t="shared" si="0"/>
        <v>0</v>
      </c>
      <c r="G42" s="61">
        <f>IF($B42="",0,SUMIFS('OPEX CJI3'!$F$2:$F$7490,'OPEX CJI3'!$A$2:$A$7490,$B42&amp;"*",'OPEX CJI3'!$J$2:$J$7490,"*Reclass internal hours*"))</f>
        <v>0</v>
      </c>
      <c r="H42" s="53" t="str">
        <f>IF($B42="","No OPEX code",IF(COUNTIF('Opex Tables'!$A$2:$A$133,$B42)=0,"REVIEW: no processed spend",IF(AND(C42=0,D42=0,E42=0,G42&lt;0),"Credit only — DO NOT ENTER",IF(AND(C42=0,D42=0,E42=0,G42=0),"No internal spend","Enter C/D; compare E"))))</f>
        <v>REVIEW: no processed spend</v>
      </c>
      <c r="I42" s="50"/>
      <c r="J42" s="53" t="s">
        <v>1089</v>
      </c>
      <c r="K42" s="53" t="s">
        <v>201</v>
      </c>
      <c r="L42" s="58">
        <f>IF(OR($K42="",$K42="Not needed",FALSE),0,_xlfn.XLOOKUP($K42,'CAPEX Tables'!$A$8:$A$54,'CAPEX Tables'!$B$8:$B$54,0))</f>
        <v>0</v>
      </c>
      <c r="M42" s="58">
        <f>IF(OR($K42="",$K42="Not needed",FALSE),0,SUMIFS('CAPEX CJI3'!$F$2:$F$433,'CAPEX CJI3'!$A$2:$A$433,$K42,'CAPEX CJI3'!$K$2:$K$433,2026,'CAPEX CJI3'!$J$2:$J$433,"*Reclass internal hours*",'CAPEX CJI3'!$N$2:$N$433,"&lt;"&amp;DATE(2026,6,1)))</f>
        <v>0</v>
      </c>
      <c r="N42" s="59">
        <f>IF(OR($K42="",$K42="Not needed",FALSE),0,SUMIFS('CAPEX CJI3'!$F$2:$F$433,'CAPEX CJI3'!$A$2:$A$433,$K42,'CAPEX CJI3'!$K$2:$K$433,2026,'CAPEX CJI3'!$J$2:$J$433,"*Reclass internal hours*",'CAPEX CJI3'!$N$2:$N$433,"&gt;="&amp;DATE(2026,6,1)))</f>
        <v>0</v>
      </c>
      <c r="O42" s="60">
        <f t="shared" si="1"/>
        <v>0</v>
      </c>
      <c r="P42" s="55" t="str">
        <f>_xlfn.LET(_xlpm.op,_xlfn.XLOOKUP($J42,'codes match'!$A$2:$A$53,'codes match'!$C$2:$C$53,""),_xlpm.cr,IF(_xlpm.op="",0,SUMIFS('OPEX CJI3'!$F$2:$F$7490,'OPEX CJI3'!$A$2:$A$7490,_xlpm.op&amp;"*",'OPEX CJI3'!$J$2:$J$7490,"*Reclass internal hours*")),IF(_xlpm.op="","No OPEX pair",IF(ABS(_xlpm.cr+O42)&lt;0.01,"MATCH","REVIEW: unmatched €"&amp;TEXT(_xlpm.cr+O42,"#,##0.00"))))</f>
        <v>MATCH</v>
      </c>
      <c r="Q42" s="53" t="str">
        <f>IF(OR($K42="",$K42="Not needed"),"No CAPEX code",IF(COUNTIF('CAPEX Tables'!$A$8:$A$54,$K42)=0,"No processed CAPEX spend",IF(O42=0,"No internal spend","Enter C/D; compare E")))</f>
        <v>No internal spend</v>
      </c>
    </row>
    <row r="43" spans="1:17" ht="13" x14ac:dyDescent="0.25">
      <c r="A43" s="53" t="s">
        <v>1091</v>
      </c>
      <c r="B43" s="53" t="s">
        <v>931</v>
      </c>
      <c r="C43" s="58">
        <f>IF($B43="",0,MAX(0,_xlfn.XLOOKUP($B43,'Opex Tables'!$A$2:$A$133,'Opex Tables'!$H$2:$H$133,0)))</f>
        <v>0</v>
      </c>
      <c r="D43" s="58">
        <f>IF($B43="",0,MAX(0,_xlfn.XLOOKUP($B43,'Opex Tables'!$A$2:$A$133,'Opex Tables'!$I$2:$I$133,0)))</f>
        <v>0</v>
      </c>
      <c r="E43" s="59">
        <f>IF($B43="",0,MAX(0,_xlfn.XLOOKUP($B43,'Opex Tables'!$A$2:$A$133,'Opex Tables'!$J$2:$J$133,0)))</f>
        <v>0</v>
      </c>
      <c r="F43" s="60">
        <f t="shared" si="0"/>
        <v>0</v>
      </c>
      <c r="G43" s="61">
        <f>IF($B43="",0,SUMIFS('OPEX CJI3'!$F$2:$F$7490,'OPEX CJI3'!$A$2:$A$7490,$B43&amp;"*",'OPEX CJI3'!$J$2:$J$7490,"*Reclass internal hours*"))</f>
        <v>-265750.40000000002</v>
      </c>
      <c r="H43" s="53" t="str">
        <f>IF($B43="","No OPEX code",IF(COUNTIF('Opex Tables'!$A$2:$A$133,$B43)=0,"REVIEW: no processed spend",IF(AND(C43=0,D43=0,E43=0,G43&lt;0),"Credit only — DO NOT ENTER",IF(AND(C43=0,D43=0,E43=0,G43=0),"No internal spend","Enter C/D; compare E"))))</f>
        <v>Credit only — DO NOT ENTER</v>
      </c>
      <c r="I43" s="50"/>
      <c r="J43" s="53" t="s">
        <v>1091</v>
      </c>
      <c r="K43" s="53" t="s">
        <v>67</v>
      </c>
      <c r="L43" s="58">
        <f>IF(OR($K43="",$K43="Not needed",FALSE),0,_xlfn.XLOOKUP($K43,'CAPEX Tables'!$A$8:$A$54,'CAPEX Tables'!$B$8:$B$54,0))</f>
        <v>38000</v>
      </c>
      <c r="M43" s="58">
        <f>IF(OR($K43="",$K43="Not needed",FALSE),0,SUMIFS('CAPEX CJI3'!$F$2:$F$433,'CAPEX CJI3'!$A$2:$A$433,$K43,'CAPEX CJI3'!$K$2:$K$433,2026,'CAPEX CJI3'!$J$2:$J$433,"*Reclass internal hours*",'CAPEX CJI3'!$N$2:$N$433,"&lt;"&amp;DATE(2026,6,1)))</f>
        <v>179200</v>
      </c>
      <c r="N43" s="59">
        <f>IF(OR($K43="",$K43="Not needed",FALSE),0,SUMIFS('CAPEX CJI3'!$F$2:$F$433,'CAPEX CJI3'!$A$2:$A$433,$K43,'CAPEX CJI3'!$K$2:$K$433,2026,'CAPEX CJI3'!$J$2:$J$433,"*Reclass internal hours*",'CAPEX CJI3'!$N$2:$N$433,"&gt;="&amp;DATE(2026,6,1)))</f>
        <v>48550.400000000001</v>
      </c>
      <c r="O43" s="60">
        <f t="shared" si="1"/>
        <v>265750.40000000002</v>
      </c>
      <c r="P43" s="55" t="str">
        <f>_xlfn.LET(_xlpm.op,_xlfn.XLOOKUP($J43,'codes match'!$A$2:$A$53,'codes match'!$C$2:$C$53,""),_xlpm.cr,IF(_xlpm.op="",0,SUMIFS('OPEX CJI3'!$F$2:$F$7490,'OPEX CJI3'!$A$2:$A$7490,_xlpm.op&amp;"*",'OPEX CJI3'!$J$2:$J$7490,"*Reclass internal hours*")),IF(_xlpm.op="","No OPEX pair",IF(ABS(_xlpm.cr+O43)&lt;0.01,"MATCH","REVIEW: unmatched €"&amp;TEXT(_xlpm.cr+O43,"#,##0.00"))))</f>
        <v>MATCH</v>
      </c>
      <c r="Q43" s="53" t="str">
        <f>IF(OR($K43="",$K43="Not needed"),"No CAPEX code",IF(COUNTIF('CAPEX Tables'!$A$8:$A$54,$K43)=0,"No processed CAPEX spend",IF(O43=0,"No internal spend","Enter C/D; compare E")))</f>
        <v>Enter C/D; compare E</v>
      </c>
    </row>
    <row r="44" spans="1:17" ht="13" x14ac:dyDescent="0.25">
      <c r="A44" s="53" t="s">
        <v>1092</v>
      </c>
      <c r="B44" s="53" t="s">
        <v>956</v>
      </c>
      <c r="C44" s="58">
        <f>IF($B44="",0,MAX(0,_xlfn.XLOOKUP($B44,'Opex Tables'!$A$2:$A$133,'Opex Tables'!$H$2:$H$133,0)))</f>
        <v>0</v>
      </c>
      <c r="D44" s="58">
        <f>IF($B44="",0,MAX(0,_xlfn.XLOOKUP($B44,'Opex Tables'!$A$2:$A$133,'Opex Tables'!$I$2:$I$133,0)))</f>
        <v>0</v>
      </c>
      <c r="E44" s="59">
        <f>IF($B44="",0,MAX(0,_xlfn.XLOOKUP($B44,'Opex Tables'!$A$2:$A$133,'Opex Tables'!$J$2:$J$133,0)))</f>
        <v>0</v>
      </c>
      <c r="F44" s="60">
        <f t="shared" si="0"/>
        <v>0</v>
      </c>
      <c r="G44" s="61">
        <f>IF($B44="",0,SUMIFS('OPEX CJI3'!$F$2:$F$7490,'OPEX CJI3'!$A$2:$A$7490,$B44&amp;"*",'OPEX CJI3'!$J$2:$J$7490,"*Reclass internal hours*"))</f>
        <v>-29455</v>
      </c>
      <c r="H44" s="53" t="str">
        <f>IF($B44="","No OPEX code",IF(COUNTIF('Opex Tables'!$A$2:$A$133,$B44)=0,"REVIEW: no processed spend",IF(AND(C44=0,D44=0,E44=0,G44&lt;0),"Credit only — DO NOT ENTER",IF(AND(C44=0,D44=0,E44=0,G44=0),"No internal spend","Enter C/D; compare E"))))</f>
        <v>Credit only — DO NOT ENTER</v>
      </c>
      <c r="I44" s="50"/>
      <c r="J44" s="53" t="s">
        <v>1092</v>
      </c>
      <c r="K44" s="53" t="s">
        <v>149</v>
      </c>
      <c r="L44" s="58">
        <f>IF(OR($K44="",$K44="Not needed",FALSE),0,_xlfn.XLOOKUP($K44,'CAPEX Tables'!$A$8:$A$54,'CAPEX Tables'!$B$8:$B$54,0))</f>
        <v>0</v>
      </c>
      <c r="M44" s="58">
        <f>IF(OR($K44="",$K44="Not needed",FALSE),0,SUMIFS('CAPEX CJI3'!$F$2:$F$433,'CAPEX CJI3'!$A$2:$A$433,$K44,'CAPEX CJI3'!$K$2:$K$433,2026,'CAPEX CJI3'!$J$2:$J$433,"*Reclass internal hours*",'CAPEX CJI3'!$N$2:$N$433,"&lt;"&amp;DATE(2026,6,1)))</f>
        <v>15400</v>
      </c>
      <c r="N44" s="59">
        <f>IF(OR($K44="",$K44="Not needed",FALSE),0,SUMIFS('CAPEX CJI3'!$F$2:$F$433,'CAPEX CJI3'!$A$2:$A$433,$K44,'CAPEX CJI3'!$K$2:$K$433,2026,'CAPEX CJI3'!$J$2:$J$433,"*Reclass internal hours*",'CAPEX CJI3'!$N$2:$N$433,"&gt;="&amp;DATE(2026,6,1)))</f>
        <v>14055</v>
      </c>
      <c r="O44" s="60">
        <f t="shared" si="1"/>
        <v>29455</v>
      </c>
      <c r="P44" s="55" t="str">
        <f>_xlfn.LET(_xlpm.op,_xlfn.XLOOKUP($J44,'codes match'!$A$2:$A$53,'codes match'!$C$2:$C$53,""),_xlpm.cr,IF(_xlpm.op="",0,SUMIFS('OPEX CJI3'!$F$2:$F$7490,'OPEX CJI3'!$A$2:$A$7490,_xlpm.op&amp;"*",'OPEX CJI3'!$J$2:$J$7490,"*Reclass internal hours*")),IF(_xlpm.op="","No OPEX pair",IF(ABS(_xlpm.cr+O44)&lt;0.01,"MATCH","REVIEW: unmatched €"&amp;TEXT(_xlpm.cr+O44,"#,##0.00"))))</f>
        <v>MATCH</v>
      </c>
      <c r="Q44" s="53" t="str">
        <f>IF(OR($K44="",$K44="Not needed"),"No CAPEX code",IF(COUNTIF('CAPEX Tables'!$A$8:$A$54,$K44)=0,"No processed CAPEX spend",IF(O44=0,"No internal spend","Enter C/D; compare E")))</f>
        <v>Enter C/D; compare E</v>
      </c>
    </row>
    <row r="45" spans="1:17" ht="13" x14ac:dyDescent="0.25">
      <c r="A45" s="53" t="s">
        <v>1093</v>
      </c>
      <c r="B45" s="53"/>
      <c r="C45" s="58">
        <f>IF($B45="",0,MAX(0,_xlfn.XLOOKUP($B45,'Opex Tables'!$A$2:$A$133,'Opex Tables'!$H$2:$H$133,0)))</f>
        <v>0</v>
      </c>
      <c r="D45" s="58">
        <f>IF($B45="",0,MAX(0,_xlfn.XLOOKUP($B45,'Opex Tables'!$A$2:$A$133,'Opex Tables'!$I$2:$I$133,0)))</f>
        <v>0</v>
      </c>
      <c r="E45" s="59">
        <f>IF($B45="",0,MAX(0,_xlfn.XLOOKUP($B45,'Opex Tables'!$A$2:$A$133,'Opex Tables'!$J$2:$J$133,0)))</f>
        <v>0</v>
      </c>
      <c r="F45" s="60">
        <f t="shared" si="0"/>
        <v>0</v>
      </c>
      <c r="G45" s="61">
        <f>IF($B45="",0,SUMIFS('OPEX CJI3'!$F$2:$F$7490,'OPEX CJI3'!$A$2:$A$7490,$B45&amp;"*",'OPEX CJI3'!$J$2:$J$7490,"*Reclass internal hours*"))</f>
        <v>0</v>
      </c>
      <c r="H45" s="53" t="str">
        <f>IF($B45="","No OPEX code",IF(COUNTIF('Opex Tables'!$A$2:$A$133,$B45)=0,"REVIEW: no processed spend",IF(AND(C45=0,D45=0,E45=0,G45&lt;0),"Credit only — DO NOT ENTER",IF(AND(C45=0,D45=0,E45=0,G45=0),"No internal spend","Enter C/D; compare E"))))</f>
        <v>No OPEX code</v>
      </c>
      <c r="I45" s="50"/>
      <c r="J45" s="53" t="s">
        <v>1093</v>
      </c>
      <c r="K45" s="53" t="s">
        <v>131</v>
      </c>
      <c r="L45" s="58">
        <f>IF(OR($K45="",$K45="Not needed",FALSE),0,_xlfn.XLOOKUP($K45,'CAPEX Tables'!$A$8:$A$54,'CAPEX Tables'!$B$8:$B$54,0))</f>
        <v>0</v>
      </c>
      <c r="M45" s="58">
        <f>IF(OR($K45="",$K45="Not needed",FALSE),0,SUMIFS('CAPEX CJI3'!$F$2:$F$433,'CAPEX CJI3'!$A$2:$A$433,$K45,'CAPEX CJI3'!$K$2:$K$433,2026,'CAPEX CJI3'!$J$2:$J$433,"*Reclass internal hours*",'CAPEX CJI3'!$N$2:$N$433,"&lt;"&amp;DATE(2026,6,1)))</f>
        <v>0</v>
      </c>
      <c r="N45" s="59">
        <f>IF(OR($K45="",$K45="Not needed",FALSE),0,SUMIFS('CAPEX CJI3'!$F$2:$F$433,'CAPEX CJI3'!$A$2:$A$433,$K45,'CAPEX CJI3'!$K$2:$K$433,2026,'CAPEX CJI3'!$J$2:$J$433,"*Reclass internal hours*",'CAPEX CJI3'!$N$2:$N$433,"&gt;="&amp;DATE(2026,6,1)))</f>
        <v>0</v>
      </c>
      <c r="O45" s="60">
        <f t="shared" si="1"/>
        <v>0</v>
      </c>
      <c r="P45" s="55" t="str">
        <f>_xlfn.LET(_xlpm.op,_xlfn.XLOOKUP($J45,'codes match'!$A$2:$A$53,'codes match'!$C$2:$C$53,""),_xlpm.cr,IF(_xlpm.op="",0,SUMIFS('OPEX CJI3'!$F$2:$F$7490,'OPEX CJI3'!$A$2:$A$7490,_xlpm.op&amp;"*",'OPEX CJI3'!$J$2:$J$7490,"*Reclass internal hours*")),IF(_xlpm.op="","No OPEX pair",IF(ABS(_xlpm.cr+O45)&lt;0.01,"MATCH","REVIEW: unmatched €"&amp;TEXT(_xlpm.cr+O45,"#,##0.00"))))</f>
        <v>No OPEX pair</v>
      </c>
      <c r="Q45" s="53" t="str">
        <f>IF(OR($K45="",$K45="Not needed"),"No CAPEX code",IF(COUNTIF('CAPEX Tables'!$A$8:$A$54,$K45)=0,"No processed CAPEX spend",IF(O45=0,"No internal spend","Enter C/D; compare E")))</f>
        <v>No internal spend</v>
      </c>
    </row>
    <row r="46" spans="1:17" ht="13" x14ac:dyDescent="0.25">
      <c r="A46" s="53" t="s">
        <v>1094</v>
      </c>
      <c r="B46" s="53" t="s">
        <v>951</v>
      </c>
      <c r="C46" s="58">
        <f>IF($B46="",0,MAX(0,_xlfn.XLOOKUP($B46,'Opex Tables'!$A$2:$A$133,'Opex Tables'!$H$2:$H$133,0)))</f>
        <v>0</v>
      </c>
      <c r="D46" s="58">
        <f>IF($B46="",0,MAX(0,_xlfn.XLOOKUP($B46,'Opex Tables'!$A$2:$A$133,'Opex Tables'!$I$2:$I$133,0)))</f>
        <v>114123.5</v>
      </c>
      <c r="E46" s="59">
        <f>IF($B46="",0,MAX(0,_xlfn.XLOOKUP($B46,'Opex Tables'!$A$2:$A$133,'Opex Tables'!$J$2:$J$133,0)))</f>
        <v>0</v>
      </c>
      <c r="F46" s="60">
        <f t="shared" si="0"/>
        <v>114123.5</v>
      </c>
      <c r="G46" s="61">
        <f>IF($B46="",0,SUMIFS('OPEX CJI3'!$F$2:$F$7490,'OPEX CJI3'!$A$2:$A$7490,$B46&amp;"*",'OPEX CJI3'!$J$2:$J$7490,"*Reclass internal hours*"))</f>
        <v>-100000</v>
      </c>
      <c r="H46" s="53" t="str">
        <f>IF($B46="","No OPEX code",IF(COUNTIF('Opex Tables'!$A$2:$A$133,$B46)=0,"REVIEW: no processed spend",IF(AND(C46=0,D46=0,E46=0,G46&lt;0),"Credit only — DO NOT ENTER",IF(AND(C46=0,D46=0,E46=0,G46=0),"No internal spend","Enter C/D; compare E"))))</f>
        <v>Enter C/D; compare E</v>
      </c>
      <c r="I46" s="50"/>
      <c r="J46" s="53" t="s">
        <v>1094</v>
      </c>
      <c r="K46" s="53" t="s">
        <v>179</v>
      </c>
      <c r="L46" s="58">
        <f>IF(OR($K46="",$K46="Not needed",FALSE),0,_xlfn.XLOOKUP($K46,'CAPEX Tables'!$A$8:$A$54,'CAPEX Tables'!$B$8:$B$54,0))</f>
        <v>0</v>
      </c>
      <c r="M46" s="58">
        <f>IF(OR($K46="",$K46="Not needed",FALSE),0,SUMIFS('CAPEX CJI3'!$F$2:$F$433,'CAPEX CJI3'!$A$2:$A$433,$K46,'CAPEX CJI3'!$K$2:$K$433,2026,'CAPEX CJI3'!$J$2:$J$433,"*Reclass internal hours*",'CAPEX CJI3'!$N$2:$N$433,"&lt;"&amp;DATE(2026,6,1)))</f>
        <v>0</v>
      </c>
      <c r="N46" s="59">
        <f>IF(OR($K46="",$K46="Not needed",FALSE),0,SUMIFS('CAPEX CJI3'!$F$2:$F$433,'CAPEX CJI3'!$A$2:$A$433,$K46,'CAPEX CJI3'!$K$2:$K$433,2026,'CAPEX CJI3'!$J$2:$J$433,"*Reclass internal hours*",'CAPEX CJI3'!$N$2:$N$433,"&gt;="&amp;DATE(2026,6,1)))</f>
        <v>100000</v>
      </c>
      <c r="O46" s="60">
        <f t="shared" si="1"/>
        <v>100000</v>
      </c>
      <c r="P46" s="55" t="str">
        <f>_xlfn.LET(_xlpm.op,_xlfn.XLOOKUP($J46,'codes match'!$A$2:$A$53,'codes match'!$C$2:$C$53,""),_xlpm.cr,IF(_xlpm.op="",0,SUMIFS('OPEX CJI3'!$F$2:$F$7490,'OPEX CJI3'!$A$2:$A$7490,_xlpm.op&amp;"*",'OPEX CJI3'!$J$2:$J$7490,"*Reclass internal hours*")),IF(_xlpm.op="","No OPEX pair",IF(ABS(_xlpm.cr+O46)&lt;0.01,"MATCH","REVIEW: unmatched €"&amp;TEXT(_xlpm.cr+O46,"#,##0.00"))))</f>
        <v>MATCH</v>
      </c>
      <c r="Q46" s="53" t="str">
        <f>IF(OR($K46="",$K46="Not needed"),"No CAPEX code",IF(COUNTIF('CAPEX Tables'!$A$8:$A$54,$K46)=0,"No processed CAPEX spend",IF(O46=0,"No internal spend","Enter C/D; compare E")))</f>
        <v>Enter C/D; compare E</v>
      </c>
    </row>
    <row r="47" spans="1:17" ht="26" x14ac:dyDescent="0.25">
      <c r="A47" s="53" t="s">
        <v>1095</v>
      </c>
      <c r="B47" s="53" t="s">
        <v>952</v>
      </c>
      <c r="C47" s="58">
        <f>IF($B47="",0,MAX(0,_xlfn.XLOOKUP($B47,'Opex Tables'!$A$2:$A$133,'Opex Tables'!$H$2:$H$133,0)))</f>
        <v>0</v>
      </c>
      <c r="D47" s="58">
        <f>IF($B47="",0,MAX(0,_xlfn.XLOOKUP($B47,'Opex Tables'!$A$2:$A$133,'Opex Tables'!$I$2:$I$133,0)))</f>
        <v>11210</v>
      </c>
      <c r="E47" s="59">
        <f>IF($B47="",0,MAX(0,_xlfn.XLOOKUP($B47,'Opex Tables'!$A$2:$A$133,'Opex Tables'!$J$2:$J$133,0)))</f>
        <v>7951</v>
      </c>
      <c r="F47" s="60">
        <f t="shared" si="0"/>
        <v>19161</v>
      </c>
      <c r="G47" s="61">
        <f>IF($B47="",0,SUMIFS('OPEX CJI3'!$F$2:$F$7490,'OPEX CJI3'!$A$2:$A$7490,$B47&amp;"*",'OPEX CJI3'!$J$2:$J$7490,"*Reclass internal hours*"))</f>
        <v>-58560</v>
      </c>
      <c r="H47" s="53" t="str">
        <f>IF($B47="","No OPEX code",IF(COUNTIF('Opex Tables'!$A$2:$A$133,$B47)=0,"REVIEW: no processed spend",IF(AND(C47=0,D47=0,E47=0,G47&lt;0),"Credit only — DO NOT ENTER",IF(AND(C47=0,D47=0,E47=0,G47=0),"No internal spend","Enter C/D; compare E"))))</f>
        <v>Enter C/D; compare E</v>
      </c>
      <c r="I47" s="50"/>
      <c r="J47" s="53" t="s">
        <v>1095</v>
      </c>
      <c r="K47" s="53" t="s">
        <v>1096</v>
      </c>
      <c r="L47" s="58">
        <f>IF(OR($K47="",$K47="Not needed",FALSE),0,_xlfn.XLOOKUP($K47,'CAPEX Tables'!$A$8:$A$54,'CAPEX Tables'!$B$8:$B$54,0))</f>
        <v>0</v>
      </c>
      <c r="M47" s="58">
        <f>IF(OR($K47="",$K47="Not needed",FALSE),0,SUMIFS('CAPEX CJI3'!$F$2:$F$433,'CAPEX CJI3'!$A$2:$A$433,$K47,'CAPEX CJI3'!$K$2:$K$433,2026,'CAPEX CJI3'!$J$2:$J$433,"*Reclass internal hours*",'CAPEX CJI3'!$N$2:$N$433,"&lt;"&amp;DATE(2026,6,1)))</f>
        <v>0</v>
      </c>
      <c r="N47" s="59">
        <f>IF(OR($K47="",$K47="Not needed",FALSE),0,SUMIFS('CAPEX CJI3'!$F$2:$F$433,'CAPEX CJI3'!$A$2:$A$433,$K47,'CAPEX CJI3'!$K$2:$K$433,2026,'CAPEX CJI3'!$J$2:$J$433,"*Reclass internal hours*",'CAPEX CJI3'!$N$2:$N$433,"&gt;="&amp;DATE(2026,6,1)))</f>
        <v>0</v>
      </c>
      <c r="O47" s="60">
        <f t="shared" si="1"/>
        <v>0</v>
      </c>
      <c r="P47" s="55" t="str">
        <f>_xlfn.LET(_xlpm.op,_xlfn.XLOOKUP($J47,'codes match'!$A$2:$A$53,'codes match'!$C$2:$C$53,""),_xlpm.cr,IF(_xlpm.op="",0,SUMIFS('OPEX CJI3'!$F$2:$F$7490,'OPEX CJI3'!$A$2:$A$7490,_xlpm.op&amp;"*",'OPEX CJI3'!$J$2:$J$7490,"*Reclass internal hours*")),IF(_xlpm.op="","No OPEX pair",IF(ABS(_xlpm.cr+O47)&lt;0.01,"MATCH","REVIEW: unmatched €"&amp;TEXT(_xlpm.cr+O47,"#,##0.00"))))</f>
        <v>REVIEW: unmatched €-58,560.00</v>
      </c>
      <c r="Q47" s="53" t="str">
        <f>IF(OR($K47="",$K47="Not needed"),"No CAPEX code",IF(COUNTIF('CAPEX Tables'!$A$8:$A$54,$K47)=0,"No processed CAPEX spend",IF(O47=0,"No internal spend","Enter C/D; compare E")))</f>
        <v>No processed CAPEX spend</v>
      </c>
    </row>
    <row r="48" spans="1:17" ht="13" x14ac:dyDescent="0.25">
      <c r="A48" s="53" t="s">
        <v>1097</v>
      </c>
      <c r="B48" s="53" t="s">
        <v>960</v>
      </c>
      <c r="C48" s="58">
        <f>IF($B48="",0,MAX(0,_xlfn.XLOOKUP($B48,'Opex Tables'!$A$2:$A$133,'Opex Tables'!$H$2:$H$133,0)))</f>
        <v>0</v>
      </c>
      <c r="D48" s="58">
        <f>IF($B48="",0,MAX(0,_xlfn.XLOOKUP($B48,'Opex Tables'!$A$2:$A$133,'Opex Tables'!$I$2:$I$133,0)))</f>
        <v>0</v>
      </c>
      <c r="E48" s="59">
        <f>IF($B48="",0,MAX(0,_xlfn.XLOOKUP($B48,'Opex Tables'!$A$2:$A$133,'Opex Tables'!$J$2:$J$133,0)))</f>
        <v>0</v>
      </c>
      <c r="F48" s="60">
        <f t="shared" si="0"/>
        <v>0</v>
      </c>
      <c r="G48" s="61">
        <f>IF($B48="",0,SUMIFS('OPEX CJI3'!$F$2:$F$7490,'OPEX CJI3'!$A$2:$A$7490,$B48&amp;"*",'OPEX CJI3'!$J$2:$J$7490,"*Reclass internal hours*"))</f>
        <v>-329156</v>
      </c>
      <c r="H48" s="53" t="str">
        <f>IF($B48="","No OPEX code",IF(COUNTIF('Opex Tables'!$A$2:$A$133,$B48)=0,"REVIEW: no processed spend",IF(AND(C48=0,D48=0,E48=0,G48&lt;0),"Credit only — DO NOT ENTER",IF(AND(C48=0,D48=0,E48=0,G48=0),"No internal spend","Enter C/D; compare E"))))</f>
        <v>Credit only — DO NOT ENTER</v>
      </c>
      <c r="I48" s="50"/>
      <c r="J48" s="53" t="s">
        <v>1097</v>
      </c>
      <c r="K48" s="53" t="s">
        <v>143</v>
      </c>
      <c r="L48" s="58">
        <f>IF(OR($K48="",$K48="Not needed",FALSE),0,_xlfn.XLOOKUP($K48,'CAPEX Tables'!$A$8:$A$54,'CAPEX Tables'!$B$8:$B$54,0))</f>
        <v>0</v>
      </c>
      <c r="M48" s="58">
        <f>IF(OR($K48="",$K48="Not needed",FALSE),0,SUMIFS('CAPEX CJI3'!$F$2:$F$433,'CAPEX CJI3'!$A$2:$A$433,$K48,'CAPEX CJI3'!$K$2:$K$433,2026,'CAPEX CJI3'!$J$2:$J$433,"*Reclass internal hours*",'CAPEX CJI3'!$N$2:$N$433,"&lt;"&amp;DATE(2026,6,1)))</f>
        <v>227157</v>
      </c>
      <c r="N48" s="59">
        <f>IF(OR($K48="",$K48="Not needed",FALSE),0,SUMIFS('CAPEX CJI3'!$F$2:$F$433,'CAPEX CJI3'!$A$2:$A$433,$K48,'CAPEX CJI3'!$K$2:$K$433,2026,'CAPEX CJI3'!$J$2:$J$433,"*Reclass internal hours*",'CAPEX CJI3'!$N$2:$N$433,"&gt;="&amp;DATE(2026,6,1)))</f>
        <v>101999</v>
      </c>
      <c r="O48" s="60">
        <f t="shared" si="1"/>
        <v>329156</v>
      </c>
      <c r="P48" s="55" t="str">
        <f>_xlfn.LET(_xlpm.op,_xlfn.XLOOKUP($J48,'codes match'!$A$2:$A$53,'codes match'!$C$2:$C$53,""),_xlpm.cr,IF(_xlpm.op="",0,SUMIFS('OPEX CJI3'!$F$2:$F$7490,'OPEX CJI3'!$A$2:$A$7490,_xlpm.op&amp;"*",'OPEX CJI3'!$J$2:$J$7490,"*Reclass internal hours*")),IF(_xlpm.op="","No OPEX pair",IF(ABS(_xlpm.cr+O48)&lt;0.01,"MATCH","REVIEW: unmatched €"&amp;TEXT(_xlpm.cr+O48,"#,##0.00"))))</f>
        <v>MATCH</v>
      </c>
      <c r="Q48" s="53" t="str">
        <f>IF(OR($K48="",$K48="Not needed"),"No CAPEX code",IF(COUNTIF('CAPEX Tables'!$A$8:$A$54,$K48)=0,"No processed CAPEX spend",IF(O48=0,"No internal spend","Enter C/D; compare E")))</f>
        <v>Enter C/D; compare E</v>
      </c>
    </row>
    <row r="49" spans="1:17" ht="13" x14ac:dyDescent="0.25">
      <c r="A49" s="53" t="s">
        <v>1098</v>
      </c>
      <c r="B49" s="53" t="s">
        <v>976</v>
      </c>
      <c r="C49" s="58">
        <f>IF($B49="",0,MAX(0,_xlfn.XLOOKUP($B49,'Opex Tables'!$A$2:$A$133,'Opex Tables'!$H$2:$H$133,0)))</f>
        <v>0</v>
      </c>
      <c r="D49" s="58">
        <f>IF($B49="",0,MAX(0,_xlfn.XLOOKUP($B49,'Opex Tables'!$A$2:$A$133,'Opex Tables'!$I$2:$I$133,0)))</f>
        <v>0</v>
      </c>
      <c r="E49" s="59">
        <f>IF($B49="",0,MAX(0,_xlfn.XLOOKUP($B49,'Opex Tables'!$A$2:$A$133,'Opex Tables'!$J$2:$J$133,0)))</f>
        <v>0</v>
      </c>
      <c r="F49" s="60">
        <f t="shared" si="0"/>
        <v>0</v>
      </c>
      <c r="G49" s="61">
        <f>IF($B49="",0,SUMIFS('OPEX CJI3'!$F$2:$F$7490,'OPEX CJI3'!$A$2:$A$7490,$B49&amp;"*",'OPEX CJI3'!$J$2:$J$7490,"*Reclass internal hours*"))</f>
        <v>-2700</v>
      </c>
      <c r="H49" s="53" t="str">
        <f>IF($B49="","No OPEX code",IF(COUNTIF('Opex Tables'!$A$2:$A$133,$B49)=0,"REVIEW: no processed spend",IF(AND(C49=0,D49=0,E49=0,G49&lt;0),"Credit only — DO NOT ENTER",IF(AND(C49=0,D49=0,E49=0,G49=0),"No internal spend","Enter C/D; compare E"))))</f>
        <v>Credit only — DO NOT ENTER</v>
      </c>
      <c r="I49" s="50"/>
      <c r="J49" s="53" t="s">
        <v>1098</v>
      </c>
      <c r="K49" s="53" t="s">
        <v>199</v>
      </c>
      <c r="L49" s="58">
        <f>IF(OR($K49="",$K49="Not needed",FALSE),0,_xlfn.XLOOKUP($K49,'CAPEX Tables'!$A$8:$A$54,'CAPEX Tables'!$B$8:$B$54,0))</f>
        <v>0</v>
      </c>
      <c r="M49" s="58">
        <f>IF(OR($K49="",$K49="Not needed",FALSE),0,SUMIFS('CAPEX CJI3'!$F$2:$F$433,'CAPEX CJI3'!$A$2:$A$433,$K49,'CAPEX CJI3'!$K$2:$K$433,2026,'CAPEX CJI3'!$J$2:$J$433,"*Reclass internal hours*",'CAPEX CJI3'!$N$2:$N$433,"&lt;"&amp;DATE(2026,6,1)))</f>
        <v>0</v>
      </c>
      <c r="N49" s="59">
        <f>IF(OR($K49="",$K49="Not needed",FALSE),0,SUMIFS('CAPEX CJI3'!$F$2:$F$433,'CAPEX CJI3'!$A$2:$A$433,$K49,'CAPEX CJI3'!$K$2:$K$433,2026,'CAPEX CJI3'!$J$2:$J$433,"*Reclass internal hours*",'CAPEX CJI3'!$N$2:$N$433,"&gt;="&amp;DATE(2026,6,1)))</f>
        <v>2700</v>
      </c>
      <c r="O49" s="60">
        <f t="shared" si="1"/>
        <v>2700</v>
      </c>
      <c r="P49" s="55" t="str">
        <f>_xlfn.LET(_xlpm.op,_xlfn.XLOOKUP($J49,'codes match'!$A$2:$A$53,'codes match'!$C$2:$C$53,""),_xlpm.cr,IF(_xlpm.op="",0,SUMIFS('OPEX CJI3'!$F$2:$F$7490,'OPEX CJI3'!$A$2:$A$7490,_xlpm.op&amp;"*",'OPEX CJI3'!$J$2:$J$7490,"*Reclass internal hours*")),IF(_xlpm.op="","No OPEX pair",IF(ABS(_xlpm.cr+O49)&lt;0.01,"MATCH","REVIEW: unmatched €"&amp;TEXT(_xlpm.cr+O49,"#,##0.00"))))</f>
        <v>MATCH</v>
      </c>
      <c r="Q49" s="53" t="str">
        <f>IF(OR($K49="",$K49="Not needed"),"No CAPEX code",IF(COUNTIF('CAPEX Tables'!$A$8:$A$54,$K49)=0,"No processed CAPEX spend",IF(O49=0,"No internal spend","Enter C/D; compare E")))</f>
        <v>Enter C/D; compare E</v>
      </c>
    </row>
    <row r="50" spans="1:17" ht="13" x14ac:dyDescent="0.25">
      <c r="A50" s="53" t="s">
        <v>1099</v>
      </c>
      <c r="B50" s="53" t="s">
        <v>981</v>
      </c>
      <c r="C50" s="58">
        <f>IF($B50="",0,MAX(0,_xlfn.XLOOKUP($B50,'Opex Tables'!$A$2:$A$133,'Opex Tables'!$H$2:$H$133,0)))</f>
        <v>0</v>
      </c>
      <c r="D50" s="58">
        <f>IF($B50="",0,MAX(0,_xlfn.XLOOKUP($B50,'Opex Tables'!$A$2:$A$133,'Opex Tables'!$I$2:$I$133,0)))</f>
        <v>0</v>
      </c>
      <c r="E50" s="59">
        <f>IF($B50="",0,MAX(0,_xlfn.XLOOKUP($B50,'Opex Tables'!$A$2:$A$133,'Opex Tables'!$J$2:$J$133,0)))</f>
        <v>0</v>
      </c>
      <c r="F50" s="60">
        <f t="shared" si="0"/>
        <v>0</v>
      </c>
      <c r="G50" s="61">
        <f>IF($B50="",0,SUMIFS('OPEX CJI3'!$F$2:$F$7490,'OPEX CJI3'!$A$2:$A$7490,$B50&amp;"*",'OPEX CJI3'!$J$2:$J$7490,"*Reclass internal hours*"))</f>
        <v>-12500</v>
      </c>
      <c r="H50" s="53" t="str">
        <f>IF($B50="","No OPEX code",IF(COUNTIF('Opex Tables'!$A$2:$A$133,$B50)=0,"REVIEW: no processed spend",IF(AND(C50=0,D50=0,E50=0,G50&lt;0),"Credit only — DO NOT ENTER",IF(AND(C50=0,D50=0,E50=0,G50=0),"No internal spend","Enter C/D; compare E"))))</f>
        <v>Credit only — DO NOT ENTER</v>
      </c>
      <c r="I50" s="50"/>
      <c r="J50" s="53" t="s">
        <v>1099</v>
      </c>
      <c r="K50" s="53" t="s">
        <v>180</v>
      </c>
      <c r="L50" s="58">
        <f>IF(OR($K50="",$K50="Not needed",FALSE),0,_xlfn.XLOOKUP($K50,'CAPEX Tables'!$A$8:$A$54,'CAPEX Tables'!$B$8:$B$54,0))</f>
        <v>0</v>
      </c>
      <c r="M50" s="58">
        <f>IF(OR($K50="",$K50="Not needed",FALSE),0,SUMIFS('CAPEX CJI3'!$F$2:$F$433,'CAPEX CJI3'!$A$2:$A$433,$K50,'CAPEX CJI3'!$K$2:$K$433,2026,'CAPEX CJI3'!$J$2:$J$433,"*Reclass internal hours*",'CAPEX CJI3'!$N$2:$N$433,"&lt;"&amp;DATE(2026,6,1)))</f>
        <v>0</v>
      </c>
      <c r="N50" s="59">
        <f>IF(OR($K50="",$K50="Not needed",FALSE),0,SUMIFS('CAPEX CJI3'!$F$2:$F$433,'CAPEX CJI3'!$A$2:$A$433,$K50,'CAPEX CJI3'!$K$2:$K$433,2026,'CAPEX CJI3'!$J$2:$J$433,"*Reclass internal hours*",'CAPEX CJI3'!$N$2:$N$433,"&gt;="&amp;DATE(2026,6,1)))</f>
        <v>12500</v>
      </c>
      <c r="O50" s="60">
        <f t="shared" si="1"/>
        <v>12500</v>
      </c>
      <c r="P50" s="55" t="str">
        <f>_xlfn.LET(_xlpm.op,_xlfn.XLOOKUP($J50,'codes match'!$A$2:$A$53,'codes match'!$C$2:$C$53,""),_xlpm.cr,IF(_xlpm.op="",0,SUMIFS('OPEX CJI3'!$F$2:$F$7490,'OPEX CJI3'!$A$2:$A$7490,_xlpm.op&amp;"*",'OPEX CJI3'!$J$2:$J$7490,"*Reclass internal hours*")),IF(_xlpm.op="","No OPEX pair",IF(ABS(_xlpm.cr+O50)&lt;0.01,"MATCH","REVIEW: unmatched €"&amp;TEXT(_xlpm.cr+O50,"#,##0.00"))))</f>
        <v>MATCH</v>
      </c>
      <c r="Q50" s="53" t="str">
        <f>IF(OR($K50="",$K50="Not needed"),"No CAPEX code",IF(COUNTIF('CAPEX Tables'!$A$8:$A$54,$K50)=0,"No processed CAPEX spend",IF(O50=0,"No internal spend","Enter C/D; compare E")))</f>
        <v>Enter C/D; compare E</v>
      </c>
    </row>
    <row r="51" spans="1:17" ht="13" x14ac:dyDescent="0.25">
      <c r="A51" s="53" t="s">
        <v>1100</v>
      </c>
      <c r="B51" s="53" t="s">
        <v>1006</v>
      </c>
      <c r="C51" s="58">
        <f>IF($B51="",0,MAX(0,_xlfn.XLOOKUP($B51,'Opex Tables'!$A$2:$A$133,'Opex Tables'!$H$2:$H$133,0)))</f>
        <v>0</v>
      </c>
      <c r="D51" s="58">
        <f>IF($B51="",0,MAX(0,_xlfn.XLOOKUP($B51,'Opex Tables'!$A$2:$A$133,'Opex Tables'!$I$2:$I$133,0)))</f>
        <v>0</v>
      </c>
      <c r="E51" s="59">
        <f>IF($B51="",0,MAX(0,_xlfn.XLOOKUP($B51,'Opex Tables'!$A$2:$A$133,'Opex Tables'!$J$2:$J$133,0)))</f>
        <v>0</v>
      </c>
      <c r="F51" s="60">
        <f t="shared" si="0"/>
        <v>0</v>
      </c>
      <c r="G51" s="61">
        <f>IF($B51="",0,SUMIFS('OPEX CJI3'!$F$2:$F$7490,'OPEX CJI3'!$A$2:$A$7490,$B51&amp;"*",'OPEX CJI3'!$J$2:$J$7490,"*Reclass internal hours*"))</f>
        <v>-42705</v>
      </c>
      <c r="H51" s="53" t="str">
        <f>IF($B51="","No OPEX code",IF(COUNTIF('Opex Tables'!$A$2:$A$133,$B51)=0,"REVIEW: no processed spend",IF(AND(C51=0,D51=0,E51=0,G51&lt;0),"Credit only — DO NOT ENTER",IF(AND(C51=0,D51=0,E51=0,G51=0),"No internal spend","Enter C/D; compare E"))))</f>
        <v>Credit only — DO NOT ENTER</v>
      </c>
      <c r="I51" s="50"/>
      <c r="J51" s="53" t="s">
        <v>1100</v>
      </c>
      <c r="K51" s="53" t="s">
        <v>158</v>
      </c>
      <c r="L51" s="58">
        <f>IF(OR($K51="",$K51="Not needed",FALSE),0,_xlfn.XLOOKUP($K51,'CAPEX Tables'!$A$8:$A$54,'CAPEX Tables'!$B$8:$B$54,0))</f>
        <v>0</v>
      </c>
      <c r="M51" s="58">
        <f>IF(OR($K51="",$K51="Not needed",FALSE),0,SUMIFS('CAPEX CJI3'!$F$2:$F$433,'CAPEX CJI3'!$A$2:$A$433,$K51,'CAPEX CJI3'!$K$2:$K$433,2026,'CAPEX CJI3'!$J$2:$J$433,"*Reclass internal hours*",'CAPEX CJI3'!$N$2:$N$433,"&lt;"&amp;DATE(2026,6,1)))</f>
        <v>4815</v>
      </c>
      <c r="N51" s="59">
        <f>IF(OR($K51="",$K51="Not needed",FALSE),0,SUMIFS('CAPEX CJI3'!$F$2:$F$433,'CAPEX CJI3'!$A$2:$A$433,$K51,'CAPEX CJI3'!$K$2:$K$433,2026,'CAPEX CJI3'!$J$2:$J$433,"*Reclass internal hours*",'CAPEX CJI3'!$N$2:$N$433,"&gt;="&amp;DATE(2026,6,1)))</f>
        <v>37890</v>
      </c>
      <c r="O51" s="60">
        <f t="shared" si="1"/>
        <v>42705</v>
      </c>
      <c r="P51" s="55" t="str">
        <f>_xlfn.LET(_xlpm.op,_xlfn.XLOOKUP($J51,'codes match'!$A$2:$A$53,'codes match'!$C$2:$C$53,""),_xlpm.cr,IF(_xlpm.op="",0,SUMIFS('OPEX CJI3'!$F$2:$F$7490,'OPEX CJI3'!$A$2:$A$7490,_xlpm.op&amp;"*",'OPEX CJI3'!$J$2:$J$7490,"*Reclass internal hours*")),IF(_xlpm.op="","No OPEX pair",IF(ABS(_xlpm.cr+O51)&lt;0.01,"MATCH","REVIEW: unmatched €"&amp;TEXT(_xlpm.cr+O51,"#,##0.00"))))</f>
        <v>MATCH</v>
      </c>
      <c r="Q51" s="53" t="str">
        <f>IF(OR($K51="",$K51="Not needed"),"No CAPEX code",IF(COUNTIF('CAPEX Tables'!$A$8:$A$54,$K51)=0,"No processed CAPEX spend",IF(O51=0,"No internal spend","Enter C/D; compare E")))</f>
        <v>Enter C/D; compare E</v>
      </c>
    </row>
    <row r="52" spans="1:17" ht="13" x14ac:dyDescent="0.25">
      <c r="A52" s="53" t="s">
        <v>1101</v>
      </c>
      <c r="B52" s="53" t="s">
        <v>980</v>
      </c>
      <c r="C52" s="58">
        <f>IF($B52="",0,MAX(0,_xlfn.XLOOKUP($B52,'Opex Tables'!$A$2:$A$133,'Opex Tables'!$H$2:$H$133,0)))</f>
        <v>0</v>
      </c>
      <c r="D52" s="58">
        <f>IF($B52="",0,MAX(0,_xlfn.XLOOKUP($B52,'Opex Tables'!$A$2:$A$133,'Opex Tables'!$I$2:$I$133,0)))</f>
        <v>0</v>
      </c>
      <c r="E52" s="59">
        <f>IF($B52="",0,MAX(0,_xlfn.XLOOKUP($B52,'Opex Tables'!$A$2:$A$133,'Opex Tables'!$J$2:$J$133,0)))</f>
        <v>0</v>
      </c>
      <c r="F52" s="60">
        <f t="shared" si="0"/>
        <v>0</v>
      </c>
      <c r="G52" s="61">
        <f>IF($B52="",0,SUMIFS('OPEX CJI3'!$F$2:$F$7490,'OPEX CJI3'!$A$2:$A$7490,$B52&amp;"*",'OPEX CJI3'!$J$2:$J$7490,"*Reclass internal hours*"))</f>
        <v>-2300</v>
      </c>
      <c r="H52" s="53" t="str">
        <f>IF($B52="","No OPEX code",IF(COUNTIF('Opex Tables'!$A$2:$A$133,$B52)=0,"REVIEW: no processed spend",IF(AND(C52=0,D52=0,E52=0,G52&lt;0),"Credit only — DO NOT ENTER",IF(AND(C52=0,D52=0,E52=0,G52=0),"No internal spend","Enter C/D; compare E"))))</f>
        <v>Credit only — DO NOT ENTER</v>
      </c>
      <c r="I52" s="50"/>
      <c r="J52" s="53" t="s">
        <v>1101</v>
      </c>
      <c r="K52" s="53" t="s">
        <v>189</v>
      </c>
      <c r="L52" s="58">
        <f>IF(OR($K52="",$K52="Not needed",FALSE),0,_xlfn.XLOOKUP($K52,'CAPEX Tables'!$A$8:$A$54,'CAPEX Tables'!$B$8:$B$54,0))</f>
        <v>0</v>
      </c>
      <c r="M52" s="58">
        <f>IF(OR($K52="",$K52="Not needed",FALSE),0,SUMIFS('CAPEX CJI3'!$F$2:$F$433,'CAPEX CJI3'!$A$2:$A$433,$K52,'CAPEX CJI3'!$K$2:$K$433,2026,'CAPEX CJI3'!$J$2:$J$433,"*Reclass internal hours*",'CAPEX CJI3'!$N$2:$N$433,"&lt;"&amp;DATE(2026,6,1)))</f>
        <v>0</v>
      </c>
      <c r="N52" s="59">
        <f>IF(OR($K52="",$K52="Not needed",FALSE),0,SUMIFS('CAPEX CJI3'!$F$2:$F$433,'CAPEX CJI3'!$A$2:$A$433,$K52,'CAPEX CJI3'!$K$2:$K$433,2026,'CAPEX CJI3'!$J$2:$J$433,"*Reclass internal hours*",'CAPEX CJI3'!$N$2:$N$433,"&gt;="&amp;DATE(2026,6,1)))</f>
        <v>2300</v>
      </c>
      <c r="O52" s="60">
        <f t="shared" si="1"/>
        <v>2300</v>
      </c>
      <c r="P52" s="55" t="str">
        <f>_xlfn.LET(_xlpm.op,_xlfn.XLOOKUP($J52,'codes match'!$A$2:$A$53,'codes match'!$C$2:$C$53,""),_xlpm.cr,IF(_xlpm.op="",0,SUMIFS('OPEX CJI3'!$F$2:$F$7490,'OPEX CJI3'!$A$2:$A$7490,_xlpm.op&amp;"*",'OPEX CJI3'!$J$2:$J$7490,"*Reclass internal hours*")),IF(_xlpm.op="","No OPEX pair",IF(ABS(_xlpm.cr+O52)&lt;0.01,"MATCH","REVIEW: unmatched €"&amp;TEXT(_xlpm.cr+O52,"#,##0.00"))))</f>
        <v>MATCH</v>
      </c>
      <c r="Q52" s="53" t="str">
        <f>IF(OR($K52="",$K52="Not needed"),"No CAPEX code",IF(COUNTIF('CAPEX Tables'!$A$8:$A$54,$K52)=0,"No processed CAPEX spend",IF(O52=0,"No internal spend","Enter C/D; compare E")))</f>
        <v>Enter C/D; compare E</v>
      </c>
    </row>
    <row r="53" spans="1:17" ht="13" x14ac:dyDescent="0.25">
      <c r="A53" s="53" t="s">
        <v>1102</v>
      </c>
      <c r="B53" s="53" t="s">
        <v>949</v>
      </c>
      <c r="C53" s="58">
        <f>IF($B53="",0,MAX(0,_xlfn.XLOOKUP($B53,'Opex Tables'!$A$2:$A$133,'Opex Tables'!$H$2:$H$133,0)))</f>
        <v>0</v>
      </c>
      <c r="D53" s="58">
        <f>IF($B53="",0,MAX(0,_xlfn.XLOOKUP($B53,'Opex Tables'!$A$2:$A$133,'Opex Tables'!$I$2:$I$133,0)))</f>
        <v>4000</v>
      </c>
      <c r="E53" s="59">
        <f>IF($B53="",0,MAX(0,_xlfn.XLOOKUP($B53,'Opex Tables'!$A$2:$A$133,'Opex Tables'!$J$2:$J$133,0)))</f>
        <v>7400</v>
      </c>
      <c r="F53" s="60">
        <f t="shared" si="0"/>
        <v>11400</v>
      </c>
      <c r="G53" s="61">
        <f>IF($B53="",0,SUMIFS('OPEX CJI3'!$F$2:$F$7490,'OPEX CJI3'!$A$2:$A$7490,$B53&amp;"*",'OPEX CJI3'!$J$2:$J$7490,"*Reclass internal hours*"))</f>
        <v>0</v>
      </c>
      <c r="H53" s="53" t="str">
        <f>IF($B53="","No OPEX code",IF(COUNTIF('Opex Tables'!$A$2:$A$133,$B53)=0,"REVIEW: no processed spend",IF(AND(C53=0,D53=0,E53=0,G53&lt;0),"Credit only — DO NOT ENTER",IF(AND(C53=0,D53=0,E53=0,G53=0),"No internal spend","Enter C/D; compare E"))))</f>
        <v>Enter C/D; compare E</v>
      </c>
      <c r="I53" s="50"/>
      <c r="J53" s="53" t="s">
        <v>1102</v>
      </c>
      <c r="K53" s="53" t="s">
        <v>1103</v>
      </c>
      <c r="L53" s="58">
        <f>IF(OR($K53="",$K53="Not needed",FALSE),0,_xlfn.XLOOKUP($K53,'CAPEX Tables'!$A$8:$A$54,'CAPEX Tables'!$B$8:$B$54,0))</f>
        <v>0</v>
      </c>
      <c r="M53" s="58">
        <f>IF(OR($K53="",$K53="Not needed",FALSE),0,SUMIFS('CAPEX CJI3'!$F$2:$F$433,'CAPEX CJI3'!$A$2:$A$433,$K53,'CAPEX CJI3'!$K$2:$K$433,2026,'CAPEX CJI3'!$J$2:$J$433,"*Reclass internal hours*",'CAPEX CJI3'!$N$2:$N$433,"&lt;"&amp;DATE(2026,6,1)))</f>
        <v>0</v>
      </c>
      <c r="N53" s="59">
        <f>IF(OR($K53="",$K53="Not needed",FALSE),0,SUMIFS('CAPEX CJI3'!$F$2:$F$433,'CAPEX CJI3'!$A$2:$A$433,$K53,'CAPEX CJI3'!$K$2:$K$433,2026,'CAPEX CJI3'!$J$2:$J$433,"*Reclass internal hours*",'CAPEX CJI3'!$N$2:$N$433,"&gt;="&amp;DATE(2026,6,1)))</f>
        <v>0</v>
      </c>
      <c r="O53" s="60">
        <f t="shared" si="1"/>
        <v>0</v>
      </c>
      <c r="P53" s="55" t="str">
        <f>_xlfn.LET(_xlpm.op,_xlfn.XLOOKUP($J53,'codes match'!$A$2:$A$53,'codes match'!$C$2:$C$53,""),_xlpm.cr,IF(_xlpm.op="",0,SUMIFS('OPEX CJI3'!$F$2:$F$7490,'OPEX CJI3'!$A$2:$A$7490,_xlpm.op&amp;"*",'OPEX CJI3'!$J$2:$J$7490,"*Reclass internal hours*")),IF(_xlpm.op="","No OPEX pair",IF(ABS(_xlpm.cr+O53)&lt;0.01,"MATCH","REVIEW: unmatched €"&amp;TEXT(_xlpm.cr+O53,"#,##0.00"))))</f>
        <v>MATCH</v>
      </c>
      <c r="Q53" s="53" t="str">
        <f>IF(OR($K53="",$K53="Not needed"),"No CAPEX code",IF(COUNTIF('CAPEX Tables'!$A$8:$A$54,$K53)=0,"No processed CAPEX spend",IF(O53=0,"No internal spend","Enter C/D; compare E")))</f>
        <v>No processed CAPEX spend</v>
      </c>
    </row>
    <row r="54" spans="1:17" ht="13" x14ac:dyDescent="0.25">
      <c r="A54" s="53" t="s">
        <v>1104</v>
      </c>
      <c r="B54" s="53" t="s">
        <v>979</v>
      </c>
      <c r="C54" s="58">
        <f>IF($B54="",0,MAX(0,_xlfn.XLOOKUP($B54,'Opex Tables'!$A$2:$A$133,'Opex Tables'!$H$2:$H$133,0)))</f>
        <v>0</v>
      </c>
      <c r="D54" s="58">
        <f>IF($B54="",0,MAX(0,_xlfn.XLOOKUP($B54,'Opex Tables'!$A$2:$A$133,'Opex Tables'!$I$2:$I$133,0)))</f>
        <v>0</v>
      </c>
      <c r="E54" s="59">
        <f>IF($B54="",0,MAX(0,_xlfn.XLOOKUP($B54,'Opex Tables'!$A$2:$A$133,'Opex Tables'!$J$2:$J$133,0)))</f>
        <v>1100</v>
      </c>
      <c r="F54" s="60">
        <f t="shared" si="0"/>
        <v>1100</v>
      </c>
      <c r="G54" s="61">
        <f>IF($B54="",0,SUMIFS('OPEX CJI3'!$F$2:$F$7490,'OPEX CJI3'!$A$2:$A$7490,$B54&amp;"*",'OPEX CJI3'!$J$2:$J$7490,"*Reclass internal hours*"))</f>
        <v>0</v>
      </c>
      <c r="H54" s="53" t="str">
        <f>IF($B54="","No OPEX code",IF(COUNTIF('Opex Tables'!$A$2:$A$133,$B54)=0,"REVIEW: no processed spend",IF(AND(C54=0,D54=0,E54=0,G54&lt;0),"Credit only — DO NOT ENTER",IF(AND(C54=0,D54=0,E54=0,G54=0),"No internal spend","Enter C/D; compare E"))))</f>
        <v>Enter C/D; compare E</v>
      </c>
      <c r="I54" s="50"/>
      <c r="J54" s="53" t="s">
        <v>1104</v>
      </c>
      <c r="K54" s="53" t="s">
        <v>190</v>
      </c>
      <c r="L54" s="58">
        <f>IF(OR($K54="",$K54="Not needed",FALSE),0,_xlfn.XLOOKUP($K54,'CAPEX Tables'!$A$8:$A$54,'CAPEX Tables'!$B$8:$B$54,0))</f>
        <v>0</v>
      </c>
      <c r="M54" s="58">
        <f>IF(OR($K54="",$K54="Not needed",FALSE),0,SUMIFS('CAPEX CJI3'!$F$2:$F$433,'CAPEX CJI3'!$A$2:$A$433,$K54,'CAPEX CJI3'!$K$2:$K$433,2026,'CAPEX CJI3'!$J$2:$J$433,"*Reclass internal hours*",'CAPEX CJI3'!$N$2:$N$433,"&lt;"&amp;DATE(2026,6,1)))</f>
        <v>0</v>
      </c>
      <c r="N54" s="59">
        <f>IF(OR($K54="",$K54="Not needed",FALSE),0,SUMIFS('CAPEX CJI3'!$F$2:$F$433,'CAPEX CJI3'!$A$2:$A$433,$K54,'CAPEX CJI3'!$K$2:$K$433,2026,'CAPEX CJI3'!$J$2:$J$433,"*Reclass internal hours*",'CAPEX CJI3'!$N$2:$N$433,"&gt;="&amp;DATE(2026,6,1)))</f>
        <v>0</v>
      </c>
      <c r="O54" s="60">
        <f t="shared" si="1"/>
        <v>0</v>
      </c>
      <c r="P54" s="55" t="str">
        <f>_xlfn.LET(_xlpm.op,_xlfn.XLOOKUP($J54,'codes match'!$A$2:$A$53,'codes match'!$C$2:$C$53,""),_xlpm.cr,IF(_xlpm.op="",0,SUMIFS('OPEX CJI3'!$F$2:$F$7490,'OPEX CJI3'!$A$2:$A$7490,_xlpm.op&amp;"*",'OPEX CJI3'!$J$2:$J$7490,"*Reclass internal hours*")),IF(_xlpm.op="","No OPEX pair",IF(ABS(_xlpm.cr+O54)&lt;0.01,"MATCH","REVIEW: unmatched €"&amp;TEXT(_xlpm.cr+O54,"#,##0.00"))))</f>
        <v>MATCH</v>
      </c>
      <c r="Q54" s="53" t="str">
        <f>IF(OR($K54="",$K54="Not needed"),"No CAPEX code",IF(COUNTIF('CAPEX Tables'!$A$8:$A$54,$K54)=0,"No processed CAPEX spend",IF(O54=0,"No internal spend","Enter C/D; compare E")))</f>
        <v>No internal spend</v>
      </c>
    </row>
    <row r="55" spans="1:17" ht="13" x14ac:dyDescent="0.25">
      <c r="A55" s="53" t="s">
        <v>1105</v>
      </c>
      <c r="B55" s="53" t="s">
        <v>973</v>
      </c>
      <c r="C55" s="58">
        <f>IF($B55="",0,MAX(0,_xlfn.XLOOKUP($B55,'Opex Tables'!$A$2:$A$133,'Opex Tables'!$H$2:$H$133,0)))</f>
        <v>0</v>
      </c>
      <c r="D55" s="58">
        <f>IF($B55="",0,MAX(0,_xlfn.XLOOKUP($B55,'Opex Tables'!$A$2:$A$133,'Opex Tables'!$I$2:$I$133,0)))</f>
        <v>0</v>
      </c>
      <c r="E55" s="59">
        <f>IF($B55="",0,MAX(0,_xlfn.XLOOKUP($B55,'Opex Tables'!$A$2:$A$133,'Opex Tables'!$J$2:$J$133,0)))</f>
        <v>0</v>
      </c>
      <c r="F55" s="60">
        <f t="shared" si="0"/>
        <v>0</v>
      </c>
      <c r="G55" s="61">
        <f>IF($B55="",0,SUMIFS('OPEX CJI3'!$F$2:$F$7490,'OPEX CJI3'!$A$2:$A$7490,$B55&amp;"*",'OPEX CJI3'!$J$2:$J$7490,"*Reclass internal hours*"))</f>
        <v>-18165</v>
      </c>
      <c r="H55" s="53" t="str">
        <f>IF($B55="","No OPEX code",IF(COUNTIF('Opex Tables'!$A$2:$A$133,$B55)=0,"REVIEW: no processed spend",IF(AND(C55=0,D55=0,E55=0,G55&lt;0),"Credit only — DO NOT ENTER",IF(AND(C55=0,D55=0,E55=0,G55=0),"No internal spend","Enter C/D; compare E"))))</f>
        <v>Credit only — DO NOT ENTER</v>
      </c>
      <c r="I55" s="50"/>
      <c r="J55" s="53" t="s">
        <v>1105</v>
      </c>
      <c r="K55" s="53" t="s">
        <v>187</v>
      </c>
      <c r="L55" s="58">
        <f>IF(OR($K55="",$K55="Not needed",FALSE),0,_xlfn.XLOOKUP($K55,'CAPEX Tables'!$A$8:$A$54,'CAPEX Tables'!$B$8:$B$54,0))</f>
        <v>0</v>
      </c>
      <c r="M55" s="58">
        <f>IF(OR($K55="",$K55="Not needed",FALSE),0,SUMIFS('CAPEX CJI3'!$F$2:$F$433,'CAPEX CJI3'!$A$2:$A$433,$K55,'CAPEX CJI3'!$K$2:$K$433,2026,'CAPEX CJI3'!$J$2:$J$433,"*Reclass internal hours*",'CAPEX CJI3'!$N$2:$N$433,"&lt;"&amp;DATE(2026,6,1)))</f>
        <v>0</v>
      </c>
      <c r="N55" s="59">
        <f>IF(OR($K55="",$K55="Not needed",FALSE),0,SUMIFS('CAPEX CJI3'!$F$2:$F$433,'CAPEX CJI3'!$A$2:$A$433,$K55,'CAPEX CJI3'!$K$2:$K$433,2026,'CAPEX CJI3'!$J$2:$J$433,"*Reclass internal hours*",'CAPEX CJI3'!$N$2:$N$433,"&gt;="&amp;DATE(2026,6,1)))</f>
        <v>18165</v>
      </c>
      <c r="O55" s="60">
        <f t="shared" si="1"/>
        <v>18165</v>
      </c>
      <c r="P55" s="55" t="str">
        <f>_xlfn.LET(_xlpm.op,_xlfn.XLOOKUP($J55,'codes match'!$A$2:$A$53,'codes match'!$C$2:$C$53,""),_xlpm.cr,IF(_xlpm.op="",0,SUMIFS('OPEX CJI3'!$F$2:$F$7490,'OPEX CJI3'!$A$2:$A$7490,_xlpm.op&amp;"*",'OPEX CJI3'!$J$2:$J$7490,"*Reclass internal hours*")),IF(_xlpm.op="","No OPEX pair",IF(ABS(_xlpm.cr+O55)&lt;0.01,"MATCH","REVIEW: unmatched €"&amp;TEXT(_xlpm.cr+O55,"#,##0.00"))))</f>
        <v>MATCH</v>
      </c>
      <c r="Q55" s="53" t="str">
        <f>IF(OR($K55="",$K55="Not needed"),"No CAPEX code",IF(COUNTIF('CAPEX Tables'!$A$8:$A$54,$K55)=0,"No processed CAPEX spend",IF(O55=0,"No internal spend","Enter C/D; compare E")))</f>
        <v>Enter C/D; compare E</v>
      </c>
    </row>
    <row r="56" spans="1:17" ht="26" x14ac:dyDescent="0.25">
      <c r="A56" s="53" t="s">
        <v>1106</v>
      </c>
      <c r="B56" s="53" t="s">
        <v>887</v>
      </c>
      <c r="C56" s="58">
        <f>IF($B56="",0,MAX(0,_xlfn.XLOOKUP($B56,'Opex Tables'!$A$2:$A$133,'Opex Tables'!$H$2:$H$133,0)))</f>
        <v>50800</v>
      </c>
      <c r="D56" s="58">
        <f>IF($B56="",0,MAX(0,_xlfn.XLOOKUP($B56,'Opex Tables'!$A$2:$A$133,'Opex Tables'!$I$2:$I$133,0)))</f>
        <v>0</v>
      </c>
      <c r="E56" s="59">
        <f>IF($B56="",0,MAX(0,_xlfn.XLOOKUP($B56,'Opex Tables'!$A$2:$A$133,'Opex Tables'!$J$2:$J$133,0)))</f>
        <v>10799.440000000002</v>
      </c>
      <c r="F56" s="60">
        <f t="shared" si="0"/>
        <v>61599.44</v>
      </c>
      <c r="G56" s="61">
        <f>IF($B56="",0,SUMIFS('OPEX CJI3'!$F$2:$F$7490,'OPEX CJI3'!$A$2:$A$7490,$B56&amp;"*",'OPEX CJI3'!$J$2:$J$7490,"*Reclass internal hours*"))</f>
        <v>-238800.56</v>
      </c>
      <c r="H56" s="53" t="str">
        <f>IF($B56="","No OPEX code",IF(COUNTIF('Opex Tables'!$A$2:$A$133,$B56)=0,"REVIEW: no processed spend",IF(AND(C56=0,D56=0,E56=0,G56&lt;0),"Credit only — DO NOT ENTER",IF(AND(C56=0,D56=0,E56=0,G56=0),"No internal spend","Enter C/D; compare E"))))</f>
        <v>Enter C/D; compare E</v>
      </c>
      <c r="I56" s="50"/>
      <c r="J56" s="53" t="s">
        <v>1106</v>
      </c>
      <c r="K56" s="53" t="s">
        <v>146</v>
      </c>
      <c r="L56" s="58">
        <f>IF(OR($K56="",$K56="Not needed",FALSE),0,_xlfn.XLOOKUP($K56,'CAPEX Tables'!$A$8:$A$54,'CAPEX Tables'!$B$8:$B$54,0))</f>
        <v>0</v>
      </c>
      <c r="M56" s="58">
        <f>IF(OR($K56="",$K56="Not needed",FALSE),0,SUMIFS('CAPEX CJI3'!$F$2:$F$433,'CAPEX CJI3'!$A$2:$A$433,$K56,'CAPEX CJI3'!$K$2:$K$433,2026,'CAPEX CJI3'!$J$2:$J$433,"*Reclass internal hours*",'CAPEX CJI3'!$N$2:$N$433,"&lt;"&amp;DATE(2026,6,1)))</f>
        <v>45850</v>
      </c>
      <c r="N56" s="59">
        <f>IF(OR($K56="",$K56="Not needed",FALSE),0,SUMIFS('CAPEX CJI3'!$F$2:$F$433,'CAPEX CJI3'!$A$2:$A$433,$K56,'CAPEX CJI3'!$K$2:$K$433,2026,'CAPEX CJI3'!$J$2:$J$433,"*Reclass internal hours*",'CAPEX CJI3'!$N$2:$N$433,"&gt;="&amp;DATE(2026,6,1)))</f>
        <v>7450.56</v>
      </c>
      <c r="O56" s="60">
        <f t="shared" si="1"/>
        <v>53300.56</v>
      </c>
      <c r="P56" s="55" t="str">
        <f>_xlfn.LET(_xlpm.op,_xlfn.XLOOKUP($J56,'codes match'!$A$2:$A$53,'codes match'!$C$2:$C$53,""),_xlpm.cr,IF(_xlpm.op="",0,SUMIFS('OPEX CJI3'!$F$2:$F$7490,'OPEX CJI3'!$A$2:$A$7490,_xlpm.op&amp;"*",'OPEX CJI3'!$J$2:$J$7490,"*Reclass internal hours*")),IF(_xlpm.op="","No OPEX pair",IF(ABS(_xlpm.cr+O56)&lt;0.01,"MATCH","REVIEW: unmatched €"&amp;TEXT(_xlpm.cr+O56,"#,##0.00"))))</f>
        <v>REVIEW: unmatched €-185,500.00</v>
      </c>
      <c r="Q56" s="53" t="str">
        <f>IF(OR($K56="",$K56="Not needed"),"No CAPEX code",IF(COUNTIF('CAPEX Tables'!$A$8:$A$54,$K56)=0,"No processed CAPEX spend",IF(O56=0,"No internal spend","Enter C/D; compare E")))</f>
        <v>Enter C/D; compare E</v>
      </c>
    </row>
    <row r="57" spans="1:17" ht="13" x14ac:dyDescent="0.25">
      <c r="A57" s="53" t="s">
        <v>1107</v>
      </c>
      <c r="B57" s="53"/>
      <c r="C57" s="58">
        <f>IF($B57="",0,MAX(0,_xlfn.XLOOKUP($B57,'Opex Tables'!$A$2:$A$133,'Opex Tables'!$H$2:$H$133,0)))</f>
        <v>0</v>
      </c>
      <c r="D57" s="58">
        <f>IF($B57="",0,MAX(0,_xlfn.XLOOKUP($B57,'Opex Tables'!$A$2:$A$133,'Opex Tables'!$I$2:$I$133,0)))</f>
        <v>0</v>
      </c>
      <c r="E57" s="59">
        <f>IF($B57="",0,MAX(0,_xlfn.XLOOKUP($B57,'Opex Tables'!$A$2:$A$133,'Opex Tables'!$J$2:$J$133,0)))</f>
        <v>0</v>
      </c>
      <c r="F57" s="60">
        <f t="shared" si="0"/>
        <v>0</v>
      </c>
      <c r="G57" s="61">
        <f>IF($B57="",0,SUMIFS('OPEX CJI3'!$F$2:$F$7490,'OPEX CJI3'!$A$2:$A$7490,$B57&amp;"*",'OPEX CJI3'!$J$2:$J$7490,"*Reclass internal hours*"))</f>
        <v>0</v>
      </c>
      <c r="H57" s="53" t="str">
        <f>IF($B57="","No OPEX code",IF(COUNTIF('Opex Tables'!$A$2:$A$133,$B57)=0,"REVIEW: no processed spend",IF(AND(C57=0,D57=0,E57=0,G57&lt;0),"Credit only — DO NOT ENTER",IF(AND(C57=0,D57=0,E57=0,G57=0),"No internal spend","Enter C/D; compare E"))))</f>
        <v>No OPEX code</v>
      </c>
      <c r="I57" s="50"/>
      <c r="J57" s="53" t="s">
        <v>1107</v>
      </c>
      <c r="K57" s="53" t="s">
        <v>159</v>
      </c>
      <c r="L57" s="58">
        <f>IF(OR($K57="",$K57="Not needed",FALSE),0,_xlfn.XLOOKUP($K57,'CAPEX Tables'!$A$8:$A$54,'CAPEX Tables'!$B$8:$B$54,0))</f>
        <v>0</v>
      </c>
      <c r="M57" s="58">
        <f>IF(OR($K57="",$K57="Not needed",FALSE),0,SUMIFS('CAPEX CJI3'!$F$2:$F$433,'CAPEX CJI3'!$A$2:$A$433,$K57,'CAPEX CJI3'!$K$2:$K$433,2026,'CAPEX CJI3'!$J$2:$J$433,"*Reclass internal hours*",'CAPEX CJI3'!$N$2:$N$433,"&lt;"&amp;DATE(2026,6,1)))</f>
        <v>0</v>
      </c>
      <c r="N57" s="59">
        <f>IF(OR($K57="",$K57="Not needed",FALSE),0,SUMIFS('CAPEX CJI3'!$F$2:$F$433,'CAPEX CJI3'!$A$2:$A$433,$K57,'CAPEX CJI3'!$K$2:$K$433,2026,'CAPEX CJI3'!$J$2:$J$433,"*Reclass internal hours*",'CAPEX CJI3'!$N$2:$N$433,"&gt;="&amp;DATE(2026,6,1)))</f>
        <v>0</v>
      </c>
      <c r="O57" s="60">
        <f t="shared" si="1"/>
        <v>0</v>
      </c>
      <c r="P57" s="55" t="str">
        <f>_xlfn.LET(_xlpm.op,_xlfn.XLOOKUP($J57,'codes match'!$A$2:$A$53,'codes match'!$C$2:$C$53,""),_xlpm.cr,IF(_xlpm.op="",0,SUMIFS('OPEX CJI3'!$F$2:$F$7490,'OPEX CJI3'!$A$2:$A$7490,_xlpm.op&amp;"*",'OPEX CJI3'!$J$2:$J$7490,"*Reclass internal hours*")),IF(_xlpm.op="","No OPEX pair",IF(ABS(_xlpm.cr+O57)&lt;0.01,"MATCH","REVIEW: unmatched €"&amp;TEXT(_xlpm.cr+O57,"#,##0.00"))))</f>
        <v>No OPEX pair</v>
      </c>
      <c r="Q57" s="53" t="str">
        <f>IF(OR($K57="",$K57="Not needed"),"No CAPEX code",IF(COUNTIF('CAPEX Tables'!$A$8:$A$54,$K57)=0,"No processed CAPEX spend",IF(O57=0,"No internal spend","Enter C/D; compare E")))</f>
        <v>No internal spend</v>
      </c>
    </row>
    <row r="58" spans="1:17" ht="13" x14ac:dyDescent="0.25">
      <c r="A58" s="53" t="s">
        <v>1108</v>
      </c>
      <c r="B58" s="53"/>
      <c r="C58" s="58">
        <f>IF($B58="",0,MAX(0,_xlfn.XLOOKUP($B58,'Opex Tables'!$A$2:$A$133,'Opex Tables'!$H$2:$H$133,0)))</f>
        <v>0</v>
      </c>
      <c r="D58" s="58">
        <f>IF($B58="",0,MAX(0,_xlfn.XLOOKUP($B58,'Opex Tables'!$A$2:$A$133,'Opex Tables'!$I$2:$I$133,0)))</f>
        <v>0</v>
      </c>
      <c r="E58" s="59">
        <f>IF($B58="",0,MAX(0,_xlfn.XLOOKUP($B58,'Opex Tables'!$A$2:$A$133,'Opex Tables'!$J$2:$J$133,0)))</f>
        <v>0</v>
      </c>
      <c r="F58" s="60">
        <f t="shared" si="0"/>
        <v>0</v>
      </c>
      <c r="G58" s="61">
        <f>IF($B58="",0,SUMIFS('OPEX CJI3'!$F$2:$F$7490,'OPEX CJI3'!$A$2:$A$7490,$B58&amp;"*",'OPEX CJI3'!$J$2:$J$7490,"*Reclass internal hours*"))</f>
        <v>0</v>
      </c>
      <c r="H58" s="53" t="str">
        <f>IF($B58="","No OPEX code",IF(COUNTIF('Opex Tables'!$A$2:$A$133,$B58)=0,"REVIEW: no processed spend",IF(AND(C58=0,D58=0,E58=0,G58&lt;0),"Credit only — DO NOT ENTER",IF(AND(C58=0,D58=0,E58=0,G58=0),"No internal spend","Enter C/D; compare E"))))</f>
        <v>No OPEX code</v>
      </c>
      <c r="I58" s="50"/>
      <c r="J58" s="53" t="s">
        <v>1108</v>
      </c>
      <c r="K58" s="53" t="s">
        <v>162</v>
      </c>
      <c r="L58" s="58">
        <f>IF(OR($K58="",$K58="Not needed",FALSE),0,_xlfn.XLOOKUP($K58,'CAPEX Tables'!$A$8:$A$54,'CAPEX Tables'!$B$8:$B$54,0))</f>
        <v>0</v>
      </c>
      <c r="M58" s="58">
        <f>IF(OR($K58="",$K58="Not needed",FALSE),0,SUMIFS('CAPEX CJI3'!$F$2:$F$433,'CAPEX CJI3'!$A$2:$A$433,$K58,'CAPEX CJI3'!$K$2:$K$433,2026,'CAPEX CJI3'!$J$2:$J$433,"*Reclass internal hours*",'CAPEX CJI3'!$N$2:$N$433,"&lt;"&amp;DATE(2026,6,1)))</f>
        <v>0</v>
      </c>
      <c r="N58" s="59">
        <f>IF(OR($K58="",$K58="Not needed",FALSE),0,SUMIFS('CAPEX CJI3'!$F$2:$F$433,'CAPEX CJI3'!$A$2:$A$433,$K58,'CAPEX CJI3'!$K$2:$K$433,2026,'CAPEX CJI3'!$J$2:$J$433,"*Reclass internal hours*",'CAPEX CJI3'!$N$2:$N$433,"&gt;="&amp;DATE(2026,6,1)))</f>
        <v>0</v>
      </c>
      <c r="O58" s="60">
        <f t="shared" si="1"/>
        <v>0</v>
      </c>
      <c r="P58" s="55" t="str">
        <f>_xlfn.LET(_xlpm.op,_xlfn.XLOOKUP($J58,'codes match'!$A$2:$A$53,'codes match'!$C$2:$C$53,""),_xlpm.cr,IF(_xlpm.op="",0,SUMIFS('OPEX CJI3'!$F$2:$F$7490,'OPEX CJI3'!$A$2:$A$7490,_xlpm.op&amp;"*",'OPEX CJI3'!$J$2:$J$7490,"*Reclass internal hours*")),IF(_xlpm.op="","No OPEX pair",IF(ABS(_xlpm.cr+O58)&lt;0.01,"MATCH","REVIEW: unmatched €"&amp;TEXT(_xlpm.cr+O58,"#,##0.00"))))</f>
        <v>No OPEX pair</v>
      </c>
      <c r="Q58" s="53" t="str">
        <f>IF(OR($K58="",$K58="Not needed"),"No CAPEX code",IF(COUNTIF('CAPEX Tables'!$A$8:$A$54,$K58)=0,"No processed CAPEX spend",IF(O58=0,"No internal spend","Enter C/D; compare E")))</f>
        <v>No internal spend</v>
      </c>
    </row>
    <row r="59" spans="1:17" ht="13" x14ac:dyDescent="0.25">
      <c r="A59" s="53" t="s">
        <v>1109</v>
      </c>
      <c r="B59" s="53" t="s">
        <v>945</v>
      </c>
      <c r="C59" s="58">
        <f>IF($B59="",0,MAX(0,_xlfn.XLOOKUP($B59,'Opex Tables'!$A$2:$A$133,'Opex Tables'!$H$2:$H$133,0)))</f>
        <v>0</v>
      </c>
      <c r="D59" s="58">
        <f>IF($B59="",0,MAX(0,_xlfn.XLOOKUP($B59,'Opex Tables'!$A$2:$A$133,'Opex Tables'!$I$2:$I$133,0)))</f>
        <v>6691</v>
      </c>
      <c r="E59" s="59">
        <f>IF($B59="",0,MAX(0,_xlfn.XLOOKUP($B59,'Opex Tables'!$A$2:$A$133,'Opex Tables'!$J$2:$J$133,0)))</f>
        <v>16875</v>
      </c>
      <c r="F59" s="60">
        <f t="shared" si="0"/>
        <v>23566</v>
      </c>
      <c r="G59" s="61">
        <f>IF($B59="",0,SUMIFS('OPEX CJI3'!$F$2:$F$7490,'OPEX CJI3'!$A$2:$A$7490,$B59&amp;"*",'OPEX CJI3'!$J$2:$J$7490,"*Reclass internal hours*"))</f>
        <v>-26009</v>
      </c>
      <c r="H59" s="53" t="str">
        <f>IF($B59="","No OPEX code",IF(COUNTIF('Opex Tables'!$A$2:$A$133,$B59)=0,"REVIEW: no processed spend",IF(AND(C59=0,D59=0,E59=0,G59&lt;0),"Credit only — DO NOT ENTER",IF(AND(C59=0,D59=0,E59=0,G59=0),"No internal spend","Enter C/D; compare E"))))</f>
        <v>Enter C/D; compare E</v>
      </c>
      <c r="I59" s="50"/>
      <c r="J59" s="53" t="s">
        <v>1109</v>
      </c>
      <c r="K59" s="53" t="s">
        <v>86</v>
      </c>
      <c r="L59" s="58">
        <f>IF(OR($K59="",$K59="Not needed",FALSE),0,_xlfn.XLOOKUP($K59,'CAPEX Tables'!$A$8:$A$54,'CAPEX Tables'!$B$8:$B$54,0))</f>
        <v>0</v>
      </c>
      <c r="M59" s="58">
        <f>IF(OR($K59="",$K59="Not needed",FALSE),0,SUMIFS('CAPEX CJI3'!$F$2:$F$433,'CAPEX CJI3'!$A$2:$A$433,$K59,'CAPEX CJI3'!$K$2:$K$433,2026,'CAPEX CJI3'!$J$2:$J$433,"*Reclass internal hours*",'CAPEX CJI3'!$N$2:$N$433,"&lt;"&amp;DATE(2026,6,1)))</f>
        <v>26009</v>
      </c>
      <c r="N59" s="59">
        <f>IF(OR($K59="",$K59="Not needed",FALSE),0,SUMIFS('CAPEX CJI3'!$F$2:$F$433,'CAPEX CJI3'!$A$2:$A$433,$K59,'CAPEX CJI3'!$K$2:$K$433,2026,'CAPEX CJI3'!$J$2:$J$433,"*Reclass internal hours*",'CAPEX CJI3'!$N$2:$N$433,"&gt;="&amp;DATE(2026,6,1)))</f>
        <v>0</v>
      </c>
      <c r="O59" s="60">
        <f t="shared" si="1"/>
        <v>26009</v>
      </c>
      <c r="P59" s="55" t="str">
        <f>_xlfn.LET(_xlpm.op,_xlfn.XLOOKUP($J59,'codes match'!$A$2:$A$53,'codes match'!$C$2:$C$53,""),_xlpm.cr,IF(_xlpm.op="",0,SUMIFS('OPEX CJI3'!$F$2:$F$7490,'OPEX CJI3'!$A$2:$A$7490,_xlpm.op&amp;"*",'OPEX CJI3'!$J$2:$J$7490,"*Reclass internal hours*")),IF(_xlpm.op="","No OPEX pair",IF(ABS(_xlpm.cr+O59)&lt;0.01,"MATCH","REVIEW: unmatched €"&amp;TEXT(_xlpm.cr+O59,"#,##0.00"))))</f>
        <v>MATCH</v>
      </c>
      <c r="Q59" s="53" t="str">
        <f>IF(OR($K59="",$K59="Not needed"),"No CAPEX code",IF(COUNTIF('CAPEX Tables'!$A$8:$A$54,$K59)=0,"No processed CAPEX spend",IF(O59=0,"No internal spend","Enter C/D; compare E")))</f>
        <v>Enter C/D; compare E</v>
      </c>
    </row>
    <row r="60" spans="1:17" ht="13" x14ac:dyDescent="0.25">
      <c r="A60" s="53" t="s">
        <v>1110</v>
      </c>
      <c r="B60" s="53" t="s">
        <v>1000</v>
      </c>
      <c r="C60" s="58">
        <f>IF($B60="",0,MAX(0,_xlfn.XLOOKUP($B60,'Opex Tables'!$A$2:$A$133,'Opex Tables'!$H$2:$H$133,0)))</f>
        <v>0</v>
      </c>
      <c r="D60" s="58">
        <f>IF($B60="",0,MAX(0,_xlfn.XLOOKUP($B60,'Opex Tables'!$A$2:$A$133,'Opex Tables'!$I$2:$I$133,0)))</f>
        <v>0</v>
      </c>
      <c r="E60" s="59">
        <f>IF($B60="",0,MAX(0,_xlfn.XLOOKUP($B60,'Opex Tables'!$A$2:$A$133,'Opex Tables'!$J$2:$J$133,0)))</f>
        <v>0</v>
      </c>
      <c r="F60" s="60">
        <f t="shared" si="0"/>
        <v>0</v>
      </c>
      <c r="G60" s="61">
        <f>IF($B60="",0,SUMIFS('OPEX CJI3'!$F$2:$F$7490,'OPEX CJI3'!$A$2:$A$7490,$B60&amp;"*",'OPEX CJI3'!$J$2:$J$7490,"*Reclass internal hours*"))</f>
        <v>-36400</v>
      </c>
      <c r="H60" s="53" t="str">
        <f>IF($B60="","No OPEX code",IF(COUNTIF('Opex Tables'!$A$2:$A$133,$B60)=0,"REVIEW: no processed spend",IF(AND(C60=0,D60=0,E60=0,G60&lt;0),"Credit only — DO NOT ENTER",IF(AND(C60=0,D60=0,E60=0,G60=0),"No internal spend","Enter C/D; compare E"))))</f>
        <v>Credit only — DO NOT ENTER</v>
      </c>
      <c r="I60" s="50"/>
      <c r="J60" s="53" t="s">
        <v>1110</v>
      </c>
      <c r="K60" s="53" t="s">
        <v>188</v>
      </c>
      <c r="L60" s="58">
        <f>IF(OR($K60="",$K60="Not needed",FALSE),0,_xlfn.XLOOKUP($K60,'CAPEX Tables'!$A$8:$A$54,'CAPEX Tables'!$B$8:$B$54,0))</f>
        <v>0</v>
      </c>
      <c r="M60" s="58">
        <f>IF(OR($K60="",$K60="Not needed",FALSE),0,SUMIFS('CAPEX CJI3'!$F$2:$F$433,'CAPEX CJI3'!$A$2:$A$433,$K60,'CAPEX CJI3'!$K$2:$K$433,2026,'CAPEX CJI3'!$J$2:$J$433,"*Reclass internal hours*",'CAPEX CJI3'!$N$2:$N$433,"&lt;"&amp;DATE(2026,6,1)))</f>
        <v>0</v>
      </c>
      <c r="N60" s="59">
        <f>IF(OR($K60="",$K60="Not needed",FALSE),0,SUMIFS('CAPEX CJI3'!$F$2:$F$433,'CAPEX CJI3'!$A$2:$A$433,$K60,'CAPEX CJI3'!$K$2:$K$433,2026,'CAPEX CJI3'!$J$2:$J$433,"*Reclass internal hours*",'CAPEX CJI3'!$N$2:$N$433,"&gt;="&amp;DATE(2026,6,1)))</f>
        <v>36400</v>
      </c>
      <c r="O60" s="60">
        <f t="shared" si="1"/>
        <v>36400</v>
      </c>
      <c r="P60" s="55" t="str">
        <f>_xlfn.LET(_xlpm.op,_xlfn.XLOOKUP($J60,'codes match'!$A$2:$A$53,'codes match'!$C$2:$C$53,""),_xlpm.cr,IF(_xlpm.op="",0,SUMIFS('OPEX CJI3'!$F$2:$F$7490,'OPEX CJI3'!$A$2:$A$7490,_xlpm.op&amp;"*",'OPEX CJI3'!$J$2:$J$7490,"*Reclass internal hours*")),IF(_xlpm.op="","No OPEX pair",IF(ABS(_xlpm.cr+O60)&lt;0.01,"MATCH","REVIEW: unmatched €"&amp;TEXT(_xlpm.cr+O60,"#,##0.00"))))</f>
        <v>MATCH</v>
      </c>
      <c r="Q60" s="53" t="str">
        <f>IF(OR($K60="",$K60="Not needed"),"No CAPEX code",IF(COUNTIF('CAPEX Tables'!$A$8:$A$54,$K60)=0,"No processed CAPEX spend",IF(O60=0,"No internal spend","Enter C/D; compare E")))</f>
        <v>Enter C/D; compare E</v>
      </c>
    </row>
    <row r="61" spans="1:17" ht="39" x14ac:dyDescent="0.25">
      <c r="A61" s="53"/>
      <c r="B61" s="53"/>
      <c r="C61" s="53"/>
      <c r="D61" s="53"/>
      <c r="E61" s="53"/>
      <c r="F61" s="53"/>
      <c r="G61" s="53"/>
      <c r="H61" s="53"/>
      <c r="I61" s="50"/>
      <c r="J61" s="53" t="s">
        <v>1126</v>
      </c>
      <c r="K61" s="53" t="s">
        <v>176</v>
      </c>
      <c r="L61" s="58">
        <v>0</v>
      </c>
      <c r="M61" s="58">
        <v>0</v>
      </c>
      <c r="N61" s="59">
        <v>0</v>
      </c>
      <c r="O61" s="60">
        <f>SUM(L61:N61)</f>
        <v>0</v>
      </c>
      <c r="P61" s="55" t="s">
        <v>1146</v>
      </c>
      <c r="Q61" s="53" t="s">
        <v>1147</v>
      </c>
    </row>
    <row r="62" spans="1:17" ht="13" x14ac:dyDescent="0.25">
      <c r="A62" s="53"/>
      <c r="B62" s="53"/>
      <c r="C62" s="53"/>
      <c r="D62" s="53"/>
      <c r="E62" s="53"/>
      <c r="F62" s="53"/>
      <c r="G62" s="53"/>
      <c r="H62" s="53"/>
      <c r="I62" s="50"/>
      <c r="J62" s="50"/>
      <c r="K62" s="50"/>
      <c r="L62" s="50"/>
      <c r="M62" s="50"/>
      <c r="N62" s="50"/>
      <c r="O62" s="50"/>
      <c r="P62" s="50"/>
      <c r="Q62" s="50"/>
    </row>
    <row r="63" spans="1:17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17" ht="16" x14ac:dyDescent="0.25">
      <c r="A64" s="54" t="s">
        <v>1127</v>
      </c>
      <c r="B64" s="54"/>
      <c r="C64" s="54"/>
      <c r="D64" s="54"/>
      <c r="E64" s="54"/>
      <c r="F64" s="54"/>
      <c r="G64" s="54"/>
      <c r="H64" s="54"/>
      <c r="I64" s="50"/>
      <c r="J64" s="50"/>
      <c r="K64" s="50"/>
      <c r="L64" s="50"/>
      <c r="M64" s="50"/>
      <c r="N64" s="50"/>
      <c r="O64" s="50"/>
      <c r="P64" s="50"/>
      <c r="Q64" s="50"/>
    </row>
    <row r="65" spans="1:17" ht="26" x14ac:dyDescent="0.25">
      <c r="A65" s="53" t="s">
        <v>1122</v>
      </c>
      <c r="B65" s="53" t="s">
        <v>1128</v>
      </c>
      <c r="C65" s="53" t="s">
        <v>1129</v>
      </c>
      <c r="D65" s="53" t="s">
        <v>1130</v>
      </c>
      <c r="E65" s="53" t="s">
        <v>1138</v>
      </c>
      <c r="F65" s="53" t="s">
        <v>1143</v>
      </c>
      <c r="G65" s="53" t="s">
        <v>1144</v>
      </c>
      <c r="H65" s="53" t="s">
        <v>1120</v>
      </c>
      <c r="I65" s="50"/>
      <c r="J65" s="50"/>
      <c r="K65" s="50"/>
      <c r="L65" s="50"/>
      <c r="M65" s="50"/>
      <c r="N65" s="50"/>
      <c r="O65" s="50"/>
      <c r="P65" s="50"/>
      <c r="Q65" s="50"/>
    </row>
    <row r="66" spans="1:17" ht="13" x14ac:dyDescent="0.25">
      <c r="A66" s="53" t="s">
        <v>1053</v>
      </c>
      <c r="B66" s="53" t="s">
        <v>1131</v>
      </c>
      <c r="C66" s="53" t="s">
        <v>1005</v>
      </c>
      <c r="D66" s="53" t="s">
        <v>1132</v>
      </c>
      <c r="E66" s="58">
        <f>0</f>
        <v>0</v>
      </c>
      <c r="F66" s="58">
        <f>0</f>
        <v>0</v>
      </c>
      <c r="G66" s="61">
        <f>'Opex Tables'!AB124</f>
        <v>-36120</v>
      </c>
      <c r="H66" s="55" t="str">
        <f t="shared" ref="H66:H110" si="2">"SAP credit - DO NOT ENTER"</f>
        <v>SAP credit - DO NOT ENTER</v>
      </c>
      <c r="I66" s="50"/>
      <c r="J66" s="50"/>
      <c r="K66" s="50"/>
      <c r="L66" s="50"/>
      <c r="M66" s="50"/>
      <c r="N66" s="50"/>
      <c r="O66" s="50"/>
      <c r="P66" s="50"/>
      <c r="Q66" s="50"/>
    </row>
    <row r="67" spans="1:17" ht="13" x14ac:dyDescent="0.25">
      <c r="A67" s="53" t="s">
        <v>1058</v>
      </c>
      <c r="B67" s="53" t="s">
        <v>1111</v>
      </c>
      <c r="C67" s="53" t="s">
        <v>950</v>
      </c>
      <c r="D67" s="53" t="s">
        <v>1044</v>
      </c>
      <c r="E67" s="58">
        <f>0</f>
        <v>0</v>
      </c>
      <c r="F67" s="58">
        <f>0</f>
        <v>0</v>
      </c>
      <c r="G67" s="61">
        <f>'Opex Tables'!AB125</f>
        <v>0</v>
      </c>
      <c r="H67" s="55" t="str">
        <f t="shared" si="2"/>
        <v>SAP credit - DO NOT ENTER</v>
      </c>
      <c r="I67" s="50"/>
      <c r="J67" s="50"/>
      <c r="K67" s="50"/>
      <c r="L67" s="50"/>
      <c r="M67" s="50"/>
      <c r="N67" s="50"/>
      <c r="O67" s="50"/>
      <c r="P67" s="50"/>
      <c r="Q67" s="50"/>
    </row>
    <row r="68" spans="1:17" ht="13" x14ac:dyDescent="0.25">
      <c r="A68" s="53" t="s">
        <v>1063</v>
      </c>
      <c r="B68" s="53" t="s">
        <v>1111</v>
      </c>
      <c r="C68" s="53" t="s">
        <v>910</v>
      </c>
      <c r="D68" s="53" t="s">
        <v>1027</v>
      </c>
      <c r="E68" s="58">
        <f>0</f>
        <v>0</v>
      </c>
      <c r="F68" s="58">
        <f>0</f>
        <v>0</v>
      </c>
      <c r="G68" s="61">
        <f>'Opex Tables'!AB126</f>
        <v>0</v>
      </c>
      <c r="H68" s="55" t="str">
        <f t="shared" si="2"/>
        <v>SAP credit - DO NOT ENTER</v>
      </c>
      <c r="I68" s="50"/>
      <c r="J68" s="50"/>
      <c r="K68" s="50"/>
      <c r="L68" s="50"/>
      <c r="M68" s="50"/>
      <c r="N68" s="50"/>
      <c r="O68" s="50"/>
      <c r="P68" s="50"/>
      <c r="Q68" s="50"/>
    </row>
    <row r="69" spans="1:17" ht="13" x14ac:dyDescent="0.25">
      <c r="A69" s="53" t="s">
        <v>1063</v>
      </c>
      <c r="B69" s="53" t="s">
        <v>1111</v>
      </c>
      <c r="C69" s="53" t="s">
        <v>910</v>
      </c>
      <c r="D69" s="53" t="s">
        <v>1029</v>
      </c>
      <c r="E69" s="58">
        <f>0</f>
        <v>0</v>
      </c>
      <c r="F69" s="58">
        <f>0</f>
        <v>0</v>
      </c>
      <c r="G69" s="61">
        <f>'Opex Tables'!AB127</f>
        <v>0</v>
      </c>
      <c r="H69" s="55" t="str">
        <f t="shared" si="2"/>
        <v>SAP credit - DO NOT ENTER</v>
      </c>
      <c r="I69" s="50"/>
      <c r="J69" s="50"/>
      <c r="K69" s="50"/>
      <c r="L69" s="50"/>
      <c r="M69" s="50"/>
      <c r="N69" s="50"/>
      <c r="O69" s="50"/>
      <c r="P69" s="50"/>
      <c r="Q69" s="50"/>
    </row>
    <row r="70" spans="1:17" ht="13" x14ac:dyDescent="0.25">
      <c r="A70" s="53" t="s">
        <v>1063</v>
      </c>
      <c r="B70" s="53" t="s">
        <v>1131</v>
      </c>
      <c r="C70" s="53" t="s">
        <v>910</v>
      </c>
      <c r="D70" s="53" t="s">
        <v>1132</v>
      </c>
      <c r="E70" s="58">
        <f>0</f>
        <v>0</v>
      </c>
      <c r="F70" s="58">
        <f>0</f>
        <v>0</v>
      </c>
      <c r="G70" s="61">
        <f>'Opex Tables'!AB128</f>
        <v>0</v>
      </c>
      <c r="H70" s="55" t="str">
        <f t="shared" si="2"/>
        <v>SAP credit - DO NOT ENTER</v>
      </c>
      <c r="I70" s="50"/>
      <c r="J70" s="50"/>
      <c r="K70" s="50"/>
      <c r="L70" s="50"/>
      <c r="M70" s="50"/>
      <c r="N70" s="50"/>
      <c r="O70" s="50"/>
      <c r="P70" s="50"/>
      <c r="Q70" s="50"/>
    </row>
    <row r="71" spans="1:17" ht="13" x14ac:dyDescent="0.25">
      <c r="A71" s="53" t="s">
        <v>1083</v>
      </c>
      <c r="B71" s="53" t="s">
        <v>1131</v>
      </c>
      <c r="C71" s="53" t="s">
        <v>1002</v>
      </c>
      <c r="D71" s="53" t="s">
        <v>1132</v>
      </c>
      <c r="E71" s="58">
        <f>0</f>
        <v>0</v>
      </c>
      <c r="F71" s="58">
        <f>0</f>
        <v>0</v>
      </c>
      <c r="G71" s="61">
        <f>'Opex Tables'!AB129</f>
        <v>0</v>
      </c>
      <c r="H71" s="55" t="str">
        <f t="shared" si="2"/>
        <v>SAP credit - DO NOT ENTER</v>
      </c>
      <c r="I71" s="50"/>
      <c r="J71" s="50"/>
      <c r="K71" s="50"/>
      <c r="L71" s="50"/>
      <c r="M71" s="50"/>
      <c r="N71" s="50"/>
      <c r="O71" s="50"/>
      <c r="P71" s="50"/>
      <c r="Q71" s="50"/>
    </row>
    <row r="72" spans="1:17" ht="13" x14ac:dyDescent="0.25">
      <c r="A72" s="53" t="s">
        <v>1106</v>
      </c>
      <c r="B72" s="53" t="s">
        <v>1111</v>
      </c>
      <c r="C72" s="53" t="s">
        <v>887</v>
      </c>
      <c r="D72" s="53" t="s">
        <v>1021</v>
      </c>
      <c r="E72" s="58">
        <f>0</f>
        <v>0</v>
      </c>
      <c r="F72" s="58">
        <f>0</f>
        <v>0</v>
      </c>
      <c r="G72" s="61">
        <f>'Opex Tables'!AB130</f>
        <v>0</v>
      </c>
      <c r="H72" s="55" t="str">
        <f t="shared" si="2"/>
        <v>SAP credit - DO NOT ENTER</v>
      </c>
      <c r="I72" s="50"/>
      <c r="J72" s="50"/>
      <c r="K72" s="50"/>
      <c r="L72" s="50"/>
      <c r="M72" s="50"/>
      <c r="N72" s="50"/>
      <c r="O72" s="50"/>
      <c r="P72" s="50"/>
      <c r="Q72" s="50"/>
    </row>
    <row r="73" spans="1:17" ht="26" x14ac:dyDescent="0.25">
      <c r="A73" s="53" t="s">
        <v>1048</v>
      </c>
      <c r="B73" s="53" t="s">
        <v>1133</v>
      </c>
      <c r="C73" s="53" t="s">
        <v>26</v>
      </c>
      <c r="D73" s="53" t="s">
        <v>828</v>
      </c>
      <c r="E73" s="58">
        <f>0</f>
        <v>0</v>
      </c>
      <c r="F73" s="58">
        <f>0</f>
        <v>0</v>
      </c>
      <c r="G73" s="61">
        <f>'Opex Tables'!AB131</f>
        <v>0</v>
      </c>
      <c r="H73" s="55" t="str">
        <f t="shared" si="2"/>
        <v>SAP credit - DO NOT ENTER</v>
      </c>
      <c r="I73" s="50"/>
      <c r="J73" s="50"/>
      <c r="K73" s="50"/>
      <c r="L73" s="50"/>
      <c r="M73" s="50"/>
      <c r="N73" s="50"/>
      <c r="O73" s="50"/>
      <c r="P73" s="50"/>
      <c r="Q73" s="50"/>
    </row>
    <row r="74" spans="1:17" ht="13" x14ac:dyDescent="0.25">
      <c r="A74" s="53" t="s">
        <v>1048</v>
      </c>
      <c r="B74" s="53" t="s">
        <v>1133</v>
      </c>
      <c r="C74" s="53" t="s">
        <v>26</v>
      </c>
      <c r="D74" s="53" t="s">
        <v>829</v>
      </c>
      <c r="E74" s="58">
        <f>0</f>
        <v>0</v>
      </c>
      <c r="F74" s="58">
        <f>0</f>
        <v>0</v>
      </c>
      <c r="G74" s="61">
        <f>'Opex Tables'!AB132</f>
        <v>0</v>
      </c>
      <c r="H74" s="55" t="str">
        <f t="shared" si="2"/>
        <v>SAP credit - DO NOT ENTER</v>
      </c>
      <c r="I74" s="50"/>
      <c r="J74" s="50"/>
      <c r="K74" s="50"/>
      <c r="L74" s="50"/>
      <c r="M74" s="50"/>
      <c r="N74" s="50"/>
      <c r="O74" s="50"/>
      <c r="P74" s="50"/>
      <c r="Q74" s="50"/>
    </row>
    <row r="75" spans="1:17" ht="13" x14ac:dyDescent="0.25">
      <c r="A75" s="53" t="s">
        <v>1048</v>
      </c>
      <c r="B75" s="53" t="s">
        <v>1134</v>
      </c>
      <c r="C75" s="53" t="s">
        <v>26</v>
      </c>
      <c r="D75" s="53" t="s">
        <v>1135</v>
      </c>
      <c r="E75" s="58">
        <f>0</f>
        <v>0</v>
      </c>
      <c r="F75" s="58">
        <f>0</f>
        <v>0</v>
      </c>
      <c r="G75" s="61">
        <f>'Opex Tables'!AB133</f>
        <v>0</v>
      </c>
      <c r="H75" s="55" t="str">
        <f t="shared" si="2"/>
        <v>SAP credit - DO NOT ENTER</v>
      </c>
      <c r="I75" s="50"/>
      <c r="J75" s="50"/>
      <c r="K75" s="50"/>
      <c r="L75" s="50"/>
      <c r="M75" s="50"/>
      <c r="N75" s="50"/>
      <c r="O75" s="50"/>
      <c r="P75" s="50"/>
      <c r="Q75" s="50"/>
    </row>
    <row r="76" spans="1:17" ht="26" x14ac:dyDescent="0.25">
      <c r="A76" s="53" t="s">
        <v>1050</v>
      </c>
      <c r="B76" s="53" t="s">
        <v>1133</v>
      </c>
      <c r="C76" s="53" t="s">
        <v>124</v>
      </c>
      <c r="D76" s="53" t="s">
        <v>840</v>
      </c>
      <c r="E76" s="58">
        <f>0</f>
        <v>0</v>
      </c>
      <c r="F76" s="58">
        <f>0</f>
        <v>0</v>
      </c>
      <c r="G76" s="61">
        <f>'Opex Tables'!AB134</f>
        <v>0</v>
      </c>
      <c r="H76" s="55" t="str">
        <f t="shared" si="2"/>
        <v>SAP credit - DO NOT ENTER</v>
      </c>
      <c r="I76" s="50"/>
      <c r="J76" s="50"/>
      <c r="K76" s="50"/>
      <c r="L76" s="50"/>
      <c r="M76" s="50"/>
      <c r="N76" s="50"/>
      <c r="O76" s="50"/>
      <c r="P76" s="50"/>
      <c r="Q76" s="50"/>
    </row>
    <row r="77" spans="1:17" ht="13" x14ac:dyDescent="0.25">
      <c r="A77" s="53" t="s">
        <v>1050</v>
      </c>
      <c r="B77" s="53" t="s">
        <v>1134</v>
      </c>
      <c r="C77" s="53" t="s">
        <v>124</v>
      </c>
      <c r="D77" s="53" t="s">
        <v>1135</v>
      </c>
      <c r="E77" s="58">
        <f>0</f>
        <v>0</v>
      </c>
      <c r="F77" s="58">
        <f>0</f>
        <v>0</v>
      </c>
      <c r="G77" s="61">
        <f>'Opex Tables'!AB135</f>
        <v>0</v>
      </c>
      <c r="H77" s="55" t="str">
        <f t="shared" si="2"/>
        <v>SAP credit - DO NOT ENTER</v>
      </c>
      <c r="I77" s="50"/>
      <c r="J77" s="50"/>
      <c r="K77" s="50"/>
      <c r="L77" s="50"/>
      <c r="M77" s="50"/>
      <c r="N77" s="50"/>
      <c r="O77" s="50"/>
      <c r="P77" s="50"/>
      <c r="Q77" s="50"/>
    </row>
    <row r="78" spans="1:17" ht="26" x14ac:dyDescent="0.25">
      <c r="A78" s="53" t="s">
        <v>1058</v>
      </c>
      <c r="B78" s="53" t="s">
        <v>1133</v>
      </c>
      <c r="C78" s="53" t="s">
        <v>165</v>
      </c>
      <c r="D78" s="53" t="s">
        <v>847</v>
      </c>
      <c r="E78" s="58">
        <f>0</f>
        <v>0</v>
      </c>
      <c r="F78" s="58">
        <f>0</f>
        <v>0</v>
      </c>
      <c r="G78" s="61">
        <f>'Opex Tables'!AB136</f>
        <v>0</v>
      </c>
      <c r="H78" s="55" t="str">
        <f t="shared" si="2"/>
        <v>SAP credit - DO NOT ENTER</v>
      </c>
      <c r="I78" s="50"/>
      <c r="J78" s="50"/>
      <c r="K78" s="50"/>
      <c r="L78" s="50"/>
      <c r="M78" s="50"/>
      <c r="N78" s="50"/>
      <c r="O78" s="50"/>
      <c r="P78" s="50"/>
      <c r="Q78" s="50"/>
    </row>
    <row r="79" spans="1:17" ht="13" x14ac:dyDescent="0.25">
      <c r="A79" s="53" t="s">
        <v>1058</v>
      </c>
      <c r="B79" s="53" t="s">
        <v>1134</v>
      </c>
      <c r="C79" s="53" t="s">
        <v>165</v>
      </c>
      <c r="D79" s="53" t="s">
        <v>1135</v>
      </c>
      <c r="E79" s="58">
        <f>0</f>
        <v>0</v>
      </c>
      <c r="F79" s="58">
        <f>0</f>
        <v>0</v>
      </c>
      <c r="G79" s="61">
        <f>'Opex Tables'!AB137</f>
        <v>0</v>
      </c>
      <c r="H79" s="55" t="str">
        <f t="shared" si="2"/>
        <v>SAP credit - DO NOT ENTER</v>
      </c>
      <c r="I79" s="50"/>
      <c r="J79" s="50"/>
      <c r="K79" s="50"/>
      <c r="L79" s="50"/>
      <c r="M79" s="50"/>
      <c r="N79" s="50"/>
      <c r="O79" s="50"/>
      <c r="P79" s="50"/>
      <c r="Q79" s="50"/>
    </row>
    <row r="80" spans="1:17" ht="13" x14ac:dyDescent="0.25">
      <c r="A80" s="53" t="s">
        <v>1062</v>
      </c>
      <c r="B80" s="53" t="s">
        <v>1134</v>
      </c>
      <c r="C80" s="53" t="s">
        <v>168</v>
      </c>
      <c r="D80" s="53" t="s">
        <v>1135</v>
      </c>
      <c r="E80" s="58">
        <f>0</f>
        <v>0</v>
      </c>
      <c r="F80" s="58">
        <f>0</f>
        <v>0</v>
      </c>
      <c r="G80" s="61">
        <f>'Opex Tables'!AB138</f>
        <v>0</v>
      </c>
      <c r="H80" s="55" t="str">
        <f t="shared" si="2"/>
        <v>SAP credit - DO NOT ENTER</v>
      </c>
      <c r="I80" s="50"/>
      <c r="J80" s="50"/>
      <c r="K80" s="50"/>
      <c r="L80" s="50"/>
      <c r="M80" s="50"/>
      <c r="N80" s="50"/>
      <c r="O80" s="50"/>
      <c r="P80" s="50"/>
      <c r="Q80" s="50"/>
    </row>
    <row r="81" spans="1:17" ht="13" x14ac:dyDescent="0.25">
      <c r="A81" s="53" t="s">
        <v>1063</v>
      </c>
      <c r="B81" s="53" t="s">
        <v>1134</v>
      </c>
      <c r="C81" s="53" t="s">
        <v>177</v>
      </c>
      <c r="D81" s="53" t="s">
        <v>1135</v>
      </c>
      <c r="E81" s="58">
        <f>0</f>
        <v>0</v>
      </c>
      <c r="F81" s="58">
        <f>0</f>
        <v>0</v>
      </c>
      <c r="G81" s="61">
        <f>'Opex Tables'!AB139</f>
        <v>0</v>
      </c>
      <c r="H81" s="55" t="str">
        <f t="shared" si="2"/>
        <v>SAP credit - DO NOT ENTER</v>
      </c>
      <c r="I81" s="50"/>
      <c r="J81" s="50"/>
      <c r="K81" s="50"/>
      <c r="L81" s="50"/>
      <c r="M81" s="50"/>
      <c r="N81" s="50"/>
      <c r="O81" s="50"/>
      <c r="P81" s="50"/>
      <c r="Q81" s="50"/>
    </row>
    <row r="82" spans="1:17" ht="26" x14ac:dyDescent="0.25">
      <c r="A82" s="53" t="s">
        <v>1064</v>
      </c>
      <c r="B82" s="53" t="s">
        <v>1133</v>
      </c>
      <c r="C82" s="53" t="s">
        <v>172</v>
      </c>
      <c r="D82" s="53" t="s">
        <v>848</v>
      </c>
      <c r="E82" s="58">
        <f>0</f>
        <v>0</v>
      </c>
      <c r="F82" s="58">
        <f>0</f>
        <v>0</v>
      </c>
      <c r="G82" s="61">
        <f>'Opex Tables'!AB140</f>
        <v>0</v>
      </c>
      <c r="H82" s="55" t="str">
        <f t="shared" si="2"/>
        <v>SAP credit - DO NOT ENTER</v>
      </c>
      <c r="I82" s="50"/>
      <c r="J82" s="50"/>
      <c r="K82" s="50"/>
      <c r="L82" s="50"/>
      <c r="M82" s="50"/>
      <c r="N82" s="50"/>
      <c r="O82" s="50"/>
      <c r="P82" s="50"/>
      <c r="Q82" s="50"/>
    </row>
    <row r="83" spans="1:17" ht="13" x14ac:dyDescent="0.25">
      <c r="A83" s="53" t="s">
        <v>1065</v>
      </c>
      <c r="B83" s="53" t="s">
        <v>1134</v>
      </c>
      <c r="C83" s="53" t="s">
        <v>197</v>
      </c>
      <c r="D83" s="53" t="s">
        <v>1135</v>
      </c>
      <c r="E83" s="58">
        <f>0</f>
        <v>0</v>
      </c>
      <c r="F83" s="58">
        <f>0</f>
        <v>0</v>
      </c>
      <c r="G83" s="61">
        <f>'Opex Tables'!AB141</f>
        <v>0</v>
      </c>
      <c r="H83" s="55" t="str">
        <f t="shared" si="2"/>
        <v>SAP credit - DO NOT ENTER</v>
      </c>
      <c r="I83" s="50"/>
      <c r="J83" s="50"/>
      <c r="K83" s="50"/>
      <c r="L83" s="50"/>
      <c r="M83" s="50"/>
      <c r="N83" s="50"/>
      <c r="O83" s="50"/>
      <c r="P83" s="50"/>
      <c r="Q83" s="50"/>
    </row>
    <row r="84" spans="1:17" ht="39" x14ac:dyDescent="0.25">
      <c r="A84" s="53" t="s">
        <v>1126</v>
      </c>
      <c r="B84" s="53" t="s">
        <v>1134</v>
      </c>
      <c r="C84" s="53" t="s">
        <v>176</v>
      </c>
      <c r="D84" s="53" t="s">
        <v>1135</v>
      </c>
      <c r="E84" s="58">
        <f>0</f>
        <v>0</v>
      </c>
      <c r="F84" s="58">
        <f>0</f>
        <v>0</v>
      </c>
      <c r="G84" s="61">
        <f>'Opex Tables'!AB142</f>
        <v>0</v>
      </c>
      <c r="H84" s="55" t="str">
        <f t="shared" si="2"/>
        <v>SAP credit - DO NOT ENTER</v>
      </c>
      <c r="I84" s="50"/>
      <c r="J84" s="50"/>
      <c r="K84" s="50"/>
      <c r="L84" s="50"/>
      <c r="M84" s="50"/>
      <c r="N84" s="50"/>
      <c r="O84" s="50"/>
      <c r="P84" s="50"/>
      <c r="Q84" s="50"/>
    </row>
    <row r="85" spans="1:17" ht="13" x14ac:dyDescent="0.25">
      <c r="A85" s="53" t="s">
        <v>1069</v>
      </c>
      <c r="B85" s="53" t="s">
        <v>1134</v>
      </c>
      <c r="C85" s="53" t="s">
        <v>195</v>
      </c>
      <c r="D85" s="53" t="s">
        <v>1135</v>
      </c>
      <c r="E85" s="58">
        <f>0</f>
        <v>0</v>
      </c>
      <c r="F85" s="58">
        <f>0</f>
        <v>0</v>
      </c>
      <c r="G85" s="61">
        <f>'Opex Tables'!AB143</f>
        <v>0</v>
      </c>
      <c r="H85" s="55" t="str">
        <f t="shared" si="2"/>
        <v>SAP credit - DO NOT ENTER</v>
      </c>
      <c r="I85" s="50"/>
      <c r="J85" s="50"/>
      <c r="K85" s="50"/>
      <c r="L85" s="50"/>
      <c r="M85" s="50"/>
      <c r="N85" s="50"/>
      <c r="O85" s="50"/>
      <c r="P85" s="50"/>
      <c r="Q85" s="50"/>
    </row>
    <row r="86" spans="1:17" ht="13" x14ac:dyDescent="0.25">
      <c r="A86" s="53" t="s">
        <v>1073</v>
      </c>
      <c r="B86" s="53" t="s">
        <v>1133</v>
      </c>
      <c r="C86" s="53" t="s">
        <v>91</v>
      </c>
      <c r="D86" s="53" t="s">
        <v>836</v>
      </c>
      <c r="E86" s="58">
        <f>0</f>
        <v>0</v>
      </c>
      <c r="F86" s="58">
        <f>0</f>
        <v>0</v>
      </c>
      <c r="G86" s="61">
        <f>'Opex Tables'!AB144</f>
        <v>0</v>
      </c>
      <c r="H86" s="55" t="str">
        <f t="shared" si="2"/>
        <v>SAP credit - DO NOT ENTER</v>
      </c>
      <c r="I86" s="50"/>
      <c r="J86" s="50"/>
      <c r="K86" s="50"/>
      <c r="L86" s="50"/>
      <c r="M86" s="50"/>
      <c r="N86" s="50"/>
      <c r="O86" s="50"/>
      <c r="P86" s="50"/>
      <c r="Q86" s="50"/>
    </row>
    <row r="87" spans="1:17" ht="13" x14ac:dyDescent="0.25">
      <c r="A87" s="53" t="s">
        <v>1073</v>
      </c>
      <c r="B87" s="53" t="s">
        <v>1134</v>
      </c>
      <c r="C87" s="53" t="s">
        <v>91</v>
      </c>
      <c r="D87" s="53" t="s">
        <v>1135</v>
      </c>
      <c r="E87" s="58">
        <f>0</f>
        <v>0</v>
      </c>
      <c r="F87" s="58">
        <f>0</f>
        <v>0</v>
      </c>
      <c r="G87" s="61">
        <f>'Opex Tables'!AB145</f>
        <v>0</v>
      </c>
      <c r="H87" s="55" t="str">
        <f t="shared" si="2"/>
        <v>SAP credit - DO NOT ENTER</v>
      </c>
      <c r="I87" s="50"/>
      <c r="J87" s="50"/>
      <c r="K87" s="50"/>
      <c r="L87" s="50"/>
      <c r="M87" s="50"/>
      <c r="N87" s="50"/>
      <c r="O87" s="50"/>
      <c r="P87" s="50"/>
      <c r="Q87" s="50"/>
    </row>
    <row r="88" spans="1:17" ht="13" x14ac:dyDescent="0.25">
      <c r="A88" s="53" t="s">
        <v>1074</v>
      </c>
      <c r="B88" s="53" t="s">
        <v>1134</v>
      </c>
      <c r="C88" s="53" t="s">
        <v>183</v>
      </c>
      <c r="D88" s="53" t="s">
        <v>1135</v>
      </c>
      <c r="E88" s="58">
        <f>0</f>
        <v>0</v>
      </c>
      <c r="F88" s="58">
        <f>0</f>
        <v>0</v>
      </c>
      <c r="G88" s="61">
        <f>'Opex Tables'!AB146</f>
        <v>0</v>
      </c>
      <c r="H88" s="55" t="str">
        <f t="shared" si="2"/>
        <v>SAP credit - DO NOT ENTER</v>
      </c>
      <c r="I88" s="50"/>
      <c r="J88" s="50"/>
      <c r="K88" s="50"/>
      <c r="L88" s="50"/>
      <c r="M88" s="50"/>
      <c r="N88" s="50"/>
      <c r="O88" s="50"/>
      <c r="P88" s="50"/>
      <c r="Q88" s="50"/>
    </row>
    <row r="89" spans="1:17" ht="13" x14ac:dyDescent="0.25">
      <c r="A89" s="53" t="s">
        <v>1076</v>
      </c>
      <c r="B89" s="53" t="s">
        <v>1133</v>
      </c>
      <c r="C89" s="53" t="s">
        <v>0</v>
      </c>
      <c r="D89" s="53" t="s">
        <v>826</v>
      </c>
      <c r="E89" s="58">
        <f>0</f>
        <v>0</v>
      </c>
      <c r="F89" s="58">
        <f>0</f>
        <v>0</v>
      </c>
      <c r="G89" s="61">
        <f>'Opex Tables'!AB147</f>
        <v>0</v>
      </c>
      <c r="H89" s="55" t="str">
        <f t="shared" si="2"/>
        <v>SAP credit - DO NOT ENTER</v>
      </c>
      <c r="I89" s="50"/>
      <c r="J89" s="50"/>
      <c r="K89" s="50"/>
      <c r="L89" s="50"/>
      <c r="M89" s="50"/>
      <c r="N89" s="50"/>
      <c r="O89" s="50"/>
      <c r="P89" s="50"/>
      <c r="Q89" s="50"/>
    </row>
    <row r="90" spans="1:17" ht="26" x14ac:dyDescent="0.25">
      <c r="A90" s="53" t="s">
        <v>1077</v>
      </c>
      <c r="B90" s="53" t="s">
        <v>1133</v>
      </c>
      <c r="C90" s="53" t="s">
        <v>50</v>
      </c>
      <c r="D90" s="53" t="s">
        <v>830</v>
      </c>
      <c r="E90" s="58">
        <f>0</f>
        <v>0</v>
      </c>
      <c r="F90" s="58">
        <f>0</f>
        <v>0</v>
      </c>
      <c r="G90" s="61">
        <f>'Opex Tables'!AB148</f>
        <v>0</v>
      </c>
      <c r="H90" s="55" t="str">
        <f t="shared" si="2"/>
        <v>SAP credit - DO NOT ENTER</v>
      </c>
      <c r="I90" s="50"/>
      <c r="J90" s="50"/>
      <c r="K90" s="50"/>
      <c r="L90" s="50"/>
      <c r="M90" s="50"/>
      <c r="N90" s="50"/>
      <c r="O90" s="50"/>
      <c r="P90" s="50"/>
      <c r="Q90" s="50"/>
    </row>
    <row r="91" spans="1:17" ht="13" x14ac:dyDescent="0.25">
      <c r="A91" s="53" t="s">
        <v>1077</v>
      </c>
      <c r="B91" s="53" t="s">
        <v>1134</v>
      </c>
      <c r="C91" s="53" t="s">
        <v>50</v>
      </c>
      <c r="D91" s="53" t="s">
        <v>1135</v>
      </c>
      <c r="E91" s="58">
        <f>0</f>
        <v>0</v>
      </c>
      <c r="F91" s="58">
        <f>0</f>
        <v>0</v>
      </c>
      <c r="G91" s="61">
        <f>'Opex Tables'!AB149</f>
        <v>0</v>
      </c>
      <c r="H91" s="55" t="str">
        <f t="shared" si="2"/>
        <v>SAP credit - DO NOT ENTER</v>
      </c>
      <c r="I91" s="50"/>
      <c r="J91" s="50"/>
      <c r="K91" s="50"/>
      <c r="L91" s="50"/>
      <c r="M91" s="50"/>
      <c r="N91" s="50"/>
      <c r="O91" s="50"/>
      <c r="P91" s="50"/>
      <c r="Q91" s="50"/>
    </row>
    <row r="92" spans="1:17" ht="26" x14ac:dyDescent="0.25">
      <c r="A92" s="53" t="s">
        <v>1080</v>
      </c>
      <c r="B92" s="53" t="s">
        <v>1133</v>
      </c>
      <c r="C92" s="53" t="s">
        <v>128</v>
      </c>
      <c r="D92" s="53" t="s">
        <v>841</v>
      </c>
      <c r="E92" s="58">
        <f>0</f>
        <v>0</v>
      </c>
      <c r="F92" s="58">
        <f>0</f>
        <v>0</v>
      </c>
      <c r="G92" s="61">
        <f>'Opex Tables'!AB150</f>
        <v>0</v>
      </c>
      <c r="H92" s="55" t="str">
        <f t="shared" si="2"/>
        <v>SAP credit - DO NOT ENTER</v>
      </c>
      <c r="I92" s="50"/>
      <c r="J92" s="50"/>
      <c r="K92" s="50"/>
      <c r="L92" s="50"/>
      <c r="M92" s="50"/>
      <c r="N92" s="50"/>
      <c r="O92" s="50"/>
      <c r="P92" s="50"/>
      <c r="Q92" s="50"/>
    </row>
    <row r="93" spans="1:17" ht="13" x14ac:dyDescent="0.25">
      <c r="A93" s="53" t="s">
        <v>1081</v>
      </c>
      <c r="B93" s="53" t="s">
        <v>1133</v>
      </c>
      <c r="C93" s="53" t="s">
        <v>134</v>
      </c>
      <c r="D93" s="53" t="s">
        <v>843</v>
      </c>
      <c r="E93" s="58">
        <f>0</f>
        <v>0</v>
      </c>
      <c r="F93" s="58">
        <f>0</f>
        <v>0</v>
      </c>
      <c r="G93" s="61">
        <f>'Opex Tables'!AB151</f>
        <v>0</v>
      </c>
      <c r="H93" s="55" t="str">
        <f t="shared" si="2"/>
        <v>SAP credit - DO NOT ENTER</v>
      </c>
      <c r="I93" s="50"/>
      <c r="J93" s="50"/>
      <c r="K93" s="50"/>
      <c r="L93" s="50"/>
      <c r="M93" s="50"/>
      <c r="N93" s="50"/>
      <c r="O93" s="50"/>
      <c r="P93" s="50"/>
      <c r="Q93" s="50"/>
    </row>
    <row r="94" spans="1:17" ht="13" x14ac:dyDescent="0.25">
      <c r="A94" s="53" t="s">
        <v>1088</v>
      </c>
      <c r="B94" s="53" t="s">
        <v>1133</v>
      </c>
      <c r="C94" s="53" t="s">
        <v>23</v>
      </c>
      <c r="D94" s="53" t="s">
        <v>827</v>
      </c>
      <c r="E94" s="58">
        <f>0</f>
        <v>0</v>
      </c>
      <c r="F94" s="58">
        <f>0</f>
        <v>0</v>
      </c>
      <c r="G94" s="61">
        <f>'Opex Tables'!AB152</f>
        <v>0</v>
      </c>
      <c r="H94" s="55" t="str">
        <f t="shared" si="2"/>
        <v>SAP credit - DO NOT ENTER</v>
      </c>
      <c r="I94" s="50"/>
      <c r="J94" s="50"/>
      <c r="K94" s="50"/>
      <c r="L94" s="50"/>
      <c r="M94" s="50"/>
      <c r="N94" s="50"/>
      <c r="O94" s="50"/>
      <c r="P94" s="50"/>
      <c r="Q94" s="50"/>
    </row>
    <row r="95" spans="1:17" ht="13" x14ac:dyDescent="0.25">
      <c r="A95" s="53" t="s">
        <v>1089</v>
      </c>
      <c r="B95" s="53" t="s">
        <v>1133</v>
      </c>
      <c r="C95" s="53" t="s">
        <v>201</v>
      </c>
      <c r="D95" s="53" t="s">
        <v>851</v>
      </c>
      <c r="E95" s="58">
        <f>0</f>
        <v>0</v>
      </c>
      <c r="F95" s="58">
        <f>0</f>
        <v>0</v>
      </c>
      <c r="G95" s="61">
        <f>'Opex Tables'!AB153</f>
        <v>0</v>
      </c>
      <c r="H95" s="55" t="str">
        <f t="shared" si="2"/>
        <v>SAP credit - DO NOT ENTER</v>
      </c>
      <c r="I95" s="50"/>
      <c r="J95" s="50"/>
      <c r="K95" s="50"/>
      <c r="L95" s="50"/>
      <c r="M95" s="50"/>
      <c r="N95" s="50"/>
      <c r="O95" s="50"/>
      <c r="P95" s="50"/>
      <c r="Q95" s="50"/>
    </row>
    <row r="96" spans="1:17" ht="13" x14ac:dyDescent="0.25">
      <c r="A96" s="53" t="s">
        <v>1091</v>
      </c>
      <c r="B96" s="53" t="s">
        <v>1133</v>
      </c>
      <c r="C96" s="53" t="s">
        <v>67</v>
      </c>
      <c r="D96" s="53" t="s">
        <v>831</v>
      </c>
      <c r="E96" s="58">
        <f>0</f>
        <v>0</v>
      </c>
      <c r="F96" s="58">
        <f>0</f>
        <v>0</v>
      </c>
      <c r="G96" s="61">
        <f>'Opex Tables'!AB154</f>
        <v>0</v>
      </c>
      <c r="H96" s="55" t="str">
        <f t="shared" si="2"/>
        <v>SAP credit - DO NOT ENTER</v>
      </c>
      <c r="I96" s="50"/>
      <c r="J96" s="50"/>
      <c r="K96" s="50"/>
      <c r="L96" s="50"/>
      <c r="M96" s="50"/>
      <c r="N96" s="50"/>
      <c r="O96" s="50"/>
      <c r="P96" s="50"/>
      <c r="Q96" s="50"/>
    </row>
    <row r="97" spans="1:17" ht="26" x14ac:dyDescent="0.25">
      <c r="A97" s="53" t="s">
        <v>1091</v>
      </c>
      <c r="B97" s="53" t="s">
        <v>1133</v>
      </c>
      <c r="C97" s="53" t="s">
        <v>67</v>
      </c>
      <c r="D97" s="53" t="s">
        <v>832</v>
      </c>
      <c r="E97" s="58">
        <f>0</f>
        <v>0</v>
      </c>
      <c r="F97" s="58">
        <f>0</f>
        <v>0</v>
      </c>
      <c r="G97" s="61">
        <f>'Opex Tables'!AB155</f>
        <v>0</v>
      </c>
      <c r="H97" s="55" t="str">
        <f t="shared" si="2"/>
        <v>SAP credit - DO NOT ENTER</v>
      </c>
      <c r="I97" s="50"/>
      <c r="J97" s="50"/>
      <c r="K97" s="50"/>
      <c r="L97" s="50"/>
      <c r="M97" s="50"/>
      <c r="N97" s="50"/>
      <c r="O97" s="50"/>
      <c r="P97" s="50"/>
      <c r="Q97" s="50"/>
    </row>
    <row r="98" spans="1:17" ht="26" x14ac:dyDescent="0.25">
      <c r="A98" s="53" t="s">
        <v>1091</v>
      </c>
      <c r="B98" s="53" t="s">
        <v>1133</v>
      </c>
      <c r="C98" s="53" t="s">
        <v>67</v>
      </c>
      <c r="D98" s="53" t="s">
        <v>833</v>
      </c>
      <c r="E98" s="58">
        <f>0</f>
        <v>0</v>
      </c>
      <c r="F98" s="58">
        <f>0</f>
        <v>0</v>
      </c>
      <c r="G98" s="61">
        <f>'Opex Tables'!AB156</f>
        <v>0</v>
      </c>
      <c r="H98" s="55" t="str">
        <f t="shared" si="2"/>
        <v>SAP credit - DO NOT ENTER</v>
      </c>
      <c r="I98" s="50"/>
      <c r="J98" s="50"/>
      <c r="K98" s="50"/>
      <c r="L98" s="50"/>
      <c r="M98" s="50"/>
      <c r="N98" s="50"/>
      <c r="O98" s="50"/>
      <c r="P98" s="50"/>
      <c r="Q98" s="50"/>
    </row>
    <row r="99" spans="1:17" ht="26" x14ac:dyDescent="0.25">
      <c r="A99" s="53" t="s">
        <v>1091</v>
      </c>
      <c r="B99" s="53" t="s">
        <v>1133</v>
      </c>
      <c r="C99" s="53" t="s">
        <v>67</v>
      </c>
      <c r="D99" s="53" t="s">
        <v>834</v>
      </c>
      <c r="E99" s="58">
        <f>0</f>
        <v>0</v>
      </c>
      <c r="F99" s="58">
        <f>0</f>
        <v>0</v>
      </c>
      <c r="G99" s="61">
        <f>'Opex Tables'!AB157</f>
        <v>0</v>
      </c>
      <c r="H99" s="55" t="str">
        <f t="shared" si="2"/>
        <v>SAP credit - DO NOT ENTER</v>
      </c>
      <c r="I99" s="50"/>
      <c r="J99" s="50"/>
      <c r="K99" s="50"/>
      <c r="L99" s="50"/>
      <c r="M99" s="50"/>
      <c r="N99" s="50"/>
      <c r="O99" s="50"/>
      <c r="P99" s="50"/>
      <c r="Q99" s="50"/>
    </row>
    <row r="100" spans="1:17" ht="13" x14ac:dyDescent="0.25">
      <c r="A100" s="53" t="s">
        <v>1091</v>
      </c>
      <c r="B100" s="53" t="s">
        <v>1134</v>
      </c>
      <c r="C100" s="53" t="s">
        <v>67</v>
      </c>
      <c r="D100" s="53" t="s">
        <v>1135</v>
      </c>
      <c r="E100" s="58">
        <f>0</f>
        <v>0</v>
      </c>
      <c r="F100" s="58">
        <f>0</f>
        <v>0</v>
      </c>
      <c r="G100" s="61">
        <f>'Opex Tables'!AB158</f>
        <v>0</v>
      </c>
      <c r="H100" s="55" t="str">
        <f t="shared" si="2"/>
        <v>SAP credit - DO NOT ENTER</v>
      </c>
      <c r="I100" s="50"/>
      <c r="J100" s="50"/>
      <c r="K100" s="50"/>
      <c r="L100" s="50"/>
      <c r="M100" s="50"/>
      <c r="N100" s="50"/>
      <c r="O100" s="50"/>
      <c r="P100" s="50"/>
      <c r="Q100" s="50"/>
    </row>
    <row r="101" spans="1:17" ht="13" x14ac:dyDescent="0.25">
      <c r="A101" s="53" t="s">
        <v>1092</v>
      </c>
      <c r="B101" s="53" t="s">
        <v>1133</v>
      </c>
      <c r="C101" s="53" t="s">
        <v>149</v>
      </c>
      <c r="D101" s="53" t="s">
        <v>844</v>
      </c>
      <c r="E101" s="58">
        <f>0</f>
        <v>0</v>
      </c>
      <c r="F101" s="58">
        <f>0</f>
        <v>0</v>
      </c>
      <c r="G101" s="61">
        <f>'Opex Tables'!AB159</f>
        <v>0</v>
      </c>
      <c r="H101" s="55" t="str">
        <f t="shared" si="2"/>
        <v>SAP credit - DO NOT ENTER</v>
      </c>
      <c r="I101" s="50"/>
      <c r="J101" s="50"/>
      <c r="K101" s="50"/>
      <c r="L101" s="50"/>
      <c r="M101" s="50"/>
      <c r="N101" s="50"/>
      <c r="O101" s="50"/>
      <c r="P101" s="50"/>
      <c r="Q101" s="50"/>
    </row>
    <row r="102" spans="1:17" ht="13" x14ac:dyDescent="0.25">
      <c r="A102" s="53" t="s">
        <v>1092</v>
      </c>
      <c r="B102" s="53" t="s">
        <v>1133</v>
      </c>
      <c r="C102" s="53" t="s">
        <v>149</v>
      </c>
      <c r="D102" s="53" t="s">
        <v>842</v>
      </c>
      <c r="E102" s="58">
        <f>0</f>
        <v>0</v>
      </c>
      <c r="F102" s="58">
        <f>0</f>
        <v>0</v>
      </c>
      <c r="G102" s="61">
        <f>'Opex Tables'!AB160</f>
        <v>0</v>
      </c>
      <c r="H102" s="55" t="str">
        <f t="shared" si="2"/>
        <v>SAP credit - DO NOT ENTER</v>
      </c>
      <c r="I102" s="50"/>
      <c r="J102" s="50"/>
      <c r="K102" s="50"/>
      <c r="L102" s="50"/>
      <c r="M102" s="50"/>
      <c r="N102" s="50"/>
      <c r="O102" s="50"/>
      <c r="P102" s="50"/>
      <c r="Q102" s="50"/>
    </row>
    <row r="103" spans="1:17" ht="13" x14ac:dyDescent="0.25">
      <c r="A103" s="53" t="s">
        <v>1092</v>
      </c>
      <c r="B103" s="53" t="s">
        <v>1134</v>
      </c>
      <c r="C103" s="53" t="s">
        <v>149</v>
      </c>
      <c r="D103" s="53" t="s">
        <v>1135</v>
      </c>
      <c r="E103" s="58">
        <f>0</f>
        <v>0</v>
      </c>
      <c r="F103" s="58">
        <f>0</f>
        <v>0</v>
      </c>
      <c r="G103" s="61">
        <f>'Opex Tables'!AB161</f>
        <v>0</v>
      </c>
      <c r="H103" s="55" t="str">
        <f t="shared" si="2"/>
        <v>SAP credit - DO NOT ENTER</v>
      </c>
      <c r="I103" s="50"/>
      <c r="J103" s="50"/>
      <c r="K103" s="50"/>
      <c r="L103" s="50"/>
      <c r="M103" s="50"/>
      <c r="N103" s="50"/>
      <c r="O103" s="50"/>
      <c r="P103" s="50"/>
      <c r="Q103" s="50"/>
    </row>
    <row r="104" spans="1:17" ht="13" x14ac:dyDescent="0.25">
      <c r="A104" s="53" t="s">
        <v>1093</v>
      </c>
      <c r="B104" s="53" t="s">
        <v>1133</v>
      </c>
      <c r="C104" s="53" t="s">
        <v>131</v>
      </c>
      <c r="D104" s="53" t="s">
        <v>842</v>
      </c>
      <c r="E104" s="58">
        <f>0</f>
        <v>0</v>
      </c>
      <c r="F104" s="58">
        <f>0</f>
        <v>0</v>
      </c>
      <c r="G104" s="61">
        <f>'Opex Tables'!AB162</f>
        <v>0</v>
      </c>
      <c r="H104" s="55" t="str">
        <f t="shared" si="2"/>
        <v>SAP credit - DO NOT ENTER</v>
      </c>
      <c r="I104" s="50"/>
      <c r="J104" s="50"/>
      <c r="K104" s="50"/>
      <c r="L104" s="50"/>
      <c r="M104" s="50"/>
      <c r="N104" s="50"/>
      <c r="O104" s="50"/>
      <c r="P104" s="50"/>
      <c r="Q104" s="50"/>
    </row>
    <row r="105" spans="1:17" ht="13" x14ac:dyDescent="0.25">
      <c r="A105" s="53" t="s">
        <v>1099</v>
      </c>
      <c r="B105" s="53" t="s">
        <v>1133</v>
      </c>
      <c r="C105" s="53" t="s">
        <v>180</v>
      </c>
      <c r="D105" s="53" t="s">
        <v>849</v>
      </c>
      <c r="E105" s="58">
        <f>0</f>
        <v>0</v>
      </c>
      <c r="F105" s="58">
        <f>0</f>
        <v>0</v>
      </c>
      <c r="G105" s="61">
        <f>'Opex Tables'!AB163</f>
        <v>0</v>
      </c>
      <c r="H105" s="55" t="str">
        <f t="shared" si="2"/>
        <v>SAP credit - DO NOT ENTER</v>
      </c>
      <c r="I105" s="50"/>
      <c r="J105" s="50"/>
      <c r="K105" s="50"/>
      <c r="L105" s="50"/>
      <c r="M105" s="50"/>
      <c r="N105" s="50"/>
      <c r="O105" s="50"/>
      <c r="P105" s="50"/>
      <c r="Q105" s="50"/>
    </row>
    <row r="106" spans="1:17" ht="26" x14ac:dyDescent="0.25">
      <c r="A106" s="53" t="s">
        <v>1104</v>
      </c>
      <c r="B106" s="53" t="s">
        <v>1133</v>
      </c>
      <c r="C106" s="53" t="s">
        <v>190</v>
      </c>
      <c r="D106" s="53" t="s">
        <v>850</v>
      </c>
      <c r="E106" s="58">
        <f>0</f>
        <v>0</v>
      </c>
      <c r="F106" s="58">
        <f>0</f>
        <v>0</v>
      </c>
      <c r="G106" s="61">
        <f>'Opex Tables'!AB164</f>
        <v>0</v>
      </c>
      <c r="H106" s="55" t="str">
        <f t="shared" si="2"/>
        <v>SAP credit - DO NOT ENTER</v>
      </c>
      <c r="I106" s="50"/>
      <c r="J106" s="50"/>
      <c r="K106" s="50"/>
      <c r="L106" s="50"/>
      <c r="M106" s="50"/>
      <c r="N106" s="50"/>
      <c r="O106" s="50"/>
      <c r="P106" s="50"/>
      <c r="Q106" s="50"/>
    </row>
    <row r="107" spans="1:17" ht="26" x14ac:dyDescent="0.25">
      <c r="A107" s="53" t="s">
        <v>1106</v>
      </c>
      <c r="B107" s="53" t="s">
        <v>1133</v>
      </c>
      <c r="C107" s="53" t="s">
        <v>146</v>
      </c>
      <c r="D107" s="53" t="s">
        <v>830</v>
      </c>
      <c r="E107" s="58">
        <f>0</f>
        <v>0</v>
      </c>
      <c r="F107" s="58">
        <f>0</f>
        <v>0</v>
      </c>
      <c r="G107" s="61">
        <f>'Opex Tables'!AB165</f>
        <v>0</v>
      </c>
      <c r="H107" s="55" t="str">
        <f t="shared" si="2"/>
        <v>SAP credit - DO NOT ENTER</v>
      </c>
      <c r="I107" s="50"/>
      <c r="J107" s="50"/>
      <c r="K107" s="50"/>
      <c r="L107" s="50"/>
      <c r="M107" s="50"/>
      <c r="N107" s="50"/>
      <c r="O107" s="50"/>
      <c r="P107" s="50"/>
      <c r="Q107" s="50"/>
    </row>
    <row r="108" spans="1:17" ht="26" x14ac:dyDescent="0.25">
      <c r="A108" s="53" t="s">
        <v>1107</v>
      </c>
      <c r="B108" s="53" t="s">
        <v>1133</v>
      </c>
      <c r="C108" s="53" t="s">
        <v>159</v>
      </c>
      <c r="D108" s="53" t="s">
        <v>845</v>
      </c>
      <c r="E108" s="58">
        <f>0</f>
        <v>0</v>
      </c>
      <c r="F108" s="58">
        <f>0</f>
        <v>0</v>
      </c>
      <c r="G108" s="61">
        <f>'Opex Tables'!AB166</f>
        <v>0</v>
      </c>
      <c r="H108" s="55" t="str">
        <f t="shared" si="2"/>
        <v>SAP credit - DO NOT ENTER</v>
      </c>
      <c r="I108" s="50"/>
      <c r="J108" s="50"/>
      <c r="K108" s="50"/>
      <c r="L108" s="50"/>
      <c r="M108" s="50"/>
      <c r="N108" s="50"/>
      <c r="O108" s="50"/>
      <c r="P108" s="50"/>
      <c r="Q108" s="50"/>
    </row>
    <row r="109" spans="1:17" ht="26" x14ac:dyDescent="0.25">
      <c r="A109" s="53" t="s">
        <v>1108</v>
      </c>
      <c r="B109" s="53" t="s">
        <v>1133</v>
      </c>
      <c r="C109" s="53" t="s">
        <v>162</v>
      </c>
      <c r="D109" s="53" t="s">
        <v>846</v>
      </c>
      <c r="E109" s="58">
        <f>0</f>
        <v>0</v>
      </c>
      <c r="F109" s="58">
        <f>0</f>
        <v>0</v>
      </c>
      <c r="G109" s="61">
        <f>'Opex Tables'!AB167</f>
        <v>0</v>
      </c>
      <c r="H109" s="55" t="str">
        <f t="shared" si="2"/>
        <v>SAP credit - DO NOT ENTER</v>
      </c>
      <c r="I109" s="50"/>
      <c r="J109" s="50"/>
      <c r="K109" s="50"/>
      <c r="L109" s="50"/>
      <c r="M109" s="50"/>
      <c r="N109" s="50"/>
      <c r="O109" s="50"/>
      <c r="P109" s="50"/>
      <c r="Q109" s="50"/>
    </row>
    <row r="110" spans="1:17" ht="13" x14ac:dyDescent="0.25">
      <c r="A110" s="53" t="s">
        <v>1109</v>
      </c>
      <c r="B110" s="53" t="s">
        <v>1133</v>
      </c>
      <c r="C110" s="53" t="s">
        <v>86</v>
      </c>
      <c r="D110" s="53" t="s">
        <v>835</v>
      </c>
      <c r="E110" s="58">
        <f>0</f>
        <v>0</v>
      </c>
      <c r="F110" s="58">
        <f>0</f>
        <v>0</v>
      </c>
      <c r="G110" s="61">
        <f>'Opex Tables'!AB168</f>
        <v>0</v>
      </c>
      <c r="H110" s="55" t="str">
        <f t="shared" si="2"/>
        <v>SAP credit - DO NOT ENTER</v>
      </c>
      <c r="I110" s="50"/>
      <c r="J110" s="50"/>
      <c r="K110" s="50"/>
      <c r="L110" s="50"/>
      <c r="M110" s="50"/>
      <c r="N110" s="50"/>
      <c r="O110" s="50"/>
      <c r="P110" s="50"/>
      <c r="Q110" s="50"/>
    </row>
    <row r="118" spans="1:8" ht="13" x14ac:dyDescent="0.25">
      <c r="A118" s="52"/>
      <c r="B118" s="52"/>
      <c r="C118" s="52"/>
      <c r="D118" s="52"/>
      <c r="E118" s="52"/>
      <c r="F118" s="52"/>
      <c r="G118" s="52"/>
      <c r="H118" s="53"/>
    </row>
    <row r="119" spans="1:8" ht="13" x14ac:dyDescent="0.25">
      <c r="A119" s="52"/>
      <c r="B119" s="52"/>
      <c r="C119" s="52"/>
      <c r="D119" s="52"/>
      <c r="E119" s="52"/>
      <c r="F119" s="52"/>
      <c r="G119" s="52"/>
      <c r="H119" s="53"/>
    </row>
    <row r="121" spans="1:8" ht="30" customHeight="1" x14ac:dyDescent="0.25"/>
  </sheetData>
  <mergeCells count="8">
    <mergeCell ref="A7:H7"/>
    <mergeCell ref="J7:Q7"/>
    <mergeCell ref="A64:H64"/>
    <mergeCell ref="A4:Q4"/>
    <mergeCell ref="A5:Q5"/>
    <mergeCell ref="A1:Q1"/>
    <mergeCell ref="A2:Q2"/>
    <mergeCell ref="A3:Q3"/>
  </mergeCells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7ceddd7c-561a-4808-b4c3-1692a3515f20}" enabled="1" method="Standard" siteId="{e23c7299-f64d-4de4-a6a1-b40d314552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CAPEX CJI3</vt:lpstr>
      <vt:lpstr>OPEX CJI3</vt:lpstr>
      <vt:lpstr>CAPEX Tables</vt:lpstr>
      <vt:lpstr>Opex Tables</vt:lpstr>
      <vt:lpstr>codes match</vt:lpstr>
      <vt:lpstr>Planisware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Kerem Yenideniz (External)</cp:lastModifiedBy>
  <cp:revision>1</cp:revision>
  <dcterms:modified xsi:type="dcterms:W3CDTF">2026-09-14T11:34:14Z</dcterms:modified>
  <cp:category/>
</cp:coreProperties>
</file>